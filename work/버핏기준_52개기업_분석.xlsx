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산식정의" sheetId="2" state="visible" r:id="rId2"/>
    <sheet name="기준표" sheetId="3" state="visible" r:id="rId3"/>
    <sheet name="연도별계산" sheetId="4" state="visible" r:id="rId4"/>
    <sheet name="품질순위" sheetId="5" state="visible" r:id="rId5"/>
    <sheet name="DCF계산" sheetId="6" state="visible" r:id="rId6"/>
    <sheet name="밸류에이션" sheetId="7" state="visible" r:id="rId7"/>
    <sheet name="금융9개사" sheetId="8" state="visible" r:id="rId8"/>
    <sheet name="밸류에이션제외" sheetId="9" state="visible" r:id="rId9"/>
    <sheet name="검증결과" sheetId="10" state="visible" r:id="rId10"/>
    <sheet name="유니버스" sheetId="11" state="visible" r:id="rId11"/>
  </sheets>
  <definedNames>
    <definedName name="_xlnm._FilterDatabase" localSheetId="3" hidden="1">'연도별계산'!$A$4:$AX$590</definedName>
    <definedName name="_xlnm._FilterDatabase" localSheetId="4" hidden="1">'품질순위'!$A$4:$W$45</definedName>
    <definedName name="_xlnm._FilterDatabase" localSheetId="5" hidden="1">'DCF계산'!$A$4:$Z$121</definedName>
    <definedName name="_xlnm._FilterDatabase" localSheetId="6" hidden="1">'밸류에이션'!$A$4:$T$43</definedName>
    <definedName name="_xlnm._FilterDatabase" localSheetId="7" hidden="1">'금융9개사'!$A$4:$K$13</definedName>
    <definedName name="_xlnm._FilterDatabase" localSheetId="9" hidden="1">'검증결과'!$A$4:$H$54</definedName>
    <definedName name="_xlnm._FilterDatabase" localSheetId="10" hidden="1">'유니버스'!$A$4:$J$56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&quot;x&quot;"/>
    <numFmt numFmtId="166" formatCode="$#,##0.0;($#,##0.0);-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9"/>
    </font>
    <font>
      <name val="Arial"/>
      <color rgb="000000FF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EEAF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pivotButton="0" quotePrefix="0" xfId="0"/>
    <xf numFmtId="0" fontId="2" fillId="0" borderId="1" pivotButton="0" quotePrefix="0" xfId="0"/>
    <xf numFmtId="164" fontId="6" fillId="3" borderId="1" pivotButton="0" quotePrefix="0" xfId="0"/>
    <xf numFmtId="165" fontId="6" fillId="3" borderId="1" pivotButton="0" quotePrefix="0" xfId="0"/>
    <xf numFmtId="3" fontId="6" fillId="3" borderId="1" pivotButton="0" quotePrefix="0" xfId="0"/>
    <xf numFmtId="4" fontId="6" fillId="3" borderId="1" pivotButton="0" quotePrefix="0" xfId="0"/>
    <xf numFmtId="10" fontId="6" fillId="3" borderId="1" pivotButton="0" quotePrefix="0" xfId="0"/>
    <xf numFmtId="166" fontId="6" fillId="4" borderId="1" pivotButton="0" quotePrefix="0" xfId="0"/>
    <xf numFmtId="3" fontId="6" fillId="4" borderId="1" pivotButton="0" quotePrefix="0" xfId="0"/>
    <xf numFmtId="166" fontId="4" fillId="0" borderId="1" pivotButton="0" quotePrefix="0" xfId="0"/>
    <xf numFmtId="164" fontId="7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3" fontId="4" fillId="0" borderId="1" pivotButton="0" quotePrefix="0" xfId="0"/>
    <xf numFmtId="3" fontId="3" fillId="0" borderId="1" pivotButton="0" quotePrefix="0" xfId="0"/>
    <xf numFmtId="164" fontId="6" fillId="4" borderId="1" pivotButton="0" quotePrefix="0" xfId="0"/>
    <xf numFmtId="165" fontId="6" fillId="4" borderId="1" pivotButton="0" quotePrefix="0" xfId="0"/>
    <xf numFmtId="3" fontId="7" fillId="0" borderId="1" pivotButton="0" quotePrefix="0" xfId="0"/>
    <xf numFmtId="166" fontId="3" fillId="0" borderId="1" pivotButton="0" quotePrefix="0" xfId="0"/>
    <xf numFmtId="0" fontId="7" fillId="0" borderId="1" pivotButton="0" quotePrefix="0" xfId="0"/>
    <xf numFmtId="166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92" customWidth="1" min="2" max="2"/>
  </cols>
  <sheetData>
    <row r="1">
      <c r="A1" s="1" t="inlineStr">
        <is>
          <t>버핏 기준 52개 기업 분석</t>
        </is>
      </c>
    </row>
    <row r="2">
      <c r="A2" s="2" t="inlineStr">
        <is>
          <t>생성 2026-08-11 08:18 UTC · 미국 50개사 정량 + 한국 2개사 정성</t>
        </is>
      </c>
    </row>
    <row r="4">
      <c r="A4" s="3" t="inlineStr">
        <is>
          <t>이 파일 읽는 법</t>
        </is>
      </c>
    </row>
    <row r="5" ht="26" customHeight="1">
      <c r="A5" s="4" t="inlineStr">
        <is>
          <t>글자 색</t>
        </is>
      </c>
      <c r="B5" s="5" t="inlineStr">
        <is>
          <t>파란 글씨는 10-K나 시세에서 그대로 가져온 원천 수치입니다. 검은 글씨는 같은 시트에서 계산한 수식이고, 초록 글씨는 다른 시트를 참조하는 수식입니다. 노란 셀은 바꿔볼 수 있는 가정입니다.</t>
        </is>
      </c>
    </row>
    <row r="6" ht="26" customHeight="1">
      <c r="A6" s="4" t="inlineStr">
        <is>
          <t>계산을 따라가는 순서</t>
        </is>
      </c>
      <c r="B6" s="5" t="inlineStr">
        <is>
          <t>연도별계산 → 품질순위 → DCF계산 → 밸류에이션 순으로 보시면 원천 수치가 비율이 되고, 비율이 점수와 적정가치가 되는 과정이 이어집니다. 각 열의 정의와 산식은 '산식정의' 시트에 정리했습니다.</t>
        </is>
      </c>
    </row>
    <row r="7" ht="26" customHeight="1">
      <c r="A7" s="4" t="inlineStr">
        <is>
          <t>가정을 바꾸려면</t>
        </is>
      </c>
      <c r="B7" s="5" t="inlineStr">
        <is>
          <t>'기준표' 시트의 노란 셀을 바꾸면 배점과 적정가치가 함께 움직입니다. 예를 들어 기준 할인율을 10%에서 9%로 낮추면 모든 적정가치가 올라갑니다.</t>
        </is>
      </c>
    </row>
    <row r="9" ht="26" customHeight="1">
      <c r="A9" s="4" t="inlineStr">
        <is>
          <t>핵심 결론</t>
        </is>
      </c>
      <c r="B9" s="5" t="inlineStr">
        <is>
          <t>비금융 41개사 중 36개사가 ROIC로 자본비용을 넘겼지만, 할인율 10% 기준 DCF에서 안전마진 30% 이상인 기업은 0개입니다.</t>
        </is>
      </c>
    </row>
    <row r="10" ht="15" customHeight="1">
      <c r="A10" s="4" t="inlineStr">
        <is>
          <t>경계선</t>
        </is>
      </c>
      <c r="B10" s="5" t="inlineStr">
        <is>
          <t>0개사 (없음). 나머지는 전부 적정가치 추정 범위 밖에서 거래되고 있습니다.</t>
        </is>
      </c>
    </row>
    <row r="11" ht="26" customHeight="1">
      <c r="A11" s="4" t="inlineStr">
        <is>
          <t>주주이익 음수</t>
        </is>
      </c>
      <c r="B11" s="5" t="inlineStr">
        <is>
          <t>2개사 (INTC, AMD). 이익이 없어서가 아니라 설비투자와 운전자본이 순이익을 넘어서기 때문이며, 데이터 공백이 아니라 사업 판정입니다.</t>
        </is>
      </c>
    </row>
    <row r="12" ht="26" customHeight="1">
      <c r="A12" s="4" t="inlineStr">
        <is>
          <t>금융업 처리</t>
        </is>
      </c>
      <c r="B12" s="5" t="inlineStr">
        <is>
          <t>9개사는 ROIC·주주이익을 산출하지 않았습니다. 은행에서 부채는 자금조달이 아니라 원재료라 투하자본이 정의되지 않습니다. SIC 6000~6799 기준.</t>
        </is>
      </c>
    </row>
    <row r="13" ht="26" customHeight="1">
      <c r="A13" s="4" t="inlineStr">
        <is>
          <t>한국 2개사</t>
        </is>
      </c>
      <c r="B13" s="5" t="inlineStr">
        <is>
          <t>삼성전자·SK하이닉스는 정성 분석만 했습니다. DART 접근에 인증키가 필요해 감사받은 1차 출처를 확보할 수 없었고, 기억으로 숫자를 채우지 않았습니다.</t>
        </is>
      </c>
    </row>
    <row r="14" ht="26" customHeight="1">
      <c r="A14" s="4" t="inlineStr">
        <is>
          <t>검증 (PHASE 6)</t>
        </is>
      </c>
      <c r="B14" s="5" t="inlineStr">
        <is>
          <t>50/50개사 통과. 각 수치를 해당 10-K 원문의 인라인 XBRL과 대조하고, 인용 접수번호가 EDGAR에 실재하는지 확인하고, 주식수를 재파싱으로 재현했습니다.</t>
        </is>
      </c>
    </row>
    <row r="16" ht="39" customHeight="1">
      <c r="A16" s="4" t="inlineStr">
        <is>
          <t>주의</t>
        </is>
      </c>
      <c r="B16" s="5" t="inlineStr">
        <is>
          <t>이 분석은 '지금 투자 가능 구간 안인가'라는 질문에만 답합니다. 목표주가가 아니며, DCF는 3개 시나리오의 범위로만 읽어야 합니다. 비자의 시가총액은 클래스 B·C 전환분이 빠져 과소평가돼 있어 실제 안전마진은 표시된 값보다 나쁩니다.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  <col width="86" customWidth="1" min="4" max="4"/>
    <col width="34" customWidth="1" min="5" max="5"/>
  </cols>
  <sheetData>
    <row r="1">
      <c r="A1" s="1" t="inlineStr">
        <is>
          <t>산식 정의 — 각 열이 어떻게 계산되는가</t>
        </is>
      </c>
    </row>
    <row r="2">
      <c r="A2" s="2" t="inlineStr">
        <is>
          <t>시트별로 열 하나하나의 정의와 산식, 그리고 왜 그렇게 계산했는지를 적었습니다.</t>
        </is>
      </c>
    </row>
    <row r="4" ht="34" customHeight="1">
      <c r="A4" s="6" t="inlineStr">
        <is>
          <t>시트</t>
        </is>
      </c>
      <c r="B4" s="6" t="inlineStr">
        <is>
          <t>열</t>
        </is>
      </c>
      <c r="C4" s="6" t="inlineStr">
        <is>
          <t>산식</t>
        </is>
      </c>
      <c r="D4" s="6" t="inlineStr">
        <is>
          <t>설명</t>
        </is>
      </c>
      <c r="E4" s="6" t="inlineStr">
        <is>
          <t>참조 대상</t>
        </is>
      </c>
    </row>
    <row r="5" ht="15" customHeight="1">
      <c r="A5" s="7" t="inlineStr">
        <is>
          <t>연도별계산</t>
        </is>
      </c>
      <c r="B5" s="8" t="inlineStr">
        <is>
          <t>매출 / 세전이익 / 이자비용 / 법인세비용 / 순이익 / 감가상각 / 설비투자 / 자기자본 / 현금 / 단기·장기차입금 / 유동자산 / 유동부채</t>
        </is>
      </c>
      <c r="C5" s="8" t="inlineStr">
        <is>
          <t>원천 (파란 셀)</t>
        </is>
      </c>
      <c r="D5" s="5" t="inlineStr">
        <is>
          <t>각 회계연도 10-K의 XBRL 태그 값을 그대로 가져온 것. 가공하지 않았습니다.</t>
        </is>
      </c>
      <c r="E5" s="9" t="inlineStr">
        <is>
          <t>SEC EDGAR companyfacts, 접수번호 열로 해당 10-K 특정 가능</t>
        </is>
      </c>
    </row>
    <row r="6" ht="48" customHeight="1">
      <c r="A6" s="7" t="inlineStr">
        <is>
          <t>연도별계산</t>
        </is>
      </c>
      <c r="B6" s="8" t="inlineStr">
        <is>
          <t>영업이익(EBIT)</t>
        </is>
      </c>
      <c r="C6" s="8" t="inlineStr">
        <is>
          <t>세전이익 + 이자비용</t>
        </is>
      </c>
      <c r="D6" s="5" t="inlineStr">
        <is>
          <t>세전이익과 이자비용이 모두 있으면 둘을 더합니다. 릴리·엑슨모빌·IBM·머크·셰브론은 영업이익 소계를 아예 태깅하지 않아, 태그가 있는 회사만 보고된 영업이익을 쓰면 ROIC가 회사마다 다른 것을 뜻하게 됩니다. 그래서 전 종목을 같은 방식으로 맞췄고, 이자비용이 없는 회사만 보고된 영업이익으로 대체합니다.</t>
        </is>
      </c>
      <c r="E6" s="9" t="inlineStr">
        <is>
          <t>같은 행의 원천 셀</t>
        </is>
      </c>
    </row>
    <row r="7" ht="24" customHeight="1">
      <c r="A7" s="7" t="inlineStr">
        <is>
          <t>연도별계산</t>
        </is>
      </c>
      <c r="B7" s="8" t="inlineStr">
        <is>
          <t>실효세율</t>
        </is>
      </c>
      <c r="C7" s="8" t="inlineStr">
        <is>
          <t>법인세비용 ÷ 세전이익 (5~40%로 제한)</t>
        </is>
      </c>
      <c r="D7" s="5" t="inlineStr">
        <is>
          <t>세전이익이 없거나 음수면 기본 세율 21%를 씁니다. 범위를 벗어나는 값은 일회성 항목의 결과라 한계 세율을 대표하지 못하므로 상·하한을 둡니다.</t>
        </is>
      </c>
      <c r="E7" s="9" t="inlineStr">
        <is>
          <t>기준표의 세율 셀 3개</t>
        </is>
      </c>
    </row>
    <row r="8" ht="15" customHeight="1">
      <c r="A8" s="7" t="inlineStr">
        <is>
          <t>연도별계산</t>
        </is>
      </c>
      <c r="B8" s="8" t="inlineStr">
        <is>
          <t>NOPAT</t>
        </is>
      </c>
      <c r="C8" s="8" t="inlineStr">
        <is>
          <t>영업이익(EBIT) × (1 − 실효세율)</t>
        </is>
      </c>
      <c r="D8" s="5" t="inlineStr">
        <is>
          <t>세후 영업이익. ROIC의 분자입니다.</t>
        </is>
      </c>
      <c r="E8" s="9" t="inlineStr">
        <is>
          <t>같은 행</t>
        </is>
      </c>
    </row>
    <row r="9" ht="24" customHeight="1">
      <c r="A9" s="7" t="inlineStr">
        <is>
          <t>연도별계산</t>
        </is>
      </c>
      <c r="B9" s="8" t="inlineStr">
        <is>
          <t>이자부부채</t>
        </is>
      </c>
      <c r="C9" s="8" t="inlineStr">
        <is>
          <t>단기차입금 + 장기차입금</t>
        </is>
      </c>
      <c r="D9" s="5" t="inlineStr">
        <is>
          <t>한쪽만 태깅된 경우 나머지는 0으로 봅니다. 잔액이 0이면 태그를 생략하는 것이 관행이기 때문입니다. 양쪽 다 없으면 공란으로 둡니다.</t>
        </is>
      </c>
      <c r="E9" s="9" t="inlineStr">
        <is>
          <t>같은 행</t>
        </is>
      </c>
    </row>
    <row r="10" ht="24" customHeight="1">
      <c r="A10" s="7" t="inlineStr">
        <is>
          <t>연도별계산</t>
        </is>
      </c>
      <c r="B10" s="8" t="inlineStr">
        <is>
          <t>투하자본</t>
        </is>
      </c>
      <c r="C10" s="8" t="inlineStr">
        <is>
          <t>자기자본 + 이자부부채 − 현금</t>
        </is>
      </c>
      <c r="D10" s="5" t="inlineStr">
        <is>
          <t>현금을 빼는 이유는 놀고 있는 현금이 사업에 투입된 자본이 아니기 때문입니다. 빼지 않으면 현금이 많은 대형주의 ROIC가 실제보다 낮게 나옵니다.</t>
        </is>
      </c>
      <c r="E10" s="9" t="inlineStr">
        <is>
          <t>같은 행</t>
        </is>
      </c>
    </row>
    <row r="11" ht="24" customHeight="1">
      <c r="A11" s="7" t="inlineStr">
        <is>
          <t>연도별계산</t>
        </is>
      </c>
      <c r="B11" s="8" t="inlineStr">
        <is>
          <t>투하자본(평균)</t>
        </is>
      </c>
      <c r="C11" s="8" t="inlineStr">
        <is>
          <t>(당기 투하자본 + 전기 투하자본) ÷ 2</t>
        </is>
      </c>
      <c r="D11" s="5" t="inlineStr">
        <is>
          <t>기말 잔고를 쓰면 연말에 자본을 조달한 회사가 한 해 내내 그 자본으로 벌어들인 것처럼 보입니다. 전기 값이 없으면 당기 값을 그대로 씁니다.</t>
        </is>
      </c>
      <c r="E11" s="9" t="inlineStr">
        <is>
          <t>같은 행</t>
        </is>
      </c>
    </row>
    <row r="12" ht="36" customHeight="1">
      <c r="A12" s="7" t="inlineStr">
        <is>
          <t>연도별계산</t>
        </is>
      </c>
      <c r="B12" s="8" t="inlineStr">
        <is>
          <t>ROIC</t>
        </is>
      </c>
      <c r="C12" s="8" t="inlineStr">
        <is>
          <t>NOPAT ÷ 투하자본(평균)</t>
        </is>
      </c>
      <c r="D12" s="5" t="inlineStr">
        <is>
          <t>원칙 1의 핵심 지표. 순위와 배점은 현금을 빼지 않은 '총' 기준을 씁니다 — 현금을 빼는 것이 원칙적으로는 맞지만 보유 현금이 자본 전체에 근접하면 분모가 0에 수렴해 비율이 의미를 잃기 때문입니다. 아리스타의 순ROIC는 96~192%를 오가는 반면 총ROIC는 23~32%입니다.</t>
        </is>
      </c>
      <c r="E12" s="9" t="inlineStr">
        <is>
          <t>같은 행</t>
        </is>
      </c>
    </row>
    <row r="13" ht="15" customHeight="1">
      <c r="A13" s="7" t="inlineStr">
        <is>
          <t>연도별계산</t>
        </is>
      </c>
      <c r="B13" s="8" t="inlineStr">
        <is>
          <t>ROE</t>
        </is>
      </c>
      <c r="C13" s="8" t="inlineStr">
        <is>
          <t>순이익 ÷ 자기자본(평균)</t>
        </is>
      </c>
      <c r="D13" s="5" t="inlineStr">
        <is>
          <t>원칙 2에서 ROIC와 비교합니다.</t>
        </is>
      </c>
      <c r="E13" s="9" t="inlineStr">
        <is>
          <t>같은 행</t>
        </is>
      </c>
    </row>
    <row r="14" ht="24" customHeight="1">
      <c r="A14" s="7" t="inlineStr">
        <is>
          <t>연도별계산</t>
        </is>
      </c>
      <c r="B14" s="8" t="inlineStr">
        <is>
          <t>ROE−ROIC</t>
        </is>
      </c>
      <c r="C14" s="8" t="inlineStr">
        <is>
          <t>ROE − ROIC</t>
        </is>
      </c>
      <c r="D14" s="5" t="inlineStr">
        <is>
          <t>차이가 크면 ROE가 사업의 수익성이 아니라 레버리지에서 나온다는 신호입니다. 다만 자사주 매입으로 자기자본이 줄어도 같은 형태로 벌어지므로 부채 지표를 함께 봐야 합니다.</t>
        </is>
      </c>
      <c r="E14" s="9" t="inlineStr">
        <is>
          <t>같은 행</t>
        </is>
      </c>
    </row>
    <row r="15" ht="15" customHeight="1">
      <c r="A15" s="7" t="inlineStr">
        <is>
          <t>연도별계산</t>
        </is>
      </c>
      <c r="B15" s="8" t="inlineStr">
        <is>
          <t>EBITDA</t>
        </is>
      </c>
      <c r="C15" s="8" t="inlineStr">
        <is>
          <t>영업이익(EBIT) + 감가상각</t>
        </is>
      </c>
      <c r="D15" s="5" t="inlineStr"/>
      <c r="E15" s="9" t="inlineStr">
        <is>
          <t>같은 행</t>
        </is>
      </c>
    </row>
    <row r="16" ht="15" customHeight="1">
      <c r="A16" s="7" t="inlineStr">
        <is>
          <t>연도별계산</t>
        </is>
      </c>
      <c r="B16" s="8" t="inlineStr">
        <is>
          <t>순부채/EBITDA</t>
        </is>
      </c>
      <c r="C16" s="8" t="inlineStr">
        <is>
          <t>(이자부부채 − 현금) ÷ EBITDA</t>
        </is>
      </c>
      <c r="D16" s="5" t="inlineStr">
        <is>
          <t>레버리지 건전성.</t>
        </is>
      </c>
      <c r="E16" s="9" t="inlineStr">
        <is>
          <t>같은 행</t>
        </is>
      </c>
    </row>
    <row r="17" ht="15" customHeight="1">
      <c r="A17" s="7" t="inlineStr">
        <is>
          <t>연도별계산</t>
        </is>
      </c>
      <c r="B17" s="8" t="inlineStr">
        <is>
          <t>이자보상배율</t>
        </is>
      </c>
      <c r="C17" s="8" t="inlineStr">
        <is>
          <t>영업이익(EBIT) ÷ 이자비용</t>
        </is>
      </c>
      <c r="D17" s="5" t="inlineStr">
        <is>
          <t>이자를 몇 배로 감당하는지.</t>
        </is>
      </c>
      <c r="E17" s="9" t="inlineStr">
        <is>
          <t>같은 행</t>
        </is>
      </c>
    </row>
    <row r="18" ht="36" customHeight="1">
      <c r="A18" s="7" t="inlineStr">
        <is>
          <t>연도별계산</t>
        </is>
      </c>
      <c r="B18" s="8" t="inlineStr">
        <is>
          <t>운전자본(영업)</t>
        </is>
      </c>
      <c r="C18" s="8" t="inlineStr">
        <is>
          <t>유동자산 − 현금 − (유동부채 − 단기차입금)</t>
        </is>
      </c>
      <c r="D18" s="5" t="inlineStr">
        <is>
          <t>현금과 단기차입금을 빼는 것이 핵심입니다. 유동자산에는 현금이 포함되므로 그대로 두면 현금을 쌓은 회사가 운전자본을 소모한 것처럼 보입니다. 단기차입금은 영업이 아니라 자금조달이라 같은 이유로 뺍니다.</t>
        </is>
      </c>
      <c r="E18" s="9" t="inlineStr">
        <is>
          <t>같은 행</t>
        </is>
      </c>
    </row>
    <row r="19" ht="15" customHeight="1">
      <c r="A19" s="7" t="inlineStr">
        <is>
          <t>연도별계산</t>
        </is>
      </c>
      <c r="B19" s="8" t="inlineStr">
        <is>
          <t>운전자본증감</t>
        </is>
      </c>
      <c r="C19" s="8" t="inlineStr">
        <is>
          <t>당기 운전자본(영업) − 전기 운전자본(영업)</t>
        </is>
      </c>
      <c r="D19" s="5" t="inlineStr">
        <is>
          <t>양수면 그해 운전자본이 현금을 흡수했다는 뜻입니다.</t>
        </is>
      </c>
      <c r="E19" s="9" t="inlineStr">
        <is>
          <t>같은 행</t>
        </is>
      </c>
    </row>
    <row r="20" ht="15" customHeight="1">
      <c r="A20" s="7" t="inlineStr">
        <is>
          <t>연도별계산</t>
        </is>
      </c>
      <c r="B20" s="8" t="inlineStr">
        <is>
          <t>주주이익</t>
        </is>
      </c>
      <c r="C20" s="8" t="inlineStr">
        <is>
          <t>순이익 + 감가상각 − 설비투자 − 운전자본증감</t>
        </is>
      </c>
      <c r="D20" s="5" t="inlineStr">
        <is>
          <t>버핏의 owner earnings 정의입니다. 네 항목이 모두 같은 회계기간이어야 합니다.</t>
        </is>
      </c>
      <c r="E20" s="9" t="inlineStr">
        <is>
          <t>같은 행</t>
        </is>
      </c>
    </row>
    <row r="21" ht="15" customHeight="1">
      <c r="A21" s="7" t="inlineStr">
        <is>
          <t>연도별계산</t>
        </is>
      </c>
      <c r="B21" s="8" t="inlineStr">
        <is>
          <t>주주이익률 / 영업이익률</t>
        </is>
      </c>
      <c r="C21" s="8" t="inlineStr">
        <is>
          <t>각각 주주이익 ÷ 매출, 영업이익(EBIT) ÷ 매출</t>
        </is>
      </c>
      <c r="D21" s="5" t="inlineStr"/>
      <c r="E21" s="9" t="inlineStr">
        <is>
          <t>같은 행</t>
        </is>
      </c>
    </row>
    <row r="22" ht="36" customHeight="1">
      <c r="A22" s="7" t="inlineStr">
        <is>
          <t>품질순위</t>
        </is>
      </c>
      <c r="B22" s="8" t="inlineStr">
        <is>
          <t>ROIC 중앙값 · 신규 ROIC · ROIC−WACC · WACC 등 (파란 셀)</t>
        </is>
      </c>
      <c r="C22" s="8" t="inlineStr">
        <is>
          <t>여러 해에 걸친 집계값</t>
        </is>
      </c>
      <c r="D22" s="5" t="inlineStr">
        <is>
          <t>연도별계산의 여러 행을 걸쳐 계산한 값이라 한 행의 수식으로는 표현되지 않습니다. ROIC 중앙값은 관측된 모든 해의 ROIC 중앙값이고, 신규 ROIC는 (기간말 NOPAT − 기간초 NOPAT) ÷ (기간말 투하자본 − 기간초 투하자본)입니다.</t>
        </is>
      </c>
      <c r="E22" s="9" t="inlineStr">
        <is>
          <t>연도별계산 시트의 해당 기업 행들</t>
        </is>
      </c>
    </row>
    <row r="23" ht="24" customHeight="1">
      <c r="A23" s="7" t="inlineStr">
        <is>
          <t>품질순위</t>
        </is>
      </c>
      <c r="B23" s="8" t="inlineStr">
        <is>
          <t>지속성 비율</t>
        </is>
      </c>
      <c r="C23" s="8" t="inlineStr">
        <is>
          <t>두자릿수 년수 ÷ 관측 년수</t>
        </is>
      </c>
      <c r="D23" s="5" t="inlineStr">
        <is>
          <t>ROIC가 10%를 넘긴 해의 비율. 높은 평균보다 꾸준함이 해자에 가깝다는 것이 원칙 1의 취지입니다.</t>
        </is>
      </c>
      <c r="E23" s="9" t="inlineStr">
        <is>
          <t>같은 행</t>
        </is>
      </c>
    </row>
    <row r="24" ht="36" customHeight="1">
      <c r="A24" s="7" t="inlineStr">
        <is>
          <t>품질순위</t>
        </is>
      </c>
      <c r="B24" s="8" t="inlineStr">
        <is>
          <t>배점 7개 열</t>
        </is>
      </c>
      <c r="C24" s="8" t="inlineStr">
        <is>
          <t>각 지표를 기준표의 문턱값과 비교한 조건식</t>
        </is>
      </c>
      <c r="D24" s="5" t="inlineStr">
        <is>
          <t>셀을 클릭하면 어떤 조건에서 몇 점이 나왔는지 그대로 보입니다. 배점: ROIC 25 · 지속성 20 · 신규 ROIC 20 · 스프레드 15 · 주주이익률 10 · 순부채 5 · 이자보상 5 (합계 100).</t>
        </is>
      </c>
      <c r="E24" s="9" t="inlineStr">
        <is>
          <t>같은 행 + 기준표</t>
        </is>
      </c>
    </row>
    <row r="25" ht="15" customHeight="1">
      <c r="A25" s="7" t="inlineStr">
        <is>
          <t>품질순위</t>
        </is>
      </c>
      <c r="B25" s="8" t="inlineStr">
        <is>
          <t>총점</t>
        </is>
      </c>
      <c r="C25" s="8" t="inlineStr">
        <is>
          <t>배점 7개 열의 합계</t>
        </is>
      </c>
      <c r="D25" s="5" t="inlineStr">
        <is>
          <t>백분위가 아니라 절대 기준입니다.</t>
        </is>
      </c>
      <c r="E25" s="9" t="inlineStr">
        <is>
          <t>같은 행</t>
        </is>
      </c>
    </row>
    <row r="26" ht="24" customHeight="1">
      <c r="A26" s="7" t="inlineStr">
        <is>
          <t>DCF계산</t>
        </is>
      </c>
      <c r="B26" s="8" t="inlineStr">
        <is>
          <t>적용 성장률</t>
        </is>
      </c>
      <c r="C26" s="8" t="inlineStr">
        <is>
          <t>과거 주주이익 성장률 × 시나리오 배수, 상한 적용</t>
        </is>
      </c>
      <c r="D26" s="5" t="inlineStr">
        <is>
          <t>과거 성장률이 없으면 3%를 씁니다. 상한은 보수·기준 10%, 낙관 15%입니다 — 10년을 그보다 빠르게 복리성장한다고 보지 않습니다.</t>
        </is>
      </c>
      <c r="E26" s="9" t="inlineStr">
        <is>
          <t>기준표</t>
        </is>
      </c>
    </row>
    <row r="27" ht="15" customHeight="1">
      <c r="A27" s="7" t="inlineStr">
        <is>
          <t>DCF계산</t>
        </is>
      </c>
      <c r="B27" s="8" t="inlineStr">
        <is>
          <t>1~10년차 PV</t>
        </is>
      </c>
      <c r="C27" s="8" t="inlineStr">
        <is>
          <t>기준 주주이익 × (1+성장률)^t ÷ (1+할인율)^t</t>
        </is>
      </c>
      <c r="D27" s="5" t="inlineStr">
        <is>
          <t>t년차 주주이익을 현재가치로 할인한 값.</t>
        </is>
      </c>
      <c r="E27" s="9" t="inlineStr">
        <is>
          <t>같은 행</t>
        </is>
      </c>
    </row>
    <row r="28" ht="15" customHeight="1">
      <c r="A28" s="7" t="inlineStr">
        <is>
          <t>DCF계산</t>
        </is>
      </c>
      <c r="B28" s="8" t="inlineStr">
        <is>
          <t>영구가치</t>
        </is>
      </c>
      <c r="C28" s="8" t="inlineStr">
        <is>
          <t>10년차 현금흐름 × (1+영구성장률) ÷ (할인율 − 영구성장률)</t>
        </is>
      </c>
      <c r="D28" s="5" t="inlineStr">
        <is>
          <t>고든 성장 모형. 할인율이 영구성장률 이하면 값이 발산하므로 공란으로 둡니다.</t>
        </is>
      </c>
      <c r="E28" s="9" t="inlineStr">
        <is>
          <t>같은 행</t>
        </is>
      </c>
    </row>
    <row r="29" ht="15" customHeight="1">
      <c r="A29" s="7" t="inlineStr">
        <is>
          <t>DCF계산</t>
        </is>
      </c>
      <c r="B29" s="8" t="inlineStr">
        <is>
          <t>적정가치</t>
        </is>
      </c>
      <c r="C29" s="8" t="inlineStr">
        <is>
          <t>예측기간 PV 합계 + 영구가치 PV</t>
        </is>
      </c>
      <c r="D29" s="5" t="inlineStr"/>
      <c r="E29" s="9" t="inlineStr">
        <is>
          <t>같은 행</t>
        </is>
      </c>
    </row>
    <row r="30" ht="15" customHeight="1">
      <c r="A30" s="7" t="inlineStr">
        <is>
          <t>DCF계산</t>
        </is>
      </c>
      <c r="B30" s="8" t="inlineStr">
        <is>
          <t>안전마진</t>
        </is>
      </c>
      <c r="C30" s="8" t="inlineStr">
        <is>
          <t>(적정가치 − 시가총액) ÷ 적정가치</t>
        </is>
      </c>
      <c r="D30" s="5" t="inlineStr">
        <is>
          <t>양수면 적정가치보다 싸게 거래된다는 뜻입니다.</t>
        </is>
      </c>
      <c r="E30" s="9" t="inlineStr">
        <is>
          <t>같은 행</t>
        </is>
      </c>
    </row>
    <row r="31" ht="15" customHeight="1">
      <c r="A31" s="7" t="inlineStr">
        <is>
          <t>DCF계산</t>
        </is>
      </c>
      <c r="B31" s="8" t="inlineStr">
        <is>
          <t>판정</t>
        </is>
      </c>
      <c r="C31" s="8" t="inlineStr">
        <is>
          <t>안전마진 ≥ 30% 투자가능 / ≥ 0% 경계선 / 그 외 범위밖</t>
        </is>
      </c>
      <c r="D31" s="5" t="inlineStr">
        <is>
          <t>목표주가가 아니라 '지금 투자 가능 구간 안인가'에 대한 답입니다.</t>
        </is>
      </c>
      <c r="E31" s="9" t="inlineStr">
        <is>
          <t>기준표</t>
        </is>
      </c>
    </row>
    <row r="32" ht="15" customHeight="1">
      <c r="A32" s="7" t="inlineStr">
        <is>
          <t>밸류에이션</t>
        </is>
      </c>
      <c r="B32" s="8" t="inlineStr">
        <is>
          <t>PER / PBR / PSR</t>
        </is>
      </c>
      <c r="C32" s="8" t="inlineStr">
        <is>
          <t>시가총액 ÷ (최근 순이익 / 자기자본 / 매출)</t>
        </is>
      </c>
      <c r="D32" s="5" t="inlineStr">
        <is>
          <t>PER은 순이익이 양수일 때만 계산합니다. 적자에서는 의미가 없습니다.</t>
        </is>
      </c>
      <c r="E32" s="9" t="inlineStr">
        <is>
          <t>같은 행</t>
        </is>
      </c>
    </row>
    <row r="33" ht="15" customHeight="1">
      <c r="A33" s="7" t="inlineStr">
        <is>
          <t>밸류에이션</t>
        </is>
      </c>
      <c r="B33" s="8" t="inlineStr">
        <is>
          <t>기준 적정가치 · 안전마진 · 판정</t>
        </is>
      </c>
      <c r="C33" s="8" t="inlineStr">
        <is>
          <t>DCF계산 시트의 기준 시나리오 행 참조</t>
        </is>
      </c>
      <c r="D33" s="5" t="inlineStr">
        <is>
          <t>초록 글씨는 다른 시트를 가리킵니다. 클릭하면 해당 행으로 따라갈 수 있습니다.</t>
        </is>
      </c>
      <c r="E33" s="9" t="inlineStr">
        <is>
          <t>DCF계산</t>
        </is>
      </c>
    </row>
    <row r="34" ht="36" customHeight="1">
      <c r="A34" s="7" t="inlineStr">
        <is>
          <t>전체</t>
        </is>
      </c>
      <c r="B34" s="8" t="inlineStr">
        <is>
          <t>시가총액</t>
        </is>
      </c>
      <c r="C34" s="8" t="inlineStr">
        <is>
          <t>10-K 표지의 주식수 × 최근 종가</t>
        </is>
      </c>
      <c r="D34" s="5" t="inlineStr">
        <is>
          <t>표지 주식수는 결산일보다 최신이고 클래스별로 나뉘어 있어 합산했습니다. 버크셔는 A주를 B주 1,500배로 환산했습니다. 비자는 클래스 B·C의 전환비율이 이사회 재량이라 클래스 A만 썼고, 그만큼 시가총액이 과소평가돼 있습니다.</t>
        </is>
      </c>
      <c r="E34" s="9" t="inlineStr">
        <is>
          <t>SEC 10-K 표지 인라인 XBRL + 거래소 종가</t>
        </is>
      </c>
    </row>
    <row r="35" ht="48" customHeight="1">
      <c r="A35" s="7" t="inlineStr">
        <is>
          <t>전체</t>
        </is>
      </c>
      <c r="B35" s="8" t="inlineStr">
        <is>
          <t>주식수 시계열</t>
        </is>
      </c>
      <c r="C35" s="8" t="inlineStr">
        <is>
          <t>액면분할 기준을 통일한 뒤 비교</t>
        </is>
      </c>
      <c r="D35" s="5" t="inlineStr">
        <is>
          <t>각 연도 주식수는 그해 10-K의 단위로 기록되는데 10-K는 직전 2년까지만 소급 수정하므로, 분할을 가로지르면 신주 발행처럼 보입니다. 조정 전 엔비디아는 연 41% 희석으로 나왔으나 실제로는 4:1과 10:1 분할이었습니다. 정수가 아닌 비율(델 1806:1000, GE 1281:1000)은 스핀오프에 따른 주가 조정이라 적용하지 않았습니다.</t>
        </is>
      </c>
      <c r="E35" s="9" t="inlineStr">
        <is>
          <t>거래소 분할 이력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78" customWidth="1" min="3" max="3"/>
  </cols>
  <sheetData>
    <row r="1">
      <c r="A1" s="1" t="inlineStr">
        <is>
          <t>기준표 — 가정과 판정 기준</t>
        </is>
      </c>
    </row>
    <row r="2">
      <c r="A2" s="2" t="inlineStr">
        <is>
          <t>노란 셀은 바꿀 수 있는 가정입니다. 다른 시트의 수식이 이 셀들을 참조하므로, 값을 바꾸면 점수와 적정가치가 함께 움직입니다.</t>
        </is>
      </c>
    </row>
    <row r="4" ht="34" customHeight="1">
      <c r="A4" s="6" t="inlineStr">
        <is>
          <t>항목</t>
        </is>
      </c>
      <c r="B4" s="6" t="inlineStr">
        <is>
          <t>값</t>
        </is>
      </c>
      <c r="C4" s="6" t="inlineStr">
        <is>
          <t>설명</t>
        </is>
      </c>
    </row>
    <row r="5">
      <c r="A5" s="7" t="inlineStr">
        <is>
          <t>세율</t>
        </is>
      </c>
    </row>
    <row r="6">
      <c r="A6" s="8" t="inlineStr">
        <is>
          <t>실효세율 하한</t>
        </is>
      </c>
      <c r="B6" s="10" t="n">
        <v>0.05</v>
      </c>
      <c r="C6" s="9" t="inlineStr">
        <is>
          <t>이보다 낮은 실효세율은 일회성 항목의 결과로 보고 하한을 적용</t>
        </is>
      </c>
    </row>
    <row r="7">
      <c r="A7" s="8" t="inlineStr">
        <is>
          <t>실효세율 상한</t>
        </is>
      </c>
      <c r="B7" s="10" t="n">
        <v>0.4</v>
      </c>
      <c r="C7" s="9" t="inlineStr">
        <is>
          <t>이보다 높은 실효세율도 마찬가지로 상한을 적용</t>
        </is>
      </c>
    </row>
    <row r="8">
      <c r="A8" s="8" t="inlineStr">
        <is>
          <t>기본 세율</t>
        </is>
      </c>
      <c r="B8" s="10" t="n">
        <v>0.21</v>
      </c>
      <c r="C8" s="9" t="inlineStr">
        <is>
          <t>세전이익이 없거나 음수여서 실효세율을 낼 수 없을 때 쓰는 미국 연방 법정세율</t>
        </is>
      </c>
    </row>
    <row r="9">
      <c r="A9" s="7" t="inlineStr">
        <is>
          <t>품질 배점 기준</t>
        </is>
      </c>
    </row>
    <row r="10">
      <c r="A10" s="8" t="inlineStr">
        <is>
          <t>ROIC 25점 기준</t>
        </is>
      </c>
      <c r="B10" s="10" t="n">
        <v>0.3</v>
      </c>
      <c r="C10" s="9" t="inlineStr">
        <is>
          <t>ROIC 중앙값이 이 이상이면 25점</t>
        </is>
      </c>
    </row>
    <row r="11">
      <c r="A11" s="8" t="inlineStr">
        <is>
          <t>ROIC 20점 기준</t>
        </is>
      </c>
      <c r="B11" s="10" t="n">
        <v>0.2</v>
      </c>
      <c r="C11" s="9" t="inlineStr"/>
    </row>
    <row r="12">
      <c r="A12" s="8" t="inlineStr">
        <is>
          <t>ROIC 15점 기준</t>
        </is>
      </c>
      <c r="B12" s="10" t="n">
        <v>0.15</v>
      </c>
      <c r="C12" s="9" t="inlineStr"/>
    </row>
    <row r="13">
      <c r="A13" s="8" t="inlineStr">
        <is>
          <t>ROIC 10점 기준</t>
        </is>
      </c>
      <c r="B13" s="10" t="n">
        <v>0.1</v>
      </c>
      <c r="C13" s="9" t="inlineStr"/>
    </row>
    <row r="14">
      <c r="A14" s="8" t="inlineStr">
        <is>
          <t>신규ROIC 20점 기준</t>
        </is>
      </c>
      <c r="B14" s="10" t="n">
        <v>0.2</v>
      </c>
      <c r="C14" s="9" t="inlineStr">
        <is>
          <t>증분 ROIC가 이 이상이면 20점</t>
        </is>
      </c>
    </row>
    <row r="15">
      <c r="A15" s="8" t="inlineStr">
        <is>
          <t>신규ROIC 15점 기준</t>
        </is>
      </c>
      <c r="B15" s="10" t="n">
        <v>0.15</v>
      </c>
      <c r="C15" s="9" t="inlineStr"/>
    </row>
    <row r="16">
      <c r="A16" s="8" t="inlineStr">
        <is>
          <t>신규ROIC 10점 기준</t>
        </is>
      </c>
      <c r="B16" s="10" t="n">
        <v>0.1</v>
      </c>
      <c r="C16" s="9" t="inlineStr"/>
    </row>
    <row r="17">
      <c r="A17" s="8" t="inlineStr">
        <is>
          <t>스프레드 15점 기준</t>
        </is>
      </c>
      <c r="B17" s="10" t="n">
        <v>0.15</v>
      </c>
      <c r="C17" s="9" t="inlineStr">
        <is>
          <t>ROIC−WACC가 이 이상이면 15점</t>
        </is>
      </c>
    </row>
    <row r="18">
      <c r="A18" s="8" t="inlineStr">
        <is>
          <t>스프레드 12점 기준</t>
        </is>
      </c>
      <c r="B18" s="10" t="n">
        <v>0.1</v>
      </c>
      <c r="C18" s="9" t="inlineStr"/>
    </row>
    <row r="19">
      <c r="A19" s="8" t="inlineStr">
        <is>
          <t>스프레드 8점 기준</t>
        </is>
      </c>
      <c r="B19" s="10" t="n">
        <v>0.05</v>
      </c>
      <c r="C19" s="9" t="inlineStr"/>
    </row>
    <row r="20">
      <c r="A20" s="8" t="inlineStr">
        <is>
          <t>주주이익률 10점 기준</t>
        </is>
      </c>
      <c r="B20" s="10" t="n">
        <v>0.2</v>
      </c>
      <c r="C20" s="9" t="inlineStr">
        <is>
          <t>정규화 주주이익 ÷ 매출이 이 이상이면 10점</t>
        </is>
      </c>
    </row>
    <row r="21">
      <c r="A21" s="8" t="inlineStr">
        <is>
          <t>주주이익률 7점 기준</t>
        </is>
      </c>
      <c r="B21" s="10" t="n">
        <v>0.1</v>
      </c>
      <c r="C21" s="9" t="inlineStr"/>
    </row>
    <row r="22">
      <c r="A22" s="8" t="inlineStr">
        <is>
          <t>주주이익률 4점 기준</t>
        </is>
      </c>
      <c r="B22" s="10" t="n">
        <v>0.05</v>
      </c>
      <c r="C22" s="9" t="inlineStr"/>
    </row>
    <row r="23">
      <c r="A23" s="8" t="inlineStr">
        <is>
          <t>순부채 5점 기준</t>
        </is>
      </c>
      <c r="B23" s="11" t="n">
        <v>1</v>
      </c>
      <c r="C23" s="9" t="inlineStr">
        <is>
          <t>순부채/EBITDA가 이 이하면 5점</t>
        </is>
      </c>
    </row>
    <row r="24">
      <c r="A24" s="8" t="inlineStr">
        <is>
          <t>순부채 4점 기준</t>
        </is>
      </c>
      <c r="B24" s="11" t="n">
        <v>2</v>
      </c>
      <c r="C24" s="9" t="inlineStr"/>
    </row>
    <row r="25">
      <c r="A25" s="8" t="inlineStr">
        <is>
          <t>순부채 2점 기준</t>
        </is>
      </c>
      <c r="B25" s="11" t="n">
        <v>3</v>
      </c>
      <c r="C25" s="9" t="inlineStr"/>
    </row>
    <row r="26">
      <c r="A26" s="8" t="inlineStr">
        <is>
          <t>이자보상 5점 기준</t>
        </is>
      </c>
      <c r="B26" s="11" t="n">
        <v>10</v>
      </c>
      <c r="C26" s="9" t="inlineStr">
        <is>
          <t>이자보상배율이 이 이상이면 5점</t>
        </is>
      </c>
    </row>
    <row r="27">
      <c r="A27" s="8" t="inlineStr">
        <is>
          <t>이자보상 3점 기준</t>
        </is>
      </c>
      <c r="B27" s="11" t="n">
        <v>5</v>
      </c>
      <c r="C27" s="9" t="inlineStr"/>
    </row>
    <row r="28">
      <c r="A28" s="8" t="inlineStr">
        <is>
          <t>이자보상 1점 기준</t>
        </is>
      </c>
      <c r="B28" s="11" t="n">
        <v>2</v>
      </c>
      <c r="C28" s="9" t="inlineStr"/>
    </row>
    <row r="29">
      <c r="A29" s="7" t="inlineStr">
        <is>
          <t>DCF 가정</t>
        </is>
      </c>
    </row>
    <row r="30">
      <c r="A30" s="8" t="inlineStr">
        <is>
          <t>예측기간(년)</t>
        </is>
      </c>
      <c r="B30" s="12" t="n">
        <v>10</v>
      </c>
      <c r="C30" s="9" t="inlineStr">
        <is>
          <t>명시적으로 현금흐름을 추정하는 기간</t>
        </is>
      </c>
    </row>
    <row r="31">
      <c r="A31" s="8" t="inlineStr">
        <is>
          <t>보수 할인율</t>
        </is>
      </c>
      <c r="B31" s="10" t="n">
        <v>0.12</v>
      </c>
      <c r="C31" s="9" t="inlineStr"/>
    </row>
    <row r="32">
      <c r="A32" s="8" t="inlineStr">
        <is>
          <t>보수 영구성장률</t>
        </is>
      </c>
      <c r="B32" s="10" t="n">
        <v>0.02</v>
      </c>
      <c r="C32" s="9" t="inlineStr"/>
    </row>
    <row r="33">
      <c r="A33" s="8" t="inlineStr">
        <is>
          <t>보수 성장률 배수</t>
        </is>
      </c>
      <c r="B33" s="13" t="n">
        <v>0.5</v>
      </c>
      <c r="C33" s="9" t="inlineStr">
        <is>
          <t>과거 주주이익 성장률에 곱하는 배수</t>
        </is>
      </c>
    </row>
    <row r="34">
      <c r="A34" s="8" t="inlineStr">
        <is>
          <t>기준 할인율</t>
        </is>
      </c>
      <c r="B34" s="10" t="n">
        <v>0.1</v>
      </c>
      <c r="C34" s="9" t="inlineStr"/>
    </row>
    <row r="35">
      <c r="A35" s="8" t="inlineStr">
        <is>
          <t>기준 영구성장률</t>
        </is>
      </c>
      <c r="B35" s="10" t="n">
        <v>0.025</v>
      </c>
      <c r="C35" s="9" t="inlineStr"/>
    </row>
    <row r="36">
      <c r="A36" s="8" t="inlineStr">
        <is>
          <t>기준 성장률 배수</t>
        </is>
      </c>
      <c r="B36" s="13" t="n">
        <v>1</v>
      </c>
      <c r="C36" s="9" t="inlineStr"/>
    </row>
    <row r="37">
      <c r="A37" s="8" t="inlineStr">
        <is>
          <t>낙관 할인율</t>
        </is>
      </c>
      <c r="B37" s="10" t="n">
        <v>0.08</v>
      </c>
      <c r="C37" s="9" t="inlineStr"/>
    </row>
    <row r="38">
      <c r="A38" s="8" t="inlineStr">
        <is>
          <t>낙관 영구성장률</t>
        </is>
      </c>
      <c r="B38" s="10" t="n">
        <v>0.03</v>
      </c>
      <c r="C38" s="9" t="inlineStr"/>
    </row>
    <row r="39">
      <c r="A39" s="8" t="inlineStr">
        <is>
          <t>낙관 성장률 배수</t>
        </is>
      </c>
      <c r="B39" s="13" t="n">
        <v>1.25</v>
      </c>
      <c r="C39" s="9" t="inlineStr"/>
    </row>
    <row r="40">
      <c r="A40" s="8" t="inlineStr">
        <is>
          <t>성장률 상한(보수·기준)</t>
        </is>
      </c>
      <c r="B40" s="10" t="n">
        <v>0.1</v>
      </c>
      <c r="C40" s="9" t="inlineStr">
        <is>
          <t>10년을 이 속도보다 빠르게 복리성장한다고 보지 않음</t>
        </is>
      </c>
    </row>
    <row r="41">
      <c r="A41" s="8" t="inlineStr">
        <is>
          <t>성장률 상한(낙관)</t>
        </is>
      </c>
      <c r="B41" s="10" t="n">
        <v>0.15</v>
      </c>
      <c r="C41" s="9" t="inlineStr"/>
    </row>
    <row r="42">
      <c r="A42" s="8" t="inlineStr">
        <is>
          <t>안전마진 투자가능 기준</t>
        </is>
      </c>
      <c r="B42" s="10" t="n">
        <v>0.3</v>
      </c>
      <c r="C42" s="9" t="inlineStr">
        <is>
          <t>안전마진이 이 이상이면 투자 가능 구간</t>
        </is>
      </c>
    </row>
    <row r="43">
      <c r="A43" s="7" t="inlineStr">
        <is>
          <t>매크로</t>
        </is>
      </c>
    </row>
    <row r="44">
      <c r="A44" s="8" t="inlineStr">
        <is>
          <t>무위험수익률</t>
        </is>
      </c>
      <c r="B44" s="14" t="n">
        <v>0.04650000000000001</v>
      </c>
      <c r="C44" s="9" t="inlineStr">
        <is>
          <t>DGS10 (10-Year Treasury Constant Maturity Rate) · 2026-08-07 · https://fred.stlouisfed.org/graph/fredgraph.csv?id=DGS10</t>
        </is>
      </c>
    </row>
    <row r="45">
      <c r="A45" s="8" t="inlineStr">
        <is>
          <t>주식위험프리미엄</t>
        </is>
      </c>
      <c r="B45" s="14" t="n">
        <v>0.0446</v>
      </c>
      <c r="C45" s="9" t="inlineStr">
        <is>
          <t>Damodaran (NYU Stern) · January 5, 2026 · https://pages.stern.nyu.edu/~adamodar/New_Home_Page/datafile/ctryprem.html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1" customWidth="1" min="4" max="4"/>
    <col width="10" customWidth="1" min="5" max="5"/>
    <col width="21" customWidth="1" min="6" max="6"/>
    <col width="13" customWidth="1" min="7" max="7"/>
    <col width="13" customWidth="1" min="8" max="8"/>
    <col width="12" customWidth="1" min="9" max="9"/>
    <col width="12" customWidth="1" min="10" max="10"/>
    <col width="13" customWidth="1" min="11" max="11"/>
    <col width="13" customWidth="1" min="12" max="12"/>
    <col width="12" customWidth="1" min="13" max="13"/>
    <col width="12" customWidth="1" min="14" max="14"/>
    <col width="13" customWidth="1" min="15" max="15"/>
    <col width="13" customWidth="1" min="16" max="16"/>
    <col width="13" customWidth="1" min="17" max="17"/>
    <col width="12" customWidth="1" min="18" max="18"/>
    <col width="12" customWidth="1" min="19" max="19"/>
    <col width="12" customWidth="1" min="20" max="20"/>
    <col width="13" customWidth="1" min="21" max="21"/>
    <col width="12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3" customWidth="1" min="33" max="33"/>
    <col width="13" customWidth="1" min="34" max="34"/>
    <col width="10" customWidth="1" min="35" max="35"/>
    <col width="13" customWidth="1" min="36" max="36"/>
    <col width="10" customWidth="1" min="37" max="37"/>
    <col width="13" customWidth="1" min="38" max="38"/>
    <col width="10" customWidth="1" min="39" max="39"/>
    <col width="11" customWidth="1" min="40" max="40"/>
    <col width="13" customWidth="1" min="41" max="41"/>
    <col width="12" customWidth="1" min="42" max="42"/>
    <col width="12" customWidth="1" min="43" max="43"/>
    <col width="13" customWidth="1" min="44" max="44"/>
    <col width="13" customWidth="1" min="45" max="45"/>
    <col width="13" customWidth="1" min="46" max="46"/>
    <col width="13" customWidth="1" min="47" max="47"/>
    <col width="30" customWidth="1" min="48" max="48"/>
    <col width="11" customWidth="1" min="49" max="49"/>
    <col width="11" customWidth="1" min="50" max="50"/>
  </cols>
  <sheetData>
    <row r="1">
      <c r="A1" s="1" t="inlineStr">
        <is>
          <t>연도별 계산 — 원천 수치와 그로부터 나온 모든 비율</t>
        </is>
      </c>
    </row>
    <row r="2">
      <c r="A2" s="2" t="inlineStr">
        <is>
          <t>파란 셀은 10-K에서 그대로 가져온 원천 수치이고, 검은 셀은 같은 행의 파란 셀로 계산한 수식입니다. 어떤 비율이든 셀을 클릭하면 수식 입력줄에 계산이 그대로 보입니다. 금액 단위는 십억 USD. 접수번호로 해당 10-K를 특정할 수 있습니다.</t>
        </is>
      </c>
    </row>
    <row r="4" ht="34" customHeight="1">
      <c r="A4" s="6" t="inlineStr">
        <is>
          <t>티커</t>
        </is>
      </c>
      <c r="B4" s="6" t="inlineStr">
        <is>
          <t>기업</t>
        </is>
      </c>
      <c r="C4" s="6" t="inlineStr">
        <is>
          <t>회계연도</t>
        </is>
      </c>
      <c r="D4" s="6" t="inlineStr">
        <is>
          <t>결산일</t>
        </is>
      </c>
      <c r="E4" s="6" t="inlineStr">
        <is>
          <t>업종구분</t>
        </is>
      </c>
      <c r="F4" s="6" t="inlineStr">
        <is>
          <t>접수번호</t>
        </is>
      </c>
      <c r="G4" s="6" t="inlineStr">
        <is>
          <t>매출</t>
        </is>
      </c>
      <c r="H4" s="6" t="inlineStr">
        <is>
          <t>세전이익</t>
        </is>
      </c>
      <c r="I4" s="6" t="inlineStr">
        <is>
          <t>이자비용</t>
        </is>
      </c>
      <c r="J4" s="6" t="inlineStr">
        <is>
          <t>법인세비용</t>
        </is>
      </c>
      <c r="K4" s="6" t="inlineStr">
        <is>
          <t>영업이익(보고)</t>
        </is>
      </c>
      <c r="L4" s="6" t="inlineStr">
        <is>
          <t>순이익</t>
        </is>
      </c>
      <c r="M4" s="6" t="inlineStr">
        <is>
          <t>감가상각</t>
        </is>
      </c>
      <c r="N4" s="6" t="inlineStr">
        <is>
          <t>설비투자</t>
        </is>
      </c>
      <c r="O4" s="6" t="inlineStr">
        <is>
          <t>영업현금흐름</t>
        </is>
      </c>
      <c r="P4" s="6" t="inlineStr">
        <is>
          <t>자기자본</t>
        </is>
      </c>
      <c r="Q4" s="6" t="inlineStr">
        <is>
          <t>자기자본(전기)</t>
        </is>
      </c>
      <c r="R4" s="6" t="inlineStr">
        <is>
          <t>현금</t>
        </is>
      </c>
      <c r="S4" s="6" t="inlineStr">
        <is>
          <t>현금(전기)</t>
        </is>
      </c>
      <c r="T4" s="6" t="inlineStr">
        <is>
          <t>단기차입금</t>
        </is>
      </c>
      <c r="U4" s="6" t="inlineStr">
        <is>
          <t>단기차입금(전기)</t>
        </is>
      </c>
      <c r="V4" s="6" t="inlineStr">
        <is>
          <t>장기차입금</t>
        </is>
      </c>
      <c r="W4" s="6" t="inlineStr">
        <is>
          <t>유동자산</t>
        </is>
      </c>
      <c r="X4" s="6" t="inlineStr">
        <is>
          <t>유동자산(전기)</t>
        </is>
      </c>
      <c r="Y4" s="6" t="inlineStr">
        <is>
          <t>유동부채</t>
        </is>
      </c>
      <c r="Z4" s="6" t="inlineStr">
        <is>
          <t>유동부채(전기)</t>
        </is>
      </c>
      <c r="AA4" s="6" t="inlineStr">
        <is>
          <t>투하자본(전기)</t>
        </is>
      </c>
      <c r="AB4" s="6" t="inlineStr">
        <is>
          <t>주식수(백만주)</t>
        </is>
      </c>
      <c r="AC4" s="6" t="inlineStr">
        <is>
          <t>영업이익(EBIT)</t>
        </is>
      </c>
      <c r="AD4" s="6" t="inlineStr">
        <is>
          <t>실효세율</t>
        </is>
      </c>
      <c r="AE4" s="6" t="inlineStr">
        <is>
          <t>NOPAT</t>
        </is>
      </c>
      <c r="AF4" s="6" t="inlineStr">
        <is>
          <t>이자부부채</t>
        </is>
      </c>
      <c r="AG4" s="6" t="inlineStr">
        <is>
          <t>투하자본</t>
        </is>
      </c>
      <c r="AH4" s="6" t="inlineStr">
        <is>
          <t>투하자본(평균)</t>
        </is>
      </c>
      <c r="AI4" s="6" t="inlineStr">
        <is>
          <t>ROIC(순)</t>
        </is>
      </c>
      <c r="AJ4" s="6" t="inlineStr">
        <is>
          <t>투하자본(총)</t>
        </is>
      </c>
      <c r="AK4" s="6" t="inlineStr">
        <is>
          <t>ROIC(총)</t>
        </is>
      </c>
      <c r="AL4" s="6" t="inlineStr">
        <is>
          <t>자기자본(평균)</t>
        </is>
      </c>
      <c r="AM4" s="6" t="inlineStr">
        <is>
          <t>ROE</t>
        </is>
      </c>
      <c r="AN4" s="6" t="inlineStr">
        <is>
          <t>ROE−ROIC</t>
        </is>
      </c>
      <c r="AO4" s="6" t="inlineStr">
        <is>
          <t>EBITDA</t>
        </is>
      </c>
      <c r="AP4" s="6" t="inlineStr">
        <is>
          <t>순부채/EBITDA</t>
        </is>
      </c>
      <c r="AQ4" s="6" t="inlineStr">
        <is>
          <t>이자보상배율</t>
        </is>
      </c>
      <c r="AR4" s="6" t="inlineStr">
        <is>
          <t>운전자본(영업)</t>
        </is>
      </c>
      <c r="AS4" s="6" t="inlineStr">
        <is>
          <t>운전자본(전기)</t>
        </is>
      </c>
      <c r="AT4" s="6" t="inlineStr">
        <is>
          <t>운전자본증감</t>
        </is>
      </c>
      <c r="AU4" s="6" t="inlineStr">
        <is>
          <t>주주이익</t>
        </is>
      </c>
      <c r="AV4" s="6" t="inlineStr">
        <is>
          <t>주주이익 산출방식</t>
        </is>
      </c>
      <c r="AW4" s="6" t="inlineStr">
        <is>
          <t>주주이익률</t>
        </is>
      </c>
      <c r="AX4" s="6" t="inlineStr">
        <is>
          <t>영업이익률</t>
        </is>
      </c>
    </row>
    <row r="5">
      <c r="A5" s="8" t="inlineStr">
        <is>
          <t>NVDA</t>
        </is>
      </c>
      <c r="B5" s="8" t="inlineStr">
        <is>
          <t>NVIDIA CORP</t>
        </is>
      </c>
      <c r="C5" s="8" t="n">
        <v>2014</v>
      </c>
      <c r="D5" s="8" t="inlineStr">
        <is>
          <t>2015-01-25</t>
        </is>
      </c>
      <c r="E5" s="8" t="inlineStr">
        <is>
          <t>일반</t>
        </is>
      </c>
      <c r="F5" s="8" t="inlineStr">
        <is>
          <t>0001045810-17-000027</t>
        </is>
      </c>
      <c r="G5" s="15" t="n">
        <v>4.682</v>
      </c>
      <c r="H5" s="15" t="n"/>
      <c r="I5" s="15" t="n"/>
      <c r="J5" s="15" t="n">
        <v>0.124</v>
      </c>
      <c r="K5" s="15" t="n">
        <v>0.759</v>
      </c>
      <c r="L5" s="15" t="n">
        <v>0.631</v>
      </c>
      <c r="M5" s="15" t="n">
        <v>0.143</v>
      </c>
      <c r="N5" s="15" t="n"/>
      <c r="O5" s="15" t="n">
        <v>0.906</v>
      </c>
      <c r="P5" s="15" t="n">
        <v>4.418</v>
      </c>
      <c r="Q5" s="15" t="n"/>
      <c r="R5" s="15" t="n">
        <v>4.623</v>
      </c>
      <c r="S5" s="15" t="n"/>
      <c r="T5" s="15" t="n"/>
      <c r="U5" s="15" t="n"/>
      <c r="V5" s="15" t="n">
        <v>1.384</v>
      </c>
      <c r="W5" s="15" t="n">
        <v>5.713</v>
      </c>
      <c r="X5" s="15" t="n"/>
      <c r="Y5" s="15" t="n">
        <v>0.896</v>
      </c>
      <c r="Z5" s="15" t="n"/>
      <c r="AA5" s="15" t="n"/>
      <c r="AB5" s="16" t="n">
        <v>21800</v>
      </c>
      <c r="AC5" s="17">
        <f>IF(AND(ISNUMBER(H5),ISNUMBER(I5)),H5+I5,IF(ISNUMBER(K5),K5,IF(ISNUMBER(H5),H5,"")))</f>
        <v/>
      </c>
      <c r="AD5" s="18">
        <f>IF(OR(NOT(ISNUMBER(J5)),NOT(ISNUMBER(H5)),H5&lt;=0),기준표!$B$8,MIN(MAX(J5/H5,기준표!$B$6),기준표!$B$7))</f>
        <v/>
      </c>
      <c r="AE5" s="17">
        <f>IF(ISNUMBER(AC5),AC5*(1-AD5),"")</f>
        <v/>
      </c>
      <c r="AF5" s="17">
        <f>IF(AND(NOT(ISNUMBER(T5)),NOT(ISNUMBER(V5))),"",IF(ISNUMBER(T5),T5,0)+IF(ISNUMBER(V5),V5,0))</f>
        <v/>
      </c>
      <c r="AG5" s="17">
        <f>IF(E5="금융","",IF(AND(ISNUMBER(P5),ISNUMBER(AF5),ISNUMBER(R5)),P5+AF5-R5,""))</f>
        <v/>
      </c>
      <c r="AH5" s="17">
        <f>IF(E5="금융","",IF(NOT(ISNUMBER(AG5)),"",IF(ISNUMBER(AA5),(AG5+AA5)/2,AG5)))</f>
        <v/>
      </c>
      <c r="AI5" s="19">
        <f>IF(AND(ISNUMBER(AE5),ISNUMBER(AH5),AH5&gt;0),AE5/AH5,"")</f>
        <v/>
      </c>
      <c r="AJ5" s="17">
        <f>IF(E5="금융","",IF(AND(ISNUMBER(P5),ISNUMBER(AF5)),P5+AF5,""))</f>
        <v/>
      </c>
      <c r="AK5" s="19">
        <f>IF(OR(NOT(ISNUMBER(AE5)),NOT(ISNUMBER(AJ5)),AJ5&lt;=0),"",IF(AND(ISNUMBER(G5),AJ5&lt;0.1*G5),"",AE5/AJ5))</f>
        <v/>
      </c>
      <c r="AL5" s="17">
        <f>IF(NOT(ISNUMBER(P5)),"",IF(ISNUMBER(Q5),(P5+Q5)/2,P5))</f>
        <v/>
      </c>
      <c r="AM5" s="19">
        <f>IF(AND(ISNUMBER(L5),ISNUMBER(AL5),AL5&gt;0),L5/AL5,"")</f>
        <v/>
      </c>
      <c r="AN5" s="19">
        <f>IF(AND(ISNUMBER(AM5),ISNUMBER({ROIC})),AM5-{ROIC},"")</f>
        <v/>
      </c>
      <c r="AO5" s="17">
        <f>IF(AND(ISNUMBER(AC5),ISNUMBER(M5)),AC5+M5,"")</f>
        <v/>
      </c>
      <c r="AP5" s="20">
        <f>IF(AND(ISNUMBER(AF5),ISNUMBER(R5),ISNUMBER(AO5),AO5&gt;0),(AF5-R5)/AO5,"")</f>
        <v/>
      </c>
      <c r="AQ5" s="20">
        <f>IF(AND(ISNUMBER(AC5),ISNUMBER(I5),I5&lt;&gt;0,AC5&gt;0),AC5/I5,"")</f>
        <v/>
      </c>
      <c r="AR5" s="17">
        <f>IF(AND(ISNUMBER(W5),ISNUMBER(Y5)),W5-IF(ISNUMBER(R5),R5,0)-(Y5-IF(ISNUMBER(T5),T5,0)),"")</f>
        <v/>
      </c>
      <c r="AS5" s="17">
        <f>IF(AND(ISNUMBER(X5),ISNUMBER(Z5)),X5-IF(ISNUMBER(S5),S5,0)-(Z5-IF(ISNUMBER(U5),U5,0)),"")</f>
        <v/>
      </c>
      <c r="AT5" s="17">
        <f>IF(AND(ISNUMBER(AR5),ISNUMBER(AS5)),AR5-AS5,"")</f>
        <v/>
      </c>
      <c r="AU5" s="17">
        <f>IF(E5="금융","",IF(AND(ISNUMBER(L5),ISNUMBER(M5),ISNUMBER(N5),ISNUMBER(AT5)),L5+M5-N5-AT5,IF(AND(ISNUMBER(O5),ISNUMBER(N5)),O5-N5,"")))</f>
        <v/>
      </c>
      <c r="AV5" s="8">
        <f>IF(E5="금융","금융업 - 정의되지 않음",IF(AND(ISNUMBER(L5),ISNUMBER(M5),ISNUMBER(N5),ISNUMBER(AT5)),"순이익+감가상각-설비투자-운전자본증감",IF(AND(ISNUMBER(O5),ISNUMBER(N5)),"영업현금흐름-설비투자","산출불가")))</f>
        <v/>
      </c>
      <c r="AW5" s="19">
        <f>IF(AND(ISNUMBER(AU5),ISNUMBER(G5),G5&lt;&gt;0),AU5/G5,"")</f>
        <v/>
      </c>
      <c r="AX5" s="19">
        <f>IF(AND(ISNUMBER(AC5),ISNUMBER(G5),G5&lt;&gt;0),AC5/G5,"")</f>
        <v/>
      </c>
    </row>
    <row r="6">
      <c r="A6" s="8" t="inlineStr">
        <is>
          <t>NVDA</t>
        </is>
      </c>
      <c r="B6" s="8" t="inlineStr">
        <is>
          <t>NVIDIA CORP</t>
        </is>
      </c>
      <c r="C6" s="8" t="n">
        <v>2015</v>
      </c>
      <c r="D6" s="8" t="inlineStr">
        <is>
          <t>2016-01-31</t>
        </is>
      </c>
      <c r="E6" s="8" t="inlineStr">
        <is>
          <t>일반</t>
        </is>
      </c>
      <c r="F6" s="8" t="inlineStr">
        <is>
          <t>0001045810-18-000010</t>
        </is>
      </c>
      <c r="G6" s="15" t="n">
        <v>5.01</v>
      </c>
      <c r="H6" s="15" t="n"/>
      <c r="I6" s="15" t="n"/>
      <c r="J6" s="15" t="n">
        <v>0.129</v>
      </c>
      <c r="K6" s="15" t="n">
        <v>0.747</v>
      </c>
      <c r="L6" s="15" t="n">
        <v>0.614</v>
      </c>
      <c r="M6" s="15" t="n">
        <v>0.124</v>
      </c>
      <c r="N6" s="15" t="n"/>
      <c r="O6" s="15" t="n">
        <v>1.175</v>
      </c>
      <c r="P6" s="15" t="n">
        <v>4.469</v>
      </c>
      <c r="Q6" s="15" t="n">
        <v>4.418</v>
      </c>
      <c r="R6" s="15" t="n">
        <v>5.037</v>
      </c>
      <c r="S6" s="15" t="n">
        <v>4.623</v>
      </c>
      <c r="T6" s="15" t="n"/>
      <c r="U6" s="15" t="n"/>
      <c r="V6" s="15" t="n">
        <v>0</v>
      </c>
      <c r="W6" s="15" t="n">
        <v>6.053</v>
      </c>
      <c r="X6" s="15" t="n">
        <v>5.713</v>
      </c>
      <c r="Y6" s="15" t="n">
        <v>2.351</v>
      </c>
      <c r="Z6" s="15" t="n">
        <v>0.896</v>
      </c>
      <c r="AA6" s="15" t="n">
        <v>1.179</v>
      </c>
      <c r="AB6" s="16" t="n">
        <v>21560</v>
      </c>
      <c r="AC6" s="17">
        <f>IF(AND(ISNUMBER(H6),ISNUMBER(I6)),H6+I6,IF(ISNUMBER(K6),K6,IF(ISNUMBER(H6),H6,"")))</f>
        <v/>
      </c>
      <c r="AD6" s="18">
        <f>IF(OR(NOT(ISNUMBER(J6)),NOT(ISNUMBER(H6)),H6&lt;=0),기준표!$B$8,MIN(MAX(J6/H6,기준표!$B$6),기준표!$B$7))</f>
        <v/>
      </c>
      <c r="AE6" s="17">
        <f>IF(ISNUMBER(AC6),AC6*(1-AD6),"")</f>
        <v/>
      </c>
      <c r="AF6" s="17">
        <f>IF(AND(NOT(ISNUMBER(T6)),NOT(ISNUMBER(V6))),"",IF(ISNUMBER(T6),T6,0)+IF(ISNUMBER(V6),V6,0))</f>
        <v/>
      </c>
      <c r="AG6" s="17">
        <f>IF(E6="금융","",IF(AND(ISNUMBER(P6),ISNUMBER(AF6),ISNUMBER(R6)),P6+AF6-R6,""))</f>
        <v/>
      </c>
      <c r="AH6" s="17">
        <f>IF(E6="금융","",IF(NOT(ISNUMBER(AG6)),"",IF(ISNUMBER(AA6),(AG6+AA6)/2,AG6)))</f>
        <v/>
      </c>
      <c r="AI6" s="19">
        <f>IF(AND(ISNUMBER(AE6),ISNUMBER(AH6),AH6&gt;0),AE6/AH6,"")</f>
        <v/>
      </c>
      <c r="AJ6" s="17">
        <f>IF(E6="금융","",IF(AND(ISNUMBER(P6),ISNUMBER(AF6)),P6+AF6,""))</f>
        <v/>
      </c>
      <c r="AK6" s="19">
        <f>IF(OR(NOT(ISNUMBER(AE6)),NOT(ISNUMBER(AJ6)),AJ6&lt;=0),"",IF(AND(ISNUMBER(G6),AJ6&lt;0.1*G6),"",AE6/AJ6))</f>
        <v/>
      </c>
      <c r="AL6" s="17">
        <f>IF(NOT(ISNUMBER(P6)),"",IF(ISNUMBER(Q6),(P6+Q6)/2,P6))</f>
        <v/>
      </c>
      <c r="AM6" s="19">
        <f>IF(AND(ISNUMBER(L6),ISNUMBER(AL6),AL6&gt;0),L6/AL6,"")</f>
        <v/>
      </c>
      <c r="AN6" s="19">
        <f>IF(AND(ISNUMBER(AM6),ISNUMBER({ROIC})),AM6-{ROIC},"")</f>
        <v/>
      </c>
      <c r="AO6" s="17">
        <f>IF(AND(ISNUMBER(AC6),ISNUMBER(M6)),AC6+M6,"")</f>
        <v/>
      </c>
      <c r="AP6" s="20">
        <f>IF(AND(ISNUMBER(AF6),ISNUMBER(R6),ISNUMBER(AO6),AO6&gt;0),(AF6-R6)/AO6,"")</f>
        <v/>
      </c>
      <c r="AQ6" s="20">
        <f>IF(AND(ISNUMBER(AC6),ISNUMBER(I6),I6&lt;&gt;0,AC6&gt;0),AC6/I6,"")</f>
        <v/>
      </c>
      <c r="AR6" s="17">
        <f>IF(AND(ISNUMBER(W6),ISNUMBER(Y6)),W6-IF(ISNUMBER(R6),R6,0)-(Y6-IF(ISNUMBER(T6),T6,0)),"")</f>
        <v/>
      </c>
      <c r="AS6" s="17">
        <f>IF(AND(ISNUMBER(X6),ISNUMBER(Z6)),X6-IF(ISNUMBER(S6),S6,0)-(Z6-IF(ISNUMBER(U6),U6,0)),"")</f>
        <v/>
      </c>
      <c r="AT6" s="17">
        <f>IF(AND(ISNUMBER(AR6),ISNUMBER(AS6)),AR6-AS6,"")</f>
        <v/>
      </c>
      <c r="AU6" s="17">
        <f>IF(E6="금융","",IF(AND(ISNUMBER(L6),ISNUMBER(M6),ISNUMBER(N6),ISNUMBER(AT6)),L6+M6-N6-AT6,IF(AND(ISNUMBER(O6),ISNUMBER(N6)),O6-N6,"")))</f>
        <v/>
      </c>
      <c r="AV6" s="8">
        <f>IF(E6="금융","금융업 - 정의되지 않음",IF(AND(ISNUMBER(L6),ISNUMBER(M6),ISNUMBER(N6),ISNUMBER(AT6)),"순이익+감가상각-설비투자-운전자본증감",IF(AND(ISNUMBER(O6),ISNUMBER(N6)),"영업현금흐름-설비투자","산출불가")))</f>
        <v/>
      </c>
      <c r="AW6" s="19">
        <f>IF(AND(ISNUMBER(AU6),ISNUMBER(G6),G6&lt;&gt;0),AU6/G6,"")</f>
        <v/>
      </c>
      <c r="AX6" s="19">
        <f>IF(AND(ISNUMBER(AC6),ISNUMBER(G6),G6&lt;&gt;0),AC6/G6,"")</f>
        <v/>
      </c>
    </row>
    <row r="7">
      <c r="A7" s="8" t="inlineStr">
        <is>
          <t>NVDA</t>
        </is>
      </c>
      <c r="B7" s="8" t="inlineStr">
        <is>
          <t>NVIDIA CORP</t>
        </is>
      </c>
      <c r="C7" s="8" t="n">
        <v>2016</v>
      </c>
      <c r="D7" s="8" t="inlineStr">
        <is>
          <t>2017-01-29</t>
        </is>
      </c>
      <c r="E7" s="8" t="inlineStr">
        <is>
          <t>일반</t>
        </is>
      </c>
      <c r="F7" s="8" t="inlineStr">
        <is>
          <t>0001045810-19-000023</t>
        </is>
      </c>
      <c r="G7" s="15" t="n">
        <v>6.91</v>
      </c>
      <c r="H7" s="15" t="n"/>
      <c r="I7" s="15" t="n"/>
      <c r="J7" s="15" t="n">
        <v>0.239</v>
      </c>
      <c r="K7" s="15" t="n">
        <v>1.934</v>
      </c>
      <c r="L7" s="15" t="n">
        <v>1.666</v>
      </c>
      <c r="M7" s="15" t="n">
        <v>0.118</v>
      </c>
      <c r="N7" s="15" t="n"/>
      <c r="O7" s="15" t="n">
        <v>1.672</v>
      </c>
      <c r="P7" s="15" t="n">
        <v>5.762</v>
      </c>
      <c r="Q7" s="15" t="n">
        <v>4.469</v>
      </c>
      <c r="R7" s="15" t="n">
        <v>6.798</v>
      </c>
      <c r="S7" s="15" t="n">
        <v>5.037</v>
      </c>
      <c r="T7" s="15" t="n"/>
      <c r="U7" s="15" t="n"/>
      <c r="V7" s="15" t="n">
        <v>1.983</v>
      </c>
      <c r="W7" s="15" t="n">
        <v>8.536</v>
      </c>
      <c r="X7" s="15" t="n">
        <v>6.053</v>
      </c>
      <c r="Y7" s="15" t="n">
        <v>1.788</v>
      </c>
      <c r="Z7" s="15" t="n">
        <v>2.351</v>
      </c>
      <c r="AA7" s="15" t="n">
        <v>-0.5679999999999999</v>
      </c>
      <c r="AB7" s="16" t="n">
        <v>23400</v>
      </c>
      <c r="AC7" s="17">
        <f>IF(AND(ISNUMBER(H7),ISNUMBER(I7)),H7+I7,IF(ISNUMBER(K7),K7,IF(ISNUMBER(H7),H7,"")))</f>
        <v/>
      </c>
      <c r="AD7" s="18">
        <f>IF(OR(NOT(ISNUMBER(J7)),NOT(ISNUMBER(H7)),H7&lt;=0),기준표!$B$8,MIN(MAX(J7/H7,기준표!$B$6),기준표!$B$7))</f>
        <v/>
      </c>
      <c r="AE7" s="17">
        <f>IF(ISNUMBER(AC7),AC7*(1-AD7),"")</f>
        <v/>
      </c>
      <c r="AF7" s="17">
        <f>IF(AND(NOT(ISNUMBER(T7)),NOT(ISNUMBER(V7))),"",IF(ISNUMBER(T7),T7,0)+IF(ISNUMBER(V7),V7,0))</f>
        <v/>
      </c>
      <c r="AG7" s="17">
        <f>IF(E7="금융","",IF(AND(ISNUMBER(P7),ISNUMBER(AF7),ISNUMBER(R7)),P7+AF7-R7,""))</f>
        <v/>
      </c>
      <c r="AH7" s="17">
        <f>IF(E7="금융","",IF(NOT(ISNUMBER(AG7)),"",IF(ISNUMBER(AA7),(AG7+AA7)/2,AG7)))</f>
        <v/>
      </c>
      <c r="AI7" s="19">
        <f>IF(AND(ISNUMBER(AE7),ISNUMBER(AH7),AH7&gt;0),AE7/AH7,"")</f>
        <v/>
      </c>
      <c r="AJ7" s="17">
        <f>IF(E7="금융","",IF(AND(ISNUMBER(P7),ISNUMBER(AF7)),P7+AF7,""))</f>
        <v/>
      </c>
      <c r="AK7" s="19">
        <f>IF(OR(NOT(ISNUMBER(AE7)),NOT(ISNUMBER(AJ7)),AJ7&lt;=0),"",IF(AND(ISNUMBER(G7),AJ7&lt;0.1*G7),"",AE7/AJ7))</f>
        <v/>
      </c>
      <c r="AL7" s="17">
        <f>IF(NOT(ISNUMBER(P7)),"",IF(ISNUMBER(Q7),(P7+Q7)/2,P7))</f>
        <v/>
      </c>
      <c r="AM7" s="19">
        <f>IF(AND(ISNUMBER(L7),ISNUMBER(AL7),AL7&gt;0),L7/AL7,"")</f>
        <v/>
      </c>
      <c r="AN7" s="19">
        <f>IF(AND(ISNUMBER(AM7),ISNUMBER({ROIC})),AM7-{ROIC},"")</f>
        <v/>
      </c>
      <c r="AO7" s="17">
        <f>IF(AND(ISNUMBER(AC7),ISNUMBER(M7)),AC7+M7,"")</f>
        <v/>
      </c>
      <c r="AP7" s="20">
        <f>IF(AND(ISNUMBER(AF7),ISNUMBER(R7),ISNUMBER(AO7),AO7&gt;0),(AF7-R7)/AO7,"")</f>
        <v/>
      </c>
      <c r="AQ7" s="20">
        <f>IF(AND(ISNUMBER(AC7),ISNUMBER(I7),I7&lt;&gt;0,AC7&gt;0),AC7/I7,"")</f>
        <v/>
      </c>
      <c r="AR7" s="17">
        <f>IF(AND(ISNUMBER(W7),ISNUMBER(Y7)),W7-IF(ISNUMBER(R7),R7,0)-(Y7-IF(ISNUMBER(T7),T7,0)),"")</f>
        <v/>
      </c>
      <c r="AS7" s="17">
        <f>IF(AND(ISNUMBER(X7),ISNUMBER(Z7)),X7-IF(ISNUMBER(S7),S7,0)-(Z7-IF(ISNUMBER(U7),U7,0)),"")</f>
        <v/>
      </c>
      <c r="AT7" s="17">
        <f>IF(AND(ISNUMBER(AR7),ISNUMBER(AS7)),AR7-AS7,"")</f>
        <v/>
      </c>
      <c r="AU7" s="17">
        <f>IF(E7="금융","",IF(AND(ISNUMBER(L7),ISNUMBER(M7),ISNUMBER(N7),ISNUMBER(AT7)),L7+M7-N7-AT7,IF(AND(ISNUMBER(O7),ISNUMBER(N7)),O7-N7,"")))</f>
        <v/>
      </c>
      <c r="AV7" s="8">
        <f>IF(E7="금융","금융업 - 정의되지 않음",IF(AND(ISNUMBER(L7),ISNUMBER(M7),ISNUMBER(N7),ISNUMBER(AT7)),"순이익+감가상각-설비투자-운전자본증감",IF(AND(ISNUMBER(O7),ISNUMBER(N7)),"영업현금흐름-설비투자","산출불가")))</f>
        <v/>
      </c>
      <c r="AW7" s="19">
        <f>IF(AND(ISNUMBER(AU7),ISNUMBER(G7),G7&lt;&gt;0),AU7/G7,"")</f>
        <v/>
      </c>
      <c r="AX7" s="19">
        <f>IF(AND(ISNUMBER(AC7),ISNUMBER(G7),G7&lt;&gt;0),AC7/G7,"")</f>
        <v/>
      </c>
    </row>
    <row r="8">
      <c r="A8" s="8" t="inlineStr">
        <is>
          <t>NVDA</t>
        </is>
      </c>
      <c r="B8" s="8" t="inlineStr">
        <is>
          <t>NVIDIA CORP</t>
        </is>
      </c>
      <c r="C8" s="8" t="n">
        <v>2017</v>
      </c>
      <c r="D8" s="8" t="inlineStr">
        <is>
          <t>2018-01-28</t>
        </is>
      </c>
      <c r="E8" s="8" t="inlineStr">
        <is>
          <t>일반</t>
        </is>
      </c>
      <c r="F8" s="8" t="inlineStr">
        <is>
          <t>0001045810-20-000010</t>
        </is>
      </c>
      <c r="G8" s="15" t="n">
        <v>9.714</v>
      </c>
      <c r="H8" s="15" t="n"/>
      <c r="I8" s="15" t="n"/>
      <c r="J8" s="15" t="n">
        <v>0.149</v>
      </c>
      <c r="K8" s="15" t="n">
        <v>3.21</v>
      </c>
      <c r="L8" s="15" t="n">
        <v>3.047</v>
      </c>
      <c r="M8" s="15" t="n">
        <v>0.144</v>
      </c>
      <c r="N8" s="15" t="n"/>
      <c r="O8" s="15" t="n">
        <v>3.502</v>
      </c>
      <c r="P8" s="15" t="n">
        <v>7.471</v>
      </c>
      <c r="Q8" s="15" t="n">
        <v>5.762</v>
      </c>
      <c r="R8" s="15" t="n">
        <v>7.108</v>
      </c>
      <c r="S8" s="15" t="n">
        <v>6.798</v>
      </c>
      <c r="T8" s="15" t="n"/>
      <c r="U8" s="15" t="n"/>
      <c r="V8" s="15" t="n">
        <v>1.985</v>
      </c>
      <c r="W8" s="15" t="n">
        <v>9.255000000000001</v>
      </c>
      <c r="X8" s="15" t="n">
        <v>8.536</v>
      </c>
      <c r="Y8" s="15" t="n">
        <v>1.153</v>
      </c>
      <c r="Z8" s="15" t="n">
        <v>1.788</v>
      </c>
      <c r="AA8" s="15" t="n">
        <v>0.947</v>
      </c>
      <c r="AB8" s="16" t="n">
        <v>24240</v>
      </c>
      <c r="AC8" s="17">
        <f>IF(AND(ISNUMBER(H8),ISNUMBER(I8)),H8+I8,IF(ISNUMBER(K8),K8,IF(ISNUMBER(H8),H8,"")))</f>
        <v/>
      </c>
      <c r="AD8" s="18">
        <f>IF(OR(NOT(ISNUMBER(J8)),NOT(ISNUMBER(H8)),H8&lt;=0),기준표!$B$8,MIN(MAX(J8/H8,기준표!$B$6),기준표!$B$7))</f>
        <v/>
      </c>
      <c r="AE8" s="17">
        <f>IF(ISNUMBER(AC8),AC8*(1-AD8),"")</f>
        <v/>
      </c>
      <c r="AF8" s="17">
        <f>IF(AND(NOT(ISNUMBER(T8)),NOT(ISNUMBER(V8))),"",IF(ISNUMBER(T8),T8,0)+IF(ISNUMBER(V8),V8,0))</f>
        <v/>
      </c>
      <c r="AG8" s="17">
        <f>IF(E8="금융","",IF(AND(ISNUMBER(P8),ISNUMBER(AF8),ISNUMBER(R8)),P8+AF8-R8,""))</f>
        <v/>
      </c>
      <c r="AH8" s="17">
        <f>IF(E8="금융","",IF(NOT(ISNUMBER(AG8)),"",IF(ISNUMBER(AA8),(AG8+AA8)/2,AG8)))</f>
        <v/>
      </c>
      <c r="AI8" s="19">
        <f>IF(AND(ISNUMBER(AE8),ISNUMBER(AH8),AH8&gt;0),AE8/AH8,"")</f>
        <v/>
      </c>
      <c r="AJ8" s="17">
        <f>IF(E8="금융","",IF(AND(ISNUMBER(P8),ISNUMBER(AF8)),P8+AF8,""))</f>
        <v/>
      </c>
      <c r="AK8" s="19">
        <f>IF(OR(NOT(ISNUMBER(AE8)),NOT(ISNUMBER(AJ8)),AJ8&lt;=0),"",IF(AND(ISNUMBER(G8),AJ8&lt;0.1*G8),"",AE8/AJ8))</f>
        <v/>
      </c>
      <c r="AL8" s="17">
        <f>IF(NOT(ISNUMBER(P8)),"",IF(ISNUMBER(Q8),(P8+Q8)/2,P8))</f>
        <v/>
      </c>
      <c r="AM8" s="19">
        <f>IF(AND(ISNUMBER(L8),ISNUMBER(AL8),AL8&gt;0),L8/AL8,"")</f>
        <v/>
      </c>
      <c r="AN8" s="19">
        <f>IF(AND(ISNUMBER(AM8),ISNUMBER({ROIC})),AM8-{ROIC},"")</f>
        <v/>
      </c>
      <c r="AO8" s="17">
        <f>IF(AND(ISNUMBER(AC8),ISNUMBER(M8)),AC8+M8,"")</f>
        <v/>
      </c>
      <c r="AP8" s="20">
        <f>IF(AND(ISNUMBER(AF8),ISNUMBER(R8),ISNUMBER(AO8),AO8&gt;0),(AF8-R8)/AO8,"")</f>
        <v/>
      </c>
      <c r="AQ8" s="20">
        <f>IF(AND(ISNUMBER(AC8),ISNUMBER(I8),I8&lt;&gt;0,AC8&gt;0),AC8/I8,"")</f>
        <v/>
      </c>
      <c r="AR8" s="17">
        <f>IF(AND(ISNUMBER(W8),ISNUMBER(Y8)),W8-IF(ISNUMBER(R8),R8,0)-(Y8-IF(ISNUMBER(T8),T8,0)),"")</f>
        <v/>
      </c>
      <c r="AS8" s="17">
        <f>IF(AND(ISNUMBER(X8),ISNUMBER(Z8)),X8-IF(ISNUMBER(S8),S8,0)-(Z8-IF(ISNUMBER(U8),U8,0)),"")</f>
        <v/>
      </c>
      <c r="AT8" s="17">
        <f>IF(AND(ISNUMBER(AR8),ISNUMBER(AS8)),AR8-AS8,"")</f>
        <v/>
      </c>
      <c r="AU8" s="17">
        <f>IF(E8="금융","",IF(AND(ISNUMBER(L8),ISNUMBER(M8),ISNUMBER(N8),ISNUMBER(AT8)),L8+M8-N8-AT8,IF(AND(ISNUMBER(O8),ISNUMBER(N8)),O8-N8,"")))</f>
        <v/>
      </c>
      <c r="AV8" s="8">
        <f>IF(E8="금융","금융업 - 정의되지 않음",IF(AND(ISNUMBER(L8),ISNUMBER(M8),ISNUMBER(N8),ISNUMBER(AT8)),"순이익+감가상각-설비투자-운전자본증감",IF(AND(ISNUMBER(O8),ISNUMBER(N8)),"영업현금흐름-설비투자","산출불가")))</f>
        <v/>
      </c>
      <c r="AW8" s="19">
        <f>IF(AND(ISNUMBER(AU8),ISNUMBER(G8),G8&lt;&gt;0),AU8/G8,"")</f>
        <v/>
      </c>
      <c r="AX8" s="19">
        <f>IF(AND(ISNUMBER(AC8),ISNUMBER(G8),G8&lt;&gt;0),AC8/G8,"")</f>
        <v/>
      </c>
    </row>
    <row r="9">
      <c r="A9" s="8" t="inlineStr">
        <is>
          <t>NVDA</t>
        </is>
      </c>
      <c r="B9" s="8" t="inlineStr">
        <is>
          <t>NVIDIA CORP</t>
        </is>
      </c>
      <c r="C9" s="8" t="n">
        <v>2018</v>
      </c>
      <c r="D9" s="8" t="inlineStr">
        <is>
          <t>2019-01-27</t>
        </is>
      </c>
      <c r="E9" s="8" t="inlineStr">
        <is>
          <t>일반</t>
        </is>
      </c>
      <c r="F9" s="8" t="inlineStr">
        <is>
          <t>0001045810-21-000010</t>
        </is>
      </c>
      <c r="G9" s="15" t="n">
        <v>11.716</v>
      </c>
      <c r="H9" s="15" t="n"/>
      <c r="I9" s="15" t="n"/>
      <c r="J9" s="15" t="n">
        <v>-0.245</v>
      </c>
      <c r="K9" s="15" t="n">
        <v>3.804</v>
      </c>
      <c r="L9" s="15" t="n">
        <v>4.141</v>
      </c>
      <c r="M9" s="15" t="n">
        <v>0.233</v>
      </c>
      <c r="N9" s="15" t="n"/>
      <c r="O9" s="15" t="n">
        <v>3.743</v>
      </c>
      <c r="P9" s="15" t="n">
        <v>9.342000000000001</v>
      </c>
      <c r="Q9" s="15" t="n">
        <v>7.471</v>
      </c>
      <c r="R9" s="15" t="n">
        <v>7.422</v>
      </c>
      <c r="S9" s="15" t="n">
        <v>7.108</v>
      </c>
      <c r="T9" s="15" t="n"/>
      <c r="U9" s="15" t="n"/>
      <c r="V9" s="15" t="n">
        <v>1.988</v>
      </c>
      <c r="W9" s="15" t="n">
        <v>10.557</v>
      </c>
      <c r="X9" s="15" t="n">
        <v>9.255000000000001</v>
      </c>
      <c r="Y9" s="15" t="n">
        <v>1.329</v>
      </c>
      <c r="Z9" s="15" t="n">
        <v>1.153</v>
      </c>
      <c r="AA9" s="15" t="n">
        <v>2.348</v>
      </c>
      <c r="AB9" s="16" t="n">
        <v>24240</v>
      </c>
      <c r="AC9" s="17">
        <f>IF(AND(ISNUMBER(H9),ISNUMBER(I9)),H9+I9,IF(ISNUMBER(K9),K9,IF(ISNUMBER(H9),H9,"")))</f>
        <v/>
      </c>
      <c r="AD9" s="18">
        <f>IF(OR(NOT(ISNUMBER(J9)),NOT(ISNUMBER(H9)),H9&lt;=0),기준표!$B$8,MIN(MAX(J9/H9,기준표!$B$6),기준표!$B$7))</f>
        <v/>
      </c>
      <c r="AE9" s="17">
        <f>IF(ISNUMBER(AC9),AC9*(1-AD9),"")</f>
        <v/>
      </c>
      <c r="AF9" s="17">
        <f>IF(AND(NOT(ISNUMBER(T9)),NOT(ISNUMBER(V9))),"",IF(ISNUMBER(T9),T9,0)+IF(ISNUMBER(V9),V9,0))</f>
        <v/>
      </c>
      <c r="AG9" s="17">
        <f>IF(E9="금융","",IF(AND(ISNUMBER(P9),ISNUMBER(AF9),ISNUMBER(R9)),P9+AF9-R9,""))</f>
        <v/>
      </c>
      <c r="AH9" s="17">
        <f>IF(E9="금융","",IF(NOT(ISNUMBER(AG9)),"",IF(ISNUMBER(AA9),(AG9+AA9)/2,AG9)))</f>
        <v/>
      </c>
      <c r="AI9" s="19">
        <f>IF(AND(ISNUMBER(AE9),ISNUMBER(AH9),AH9&gt;0),AE9/AH9,"")</f>
        <v/>
      </c>
      <c r="AJ9" s="17">
        <f>IF(E9="금융","",IF(AND(ISNUMBER(P9),ISNUMBER(AF9)),P9+AF9,""))</f>
        <v/>
      </c>
      <c r="AK9" s="19">
        <f>IF(OR(NOT(ISNUMBER(AE9)),NOT(ISNUMBER(AJ9)),AJ9&lt;=0),"",IF(AND(ISNUMBER(G9),AJ9&lt;0.1*G9),"",AE9/AJ9))</f>
        <v/>
      </c>
      <c r="AL9" s="17">
        <f>IF(NOT(ISNUMBER(P9)),"",IF(ISNUMBER(Q9),(P9+Q9)/2,P9))</f>
        <v/>
      </c>
      <c r="AM9" s="19">
        <f>IF(AND(ISNUMBER(L9),ISNUMBER(AL9),AL9&gt;0),L9/AL9,"")</f>
        <v/>
      </c>
      <c r="AN9" s="19">
        <f>IF(AND(ISNUMBER(AM9),ISNUMBER({ROIC})),AM9-{ROIC},"")</f>
        <v/>
      </c>
      <c r="AO9" s="17">
        <f>IF(AND(ISNUMBER(AC9),ISNUMBER(M9)),AC9+M9,"")</f>
        <v/>
      </c>
      <c r="AP9" s="20">
        <f>IF(AND(ISNUMBER(AF9),ISNUMBER(R9),ISNUMBER(AO9),AO9&gt;0),(AF9-R9)/AO9,"")</f>
        <v/>
      </c>
      <c r="AQ9" s="20">
        <f>IF(AND(ISNUMBER(AC9),ISNUMBER(I9),I9&lt;&gt;0,AC9&gt;0),AC9/I9,"")</f>
        <v/>
      </c>
      <c r="AR9" s="17">
        <f>IF(AND(ISNUMBER(W9),ISNUMBER(Y9)),W9-IF(ISNUMBER(R9),R9,0)-(Y9-IF(ISNUMBER(T9),T9,0)),"")</f>
        <v/>
      </c>
      <c r="AS9" s="17">
        <f>IF(AND(ISNUMBER(X9),ISNUMBER(Z9)),X9-IF(ISNUMBER(S9),S9,0)-(Z9-IF(ISNUMBER(U9),U9,0)),"")</f>
        <v/>
      </c>
      <c r="AT9" s="17">
        <f>IF(AND(ISNUMBER(AR9),ISNUMBER(AS9)),AR9-AS9,"")</f>
        <v/>
      </c>
      <c r="AU9" s="17">
        <f>IF(E9="금융","",IF(AND(ISNUMBER(L9),ISNUMBER(M9),ISNUMBER(N9),ISNUMBER(AT9)),L9+M9-N9-AT9,IF(AND(ISNUMBER(O9),ISNUMBER(N9)),O9-N9,"")))</f>
        <v/>
      </c>
      <c r="AV9" s="8">
        <f>IF(E9="금융","금융업 - 정의되지 않음",IF(AND(ISNUMBER(L9),ISNUMBER(M9),ISNUMBER(N9),ISNUMBER(AT9)),"순이익+감가상각-설비투자-운전자본증감",IF(AND(ISNUMBER(O9),ISNUMBER(N9)),"영업현금흐름-설비투자","산출불가")))</f>
        <v/>
      </c>
      <c r="AW9" s="19">
        <f>IF(AND(ISNUMBER(AU9),ISNUMBER(G9),G9&lt;&gt;0),AU9/G9,"")</f>
        <v/>
      </c>
      <c r="AX9" s="19">
        <f>IF(AND(ISNUMBER(AC9),ISNUMBER(G9),G9&lt;&gt;0),AC9/G9,"")</f>
        <v/>
      </c>
    </row>
    <row r="10">
      <c r="A10" s="8" t="inlineStr">
        <is>
          <t>NVDA</t>
        </is>
      </c>
      <c r="B10" s="8" t="inlineStr">
        <is>
          <t>NVIDIA CORP</t>
        </is>
      </c>
      <c r="C10" s="8" t="n">
        <v>2019</v>
      </c>
      <c r="D10" s="8" t="inlineStr">
        <is>
          <t>2020-01-26</t>
        </is>
      </c>
      <c r="E10" s="8" t="inlineStr">
        <is>
          <t>일반</t>
        </is>
      </c>
      <c r="F10" s="8" t="inlineStr">
        <is>
          <t>0001045810-22-000036</t>
        </is>
      </c>
      <c r="G10" s="15" t="n">
        <v>10.918</v>
      </c>
      <c r="H10" s="15" t="n">
        <v>2.97</v>
      </c>
      <c r="I10" s="15" t="n"/>
      <c r="J10" s="15" t="n">
        <v>0.174</v>
      </c>
      <c r="K10" s="15" t="n">
        <v>2.846</v>
      </c>
      <c r="L10" s="15" t="n">
        <v>2.796</v>
      </c>
      <c r="M10" s="15" t="n">
        <v>0.355</v>
      </c>
      <c r="N10" s="15" t="n"/>
      <c r="O10" s="15" t="n">
        <v>4.761</v>
      </c>
      <c r="P10" s="15" t="n">
        <v>12.204</v>
      </c>
      <c r="Q10" s="15" t="n">
        <v>9.342000000000001</v>
      </c>
      <c r="R10" s="15" t="n">
        <v>10.897</v>
      </c>
      <c r="S10" s="15" t="n">
        <v>7.422</v>
      </c>
      <c r="T10" s="15" t="n">
        <v>0</v>
      </c>
      <c r="U10" s="15" t="n"/>
      <c r="V10" s="15" t="n">
        <v>1.991</v>
      </c>
      <c r="W10" s="15" t="n">
        <v>13.69</v>
      </c>
      <c r="X10" s="15" t="n">
        <v>10.557</v>
      </c>
      <c r="Y10" s="15" t="n">
        <v>1.784</v>
      </c>
      <c r="Z10" s="15" t="n">
        <v>1.329</v>
      </c>
      <c r="AA10" s="15" t="n">
        <v>3.908</v>
      </c>
      <c r="AB10" s="16" t="n">
        <v>24480</v>
      </c>
      <c r="AC10" s="17">
        <f>IF(AND(ISNUMBER(H10),ISNUMBER(I10)),H10+I10,IF(ISNUMBER(K10),K10,IF(ISNUMBER(H10),H10,"")))</f>
        <v/>
      </c>
      <c r="AD10" s="18">
        <f>IF(OR(NOT(ISNUMBER(J10)),NOT(ISNUMBER(H10)),H10&lt;=0),기준표!$B$8,MIN(MAX(J10/H10,기준표!$B$6),기준표!$B$7))</f>
        <v/>
      </c>
      <c r="AE10" s="17">
        <f>IF(ISNUMBER(AC10),AC10*(1-AD10),"")</f>
        <v/>
      </c>
      <c r="AF10" s="17">
        <f>IF(AND(NOT(ISNUMBER(T10)),NOT(ISNUMBER(V10))),"",IF(ISNUMBER(T10),T10,0)+IF(ISNUMBER(V10),V10,0))</f>
        <v/>
      </c>
      <c r="AG10" s="17">
        <f>IF(E10="금융","",IF(AND(ISNUMBER(P10),ISNUMBER(AF10),ISNUMBER(R10)),P10+AF10-R10,""))</f>
        <v/>
      </c>
      <c r="AH10" s="17">
        <f>IF(E10="금융","",IF(NOT(ISNUMBER(AG10)),"",IF(ISNUMBER(AA10),(AG10+AA10)/2,AG10)))</f>
        <v/>
      </c>
      <c r="AI10" s="19">
        <f>IF(AND(ISNUMBER(AE10),ISNUMBER(AH10),AH10&gt;0),AE10/AH10,"")</f>
        <v/>
      </c>
      <c r="AJ10" s="17">
        <f>IF(E10="금융","",IF(AND(ISNUMBER(P10),ISNUMBER(AF10)),P10+AF10,""))</f>
        <v/>
      </c>
      <c r="AK10" s="19">
        <f>IF(OR(NOT(ISNUMBER(AE10)),NOT(ISNUMBER(AJ10)),AJ10&lt;=0),"",IF(AND(ISNUMBER(G10),AJ10&lt;0.1*G10),"",AE10/AJ10))</f>
        <v/>
      </c>
      <c r="AL10" s="17">
        <f>IF(NOT(ISNUMBER(P10)),"",IF(ISNUMBER(Q10),(P10+Q10)/2,P10))</f>
        <v/>
      </c>
      <c r="AM10" s="19">
        <f>IF(AND(ISNUMBER(L10),ISNUMBER(AL10),AL10&gt;0),L10/AL10,"")</f>
        <v/>
      </c>
      <c r="AN10" s="19">
        <f>IF(AND(ISNUMBER(AM10),ISNUMBER({ROIC})),AM10-{ROIC},"")</f>
        <v/>
      </c>
      <c r="AO10" s="17">
        <f>IF(AND(ISNUMBER(AC10),ISNUMBER(M10)),AC10+M10,"")</f>
        <v/>
      </c>
      <c r="AP10" s="20">
        <f>IF(AND(ISNUMBER(AF10),ISNUMBER(R10),ISNUMBER(AO10),AO10&gt;0),(AF10-R10)/AO10,"")</f>
        <v/>
      </c>
      <c r="AQ10" s="20">
        <f>IF(AND(ISNUMBER(AC10),ISNUMBER(I10),I10&lt;&gt;0,AC10&gt;0),AC10/I10,"")</f>
        <v/>
      </c>
      <c r="AR10" s="17">
        <f>IF(AND(ISNUMBER(W10),ISNUMBER(Y10)),W10-IF(ISNUMBER(R10),R10,0)-(Y10-IF(ISNUMBER(T10),T10,0)),"")</f>
        <v/>
      </c>
      <c r="AS10" s="17">
        <f>IF(AND(ISNUMBER(X10),ISNUMBER(Z10)),X10-IF(ISNUMBER(S10),S10,0)-(Z10-IF(ISNUMBER(U10),U10,0)),"")</f>
        <v/>
      </c>
      <c r="AT10" s="17">
        <f>IF(AND(ISNUMBER(AR10),ISNUMBER(AS10)),AR10-AS10,"")</f>
        <v/>
      </c>
      <c r="AU10" s="17">
        <f>IF(E10="금융","",IF(AND(ISNUMBER(L10),ISNUMBER(M10),ISNUMBER(N10),ISNUMBER(AT10)),L10+M10-N10-AT10,IF(AND(ISNUMBER(O10),ISNUMBER(N10)),O10-N10,"")))</f>
        <v/>
      </c>
      <c r="AV10" s="8">
        <f>IF(E10="금융","금융업 - 정의되지 않음",IF(AND(ISNUMBER(L10),ISNUMBER(M10),ISNUMBER(N10),ISNUMBER(AT10)),"순이익+감가상각-설비투자-운전자본증감",IF(AND(ISNUMBER(O10),ISNUMBER(N10)),"영업현금흐름-설비투자","산출불가")))</f>
        <v/>
      </c>
      <c r="AW10" s="19">
        <f>IF(AND(ISNUMBER(AU10),ISNUMBER(G10),G10&lt;&gt;0),AU10/G10,"")</f>
        <v/>
      </c>
      <c r="AX10" s="19">
        <f>IF(AND(ISNUMBER(AC10),ISNUMBER(G10),G10&lt;&gt;0),AC10/G10,"")</f>
        <v/>
      </c>
    </row>
    <row r="11">
      <c r="A11" s="8" t="inlineStr">
        <is>
          <t>NVDA</t>
        </is>
      </c>
      <c r="B11" s="8" t="inlineStr">
        <is>
          <t>NVIDIA CORP</t>
        </is>
      </c>
      <c r="C11" s="8" t="n">
        <v>2020</v>
      </c>
      <c r="D11" s="8" t="inlineStr">
        <is>
          <t>2021-01-31</t>
        </is>
      </c>
      <c r="E11" s="8" t="inlineStr">
        <is>
          <t>일반</t>
        </is>
      </c>
      <c r="F11" s="8" t="inlineStr">
        <is>
          <t>0001045810-23-000017</t>
        </is>
      </c>
      <c r="G11" s="15" t="n">
        <v>16.675</v>
      </c>
      <c r="H11" s="15" t="n">
        <v>4.409</v>
      </c>
      <c r="I11" s="15" t="n"/>
      <c r="J11" s="15" t="n">
        <v>0.077</v>
      </c>
      <c r="K11" s="15" t="n">
        <v>4.532</v>
      </c>
      <c r="L11" s="15" t="n">
        <v>4.332</v>
      </c>
      <c r="M11" s="15" t="n">
        <v>0.486</v>
      </c>
      <c r="N11" s="15" t="n"/>
      <c r="O11" s="15" t="n">
        <v>5.822</v>
      </c>
      <c r="P11" s="15" t="n">
        <v>16.893</v>
      </c>
      <c r="Q11" s="15" t="n">
        <v>12.204</v>
      </c>
      <c r="R11" s="15" t="n">
        <v>11.561</v>
      </c>
      <c r="S11" s="15" t="n">
        <v>10.897</v>
      </c>
      <c r="T11" s="15" t="n">
        <v>0.999</v>
      </c>
      <c r="U11" s="15" t="n">
        <v>0</v>
      </c>
      <c r="V11" s="15" t="n">
        <v>6.963</v>
      </c>
      <c r="W11" s="15" t="n">
        <v>16.055</v>
      </c>
      <c r="X11" s="15" t="n">
        <v>13.69</v>
      </c>
      <c r="Y11" s="15" t="n">
        <v>3.925</v>
      </c>
      <c r="Z11" s="15" t="n">
        <v>1.784</v>
      </c>
      <c r="AA11" s="15" t="n">
        <v>3.298</v>
      </c>
      <c r="AB11" s="16" t="n">
        <v>24790</v>
      </c>
      <c r="AC11" s="17">
        <f>IF(AND(ISNUMBER(H11),ISNUMBER(I11)),H11+I11,IF(ISNUMBER(K11),K11,IF(ISNUMBER(H11),H11,"")))</f>
        <v/>
      </c>
      <c r="AD11" s="18">
        <f>IF(OR(NOT(ISNUMBER(J11)),NOT(ISNUMBER(H11)),H11&lt;=0),기준표!$B$8,MIN(MAX(J11/H11,기준표!$B$6),기준표!$B$7))</f>
        <v/>
      </c>
      <c r="AE11" s="17">
        <f>IF(ISNUMBER(AC11),AC11*(1-AD11),"")</f>
        <v/>
      </c>
      <c r="AF11" s="17">
        <f>IF(AND(NOT(ISNUMBER(T11)),NOT(ISNUMBER(V11))),"",IF(ISNUMBER(T11),T11,0)+IF(ISNUMBER(V11),V11,0))</f>
        <v/>
      </c>
      <c r="AG11" s="17">
        <f>IF(E11="금융","",IF(AND(ISNUMBER(P11),ISNUMBER(AF11),ISNUMBER(R11)),P11+AF11-R11,""))</f>
        <v/>
      </c>
      <c r="AH11" s="17">
        <f>IF(E11="금융","",IF(NOT(ISNUMBER(AG11)),"",IF(ISNUMBER(AA11),(AG11+AA11)/2,AG11)))</f>
        <v/>
      </c>
      <c r="AI11" s="19">
        <f>IF(AND(ISNUMBER(AE11),ISNUMBER(AH11),AH11&gt;0),AE11/AH11,"")</f>
        <v/>
      </c>
      <c r="AJ11" s="17">
        <f>IF(E11="금융","",IF(AND(ISNUMBER(P11),ISNUMBER(AF11)),P11+AF11,""))</f>
        <v/>
      </c>
      <c r="AK11" s="19">
        <f>IF(OR(NOT(ISNUMBER(AE11)),NOT(ISNUMBER(AJ11)),AJ11&lt;=0),"",IF(AND(ISNUMBER(G11),AJ11&lt;0.1*G11),"",AE11/AJ11))</f>
        <v/>
      </c>
      <c r="AL11" s="17">
        <f>IF(NOT(ISNUMBER(P11)),"",IF(ISNUMBER(Q11),(P11+Q11)/2,P11))</f>
        <v/>
      </c>
      <c r="AM11" s="19">
        <f>IF(AND(ISNUMBER(L11),ISNUMBER(AL11),AL11&gt;0),L11/AL11,"")</f>
        <v/>
      </c>
      <c r="AN11" s="19">
        <f>IF(AND(ISNUMBER(AM11),ISNUMBER({ROIC})),AM11-{ROIC},"")</f>
        <v/>
      </c>
      <c r="AO11" s="17">
        <f>IF(AND(ISNUMBER(AC11),ISNUMBER(M11)),AC11+M11,"")</f>
        <v/>
      </c>
      <c r="AP11" s="20">
        <f>IF(AND(ISNUMBER(AF11),ISNUMBER(R11),ISNUMBER(AO11),AO11&gt;0),(AF11-R11)/AO11,"")</f>
        <v/>
      </c>
      <c r="AQ11" s="20">
        <f>IF(AND(ISNUMBER(AC11),ISNUMBER(I11),I11&lt;&gt;0,AC11&gt;0),AC11/I11,"")</f>
        <v/>
      </c>
      <c r="AR11" s="17">
        <f>IF(AND(ISNUMBER(W11),ISNUMBER(Y11)),W11-IF(ISNUMBER(R11),R11,0)-(Y11-IF(ISNUMBER(T11),T11,0)),"")</f>
        <v/>
      </c>
      <c r="AS11" s="17">
        <f>IF(AND(ISNUMBER(X11),ISNUMBER(Z11)),X11-IF(ISNUMBER(S11),S11,0)-(Z11-IF(ISNUMBER(U11),U11,0)),"")</f>
        <v/>
      </c>
      <c r="AT11" s="17">
        <f>IF(AND(ISNUMBER(AR11),ISNUMBER(AS11)),AR11-AS11,"")</f>
        <v/>
      </c>
      <c r="AU11" s="17">
        <f>IF(E11="금융","",IF(AND(ISNUMBER(L11),ISNUMBER(M11),ISNUMBER(N11),ISNUMBER(AT11)),L11+M11-N11-AT11,IF(AND(ISNUMBER(O11),ISNUMBER(N11)),O11-N11,"")))</f>
        <v/>
      </c>
      <c r="AV11" s="8">
        <f>IF(E11="금융","금융업 - 정의되지 않음",IF(AND(ISNUMBER(L11),ISNUMBER(M11),ISNUMBER(N11),ISNUMBER(AT11)),"순이익+감가상각-설비투자-운전자본증감",IF(AND(ISNUMBER(O11),ISNUMBER(N11)),"영업현금흐름-설비투자","산출불가")))</f>
        <v/>
      </c>
      <c r="AW11" s="19">
        <f>IF(AND(ISNUMBER(AU11),ISNUMBER(G11),G11&lt;&gt;0),AU11/G11,"")</f>
        <v/>
      </c>
      <c r="AX11" s="19">
        <f>IF(AND(ISNUMBER(AC11),ISNUMBER(G11),G11&lt;&gt;0),AC11/G11,"")</f>
        <v/>
      </c>
    </row>
    <row r="12">
      <c r="A12" s="8" t="inlineStr">
        <is>
          <t>NVDA</t>
        </is>
      </c>
      <c r="B12" s="8" t="inlineStr">
        <is>
          <t>NVIDIA CORP</t>
        </is>
      </c>
      <c r="C12" s="8" t="n">
        <v>2021</v>
      </c>
      <c r="D12" s="8" t="inlineStr">
        <is>
          <t>2022-01-30</t>
        </is>
      </c>
      <c r="E12" s="8" t="inlineStr">
        <is>
          <t>일반</t>
        </is>
      </c>
      <c r="F12" s="8" t="inlineStr">
        <is>
          <t>0001045810-24-000029</t>
        </is>
      </c>
      <c r="G12" s="15" t="n">
        <v>26.914</v>
      </c>
      <c r="H12" s="15" t="n">
        <v>9.941000000000001</v>
      </c>
      <c r="I12" s="15" t="n"/>
      <c r="J12" s="15" t="n">
        <v>0.189</v>
      </c>
      <c r="K12" s="15" t="n">
        <v>10.041</v>
      </c>
      <c r="L12" s="15" t="n">
        <v>9.752000000000001</v>
      </c>
      <c r="M12" s="15" t="n">
        <v>0.611</v>
      </c>
      <c r="N12" s="15" t="n">
        <v>0.976</v>
      </c>
      <c r="O12" s="15" t="n">
        <v>9.108000000000001</v>
      </c>
      <c r="P12" s="15" t="n">
        <v>26.612</v>
      </c>
      <c r="Q12" s="15" t="n">
        <v>16.893</v>
      </c>
      <c r="R12" s="15" t="n">
        <v>21.208</v>
      </c>
      <c r="S12" s="15" t="n">
        <v>11.561</v>
      </c>
      <c r="T12" s="15" t="n">
        <v>0</v>
      </c>
      <c r="U12" s="15" t="n">
        <v>0.999</v>
      </c>
      <c r="V12" s="15" t="n">
        <v>10.946</v>
      </c>
      <c r="W12" s="15" t="n">
        <v>28.829</v>
      </c>
      <c r="X12" s="15" t="n">
        <v>16.055</v>
      </c>
      <c r="Y12" s="15" t="n">
        <v>4.335</v>
      </c>
      <c r="Z12" s="15" t="n">
        <v>3.925</v>
      </c>
      <c r="AA12" s="15" t="n">
        <v>13.294</v>
      </c>
      <c r="AB12" s="16" t="n">
        <v>25060</v>
      </c>
      <c r="AC12" s="17">
        <f>IF(AND(ISNUMBER(H12),ISNUMBER(I12)),H12+I12,IF(ISNUMBER(K12),K12,IF(ISNUMBER(H12),H12,"")))</f>
        <v/>
      </c>
      <c r="AD12" s="18">
        <f>IF(OR(NOT(ISNUMBER(J12)),NOT(ISNUMBER(H12)),H12&lt;=0),기준표!$B$8,MIN(MAX(J12/H12,기준표!$B$6),기준표!$B$7))</f>
        <v/>
      </c>
      <c r="AE12" s="17">
        <f>IF(ISNUMBER(AC12),AC12*(1-AD12),"")</f>
        <v/>
      </c>
      <c r="AF12" s="17">
        <f>IF(AND(NOT(ISNUMBER(T12)),NOT(ISNUMBER(V12))),"",IF(ISNUMBER(T12),T12,0)+IF(ISNUMBER(V12),V12,0))</f>
        <v/>
      </c>
      <c r="AG12" s="17">
        <f>IF(E12="금융","",IF(AND(ISNUMBER(P12),ISNUMBER(AF12),ISNUMBER(R12)),P12+AF12-R12,""))</f>
        <v/>
      </c>
      <c r="AH12" s="17">
        <f>IF(E12="금융","",IF(NOT(ISNUMBER(AG12)),"",IF(ISNUMBER(AA12),(AG12+AA12)/2,AG12)))</f>
        <v/>
      </c>
      <c r="AI12" s="19">
        <f>IF(AND(ISNUMBER(AE12),ISNUMBER(AH12),AH12&gt;0),AE12/AH12,"")</f>
        <v/>
      </c>
      <c r="AJ12" s="17">
        <f>IF(E12="금융","",IF(AND(ISNUMBER(P12),ISNUMBER(AF12)),P12+AF12,""))</f>
        <v/>
      </c>
      <c r="AK12" s="19">
        <f>IF(OR(NOT(ISNUMBER(AE12)),NOT(ISNUMBER(AJ12)),AJ12&lt;=0),"",IF(AND(ISNUMBER(G12),AJ12&lt;0.1*G12),"",AE12/AJ12))</f>
        <v/>
      </c>
      <c r="AL12" s="17">
        <f>IF(NOT(ISNUMBER(P12)),"",IF(ISNUMBER(Q12),(P12+Q12)/2,P12))</f>
        <v/>
      </c>
      <c r="AM12" s="19">
        <f>IF(AND(ISNUMBER(L12),ISNUMBER(AL12),AL12&gt;0),L12/AL12,"")</f>
        <v/>
      </c>
      <c r="AN12" s="19">
        <f>IF(AND(ISNUMBER(AM12),ISNUMBER({ROIC})),AM12-{ROIC},"")</f>
        <v/>
      </c>
      <c r="AO12" s="17">
        <f>IF(AND(ISNUMBER(AC12),ISNUMBER(M12)),AC12+M12,"")</f>
        <v/>
      </c>
      <c r="AP12" s="20">
        <f>IF(AND(ISNUMBER(AF12),ISNUMBER(R12),ISNUMBER(AO12),AO12&gt;0),(AF12-R12)/AO12,"")</f>
        <v/>
      </c>
      <c r="AQ12" s="20">
        <f>IF(AND(ISNUMBER(AC12),ISNUMBER(I12),I12&lt;&gt;0,AC12&gt;0),AC12/I12,"")</f>
        <v/>
      </c>
      <c r="AR12" s="17">
        <f>IF(AND(ISNUMBER(W12),ISNUMBER(Y12)),W12-IF(ISNUMBER(R12),R12,0)-(Y12-IF(ISNUMBER(T12),T12,0)),"")</f>
        <v/>
      </c>
      <c r="AS12" s="17">
        <f>IF(AND(ISNUMBER(X12),ISNUMBER(Z12)),X12-IF(ISNUMBER(S12),S12,0)-(Z12-IF(ISNUMBER(U12),U12,0)),"")</f>
        <v/>
      </c>
      <c r="AT12" s="17">
        <f>IF(AND(ISNUMBER(AR12),ISNUMBER(AS12)),AR12-AS12,"")</f>
        <v/>
      </c>
      <c r="AU12" s="17">
        <f>IF(E12="금융","",IF(AND(ISNUMBER(L12),ISNUMBER(M12),ISNUMBER(N12),ISNUMBER(AT12)),L12+M12-N12-AT12,IF(AND(ISNUMBER(O12),ISNUMBER(N12)),O12-N12,"")))</f>
        <v/>
      </c>
      <c r="AV12" s="8">
        <f>IF(E12="금융","금융업 - 정의되지 않음",IF(AND(ISNUMBER(L12),ISNUMBER(M12),ISNUMBER(N12),ISNUMBER(AT12)),"순이익+감가상각-설비투자-운전자본증감",IF(AND(ISNUMBER(O12),ISNUMBER(N12)),"영업현금흐름-설비투자","산출불가")))</f>
        <v/>
      </c>
      <c r="AW12" s="19">
        <f>IF(AND(ISNUMBER(AU12),ISNUMBER(G12),G12&lt;&gt;0),AU12/G12,"")</f>
        <v/>
      </c>
      <c r="AX12" s="19">
        <f>IF(AND(ISNUMBER(AC12),ISNUMBER(G12),G12&lt;&gt;0),AC12/G12,"")</f>
        <v/>
      </c>
    </row>
    <row r="13">
      <c r="A13" s="8" t="inlineStr">
        <is>
          <t>NVDA</t>
        </is>
      </c>
      <c r="B13" s="8" t="inlineStr">
        <is>
          <t>NVIDIA CORP</t>
        </is>
      </c>
      <c r="C13" s="8" t="n">
        <v>2022</v>
      </c>
      <c r="D13" s="8" t="inlineStr">
        <is>
          <t>2023-01-29</t>
        </is>
      </c>
      <c r="E13" s="8" t="inlineStr">
        <is>
          <t>일반</t>
        </is>
      </c>
      <c r="F13" s="8" t="inlineStr">
        <is>
          <t>0001045810-25-000023</t>
        </is>
      </c>
      <c r="G13" s="15" t="n">
        <v>26.974</v>
      </c>
      <c r="H13" s="15" t="n">
        <v>4.181</v>
      </c>
      <c r="I13" s="15" t="n">
        <v>0.262</v>
      </c>
      <c r="J13" s="15" t="n">
        <v>-0.187</v>
      </c>
      <c r="K13" s="15" t="n">
        <v>4.224</v>
      </c>
      <c r="L13" s="15" t="n">
        <v>4.368</v>
      </c>
      <c r="M13" s="15" t="n">
        <v>0.844</v>
      </c>
      <c r="N13" s="15" t="n">
        <v>1.833</v>
      </c>
      <c r="O13" s="15" t="n">
        <v>5.641</v>
      </c>
      <c r="P13" s="15" t="n">
        <v>22.101</v>
      </c>
      <c r="Q13" s="15" t="n">
        <v>26.612</v>
      </c>
      <c r="R13" s="15" t="n">
        <v>13.296</v>
      </c>
      <c r="S13" s="15" t="n">
        <v>21.208</v>
      </c>
      <c r="T13" s="15" t="n">
        <v>1.25</v>
      </c>
      <c r="U13" s="15" t="n">
        <v>0</v>
      </c>
      <c r="V13" s="15" t="n">
        <v>10.953</v>
      </c>
      <c r="W13" s="15" t="n">
        <v>23.073</v>
      </c>
      <c r="X13" s="15" t="n">
        <v>28.829</v>
      </c>
      <c r="Y13" s="15" t="n">
        <v>6.563</v>
      </c>
      <c r="Z13" s="15" t="n">
        <v>4.335</v>
      </c>
      <c r="AA13" s="15" t="n">
        <v>16.35</v>
      </c>
      <c r="AB13" s="16" t="n">
        <v>24660</v>
      </c>
      <c r="AC13" s="17">
        <f>IF(AND(ISNUMBER(H13),ISNUMBER(I13)),H13+I13,IF(ISNUMBER(K13),K13,IF(ISNUMBER(H13),H13,"")))</f>
        <v/>
      </c>
      <c r="AD13" s="18">
        <f>IF(OR(NOT(ISNUMBER(J13)),NOT(ISNUMBER(H13)),H13&lt;=0),기준표!$B$8,MIN(MAX(J13/H13,기준표!$B$6),기준표!$B$7))</f>
        <v/>
      </c>
      <c r="AE13" s="17">
        <f>IF(ISNUMBER(AC13),AC13*(1-AD13),"")</f>
        <v/>
      </c>
      <c r="AF13" s="17">
        <f>IF(AND(NOT(ISNUMBER(T13)),NOT(ISNUMBER(V13))),"",IF(ISNUMBER(T13),T13,0)+IF(ISNUMBER(V13),V13,0))</f>
        <v/>
      </c>
      <c r="AG13" s="17">
        <f>IF(E13="금융","",IF(AND(ISNUMBER(P13),ISNUMBER(AF13),ISNUMBER(R13)),P13+AF13-R13,""))</f>
        <v/>
      </c>
      <c r="AH13" s="17">
        <f>IF(E13="금융","",IF(NOT(ISNUMBER(AG13)),"",IF(ISNUMBER(AA13),(AG13+AA13)/2,AG13)))</f>
        <v/>
      </c>
      <c r="AI13" s="19">
        <f>IF(AND(ISNUMBER(AE13),ISNUMBER(AH13),AH13&gt;0),AE13/AH13,"")</f>
        <v/>
      </c>
      <c r="AJ13" s="17">
        <f>IF(E13="금융","",IF(AND(ISNUMBER(P13),ISNUMBER(AF13)),P13+AF13,""))</f>
        <v/>
      </c>
      <c r="AK13" s="19">
        <f>IF(OR(NOT(ISNUMBER(AE13)),NOT(ISNUMBER(AJ13)),AJ13&lt;=0),"",IF(AND(ISNUMBER(G13),AJ13&lt;0.1*G13),"",AE13/AJ13))</f>
        <v/>
      </c>
      <c r="AL13" s="17">
        <f>IF(NOT(ISNUMBER(P13)),"",IF(ISNUMBER(Q13),(P13+Q13)/2,P13))</f>
        <v/>
      </c>
      <c r="AM13" s="19">
        <f>IF(AND(ISNUMBER(L13),ISNUMBER(AL13),AL13&gt;0),L13/AL13,"")</f>
        <v/>
      </c>
      <c r="AN13" s="19">
        <f>IF(AND(ISNUMBER(AM13),ISNUMBER({ROIC})),AM13-{ROIC},"")</f>
        <v/>
      </c>
      <c r="AO13" s="17">
        <f>IF(AND(ISNUMBER(AC13),ISNUMBER(M13)),AC13+M13,"")</f>
        <v/>
      </c>
      <c r="AP13" s="20">
        <f>IF(AND(ISNUMBER(AF13),ISNUMBER(R13),ISNUMBER(AO13),AO13&gt;0),(AF13-R13)/AO13,"")</f>
        <v/>
      </c>
      <c r="AQ13" s="20">
        <f>IF(AND(ISNUMBER(AC13),ISNUMBER(I13),I13&lt;&gt;0,AC13&gt;0),AC13/I13,"")</f>
        <v/>
      </c>
      <c r="AR13" s="17">
        <f>IF(AND(ISNUMBER(W13),ISNUMBER(Y13)),W13-IF(ISNUMBER(R13),R13,0)-(Y13-IF(ISNUMBER(T13),T13,0)),"")</f>
        <v/>
      </c>
      <c r="AS13" s="17">
        <f>IF(AND(ISNUMBER(X13),ISNUMBER(Z13)),X13-IF(ISNUMBER(S13),S13,0)-(Z13-IF(ISNUMBER(U13),U13,0)),"")</f>
        <v/>
      </c>
      <c r="AT13" s="17">
        <f>IF(AND(ISNUMBER(AR13),ISNUMBER(AS13)),AR13-AS13,"")</f>
        <v/>
      </c>
      <c r="AU13" s="17">
        <f>IF(E13="금융","",IF(AND(ISNUMBER(L13),ISNUMBER(M13),ISNUMBER(N13),ISNUMBER(AT13)),L13+M13-N13-AT13,IF(AND(ISNUMBER(O13),ISNUMBER(N13)),O13-N13,"")))</f>
        <v/>
      </c>
      <c r="AV13" s="8">
        <f>IF(E13="금융","금융업 - 정의되지 않음",IF(AND(ISNUMBER(L13),ISNUMBER(M13),ISNUMBER(N13),ISNUMBER(AT13)),"순이익+감가상각-설비투자-운전자본증감",IF(AND(ISNUMBER(O13),ISNUMBER(N13)),"영업현금흐름-설비투자","산출불가")))</f>
        <v/>
      </c>
      <c r="AW13" s="19">
        <f>IF(AND(ISNUMBER(AU13),ISNUMBER(G13),G13&lt;&gt;0),AU13/G13,"")</f>
        <v/>
      </c>
      <c r="AX13" s="19">
        <f>IF(AND(ISNUMBER(AC13),ISNUMBER(G13),G13&lt;&gt;0),AC13/G13,"")</f>
        <v/>
      </c>
    </row>
    <row r="14">
      <c r="A14" s="8" t="inlineStr">
        <is>
          <t>NVDA</t>
        </is>
      </c>
      <c r="B14" s="8" t="inlineStr">
        <is>
          <t>NVIDIA CORP</t>
        </is>
      </c>
      <c r="C14" s="8" t="n">
        <v>2023</v>
      </c>
      <c r="D14" s="8" t="inlineStr">
        <is>
          <t>2024-01-28</t>
        </is>
      </c>
      <c r="E14" s="8" t="inlineStr">
        <is>
          <t>일반</t>
        </is>
      </c>
      <c r="F14" s="8" t="inlineStr">
        <is>
          <t>0001045810-26-000021</t>
        </is>
      </c>
      <c r="G14" s="15" t="n">
        <v>60.922</v>
      </c>
      <c r="H14" s="15" t="n">
        <v>33.818</v>
      </c>
      <c r="I14" s="15" t="n">
        <v>0.257</v>
      </c>
      <c r="J14" s="15" t="n">
        <v>4.058</v>
      </c>
      <c r="K14" s="15" t="n">
        <v>32.972</v>
      </c>
      <c r="L14" s="15" t="n">
        <v>29.76</v>
      </c>
      <c r="M14" s="15" t="n">
        <v>0.894</v>
      </c>
      <c r="N14" s="15" t="n">
        <v>1.069</v>
      </c>
      <c r="O14" s="15" t="n">
        <v>28.09</v>
      </c>
      <c r="P14" s="15" t="n">
        <v>42.978</v>
      </c>
      <c r="Q14" s="15" t="n">
        <v>22.101</v>
      </c>
      <c r="R14" s="15" t="n">
        <v>25.984</v>
      </c>
      <c r="S14" s="15" t="n">
        <v>13.296</v>
      </c>
      <c r="T14" s="15" t="n">
        <v>1.25</v>
      </c>
      <c r="U14" s="15" t="n">
        <v>1.25</v>
      </c>
      <c r="V14" s="15" t="n">
        <v>9.709</v>
      </c>
      <c r="W14" s="15" t="n">
        <v>44.345</v>
      </c>
      <c r="X14" s="15" t="n">
        <v>23.073</v>
      </c>
      <c r="Y14" s="15" t="n">
        <v>10.631</v>
      </c>
      <c r="Z14" s="15" t="n">
        <v>6.563</v>
      </c>
      <c r="AA14" s="15" t="n">
        <v>21.008</v>
      </c>
      <c r="AB14" s="16" t="n">
        <v>24643</v>
      </c>
      <c r="AC14" s="17">
        <f>IF(AND(ISNUMBER(H14),ISNUMBER(I14)),H14+I14,IF(ISNUMBER(K14),K14,IF(ISNUMBER(H14),H14,"")))</f>
        <v/>
      </c>
      <c r="AD14" s="18">
        <f>IF(OR(NOT(ISNUMBER(J14)),NOT(ISNUMBER(H14)),H14&lt;=0),기준표!$B$8,MIN(MAX(J14/H14,기준표!$B$6),기준표!$B$7))</f>
        <v/>
      </c>
      <c r="AE14" s="17">
        <f>IF(ISNUMBER(AC14),AC14*(1-AD14),"")</f>
        <v/>
      </c>
      <c r="AF14" s="17">
        <f>IF(AND(NOT(ISNUMBER(T14)),NOT(ISNUMBER(V14))),"",IF(ISNUMBER(T14),T14,0)+IF(ISNUMBER(V14),V14,0))</f>
        <v/>
      </c>
      <c r="AG14" s="17">
        <f>IF(E14="금융","",IF(AND(ISNUMBER(P14),ISNUMBER(AF14),ISNUMBER(R14)),P14+AF14-R14,""))</f>
        <v/>
      </c>
      <c r="AH14" s="17">
        <f>IF(E14="금융","",IF(NOT(ISNUMBER(AG14)),"",IF(ISNUMBER(AA14),(AG14+AA14)/2,AG14)))</f>
        <v/>
      </c>
      <c r="AI14" s="19">
        <f>IF(AND(ISNUMBER(AE14),ISNUMBER(AH14),AH14&gt;0),AE14/AH14,"")</f>
        <v/>
      </c>
      <c r="AJ14" s="17">
        <f>IF(E14="금융","",IF(AND(ISNUMBER(P14),ISNUMBER(AF14)),P14+AF14,""))</f>
        <v/>
      </c>
      <c r="AK14" s="19">
        <f>IF(OR(NOT(ISNUMBER(AE14)),NOT(ISNUMBER(AJ14)),AJ14&lt;=0),"",IF(AND(ISNUMBER(G14),AJ14&lt;0.1*G14),"",AE14/AJ14))</f>
        <v/>
      </c>
      <c r="AL14" s="17">
        <f>IF(NOT(ISNUMBER(P14)),"",IF(ISNUMBER(Q14),(P14+Q14)/2,P14))</f>
        <v/>
      </c>
      <c r="AM14" s="19">
        <f>IF(AND(ISNUMBER(L14),ISNUMBER(AL14),AL14&gt;0),L14/AL14,"")</f>
        <v/>
      </c>
      <c r="AN14" s="19">
        <f>IF(AND(ISNUMBER(AM14),ISNUMBER({ROIC})),AM14-{ROIC},"")</f>
        <v/>
      </c>
      <c r="AO14" s="17">
        <f>IF(AND(ISNUMBER(AC14),ISNUMBER(M14)),AC14+M14,"")</f>
        <v/>
      </c>
      <c r="AP14" s="20">
        <f>IF(AND(ISNUMBER(AF14),ISNUMBER(R14),ISNUMBER(AO14),AO14&gt;0),(AF14-R14)/AO14,"")</f>
        <v/>
      </c>
      <c r="AQ14" s="20">
        <f>IF(AND(ISNUMBER(AC14),ISNUMBER(I14),I14&lt;&gt;0,AC14&gt;0),AC14/I14,"")</f>
        <v/>
      </c>
      <c r="AR14" s="17">
        <f>IF(AND(ISNUMBER(W14),ISNUMBER(Y14)),W14-IF(ISNUMBER(R14),R14,0)-(Y14-IF(ISNUMBER(T14),T14,0)),"")</f>
        <v/>
      </c>
      <c r="AS14" s="17">
        <f>IF(AND(ISNUMBER(X14),ISNUMBER(Z14)),X14-IF(ISNUMBER(S14),S14,0)-(Z14-IF(ISNUMBER(U14),U14,0)),"")</f>
        <v/>
      </c>
      <c r="AT14" s="17">
        <f>IF(AND(ISNUMBER(AR14),ISNUMBER(AS14)),AR14-AS14,"")</f>
        <v/>
      </c>
      <c r="AU14" s="17">
        <f>IF(E14="금융","",IF(AND(ISNUMBER(L14),ISNUMBER(M14),ISNUMBER(N14),ISNUMBER(AT14)),L14+M14-N14-AT14,IF(AND(ISNUMBER(O14),ISNUMBER(N14)),O14-N14,"")))</f>
        <v/>
      </c>
      <c r="AV14" s="8">
        <f>IF(E14="금융","금융업 - 정의되지 않음",IF(AND(ISNUMBER(L14),ISNUMBER(M14),ISNUMBER(N14),ISNUMBER(AT14)),"순이익+감가상각-설비투자-운전자본증감",IF(AND(ISNUMBER(O14),ISNUMBER(N14)),"영업현금흐름-설비투자","산출불가")))</f>
        <v/>
      </c>
      <c r="AW14" s="19">
        <f>IF(AND(ISNUMBER(AU14),ISNUMBER(G14),G14&lt;&gt;0),AU14/G14,"")</f>
        <v/>
      </c>
      <c r="AX14" s="19">
        <f>IF(AND(ISNUMBER(AC14),ISNUMBER(G14),G14&lt;&gt;0),AC14/G14,"")</f>
        <v/>
      </c>
    </row>
    <row r="15">
      <c r="A15" s="8" t="inlineStr">
        <is>
          <t>NVDA</t>
        </is>
      </c>
      <c r="B15" s="8" t="inlineStr">
        <is>
          <t>NVIDIA CORP</t>
        </is>
      </c>
      <c r="C15" s="8" t="n">
        <v>2024</v>
      </c>
      <c r="D15" s="8" t="inlineStr">
        <is>
          <t>2025-01-26</t>
        </is>
      </c>
      <c r="E15" s="8" t="inlineStr">
        <is>
          <t>일반</t>
        </is>
      </c>
      <c r="F15" s="8" t="inlineStr">
        <is>
          <t>0001045810-26-000021</t>
        </is>
      </c>
      <c r="G15" s="15" t="n">
        <v>130.497</v>
      </c>
      <c r="H15" s="15" t="n">
        <v>84.026</v>
      </c>
      <c r="I15" s="15" t="n">
        <v>0.247</v>
      </c>
      <c r="J15" s="15" t="n">
        <v>11.146</v>
      </c>
      <c r="K15" s="15" t="n">
        <v>81.453</v>
      </c>
      <c r="L15" s="15" t="n">
        <v>72.88</v>
      </c>
      <c r="M15" s="15" t="n">
        <v>1.3</v>
      </c>
      <c r="N15" s="15" t="n">
        <v>3.236</v>
      </c>
      <c r="O15" s="15" t="n">
        <v>64.089</v>
      </c>
      <c r="P15" s="15" t="n">
        <v>79.327</v>
      </c>
      <c r="Q15" s="15" t="n">
        <v>42.978</v>
      </c>
      <c r="R15" s="15" t="n">
        <v>43.21</v>
      </c>
      <c r="S15" s="15" t="n">
        <v>25.984</v>
      </c>
      <c r="T15" s="15" t="n">
        <v>0</v>
      </c>
      <c r="U15" s="15" t="n">
        <v>1.25</v>
      </c>
      <c r="V15" s="15" t="n">
        <v>8.462999999999999</v>
      </c>
      <c r="W15" s="15" t="n">
        <v>80.126</v>
      </c>
      <c r="X15" s="15" t="n">
        <v>44.345</v>
      </c>
      <c r="Y15" s="15" t="n">
        <v>18.047</v>
      </c>
      <c r="Z15" s="15" t="n">
        <v>10.631</v>
      </c>
      <c r="AA15" s="15" t="n">
        <v>27.953</v>
      </c>
      <c r="AB15" s="16" t="n">
        <v>24477</v>
      </c>
      <c r="AC15" s="17">
        <f>IF(AND(ISNUMBER(H15),ISNUMBER(I15)),H15+I15,IF(ISNUMBER(K15),K15,IF(ISNUMBER(H15),H15,"")))</f>
        <v/>
      </c>
      <c r="AD15" s="18">
        <f>IF(OR(NOT(ISNUMBER(J15)),NOT(ISNUMBER(H15)),H15&lt;=0),기준표!$B$8,MIN(MAX(J15/H15,기준표!$B$6),기준표!$B$7))</f>
        <v/>
      </c>
      <c r="AE15" s="17">
        <f>IF(ISNUMBER(AC15),AC15*(1-AD15),"")</f>
        <v/>
      </c>
      <c r="AF15" s="17">
        <f>IF(AND(NOT(ISNUMBER(T15)),NOT(ISNUMBER(V15))),"",IF(ISNUMBER(T15),T15,0)+IF(ISNUMBER(V15),V15,0))</f>
        <v/>
      </c>
      <c r="AG15" s="17">
        <f>IF(E15="금융","",IF(AND(ISNUMBER(P15),ISNUMBER(AF15),ISNUMBER(R15)),P15+AF15-R15,""))</f>
        <v/>
      </c>
      <c r="AH15" s="17">
        <f>IF(E15="금융","",IF(NOT(ISNUMBER(AG15)),"",IF(ISNUMBER(AA15),(AG15+AA15)/2,AG15)))</f>
        <v/>
      </c>
      <c r="AI15" s="19">
        <f>IF(AND(ISNUMBER(AE15),ISNUMBER(AH15),AH15&gt;0),AE15/AH15,"")</f>
        <v/>
      </c>
      <c r="AJ15" s="17">
        <f>IF(E15="금융","",IF(AND(ISNUMBER(P15),ISNUMBER(AF15)),P15+AF15,""))</f>
        <v/>
      </c>
      <c r="AK15" s="19">
        <f>IF(OR(NOT(ISNUMBER(AE15)),NOT(ISNUMBER(AJ15)),AJ15&lt;=0),"",IF(AND(ISNUMBER(G15),AJ15&lt;0.1*G15),"",AE15/AJ15))</f>
        <v/>
      </c>
      <c r="AL15" s="17">
        <f>IF(NOT(ISNUMBER(P15)),"",IF(ISNUMBER(Q15),(P15+Q15)/2,P15))</f>
        <v/>
      </c>
      <c r="AM15" s="19">
        <f>IF(AND(ISNUMBER(L15),ISNUMBER(AL15),AL15&gt;0),L15/AL15,"")</f>
        <v/>
      </c>
      <c r="AN15" s="19">
        <f>IF(AND(ISNUMBER(AM15),ISNUMBER({ROIC})),AM15-{ROIC},"")</f>
        <v/>
      </c>
      <c r="AO15" s="17">
        <f>IF(AND(ISNUMBER(AC15),ISNUMBER(M15)),AC15+M15,"")</f>
        <v/>
      </c>
      <c r="AP15" s="20">
        <f>IF(AND(ISNUMBER(AF15),ISNUMBER(R15),ISNUMBER(AO15),AO15&gt;0),(AF15-R15)/AO15,"")</f>
        <v/>
      </c>
      <c r="AQ15" s="20">
        <f>IF(AND(ISNUMBER(AC15),ISNUMBER(I15),I15&lt;&gt;0,AC15&gt;0),AC15/I15,"")</f>
        <v/>
      </c>
      <c r="AR15" s="17">
        <f>IF(AND(ISNUMBER(W15),ISNUMBER(Y15)),W15-IF(ISNUMBER(R15),R15,0)-(Y15-IF(ISNUMBER(T15),T15,0)),"")</f>
        <v/>
      </c>
      <c r="AS15" s="17">
        <f>IF(AND(ISNUMBER(X15),ISNUMBER(Z15)),X15-IF(ISNUMBER(S15),S15,0)-(Z15-IF(ISNUMBER(U15),U15,0)),"")</f>
        <v/>
      </c>
      <c r="AT15" s="17">
        <f>IF(AND(ISNUMBER(AR15),ISNUMBER(AS15)),AR15-AS15,"")</f>
        <v/>
      </c>
      <c r="AU15" s="17">
        <f>IF(E15="금융","",IF(AND(ISNUMBER(L15),ISNUMBER(M15),ISNUMBER(N15),ISNUMBER(AT15)),L15+M15-N15-AT15,IF(AND(ISNUMBER(O15),ISNUMBER(N15)),O15-N15,"")))</f>
        <v/>
      </c>
      <c r="AV15" s="8">
        <f>IF(E15="금융","금융업 - 정의되지 않음",IF(AND(ISNUMBER(L15),ISNUMBER(M15),ISNUMBER(N15),ISNUMBER(AT15)),"순이익+감가상각-설비투자-운전자본증감",IF(AND(ISNUMBER(O15),ISNUMBER(N15)),"영업현금흐름-설비투자","산출불가")))</f>
        <v/>
      </c>
      <c r="AW15" s="19">
        <f>IF(AND(ISNUMBER(AU15),ISNUMBER(G15),G15&lt;&gt;0),AU15/G15,"")</f>
        <v/>
      </c>
      <c r="AX15" s="19">
        <f>IF(AND(ISNUMBER(AC15),ISNUMBER(G15),G15&lt;&gt;0),AC15/G15,"")</f>
        <v/>
      </c>
    </row>
    <row r="16">
      <c r="A16" s="8" t="inlineStr">
        <is>
          <t>NVDA</t>
        </is>
      </c>
      <c r="B16" s="8" t="inlineStr">
        <is>
          <t>NVIDIA CORP</t>
        </is>
      </c>
      <c r="C16" s="8" t="n">
        <v>2025</v>
      </c>
      <c r="D16" s="8" t="inlineStr">
        <is>
          <t>2026-01-25</t>
        </is>
      </c>
      <c r="E16" s="8" t="inlineStr">
        <is>
          <t>일반</t>
        </is>
      </c>
      <c r="F16" s="8" t="inlineStr">
        <is>
          <t>0001045810-26-000021</t>
        </is>
      </c>
      <c r="G16" s="15" t="n">
        <v>215.938</v>
      </c>
      <c r="H16" s="15" t="n">
        <v>141.45</v>
      </c>
      <c r="I16" s="15" t="n">
        <v>0.259</v>
      </c>
      <c r="J16" s="15" t="n">
        <v>21.383</v>
      </c>
      <c r="K16" s="15" t="n">
        <v>130.387</v>
      </c>
      <c r="L16" s="15" t="n">
        <v>120.067</v>
      </c>
      <c r="M16" s="15" t="n">
        <v>2.4</v>
      </c>
      <c r="N16" s="15" t="n">
        <v>6.042</v>
      </c>
      <c r="O16" s="15" t="n">
        <v>102.718</v>
      </c>
      <c r="P16" s="15" t="n">
        <v>157.293</v>
      </c>
      <c r="Q16" s="15" t="n">
        <v>79.327</v>
      </c>
      <c r="R16" s="15" t="n">
        <v>10.605</v>
      </c>
      <c r="S16" s="15" t="n">
        <v>43.21</v>
      </c>
      <c r="T16" s="15" t="n">
        <v>0.999</v>
      </c>
      <c r="U16" s="15" t="n">
        <v>0</v>
      </c>
      <c r="V16" s="15" t="n">
        <v>8.468</v>
      </c>
      <c r="W16" s="15" t="n">
        <v>125.605</v>
      </c>
      <c r="X16" s="15" t="n">
        <v>80.126</v>
      </c>
      <c r="Y16" s="15" t="n">
        <v>32.163</v>
      </c>
      <c r="Z16" s="15" t="n">
        <v>18.047</v>
      </c>
      <c r="AA16" s="15" t="n">
        <v>44.58</v>
      </c>
      <c r="AB16" s="16" t="n">
        <v>24304</v>
      </c>
      <c r="AC16" s="17">
        <f>IF(AND(ISNUMBER(H16),ISNUMBER(I16)),H16+I16,IF(ISNUMBER(K16),K16,IF(ISNUMBER(H16),H16,"")))</f>
        <v/>
      </c>
      <c r="AD16" s="18">
        <f>IF(OR(NOT(ISNUMBER(J16)),NOT(ISNUMBER(H16)),H16&lt;=0),기준표!$B$8,MIN(MAX(J16/H16,기준표!$B$6),기준표!$B$7))</f>
        <v/>
      </c>
      <c r="AE16" s="17">
        <f>IF(ISNUMBER(AC16),AC16*(1-AD16),"")</f>
        <v/>
      </c>
      <c r="AF16" s="17">
        <f>IF(AND(NOT(ISNUMBER(T16)),NOT(ISNUMBER(V16))),"",IF(ISNUMBER(T16),T16,0)+IF(ISNUMBER(V16),V16,0))</f>
        <v/>
      </c>
      <c r="AG16" s="17">
        <f>IF(E16="금융","",IF(AND(ISNUMBER(P16),ISNUMBER(AF16),ISNUMBER(R16)),P16+AF16-R16,""))</f>
        <v/>
      </c>
      <c r="AH16" s="17">
        <f>IF(E16="금융","",IF(NOT(ISNUMBER(AG16)),"",IF(ISNUMBER(AA16),(AG16+AA16)/2,AG16)))</f>
        <v/>
      </c>
      <c r="AI16" s="19">
        <f>IF(AND(ISNUMBER(AE16),ISNUMBER(AH16),AH16&gt;0),AE16/AH16,"")</f>
        <v/>
      </c>
      <c r="AJ16" s="17">
        <f>IF(E16="금융","",IF(AND(ISNUMBER(P16),ISNUMBER(AF16)),P16+AF16,""))</f>
        <v/>
      </c>
      <c r="AK16" s="19">
        <f>IF(OR(NOT(ISNUMBER(AE16)),NOT(ISNUMBER(AJ16)),AJ16&lt;=0),"",IF(AND(ISNUMBER(G16),AJ16&lt;0.1*G16),"",AE16/AJ16))</f>
        <v/>
      </c>
      <c r="AL16" s="17">
        <f>IF(NOT(ISNUMBER(P16)),"",IF(ISNUMBER(Q16),(P16+Q16)/2,P16))</f>
        <v/>
      </c>
      <c r="AM16" s="19">
        <f>IF(AND(ISNUMBER(L16),ISNUMBER(AL16),AL16&gt;0),L16/AL16,"")</f>
        <v/>
      </c>
      <c r="AN16" s="19">
        <f>IF(AND(ISNUMBER(AM16),ISNUMBER({ROIC})),AM16-{ROIC},"")</f>
        <v/>
      </c>
      <c r="AO16" s="17">
        <f>IF(AND(ISNUMBER(AC16),ISNUMBER(M16)),AC16+M16,"")</f>
        <v/>
      </c>
      <c r="AP16" s="20">
        <f>IF(AND(ISNUMBER(AF16),ISNUMBER(R16),ISNUMBER(AO16),AO16&gt;0),(AF16-R16)/AO16,"")</f>
        <v/>
      </c>
      <c r="AQ16" s="20">
        <f>IF(AND(ISNUMBER(AC16),ISNUMBER(I16),I16&lt;&gt;0,AC16&gt;0),AC16/I16,"")</f>
        <v/>
      </c>
      <c r="AR16" s="17">
        <f>IF(AND(ISNUMBER(W16),ISNUMBER(Y16)),W16-IF(ISNUMBER(R16),R16,0)-(Y16-IF(ISNUMBER(T16),T16,0)),"")</f>
        <v/>
      </c>
      <c r="AS16" s="17">
        <f>IF(AND(ISNUMBER(X16),ISNUMBER(Z16)),X16-IF(ISNUMBER(S16),S16,0)-(Z16-IF(ISNUMBER(U16),U16,0)),"")</f>
        <v/>
      </c>
      <c r="AT16" s="17">
        <f>IF(AND(ISNUMBER(AR16),ISNUMBER(AS16)),AR16-AS16,"")</f>
        <v/>
      </c>
      <c r="AU16" s="17">
        <f>IF(E16="금융","",IF(AND(ISNUMBER(L16),ISNUMBER(M16),ISNUMBER(N16),ISNUMBER(AT16)),L16+M16-N16-AT16,IF(AND(ISNUMBER(O16),ISNUMBER(N16)),O16-N16,"")))</f>
        <v/>
      </c>
      <c r="AV16" s="8">
        <f>IF(E16="금융","금융업 - 정의되지 않음",IF(AND(ISNUMBER(L16),ISNUMBER(M16),ISNUMBER(N16),ISNUMBER(AT16)),"순이익+감가상각-설비투자-운전자본증감",IF(AND(ISNUMBER(O16),ISNUMBER(N16)),"영업현금흐름-설비투자","산출불가")))</f>
        <v/>
      </c>
      <c r="AW16" s="19">
        <f>IF(AND(ISNUMBER(AU16),ISNUMBER(G16),G16&lt;&gt;0),AU16/G16,"")</f>
        <v/>
      </c>
      <c r="AX16" s="19">
        <f>IF(AND(ISNUMBER(AC16),ISNUMBER(G16),G16&lt;&gt;0),AC16/G16,"")</f>
        <v/>
      </c>
    </row>
    <row r="17">
      <c r="A17" s="8" t="inlineStr">
        <is>
          <t>AAPL</t>
        </is>
      </c>
      <c r="B17" s="8" t="inlineStr">
        <is>
          <t>Apple Inc.</t>
        </is>
      </c>
      <c r="C17" s="8" t="n">
        <v>2014</v>
      </c>
      <c r="D17" s="8" t="inlineStr">
        <is>
          <t>2014-09-27</t>
        </is>
      </c>
      <c r="E17" s="8" t="inlineStr">
        <is>
          <t>일반</t>
        </is>
      </c>
      <c r="F17" s="8" t="inlineStr">
        <is>
          <t>0001628280-16-020309</t>
        </is>
      </c>
      <c r="G17" s="15" t="n"/>
      <c r="H17" s="15" t="n">
        <v>53.483</v>
      </c>
      <c r="I17" s="15" t="n">
        <v>0.384</v>
      </c>
      <c r="J17" s="15" t="n">
        <v>13.973</v>
      </c>
      <c r="K17" s="15" t="n">
        <v>52.503</v>
      </c>
      <c r="L17" s="15" t="n">
        <v>39.51</v>
      </c>
      <c r="M17" s="15" t="n"/>
      <c r="N17" s="15" t="n">
        <v>9.571</v>
      </c>
      <c r="O17" s="15" t="n"/>
      <c r="P17" s="15" t="n">
        <v>111.547</v>
      </c>
      <c r="Q17" s="15" t="n"/>
      <c r="R17" s="15" t="n">
        <v>13.844</v>
      </c>
      <c r="S17" s="15" t="n"/>
      <c r="T17" s="15" t="n">
        <v>0</v>
      </c>
      <c r="U17" s="15" t="n"/>
      <c r="V17" s="15" t="n">
        <v>28.987</v>
      </c>
      <c r="W17" s="15" t="n">
        <v>68.53100000000001</v>
      </c>
      <c r="X17" s="15" t="n"/>
      <c r="Y17" s="15" t="n">
        <v>63.448</v>
      </c>
      <c r="Z17" s="15" t="n"/>
      <c r="AA17" s="15" t="n"/>
      <c r="AB17" s="16" t="n">
        <v>23464.644</v>
      </c>
      <c r="AC17" s="17">
        <f>IF(AND(ISNUMBER(H17),ISNUMBER(I17)),H17+I17,IF(ISNUMBER(K17),K17,IF(ISNUMBER(H17),H17,"")))</f>
        <v/>
      </c>
      <c r="AD17" s="18">
        <f>IF(OR(NOT(ISNUMBER(J17)),NOT(ISNUMBER(H17)),H17&lt;=0),기준표!$B$8,MIN(MAX(J17/H17,기준표!$B$6),기준표!$B$7))</f>
        <v/>
      </c>
      <c r="AE17" s="17">
        <f>IF(ISNUMBER(AC17),AC17*(1-AD17),"")</f>
        <v/>
      </c>
      <c r="AF17" s="17">
        <f>IF(AND(NOT(ISNUMBER(T17)),NOT(ISNUMBER(V17))),"",IF(ISNUMBER(T17),T17,0)+IF(ISNUMBER(V17),V17,0))</f>
        <v/>
      </c>
      <c r="AG17" s="17">
        <f>IF(E17="금융","",IF(AND(ISNUMBER(P17),ISNUMBER(AF17),ISNUMBER(R17)),P17+AF17-R17,""))</f>
        <v/>
      </c>
      <c r="AH17" s="17">
        <f>IF(E17="금융","",IF(NOT(ISNUMBER(AG17)),"",IF(ISNUMBER(AA17),(AG17+AA17)/2,AG17)))</f>
        <v/>
      </c>
      <c r="AI17" s="19">
        <f>IF(AND(ISNUMBER(AE17),ISNUMBER(AH17),AH17&gt;0),AE17/AH17,"")</f>
        <v/>
      </c>
      <c r="AJ17" s="17">
        <f>IF(E17="금융","",IF(AND(ISNUMBER(P17),ISNUMBER(AF17)),P17+AF17,""))</f>
        <v/>
      </c>
      <c r="AK17" s="19">
        <f>IF(OR(NOT(ISNUMBER(AE17)),NOT(ISNUMBER(AJ17)),AJ17&lt;=0),"",IF(AND(ISNUMBER(G17),AJ17&lt;0.1*G17),"",AE17/AJ17))</f>
        <v/>
      </c>
      <c r="AL17" s="17">
        <f>IF(NOT(ISNUMBER(P17)),"",IF(ISNUMBER(Q17),(P17+Q17)/2,P17))</f>
        <v/>
      </c>
      <c r="AM17" s="19">
        <f>IF(AND(ISNUMBER(L17),ISNUMBER(AL17),AL17&gt;0),L17/AL17,"")</f>
        <v/>
      </c>
      <c r="AN17" s="19">
        <f>IF(AND(ISNUMBER(AM17),ISNUMBER({ROIC})),AM17-{ROIC},"")</f>
        <v/>
      </c>
      <c r="AO17" s="17">
        <f>IF(AND(ISNUMBER(AC17),ISNUMBER(M17)),AC17+M17,"")</f>
        <v/>
      </c>
      <c r="AP17" s="20">
        <f>IF(AND(ISNUMBER(AF17),ISNUMBER(R17),ISNUMBER(AO17),AO17&gt;0),(AF17-R17)/AO17,"")</f>
        <v/>
      </c>
      <c r="AQ17" s="20">
        <f>IF(AND(ISNUMBER(AC17),ISNUMBER(I17),I17&lt;&gt;0,AC17&gt;0),AC17/I17,"")</f>
        <v/>
      </c>
      <c r="AR17" s="17">
        <f>IF(AND(ISNUMBER(W17),ISNUMBER(Y17)),W17-IF(ISNUMBER(R17),R17,0)-(Y17-IF(ISNUMBER(T17),T17,0)),"")</f>
        <v/>
      </c>
      <c r="AS17" s="17">
        <f>IF(AND(ISNUMBER(X17),ISNUMBER(Z17)),X17-IF(ISNUMBER(S17),S17,0)-(Z17-IF(ISNUMBER(U17),U17,0)),"")</f>
        <v/>
      </c>
      <c r="AT17" s="17">
        <f>IF(AND(ISNUMBER(AR17),ISNUMBER(AS17)),AR17-AS17,"")</f>
        <v/>
      </c>
      <c r="AU17" s="17">
        <f>IF(E17="금융","",IF(AND(ISNUMBER(L17),ISNUMBER(M17),ISNUMBER(N17),ISNUMBER(AT17)),L17+M17-N17-AT17,IF(AND(ISNUMBER(O17),ISNUMBER(N17)),O17-N17,"")))</f>
        <v/>
      </c>
      <c r="AV17" s="8">
        <f>IF(E17="금융","금융업 - 정의되지 않음",IF(AND(ISNUMBER(L17),ISNUMBER(M17),ISNUMBER(N17),ISNUMBER(AT17)),"순이익+감가상각-설비투자-운전자본증감",IF(AND(ISNUMBER(O17),ISNUMBER(N17)),"영업현금흐름-설비투자","산출불가")))</f>
        <v/>
      </c>
      <c r="AW17" s="19">
        <f>IF(AND(ISNUMBER(AU17),ISNUMBER(G17),G17&lt;&gt;0),AU17/G17,"")</f>
        <v/>
      </c>
      <c r="AX17" s="19">
        <f>IF(AND(ISNUMBER(AC17),ISNUMBER(G17),G17&lt;&gt;0),AC17/G17,"")</f>
        <v/>
      </c>
    </row>
    <row r="18">
      <c r="A18" s="8" t="inlineStr">
        <is>
          <t>AAPL</t>
        </is>
      </c>
      <c r="B18" s="8" t="inlineStr">
        <is>
          <t>Apple Inc.</t>
        </is>
      </c>
      <c r="C18" s="8" t="n">
        <v>2015</v>
      </c>
      <c r="D18" s="8" t="inlineStr">
        <is>
          <t>2015-09-26</t>
        </is>
      </c>
      <c r="E18" s="8" t="inlineStr">
        <is>
          <t>일반</t>
        </is>
      </c>
      <c r="F18" s="8" t="inlineStr">
        <is>
          <t>0000320193-17-000070</t>
        </is>
      </c>
      <c r="G18" s="15" t="n"/>
      <c r="H18" s="15" t="n">
        <v>72.515</v>
      </c>
      <c r="I18" s="15" t="n">
        <v>0.733</v>
      </c>
      <c r="J18" s="15" t="n">
        <v>19.121</v>
      </c>
      <c r="K18" s="15" t="n">
        <v>71.23</v>
      </c>
      <c r="L18" s="15" t="n">
        <v>53.394</v>
      </c>
      <c r="M18" s="15" t="n">
        <v>9.199999999999999</v>
      </c>
      <c r="N18" s="15" t="n">
        <v>11.247</v>
      </c>
      <c r="O18" s="15" t="n">
        <v>81.26600000000001</v>
      </c>
      <c r="P18" s="15" t="n">
        <v>119.355</v>
      </c>
      <c r="Q18" s="15" t="n">
        <v>111.547</v>
      </c>
      <c r="R18" s="15" t="n">
        <v>21.12</v>
      </c>
      <c r="S18" s="15" t="n">
        <v>13.844</v>
      </c>
      <c r="T18" s="15" t="n">
        <v>2.5</v>
      </c>
      <c r="U18" s="15" t="n">
        <v>0</v>
      </c>
      <c r="V18" s="15" t="n">
        <v>53.329</v>
      </c>
      <c r="W18" s="15" t="n">
        <v>89.378</v>
      </c>
      <c r="X18" s="15" t="n">
        <v>68.53100000000001</v>
      </c>
      <c r="Y18" s="15" t="n">
        <v>80.61</v>
      </c>
      <c r="Z18" s="15" t="n">
        <v>63.448</v>
      </c>
      <c r="AA18" s="15" t="n">
        <v>126.69</v>
      </c>
      <c r="AB18" s="16" t="n">
        <v>22315.012</v>
      </c>
      <c r="AC18" s="17">
        <f>IF(AND(ISNUMBER(H18),ISNUMBER(I18)),H18+I18,IF(ISNUMBER(K18),K18,IF(ISNUMBER(H18),H18,"")))</f>
        <v/>
      </c>
      <c r="AD18" s="18">
        <f>IF(OR(NOT(ISNUMBER(J18)),NOT(ISNUMBER(H18)),H18&lt;=0),기준표!$B$8,MIN(MAX(J18/H18,기준표!$B$6),기준표!$B$7))</f>
        <v/>
      </c>
      <c r="AE18" s="17">
        <f>IF(ISNUMBER(AC18),AC18*(1-AD18),"")</f>
        <v/>
      </c>
      <c r="AF18" s="17">
        <f>IF(AND(NOT(ISNUMBER(T18)),NOT(ISNUMBER(V18))),"",IF(ISNUMBER(T18),T18,0)+IF(ISNUMBER(V18),V18,0))</f>
        <v/>
      </c>
      <c r="AG18" s="17">
        <f>IF(E18="금융","",IF(AND(ISNUMBER(P18),ISNUMBER(AF18),ISNUMBER(R18)),P18+AF18-R18,""))</f>
        <v/>
      </c>
      <c r="AH18" s="17">
        <f>IF(E18="금융","",IF(NOT(ISNUMBER(AG18)),"",IF(ISNUMBER(AA18),(AG18+AA18)/2,AG18)))</f>
        <v/>
      </c>
      <c r="AI18" s="19">
        <f>IF(AND(ISNUMBER(AE18),ISNUMBER(AH18),AH18&gt;0),AE18/AH18,"")</f>
        <v/>
      </c>
      <c r="AJ18" s="17">
        <f>IF(E18="금융","",IF(AND(ISNUMBER(P18),ISNUMBER(AF18)),P18+AF18,""))</f>
        <v/>
      </c>
      <c r="AK18" s="19">
        <f>IF(OR(NOT(ISNUMBER(AE18)),NOT(ISNUMBER(AJ18)),AJ18&lt;=0),"",IF(AND(ISNUMBER(G18),AJ18&lt;0.1*G18),"",AE18/AJ18))</f>
        <v/>
      </c>
      <c r="AL18" s="17">
        <f>IF(NOT(ISNUMBER(P18)),"",IF(ISNUMBER(Q18),(P18+Q18)/2,P18))</f>
        <v/>
      </c>
      <c r="AM18" s="19">
        <f>IF(AND(ISNUMBER(L18),ISNUMBER(AL18),AL18&gt;0),L18/AL18,"")</f>
        <v/>
      </c>
      <c r="AN18" s="19">
        <f>IF(AND(ISNUMBER(AM18),ISNUMBER({ROIC})),AM18-{ROIC},"")</f>
        <v/>
      </c>
      <c r="AO18" s="17">
        <f>IF(AND(ISNUMBER(AC18),ISNUMBER(M18)),AC18+M18,"")</f>
        <v/>
      </c>
      <c r="AP18" s="20">
        <f>IF(AND(ISNUMBER(AF18),ISNUMBER(R18),ISNUMBER(AO18),AO18&gt;0),(AF18-R18)/AO18,"")</f>
        <v/>
      </c>
      <c r="AQ18" s="20">
        <f>IF(AND(ISNUMBER(AC18),ISNUMBER(I18),I18&lt;&gt;0,AC18&gt;0),AC18/I18,"")</f>
        <v/>
      </c>
      <c r="AR18" s="17">
        <f>IF(AND(ISNUMBER(W18),ISNUMBER(Y18)),W18-IF(ISNUMBER(R18),R18,0)-(Y18-IF(ISNUMBER(T18),T18,0)),"")</f>
        <v/>
      </c>
      <c r="AS18" s="17">
        <f>IF(AND(ISNUMBER(X18),ISNUMBER(Z18)),X18-IF(ISNUMBER(S18),S18,0)-(Z18-IF(ISNUMBER(U18),U18,0)),"")</f>
        <v/>
      </c>
      <c r="AT18" s="17">
        <f>IF(AND(ISNUMBER(AR18),ISNUMBER(AS18)),AR18-AS18,"")</f>
        <v/>
      </c>
      <c r="AU18" s="17">
        <f>IF(E18="금융","",IF(AND(ISNUMBER(L18),ISNUMBER(M18),ISNUMBER(N18),ISNUMBER(AT18)),L18+M18-N18-AT18,IF(AND(ISNUMBER(O18),ISNUMBER(N18)),O18-N18,"")))</f>
        <v/>
      </c>
      <c r="AV18" s="8">
        <f>IF(E18="금융","금융업 - 정의되지 않음",IF(AND(ISNUMBER(L18),ISNUMBER(M18),ISNUMBER(N18),ISNUMBER(AT18)),"순이익+감가상각-설비투자-운전자본증감",IF(AND(ISNUMBER(O18),ISNUMBER(N18)),"영업현금흐름-설비투자","산출불가")))</f>
        <v/>
      </c>
      <c r="AW18" s="19">
        <f>IF(AND(ISNUMBER(AU18),ISNUMBER(G18),G18&lt;&gt;0),AU18/G18,"")</f>
        <v/>
      </c>
      <c r="AX18" s="19">
        <f>IF(AND(ISNUMBER(AC18),ISNUMBER(G18),G18&lt;&gt;0),AC18/G18,"")</f>
        <v/>
      </c>
    </row>
    <row r="19">
      <c r="A19" s="8" t="inlineStr">
        <is>
          <t>AAPL</t>
        </is>
      </c>
      <c r="B19" s="8" t="inlineStr">
        <is>
          <t>Apple Inc.</t>
        </is>
      </c>
      <c r="C19" s="8" t="n">
        <v>2016</v>
      </c>
      <c r="D19" s="8" t="inlineStr">
        <is>
          <t>2016-09-24</t>
        </is>
      </c>
      <c r="E19" s="8" t="inlineStr">
        <is>
          <t>일반</t>
        </is>
      </c>
      <c r="F19" s="8" t="inlineStr">
        <is>
          <t>0000320193-18-000145</t>
        </is>
      </c>
      <c r="G19" s="15" t="n"/>
      <c r="H19" s="15" t="n">
        <v>61.372</v>
      </c>
      <c r="I19" s="15" t="n">
        <v>1.456</v>
      </c>
      <c r="J19" s="15" t="n">
        <v>15.685</v>
      </c>
      <c r="K19" s="15" t="n">
        <v>60.024</v>
      </c>
      <c r="L19" s="15" t="n">
        <v>45.687</v>
      </c>
      <c r="M19" s="15" t="n">
        <v>10.505</v>
      </c>
      <c r="N19" s="15" t="n">
        <v>12.734</v>
      </c>
      <c r="O19" s="15" t="n">
        <v>66.23099999999999</v>
      </c>
      <c r="P19" s="15" t="n">
        <v>128.249</v>
      </c>
      <c r="Q19" s="15" t="n">
        <v>119.355</v>
      </c>
      <c r="R19" s="15" t="n">
        <v>20.484</v>
      </c>
      <c r="S19" s="15" t="n">
        <v>21.12</v>
      </c>
      <c r="T19" s="15" t="n">
        <v>3.5</v>
      </c>
      <c r="U19" s="15" t="n">
        <v>2.5</v>
      </c>
      <c r="V19" s="15" t="n">
        <v>75.42700000000001</v>
      </c>
      <c r="W19" s="15" t="n">
        <v>106.869</v>
      </c>
      <c r="X19" s="15" t="n">
        <v>89.378</v>
      </c>
      <c r="Y19" s="15" t="n">
        <v>79.006</v>
      </c>
      <c r="Z19" s="15" t="n">
        <v>80.61</v>
      </c>
      <c r="AA19" s="15" t="n">
        <v>154.064</v>
      </c>
      <c r="AB19" s="16" t="n">
        <v>21344.664</v>
      </c>
      <c r="AC19" s="17">
        <f>IF(AND(ISNUMBER(H19),ISNUMBER(I19)),H19+I19,IF(ISNUMBER(K19),K19,IF(ISNUMBER(H19),H19,"")))</f>
        <v/>
      </c>
      <c r="AD19" s="18">
        <f>IF(OR(NOT(ISNUMBER(J19)),NOT(ISNUMBER(H19)),H19&lt;=0),기준표!$B$8,MIN(MAX(J19/H19,기준표!$B$6),기준표!$B$7))</f>
        <v/>
      </c>
      <c r="AE19" s="17">
        <f>IF(ISNUMBER(AC19),AC19*(1-AD19),"")</f>
        <v/>
      </c>
      <c r="AF19" s="17">
        <f>IF(AND(NOT(ISNUMBER(T19)),NOT(ISNUMBER(V19))),"",IF(ISNUMBER(T19),T19,0)+IF(ISNUMBER(V19),V19,0))</f>
        <v/>
      </c>
      <c r="AG19" s="17">
        <f>IF(E19="금융","",IF(AND(ISNUMBER(P19),ISNUMBER(AF19),ISNUMBER(R19)),P19+AF19-R19,""))</f>
        <v/>
      </c>
      <c r="AH19" s="17">
        <f>IF(E19="금융","",IF(NOT(ISNUMBER(AG19)),"",IF(ISNUMBER(AA19),(AG19+AA19)/2,AG19)))</f>
        <v/>
      </c>
      <c r="AI19" s="19">
        <f>IF(AND(ISNUMBER(AE19),ISNUMBER(AH19),AH19&gt;0),AE19/AH19,"")</f>
        <v/>
      </c>
      <c r="AJ19" s="17">
        <f>IF(E19="금융","",IF(AND(ISNUMBER(P19),ISNUMBER(AF19)),P19+AF19,""))</f>
        <v/>
      </c>
      <c r="AK19" s="19">
        <f>IF(OR(NOT(ISNUMBER(AE19)),NOT(ISNUMBER(AJ19)),AJ19&lt;=0),"",IF(AND(ISNUMBER(G19),AJ19&lt;0.1*G19),"",AE19/AJ19))</f>
        <v/>
      </c>
      <c r="AL19" s="17">
        <f>IF(NOT(ISNUMBER(P19)),"",IF(ISNUMBER(Q19),(P19+Q19)/2,P19))</f>
        <v/>
      </c>
      <c r="AM19" s="19">
        <f>IF(AND(ISNUMBER(L19),ISNUMBER(AL19),AL19&gt;0),L19/AL19,"")</f>
        <v/>
      </c>
      <c r="AN19" s="19">
        <f>IF(AND(ISNUMBER(AM19),ISNUMBER({ROIC})),AM19-{ROIC},"")</f>
        <v/>
      </c>
      <c r="AO19" s="17">
        <f>IF(AND(ISNUMBER(AC19),ISNUMBER(M19)),AC19+M19,"")</f>
        <v/>
      </c>
      <c r="AP19" s="20">
        <f>IF(AND(ISNUMBER(AF19),ISNUMBER(R19),ISNUMBER(AO19),AO19&gt;0),(AF19-R19)/AO19,"")</f>
        <v/>
      </c>
      <c r="AQ19" s="20">
        <f>IF(AND(ISNUMBER(AC19),ISNUMBER(I19),I19&lt;&gt;0,AC19&gt;0),AC19/I19,"")</f>
        <v/>
      </c>
      <c r="AR19" s="17">
        <f>IF(AND(ISNUMBER(W19),ISNUMBER(Y19)),W19-IF(ISNUMBER(R19),R19,0)-(Y19-IF(ISNUMBER(T19),T19,0)),"")</f>
        <v/>
      </c>
      <c r="AS19" s="17">
        <f>IF(AND(ISNUMBER(X19),ISNUMBER(Z19)),X19-IF(ISNUMBER(S19),S19,0)-(Z19-IF(ISNUMBER(U19),U19,0)),"")</f>
        <v/>
      </c>
      <c r="AT19" s="17">
        <f>IF(AND(ISNUMBER(AR19),ISNUMBER(AS19)),AR19-AS19,"")</f>
        <v/>
      </c>
      <c r="AU19" s="17">
        <f>IF(E19="금융","",IF(AND(ISNUMBER(L19),ISNUMBER(M19),ISNUMBER(N19),ISNUMBER(AT19)),L19+M19-N19-AT19,IF(AND(ISNUMBER(O19),ISNUMBER(N19)),O19-N19,"")))</f>
        <v/>
      </c>
      <c r="AV19" s="8">
        <f>IF(E19="금융","금융업 - 정의되지 않음",IF(AND(ISNUMBER(L19),ISNUMBER(M19),ISNUMBER(N19),ISNUMBER(AT19)),"순이익+감가상각-설비투자-운전자본증감",IF(AND(ISNUMBER(O19),ISNUMBER(N19)),"영업현금흐름-설비투자","산출불가")))</f>
        <v/>
      </c>
      <c r="AW19" s="19">
        <f>IF(AND(ISNUMBER(AU19),ISNUMBER(G19),G19&lt;&gt;0),AU19/G19,"")</f>
        <v/>
      </c>
      <c r="AX19" s="19">
        <f>IF(AND(ISNUMBER(AC19),ISNUMBER(G19),G19&lt;&gt;0),AC19/G19,"")</f>
        <v/>
      </c>
    </row>
    <row r="20">
      <c r="A20" s="8" t="inlineStr">
        <is>
          <t>AAPL</t>
        </is>
      </c>
      <c r="B20" s="8" t="inlineStr">
        <is>
          <t>Apple Inc.</t>
        </is>
      </c>
      <c r="C20" s="8" t="n">
        <v>2017</v>
      </c>
      <c r="D20" s="8" t="inlineStr">
        <is>
          <t>2017-09-30</t>
        </is>
      </c>
      <c r="E20" s="8" t="inlineStr">
        <is>
          <t>일반</t>
        </is>
      </c>
      <c r="F20" s="8" t="inlineStr">
        <is>
          <t>0000320193-19-000119</t>
        </is>
      </c>
      <c r="G20" s="15" t="n">
        <v>229.234</v>
      </c>
      <c r="H20" s="15" t="n">
        <v>64.089</v>
      </c>
      <c r="I20" s="15" t="n">
        <v>2.323</v>
      </c>
      <c r="J20" s="15" t="n">
        <v>15.738</v>
      </c>
      <c r="K20" s="15" t="n">
        <v>61.344</v>
      </c>
      <c r="L20" s="15" t="n">
        <v>48.351</v>
      </c>
      <c r="M20" s="15" t="n">
        <v>10.157</v>
      </c>
      <c r="N20" s="15" t="n">
        <v>12.451</v>
      </c>
      <c r="O20" s="15" t="n">
        <v>64.22499999999999</v>
      </c>
      <c r="P20" s="15" t="n">
        <v>134.047</v>
      </c>
      <c r="Q20" s="15" t="n">
        <v>128.249</v>
      </c>
      <c r="R20" s="15" t="n">
        <v>20.289</v>
      </c>
      <c r="S20" s="15" t="n">
        <v>20.484</v>
      </c>
      <c r="T20" s="15" t="n">
        <v>6.496</v>
      </c>
      <c r="U20" s="15" t="n">
        <v>3.5</v>
      </c>
      <c r="V20" s="15" t="n">
        <v>97.20699999999999</v>
      </c>
      <c r="W20" s="15" t="n">
        <v>128.645</v>
      </c>
      <c r="X20" s="15" t="n">
        <v>106.869</v>
      </c>
      <c r="Y20" s="15" t="n">
        <v>100.814</v>
      </c>
      <c r="Z20" s="15" t="n">
        <v>79.006</v>
      </c>
      <c r="AA20" s="15" t="n">
        <v>186.692</v>
      </c>
      <c r="AB20" s="16" t="n">
        <v>20504.804</v>
      </c>
      <c r="AC20" s="17">
        <f>IF(AND(ISNUMBER(H20),ISNUMBER(I20)),H20+I20,IF(ISNUMBER(K20),K20,IF(ISNUMBER(H20),H20,"")))</f>
        <v/>
      </c>
      <c r="AD20" s="18">
        <f>IF(OR(NOT(ISNUMBER(J20)),NOT(ISNUMBER(H20)),H20&lt;=0),기준표!$B$8,MIN(MAX(J20/H20,기준표!$B$6),기준표!$B$7))</f>
        <v/>
      </c>
      <c r="AE20" s="17">
        <f>IF(ISNUMBER(AC20),AC20*(1-AD20),"")</f>
        <v/>
      </c>
      <c r="AF20" s="17">
        <f>IF(AND(NOT(ISNUMBER(T20)),NOT(ISNUMBER(V20))),"",IF(ISNUMBER(T20),T20,0)+IF(ISNUMBER(V20),V20,0))</f>
        <v/>
      </c>
      <c r="AG20" s="17">
        <f>IF(E20="금융","",IF(AND(ISNUMBER(P20),ISNUMBER(AF20),ISNUMBER(R20)),P20+AF20-R20,""))</f>
        <v/>
      </c>
      <c r="AH20" s="17">
        <f>IF(E20="금융","",IF(NOT(ISNUMBER(AG20)),"",IF(ISNUMBER(AA20),(AG20+AA20)/2,AG20)))</f>
        <v/>
      </c>
      <c r="AI20" s="19">
        <f>IF(AND(ISNUMBER(AE20),ISNUMBER(AH20),AH20&gt;0),AE20/AH20,"")</f>
        <v/>
      </c>
      <c r="AJ20" s="17">
        <f>IF(E20="금융","",IF(AND(ISNUMBER(P20),ISNUMBER(AF20)),P20+AF20,""))</f>
        <v/>
      </c>
      <c r="AK20" s="19">
        <f>IF(OR(NOT(ISNUMBER(AE20)),NOT(ISNUMBER(AJ20)),AJ20&lt;=0),"",IF(AND(ISNUMBER(G20),AJ20&lt;0.1*G20),"",AE20/AJ20))</f>
        <v/>
      </c>
      <c r="AL20" s="17">
        <f>IF(NOT(ISNUMBER(P20)),"",IF(ISNUMBER(Q20),(P20+Q20)/2,P20))</f>
        <v/>
      </c>
      <c r="AM20" s="19">
        <f>IF(AND(ISNUMBER(L20),ISNUMBER(AL20),AL20&gt;0),L20/AL20,"")</f>
        <v/>
      </c>
      <c r="AN20" s="19">
        <f>IF(AND(ISNUMBER(AM20),ISNUMBER({ROIC})),AM20-{ROIC},"")</f>
        <v/>
      </c>
      <c r="AO20" s="17">
        <f>IF(AND(ISNUMBER(AC20),ISNUMBER(M20)),AC20+M20,"")</f>
        <v/>
      </c>
      <c r="AP20" s="20">
        <f>IF(AND(ISNUMBER(AF20),ISNUMBER(R20),ISNUMBER(AO20),AO20&gt;0),(AF20-R20)/AO20,"")</f>
        <v/>
      </c>
      <c r="AQ20" s="20">
        <f>IF(AND(ISNUMBER(AC20),ISNUMBER(I20),I20&lt;&gt;0,AC20&gt;0),AC20/I20,"")</f>
        <v/>
      </c>
      <c r="AR20" s="17">
        <f>IF(AND(ISNUMBER(W20),ISNUMBER(Y20)),W20-IF(ISNUMBER(R20),R20,0)-(Y20-IF(ISNUMBER(T20),T20,0)),"")</f>
        <v/>
      </c>
      <c r="AS20" s="17">
        <f>IF(AND(ISNUMBER(X20),ISNUMBER(Z20)),X20-IF(ISNUMBER(S20),S20,0)-(Z20-IF(ISNUMBER(U20),U20,0)),"")</f>
        <v/>
      </c>
      <c r="AT20" s="17">
        <f>IF(AND(ISNUMBER(AR20),ISNUMBER(AS20)),AR20-AS20,"")</f>
        <v/>
      </c>
      <c r="AU20" s="17">
        <f>IF(E20="금융","",IF(AND(ISNUMBER(L20),ISNUMBER(M20),ISNUMBER(N20),ISNUMBER(AT20)),L20+M20-N20-AT20,IF(AND(ISNUMBER(O20),ISNUMBER(N20)),O20-N20,"")))</f>
        <v/>
      </c>
      <c r="AV20" s="8">
        <f>IF(E20="금융","금융업 - 정의되지 않음",IF(AND(ISNUMBER(L20),ISNUMBER(M20),ISNUMBER(N20),ISNUMBER(AT20)),"순이익+감가상각-설비투자-운전자본증감",IF(AND(ISNUMBER(O20),ISNUMBER(N20)),"영업현금흐름-설비투자","산출불가")))</f>
        <v/>
      </c>
      <c r="AW20" s="19">
        <f>IF(AND(ISNUMBER(AU20),ISNUMBER(G20),G20&lt;&gt;0),AU20/G20,"")</f>
        <v/>
      </c>
      <c r="AX20" s="19">
        <f>IF(AND(ISNUMBER(AC20),ISNUMBER(G20),G20&lt;&gt;0),AC20/G20,"")</f>
        <v/>
      </c>
    </row>
    <row r="21">
      <c r="A21" s="8" t="inlineStr">
        <is>
          <t>AAPL</t>
        </is>
      </c>
      <c r="B21" s="8" t="inlineStr">
        <is>
          <t>Apple Inc.</t>
        </is>
      </c>
      <c r="C21" s="8" t="n">
        <v>2018</v>
      </c>
      <c r="D21" s="8" t="inlineStr">
        <is>
          <t>2018-09-29</t>
        </is>
      </c>
      <c r="E21" s="8" t="inlineStr">
        <is>
          <t>일반</t>
        </is>
      </c>
      <c r="F21" s="8" t="inlineStr">
        <is>
          <t>0000320193-20-000096</t>
        </is>
      </c>
      <c r="G21" s="15" t="n">
        <v>265.595</v>
      </c>
      <c r="H21" s="15" t="n">
        <v>72.90300000000001</v>
      </c>
      <c r="I21" s="15" t="n">
        <v>3.24</v>
      </c>
      <c r="J21" s="15" t="n">
        <v>13.372</v>
      </c>
      <c r="K21" s="15" t="n">
        <v>70.898</v>
      </c>
      <c r="L21" s="15" t="n">
        <v>59.531</v>
      </c>
      <c r="M21" s="15" t="n">
        <v>10.903</v>
      </c>
      <c r="N21" s="15" t="n">
        <v>13.313</v>
      </c>
      <c r="O21" s="15" t="n">
        <v>77.434</v>
      </c>
      <c r="P21" s="15" t="n">
        <v>107.147</v>
      </c>
      <c r="Q21" s="15" t="n">
        <v>134.047</v>
      </c>
      <c r="R21" s="15" t="n">
        <v>66.301</v>
      </c>
      <c r="S21" s="15" t="n">
        <v>20.289</v>
      </c>
      <c r="T21" s="15" t="n">
        <v>8.784000000000001</v>
      </c>
      <c r="U21" s="15" t="n">
        <v>6.496</v>
      </c>
      <c r="V21" s="15" t="n">
        <v>93.735</v>
      </c>
      <c r="W21" s="15" t="n">
        <v>131.339</v>
      </c>
      <c r="X21" s="15" t="n">
        <v>128.645</v>
      </c>
      <c r="Y21" s="15" t="n">
        <v>115.929</v>
      </c>
      <c r="Z21" s="15" t="n">
        <v>100.814</v>
      </c>
      <c r="AA21" s="15" t="n">
        <v>217.461</v>
      </c>
      <c r="AB21" s="16" t="n">
        <v>19019.944</v>
      </c>
      <c r="AC21" s="17">
        <f>IF(AND(ISNUMBER(H21),ISNUMBER(I21)),H21+I21,IF(ISNUMBER(K21),K21,IF(ISNUMBER(H21),H21,"")))</f>
        <v/>
      </c>
      <c r="AD21" s="18">
        <f>IF(OR(NOT(ISNUMBER(J21)),NOT(ISNUMBER(H21)),H21&lt;=0),기준표!$B$8,MIN(MAX(J21/H21,기준표!$B$6),기준표!$B$7))</f>
        <v/>
      </c>
      <c r="AE21" s="17">
        <f>IF(ISNUMBER(AC21),AC21*(1-AD21),"")</f>
        <v/>
      </c>
      <c r="AF21" s="17">
        <f>IF(AND(NOT(ISNUMBER(T21)),NOT(ISNUMBER(V21))),"",IF(ISNUMBER(T21),T21,0)+IF(ISNUMBER(V21),V21,0))</f>
        <v/>
      </c>
      <c r="AG21" s="17">
        <f>IF(E21="금융","",IF(AND(ISNUMBER(P21),ISNUMBER(AF21),ISNUMBER(R21)),P21+AF21-R21,""))</f>
        <v/>
      </c>
      <c r="AH21" s="17">
        <f>IF(E21="금융","",IF(NOT(ISNUMBER(AG21)),"",IF(ISNUMBER(AA21),(AG21+AA21)/2,AG21)))</f>
        <v/>
      </c>
      <c r="AI21" s="19">
        <f>IF(AND(ISNUMBER(AE21),ISNUMBER(AH21),AH21&gt;0),AE21/AH21,"")</f>
        <v/>
      </c>
      <c r="AJ21" s="17">
        <f>IF(E21="금융","",IF(AND(ISNUMBER(P21),ISNUMBER(AF21)),P21+AF21,""))</f>
        <v/>
      </c>
      <c r="AK21" s="19">
        <f>IF(OR(NOT(ISNUMBER(AE21)),NOT(ISNUMBER(AJ21)),AJ21&lt;=0),"",IF(AND(ISNUMBER(G21),AJ21&lt;0.1*G21),"",AE21/AJ21))</f>
        <v/>
      </c>
      <c r="AL21" s="17">
        <f>IF(NOT(ISNUMBER(P21)),"",IF(ISNUMBER(Q21),(P21+Q21)/2,P21))</f>
        <v/>
      </c>
      <c r="AM21" s="19">
        <f>IF(AND(ISNUMBER(L21),ISNUMBER(AL21),AL21&gt;0),L21/AL21,"")</f>
        <v/>
      </c>
      <c r="AN21" s="19">
        <f>IF(AND(ISNUMBER(AM21),ISNUMBER({ROIC})),AM21-{ROIC},"")</f>
        <v/>
      </c>
      <c r="AO21" s="17">
        <f>IF(AND(ISNUMBER(AC21),ISNUMBER(M21)),AC21+M21,"")</f>
        <v/>
      </c>
      <c r="AP21" s="20">
        <f>IF(AND(ISNUMBER(AF21),ISNUMBER(R21),ISNUMBER(AO21),AO21&gt;0),(AF21-R21)/AO21,"")</f>
        <v/>
      </c>
      <c r="AQ21" s="20">
        <f>IF(AND(ISNUMBER(AC21),ISNUMBER(I21),I21&lt;&gt;0,AC21&gt;0),AC21/I21,"")</f>
        <v/>
      </c>
      <c r="AR21" s="17">
        <f>IF(AND(ISNUMBER(W21),ISNUMBER(Y21)),W21-IF(ISNUMBER(R21),R21,0)-(Y21-IF(ISNUMBER(T21),T21,0)),"")</f>
        <v/>
      </c>
      <c r="AS21" s="17">
        <f>IF(AND(ISNUMBER(X21),ISNUMBER(Z21)),X21-IF(ISNUMBER(S21),S21,0)-(Z21-IF(ISNUMBER(U21),U21,0)),"")</f>
        <v/>
      </c>
      <c r="AT21" s="17">
        <f>IF(AND(ISNUMBER(AR21),ISNUMBER(AS21)),AR21-AS21,"")</f>
        <v/>
      </c>
      <c r="AU21" s="17">
        <f>IF(E21="금융","",IF(AND(ISNUMBER(L21),ISNUMBER(M21),ISNUMBER(N21),ISNUMBER(AT21)),L21+M21-N21-AT21,IF(AND(ISNUMBER(O21),ISNUMBER(N21)),O21-N21,"")))</f>
        <v/>
      </c>
      <c r="AV21" s="8">
        <f>IF(E21="금융","금융업 - 정의되지 않음",IF(AND(ISNUMBER(L21),ISNUMBER(M21),ISNUMBER(N21),ISNUMBER(AT21)),"순이익+감가상각-설비투자-운전자본증감",IF(AND(ISNUMBER(O21),ISNUMBER(N21)),"영업현금흐름-설비투자","산출불가")))</f>
        <v/>
      </c>
      <c r="AW21" s="19">
        <f>IF(AND(ISNUMBER(AU21),ISNUMBER(G21),G21&lt;&gt;0),AU21/G21,"")</f>
        <v/>
      </c>
      <c r="AX21" s="19">
        <f>IF(AND(ISNUMBER(AC21),ISNUMBER(G21),G21&lt;&gt;0),AC21/G21,"")</f>
        <v/>
      </c>
    </row>
    <row r="22">
      <c r="A22" s="8" t="inlineStr">
        <is>
          <t>AAPL</t>
        </is>
      </c>
      <c r="B22" s="8" t="inlineStr">
        <is>
          <t>Apple Inc.</t>
        </is>
      </c>
      <c r="C22" s="8" t="n">
        <v>2019</v>
      </c>
      <c r="D22" s="8" t="inlineStr">
        <is>
          <t>2019-09-28</t>
        </is>
      </c>
      <c r="E22" s="8" t="inlineStr">
        <is>
          <t>일반</t>
        </is>
      </c>
      <c r="F22" s="8" t="inlineStr">
        <is>
          <t>0000320193-21-000105</t>
        </is>
      </c>
      <c r="G22" s="15" t="n">
        <v>260.174</v>
      </c>
      <c r="H22" s="15" t="n">
        <v>65.73699999999999</v>
      </c>
      <c r="I22" s="15" t="n">
        <v>3.576</v>
      </c>
      <c r="J22" s="15" t="n">
        <v>10.481</v>
      </c>
      <c r="K22" s="15" t="n">
        <v>63.93</v>
      </c>
      <c r="L22" s="15" t="n">
        <v>55.256</v>
      </c>
      <c r="M22" s="15" t="n">
        <v>12.547</v>
      </c>
      <c r="N22" s="15" t="n">
        <v>10.495</v>
      </c>
      <c r="O22" s="15" t="n">
        <v>69.39100000000001</v>
      </c>
      <c r="P22" s="15" t="n">
        <v>90.488</v>
      </c>
      <c r="Q22" s="15" t="n">
        <v>107.147</v>
      </c>
      <c r="R22" s="15" t="n">
        <v>100.557</v>
      </c>
      <c r="S22" s="15" t="n">
        <v>66.301</v>
      </c>
      <c r="T22" s="15" t="n">
        <v>10.26</v>
      </c>
      <c r="U22" s="15" t="n">
        <v>8.784000000000001</v>
      </c>
      <c r="V22" s="15" t="n">
        <v>91.807</v>
      </c>
      <c r="W22" s="15" t="n">
        <v>162.819</v>
      </c>
      <c r="X22" s="15" t="n">
        <v>131.339</v>
      </c>
      <c r="Y22" s="15" t="n">
        <v>105.718</v>
      </c>
      <c r="Z22" s="15" t="n">
        <v>115.929</v>
      </c>
      <c r="AA22" s="15" t="n">
        <v>143.365</v>
      </c>
      <c r="AB22" s="16" t="n">
        <v>17772.945</v>
      </c>
      <c r="AC22" s="17">
        <f>IF(AND(ISNUMBER(H22),ISNUMBER(I22)),H22+I22,IF(ISNUMBER(K22),K22,IF(ISNUMBER(H22),H22,"")))</f>
        <v/>
      </c>
      <c r="AD22" s="18">
        <f>IF(OR(NOT(ISNUMBER(J22)),NOT(ISNUMBER(H22)),H22&lt;=0),기준표!$B$8,MIN(MAX(J22/H22,기준표!$B$6),기준표!$B$7))</f>
        <v/>
      </c>
      <c r="AE22" s="17">
        <f>IF(ISNUMBER(AC22),AC22*(1-AD22),"")</f>
        <v/>
      </c>
      <c r="AF22" s="17">
        <f>IF(AND(NOT(ISNUMBER(T22)),NOT(ISNUMBER(V22))),"",IF(ISNUMBER(T22),T22,0)+IF(ISNUMBER(V22),V22,0))</f>
        <v/>
      </c>
      <c r="AG22" s="17">
        <f>IF(E22="금융","",IF(AND(ISNUMBER(P22),ISNUMBER(AF22),ISNUMBER(R22)),P22+AF22-R22,""))</f>
        <v/>
      </c>
      <c r="AH22" s="17">
        <f>IF(E22="금융","",IF(NOT(ISNUMBER(AG22)),"",IF(ISNUMBER(AA22),(AG22+AA22)/2,AG22)))</f>
        <v/>
      </c>
      <c r="AI22" s="19">
        <f>IF(AND(ISNUMBER(AE22),ISNUMBER(AH22),AH22&gt;0),AE22/AH22,"")</f>
        <v/>
      </c>
      <c r="AJ22" s="17">
        <f>IF(E22="금융","",IF(AND(ISNUMBER(P22),ISNUMBER(AF22)),P22+AF22,""))</f>
        <v/>
      </c>
      <c r="AK22" s="19">
        <f>IF(OR(NOT(ISNUMBER(AE22)),NOT(ISNUMBER(AJ22)),AJ22&lt;=0),"",IF(AND(ISNUMBER(G22),AJ22&lt;0.1*G22),"",AE22/AJ22))</f>
        <v/>
      </c>
      <c r="AL22" s="17">
        <f>IF(NOT(ISNUMBER(P22)),"",IF(ISNUMBER(Q22),(P22+Q22)/2,P22))</f>
        <v/>
      </c>
      <c r="AM22" s="19">
        <f>IF(AND(ISNUMBER(L22),ISNUMBER(AL22),AL22&gt;0),L22/AL22,"")</f>
        <v/>
      </c>
      <c r="AN22" s="19">
        <f>IF(AND(ISNUMBER(AM22),ISNUMBER({ROIC})),AM22-{ROIC},"")</f>
        <v/>
      </c>
      <c r="AO22" s="17">
        <f>IF(AND(ISNUMBER(AC22),ISNUMBER(M22)),AC22+M22,"")</f>
        <v/>
      </c>
      <c r="AP22" s="20">
        <f>IF(AND(ISNUMBER(AF22),ISNUMBER(R22),ISNUMBER(AO22),AO22&gt;0),(AF22-R22)/AO22,"")</f>
        <v/>
      </c>
      <c r="AQ22" s="20">
        <f>IF(AND(ISNUMBER(AC22),ISNUMBER(I22),I22&lt;&gt;0,AC22&gt;0),AC22/I22,"")</f>
        <v/>
      </c>
      <c r="AR22" s="17">
        <f>IF(AND(ISNUMBER(W22),ISNUMBER(Y22)),W22-IF(ISNUMBER(R22),R22,0)-(Y22-IF(ISNUMBER(T22),T22,0)),"")</f>
        <v/>
      </c>
      <c r="AS22" s="17">
        <f>IF(AND(ISNUMBER(X22),ISNUMBER(Z22)),X22-IF(ISNUMBER(S22),S22,0)-(Z22-IF(ISNUMBER(U22),U22,0)),"")</f>
        <v/>
      </c>
      <c r="AT22" s="17">
        <f>IF(AND(ISNUMBER(AR22),ISNUMBER(AS22)),AR22-AS22,"")</f>
        <v/>
      </c>
      <c r="AU22" s="17">
        <f>IF(E22="금융","",IF(AND(ISNUMBER(L22),ISNUMBER(M22),ISNUMBER(N22),ISNUMBER(AT22)),L22+M22-N22-AT22,IF(AND(ISNUMBER(O22),ISNUMBER(N22)),O22-N22,"")))</f>
        <v/>
      </c>
      <c r="AV22" s="8">
        <f>IF(E22="금융","금융업 - 정의되지 않음",IF(AND(ISNUMBER(L22),ISNUMBER(M22),ISNUMBER(N22),ISNUMBER(AT22)),"순이익+감가상각-설비투자-운전자본증감",IF(AND(ISNUMBER(O22),ISNUMBER(N22)),"영업현금흐름-설비투자","산출불가")))</f>
        <v/>
      </c>
      <c r="AW22" s="19">
        <f>IF(AND(ISNUMBER(AU22),ISNUMBER(G22),G22&lt;&gt;0),AU22/G22,"")</f>
        <v/>
      </c>
      <c r="AX22" s="19">
        <f>IF(AND(ISNUMBER(AC22),ISNUMBER(G22),G22&lt;&gt;0),AC22/G22,"")</f>
        <v/>
      </c>
    </row>
    <row r="23">
      <c r="A23" s="8" t="inlineStr">
        <is>
          <t>AAPL</t>
        </is>
      </c>
      <c r="B23" s="8" t="inlineStr">
        <is>
          <t>Apple Inc.</t>
        </is>
      </c>
      <c r="C23" s="8" t="n">
        <v>2020</v>
      </c>
      <c r="D23" s="8" t="inlineStr">
        <is>
          <t>2020-09-26</t>
        </is>
      </c>
      <c r="E23" s="8" t="inlineStr">
        <is>
          <t>일반</t>
        </is>
      </c>
      <c r="F23" s="8" t="inlineStr">
        <is>
          <t>0000320193-22-000108</t>
        </is>
      </c>
      <c r="G23" s="15" t="n">
        <v>274.515</v>
      </c>
      <c r="H23" s="15" t="n">
        <v>67.09099999999999</v>
      </c>
      <c r="I23" s="15" t="n">
        <v>2.873</v>
      </c>
      <c r="J23" s="15" t="n">
        <v>9.68</v>
      </c>
      <c r="K23" s="15" t="n">
        <v>66.288</v>
      </c>
      <c r="L23" s="15" t="n">
        <v>57.411</v>
      </c>
      <c r="M23" s="15" t="n">
        <v>11.056</v>
      </c>
      <c r="N23" s="15" t="n">
        <v>7.309</v>
      </c>
      <c r="O23" s="15" t="n">
        <v>80.67400000000001</v>
      </c>
      <c r="P23" s="15" t="n">
        <v>65.339</v>
      </c>
      <c r="Q23" s="15" t="n">
        <v>90.488</v>
      </c>
      <c r="R23" s="15" t="n">
        <v>90.943</v>
      </c>
      <c r="S23" s="15" t="n">
        <v>100.557</v>
      </c>
      <c r="T23" s="15" t="n">
        <v>8.773</v>
      </c>
      <c r="U23" s="15" t="n">
        <v>10.26</v>
      </c>
      <c r="V23" s="15" t="n">
        <v>98.667</v>
      </c>
      <c r="W23" s="15" t="n">
        <v>143.713</v>
      </c>
      <c r="X23" s="15" t="n">
        <v>162.819</v>
      </c>
      <c r="Y23" s="15" t="n">
        <v>105.392</v>
      </c>
      <c r="Z23" s="15" t="n">
        <v>105.718</v>
      </c>
      <c r="AA23" s="15" t="n">
        <v>91.998</v>
      </c>
      <c r="AB23" s="16" t="n">
        <v>16976.763</v>
      </c>
      <c r="AC23" s="17">
        <f>IF(AND(ISNUMBER(H23),ISNUMBER(I23)),H23+I23,IF(ISNUMBER(K23),K23,IF(ISNUMBER(H23),H23,"")))</f>
        <v/>
      </c>
      <c r="AD23" s="18">
        <f>IF(OR(NOT(ISNUMBER(J23)),NOT(ISNUMBER(H23)),H23&lt;=0),기준표!$B$8,MIN(MAX(J23/H23,기준표!$B$6),기준표!$B$7))</f>
        <v/>
      </c>
      <c r="AE23" s="17">
        <f>IF(ISNUMBER(AC23),AC23*(1-AD23),"")</f>
        <v/>
      </c>
      <c r="AF23" s="17">
        <f>IF(AND(NOT(ISNUMBER(T23)),NOT(ISNUMBER(V23))),"",IF(ISNUMBER(T23),T23,0)+IF(ISNUMBER(V23),V23,0))</f>
        <v/>
      </c>
      <c r="AG23" s="17">
        <f>IF(E23="금융","",IF(AND(ISNUMBER(P23),ISNUMBER(AF23),ISNUMBER(R23)),P23+AF23-R23,""))</f>
        <v/>
      </c>
      <c r="AH23" s="17">
        <f>IF(E23="금융","",IF(NOT(ISNUMBER(AG23)),"",IF(ISNUMBER(AA23),(AG23+AA23)/2,AG23)))</f>
        <v/>
      </c>
      <c r="AI23" s="19">
        <f>IF(AND(ISNUMBER(AE23),ISNUMBER(AH23),AH23&gt;0),AE23/AH23,"")</f>
        <v/>
      </c>
      <c r="AJ23" s="17">
        <f>IF(E23="금융","",IF(AND(ISNUMBER(P23),ISNUMBER(AF23)),P23+AF23,""))</f>
        <v/>
      </c>
      <c r="AK23" s="19">
        <f>IF(OR(NOT(ISNUMBER(AE23)),NOT(ISNUMBER(AJ23)),AJ23&lt;=0),"",IF(AND(ISNUMBER(G23),AJ23&lt;0.1*G23),"",AE23/AJ23))</f>
        <v/>
      </c>
      <c r="AL23" s="17">
        <f>IF(NOT(ISNUMBER(P23)),"",IF(ISNUMBER(Q23),(P23+Q23)/2,P23))</f>
        <v/>
      </c>
      <c r="AM23" s="19">
        <f>IF(AND(ISNUMBER(L23),ISNUMBER(AL23),AL23&gt;0),L23/AL23,"")</f>
        <v/>
      </c>
      <c r="AN23" s="19">
        <f>IF(AND(ISNUMBER(AM23),ISNUMBER({ROIC})),AM23-{ROIC},"")</f>
        <v/>
      </c>
      <c r="AO23" s="17">
        <f>IF(AND(ISNUMBER(AC23),ISNUMBER(M23)),AC23+M23,"")</f>
        <v/>
      </c>
      <c r="AP23" s="20">
        <f>IF(AND(ISNUMBER(AF23),ISNUMBER(R23),ISNUMBER(AO23),AO23&gt;0),(AF23-R23)/AO23,"")</f>
        <v/>
      </c>
      <c r="AQ23" s="20">
        <f>IF(AND(ISNUMBER(AC23),ISNUMBER(I23),I23&lt;&gt;0,AC23&gt;0),AC23/I23,"")</f>
        <v/>
      </c>
      <c r="AR23" s="17">
        <f>IF(AND(ISNUMBER(W23),ISNUMBER(Y23)),W23-IF(ISNUMBER(R23),R23,0)-(Y23-IF(ISNUMBER(T23),T23,0)),"")</f>
        <v/>
      </c>
      <c r="AS23" s="17">
        <f>IF(AND(ISNUMBER(X23),ISNUMBER(Z23)),X23-IF(ISNUMBER(S23),S23,0)-(Z23-IF(ISNUMBER(U23),U23,0)),"")</f>
        <v/>
      </c>
      <c r="AT23" s="17">
        <f>IF(AND(ISNUMBER(AR23),ISNUMBER(AS23)),AR23-AS23,"")</f>
        <v/>
      </c>
      <c r="AU23" s="17">
        <f>IF(E23="금융","",IF(AND(ISNUMBER(L23),ISNUMBER(M23),ISNUMBER(N23),ISNUMBER(AT23)),L23+M23-N23-AT23,IF(AND(ISNUMBER(O23),ISNUMBER(N23)),O23-N23,"")))</f>
        <v/>
      </c>
      <c r="AV23" s="8">
        <f>IF(E23="금융","금융업 - 정의되지 않음",IF(AND(ISNUMBER(L23),ISNUMBER(M23),ISNUMBER(N23),ISNUMBER(AT23)),"순이익+감가상각-설비투자-운전자본증감",IF(AND(ISNUMBER(O23),ISNUMBER(N23)),"영업현금흐름-설비투자","산출불가")))</f>
        <v/>
      </c>
      <c r="AW23" s="19">
        <f>IF(AND(ISNUMBER(AU23),ISNUMBER(G23),G23&lt;&gt;0),AU23/G23,"")</f>
        <v/>
      </c>
      <c r="AX23" s="19">
        <f>IF(AND(ISNUMBER(AC23),ISNUMBER(G23),G23&lt;&gt;0),AC23/G23,"")</f>
        <v/>
      </c>
    </row>
    <row r="24">
      <c r="A24" s="8" t="inlineStr">
        <is>
          <t>AAPL</t>
        </is>
      </c>
      <c r="B24" s="8" t="inlineStr">
        <is>
          <t>Apple Inc.</t>
        </is>
      </c>
      <c r="C24" s="8" t="n">
        <v>2021</v>
      </c>
      <c r="D24" s="8" t="inlineStr">
        <is>
          <t>2021-09-25</t>
        </is>
      </c>
      <c r="E24" s="8" t="inlineStr">
        <is>
          <t>일반</t>
        </is>
      </c>
      <c r="F24" s="8" t="inlineStr">
        <is>
          <t>0000320193-23-000106</t>
        </is>
      </c>
      <c r="G24" s="15" t="n">
        <v>365.817</v>
      </c>
      <c r="H24" s="15" t="n">
        <v>109.207</v>
      </c>
      <c r="I24" s="15" t="n">
        <v>2.645</v>
      </c>
      <c r="J24" s="15" t="n">
        <v>14.527</v>
      </c>
      <c r="K24" s="15" t="n">
        <v>108.949</v>
      </c>
      <c r="L24" s="15" t="n">
        <v>94.68000000000001</v>
      </c>
      <c r="M24" s="15" t="n">
        <v>11.284</v>
      </c>
      <c r="N24" s="15" t="n">
        <v>11.085</v>
      </c>
      <c r="O24" s="15" t="n">
        <v>104.038</v>
      </c>
      <c r="P24" s="15" t="n">
        <v>63.09</v>
      </c>
      <c r="Q24" s="15" t="n">
        <v>65.339</v>
      </c>
      <c r="R24" s="15" t="n">
        <v>62.639</v>
      </c>
      <c r="S24" s="15" t="n">
        <v>90.943</v>
      </c>
      <c r="T24" s="15" t="n">
        <v>9.613</v>
      </c>
      <c r="U24" s="15" t="n">
        <v>8.773</v>
      </c>
      <c r="V24" s="15" t="n">
        <v>109.106</v>
      </c>
      <c r="W24" s="15" t="n">
        <v>134.836</v>
      </c>
      <c r="X24" s="15" t="n">
        <v>143.713</v>
      </c>
      <c r="Y24" s="15" t="n">
        <v>125.481</v>
      </c>
      <c r="Z24" s="15" t="n">
        <v>105.392</v>
      </c>
      <c r="AA24" s="15" t="n">
        <v>81.836</v>
      </c>
      <c r="AB24" s="16" t="n">
        <v>16426.786</v>
      </c>
      <c r="AC24" s="17">
        <f>IF(AND(ISNUMBER(H24),ISNUMBER(I24)),H24+I24,IF(ISNUMBER(K24),K24,IF(ISNUMBER(H24),H24,"")))</f>
        <v/>
      </c>
      <c r="AD24" s="18">
        <f>IF(OR(NOT(ISNUMBER(J24)),NOT(ISNUMBER(H24)),H24&lt;=0),기준표!$B$8,MIN(MAX(J24/H24,기준표!$B$6),기준표!$B$7))</f>
        <v/>
      </c>
      <c r="AE24" s="17">
        <f>IF(ISNUMBER(AC24),AC24*(1-AD24),"")</f>
        <v/>
      </c>
      <c r="AF24" s="17">
        <f>IF(AND(NOT(ISNUMBER(T24)),NOT(ISNUMBER(V24))),"",IF(ISNUMBER(T24),T24,0)+IF(ISNUMBER(V24),V24,0))</f>
        <v/>
      </c>
      <c r="AG24" s="17">
        <f>IF(E24="금융","",IF(AND(ISNUMBER(P24),ISNUMBER(AF24),ISNUMBER(R24)),P24+AF24-R24,""))</f>
        <v/>
      </c>
      <c r="AH24" s="17">
        <f>IF(E24="금융","",IF(NOT(ISNUMBER(AG24)),"",IF(ISNUMBER(AA24),(AG24+AA24)/2,AG24)))</f>
        <v/>
      </c>
      <c r="AI24" s="19">
        <f>IF(AND(ISNUMBER(AE24),ISNUMBER(AH24),AH24&gt;0),AE24/AH24,"")</f>
        <v/>
      </c>
      <c r="AJ24" s="17">
        <f>IF(E24="금융","",IF(AND(ISNUMBER(P24),ISNUMBER(AF24)),P24+AF24,""))</f>
        <v/>
      </c>
      <c r="AK24" s="19">
        <f>IF(OR(NOT(ISNUMBER(AE24)),NOT(ISNUMBER(AJ24)),AJ24&lt;=0),"",IF(AND(ISNUMBER(G24),AJ24&lt;0.1*G24),"",AE24/AJ24))</f>
        <v/>
      </c>
      <c r="AL24" s="17">
        <f>IF(NOT(ISNUMBER(P24)),"",IF(ISNUMBER(Q24),(P24+Q24)/2,P24))</f>
        <v/>
      </c>
      <c r="AM24" s="19">
        <f>IF(AND(ISNUMBER(L24),ISNUMBER(AL24),AL24&gt;0),L24/AL24,"")</f>
        <v/>
      </c>
      <c r="AN24" s="19">
        <f>IF(AND(ISNUMBER(AM24),ISNUMBER({ROIC})),AM24-{ROIC},"")</f>
        <v/>
      </c>
      <c r="AO24" s="17">
        <f>IF(AND(ISNUMBER(AC24),ISNUMBER(M24)),AC24+M24,"")</f>
        <v/>
      </c>
      <c r="AP24" s="20">
        <f>IF(AND(ISNUMBER(AF24),ISNUMBER(R24),ISNUMBER(AO24),AO24&gt;0),(AF24-R24)/AO24,"")</f>
        <v/>
      </c>
      <c r="AQ24" s="20">
        <f>IF(AND(ISNUMBER(AC24),ISNUMBER(I24),I24&lt;&gt;0,AC24&gt;0),AC24/I24,"")</f>
        <v/>
      </c>
      <c r="AR24" s="17">
        <f>IF(AND(ISNUMBER(W24),ISNUMBER(Y24)),W24-IF(ISNUMBER(R24),R24,0)-(Y24-IF(ISNUMBER(T24),T24,0)),"")</f>
        <v/>
      </c>
      <c r="AS24" s="17">
        <f>IF(AND(ISNUMBER(X24),ISNUMBER(Z24)),X24-IF(ISNUMBER(S24),S24,0)-(Z24-IF(ISNUMBER(U24),U24,0)),"")</f>
        <v/>
      </c>
      <c r="AT24" s="17">
        <f>IF(AND(ISNUMBER(AR24),ISNUMBER(AS24)),AR24-AS24,"")</f>
        <v/>
      </c>
      <c r="AU24" s="17">
        <f>IF(E24="금융","",IF(AND(ISNUMBER(L24),ISNUMBER(M24),ISNUMBER(N24),ISNUMBER(AT24)),L24+M24-N24-AT24,IF(AND(ISNUMBER(O24),ISNUMBER(N24)),O24-N24,"")))</f>
        <v/>
      </c>
      <c r="AV24" s="8">
        <f>IF(E24="금융","금융업 - 정의되지 않음",IF(AND(ISNUMBER(L24),ISNUMBER(M24),ISNUMBER(N24),ISNUMBER(AT24)),"순이익+감가상각-설비투자-운전자본증감",IF(AND(ISNUMBER(O24),ISNUMBER(N24)),"영업현금흐름-설비투자","산출불가")))</f>
        <v/>
      </c>
      <c r="AW24" s="19">
        <f>IF(AND(ISNUMBER(AU24),ISNUMBER(G24),G24&lt;&gt;0),AU24/G24,"")</f>
        <v/>
      </c>
      <c r="AX24" s="19">
        <f>IF(AND(ISNUMBER(AC24),ISNUMBER(G24),G24&lt;&gt;0),AC24/G24,"")</f>
        <v/>
      </c>
    </row>
    <row r="25">
      <c r="A25" s="8" t="inlineStr">
        <is>
          <t>AAPL</t>
        </is>
      </c>
      <c r="B25" s="8" t="inlineStr">
        <is>
          <t>Apple Inc.</t>
        </is>
      </c>
      <c r="C25" s="8" t="n">
        <v>2022</v>
      </c>
      <c r="D25" s="8" t="inlineStr">
        <is>
          <t>2022-09-24</t>
        </is>
      </c>
      <c r="E25" s="8" t="inlineStr">
        <is>
          <t>일반</t>
        </is>
      </c>
      <c r="F25" s="8" t="inlineStr">
        <is>
          <t>0000320193-24-000123</t>
        </is>
      </c>
      <c r="G25" s="15" t="n">
        <v>394.328</v>
      </c>
      <c r="H25" s="15" t="n">
        <v>119.103</v>
      </c>
      <c r="I25" s="15" t="n">
        <v>2.931</v>
      </c>
      <c r="J25" s="15" t="n">
        <v>19.3</v>
      </c>
      <c r="K25" s="15" t="n">
        <v>119.437</v>
      </c>
      <c r="L25" s="15" t="n">
        <v>99.803</v>
      </c>
      <c r="M25" s="15" t="n">
        <v>11.104</v>
      </c>
      <c r="N25" s="15" t="n">
        <v>10.708</v>
      </c>
      <c r="O25" s="15" t="n">
        <v>122.151</v>
      </c>
      <c r="P25" s="15" t="n">
        <v>50.672</v>
      </c>
      <c r="Q25" s="15" t="n">
        <v>63.09</v>
      </c>
      <c r="R25" s="15" t="n">
        <v>48.304</v>
      </c>
      <c r="S25" s="15" t="n">
        <v>62.639</v>
      </c>
      <c r="T25" s="15" t="n">
        <v>11.128</v>
      </c>
      <c r="U25" s="15" t="n">
        <v>9.613</v>
      </c>
      <c r="V25" s="15" t="n">
        <v>98.959</v>
      </c>
      <c r="W25" s="15" t="n">
        <v>135.405</v>
      </c>
      <c r="X25" s="15" t="n">
        <v>134.836</v>
      </c>
      <c r="Y25" s="15" t="n">
        <v>153.982</v>
      </c>
      <c r="Z25" s="15" t="n">
        <v>125.481</v>
      </c>
      <c r="AA25" s="15" t="n">
        <v>119.17</v>
      </c>
      <c r="AB25" s="16" t="n">
        <v>15943.425</v>
      </c>
      <c r="AC25" s="17">
        <f>IF(AND(ISNUMBER(H25),ISNUMBER(I25)),H25+I25,IF(ISNUMBER(K25),K25,IF(ISNUMBER(H25),H25,"")))</f>
        <v/>
      </c>
      <c r="AD25" s="18">
        <f>IF(OR(NOT(ISNUMBER(J25)),NOT(ISNUMBER(H25)),H25&lt;=0),기준표!$B$8,MIN(MAX(J25/H25,기준표!$B$6),기준표!$B$7))</f>
        <v/>
      </c>
      <c r="AE25" s="17">
        <f>IF(ISNUMBER(AC25),AC25*(1-AD25),"")</f>
        <v/>
      </c>
      <c r="AF25" s="17">
        <f>IF(AND(NOT(ISNUMBER(T25)),NOT(ISNUMBER(V25))),"",IF(ISNUMBER(T25),T25,0)+IF(ISNUMBER(V25),V25,0))</f>
        <v/>
      </c>
      <c r="AG25" s="17">
        <f>IF(E25="금융","",IF(AND(ISNUMBER(P25),ISNUMBER(AF25),ISNUMBER(R25)),P25+AF25-R25,""))</f>
        <v/>
      </c>
      <c r="AH25" s="17">
        <f>IF(E25="금융","",IF(NOT(ISNUMBER(AG25)),"",IF(ISNUMBER(AA25),(AG25+AA25)/2,AG25)))</f>
        <v/>
      </c>
      <c r="AI25" s="19">
        <f>IF(AND(ISNUMBER(AE25),ISNUMBER(AH25),AH25&gt;0),AE25/AH25,"")</f>
        <v/>
      </c>
      <c r="AJ25" s="17">
        <f>IF(E25="금융","",IF(AND(ISNUMBER(P25),ISNUMBER(AF25)),P25+AF25,""))</f>
        <v/>
      </c>
      <c r="AK25" s="19">
        <f>IF(OR(NOT(ISNUMBER(AE25)),NOT(ISNUMBER(AJ25)),AJ25&lt;=0),"",IF(AND(ISNUMBER(G25),AJ25&lt;0.1*G25),"",AE25/AJ25))</f>
        <v/>
      </c>
      <c r="AL25" s="17">
        <f>IF(NOT(ISNUMBER(P25)),"",IF(ISNUMBER(Q25),(P25+Q25)/2,P25))</f>
        <v/>
      </c>
      <c r="AM25" s="19">
        <f>IF(AND(ISNUMBER(L25),ISNUMBER(AL25),AL25&gt;0),L25/AL25,"")</f>
        <v/>
      </c>
      <c r="AN25" s="19">
        <f>IF(AND(ISNUMBER(AM25),ISNUMBER({ROIC})),AM25-{ROIC},"")</f>
        <v/>
      </c>
      <c r="AO25" s="17">
        <f>IF(AND(ISNUMBER(AC25),ISNUMBER(M25)),AC25+M25,"")</f>
        <v/>
      </c>
      <c r="AP25" s="20">
        <f>IF(AND(ISNUMBER(AF25),ISNUMBER(R25),ISNUMBER(AO25),AO25&gt;0),(AF25-R25)/AO25,"")</f>
        <v/>
      </c>
      <c r="AQ25" s="20">
        <f>IF(AND(ISNUMBER(AC25),ISNUMBER(I25),I25&lt;&gt;0,AC25&gt;0),AC25/I25,"")</f>
        <v/>
      </c>
      <c r="AR25" s="17">
        <f>IF(AND(ISNUMBER(W25),ISNUMBER(Y25)),W25-IF(ISNUMBER(R25),R25,0)-(Y25-IF(ISNUMBER(T25),T25,0)),"")</f>
        <v/>
      </c>
      <c r="AS25" s="17">
        <f>IF(AND(ISNUMBER(X25),ISNUMBER(Z25)),X25-IF(ISNUMBER(S25),S25,0)-(Z25-IF(ISNUMBER(U25),U25,0)),"")</f>
        <v/>
      </c>
      <c r="AT25" s="17">
        <f>IF(AND(ISNUMBER(AR25),ISNUMBER(AS25)),AR25-AS25,"")</f>
        <v/>
      </c>
      <c r="AU25" s="17">
        <f>IF(E25="금융","",IF(AND(ISNUMBER(L25),ISNUMBER(M25),ISNUMBER(N25),ISNUMBER(AT25)),L25+M25-N25-AT25,IF(AND(ISNUMBER(O25),ISNUMBER(N25)),O25-N25,"")))</f>
        <v/>
      </c>
      <c r="AV25" s="8">
        <f>IF(E25="금융","금융업 - 정의되지 않음",IF(AND(ISNUMBER(L25),ISNUMBER(M25),ISNUMBER(N25),ISNUMBER(AT25)),"순이익+감가상각-설비투자-운전자본증감",IF(AND(ISNUMBER(O25),ISNUMBER(N25)),"영업현금흐름-설비투자","산출불가")))</f>
        <v/>
      </c>
      <c r="AW25" s="19">
        <f>IF(AND(ISNUMBER(AU25),ISNUMBER(G25),G25&lt;&gt;0),AU25/G25,"")</f>
        <v/>
      </c>
      <c r="AX25" s="19">
        <f>IF(AND(ISNUMBER(AC25),ISNUMBER(G25),G25&lt;&gt;0),AC25/G25,"")</f>
        <v/>
      </c>
    </row>
    <row r="26">
      <c r="A26" s="8" t="inlineStr">
        <is>
          <t>AAPL</t>
        </is>
      </c>
      <c r="B26" s="8" t="inlineStr">
        <is>
          <t>Apple Inc.</t>
        </is>
      </c>
      <c r="C26" s="8" t="n">
        <v>2023</v>
      </c>
      <c r="D26" s="8" t="inlineStr">
        <is>
          <t>2023-09-30</t>
        </is>
      </c>
      <c r="E26" s="8" t="inlineStr">
        <is>
          <t>일반</t>
        </is>
      </c>
      <c r="F26" s="8" t="inlineStr">
        <is>
          <t>0000320193-25-000079</t>
        </is>
      </c>
      <c r="G26" s="15" t="n">
        <v>383.285</v>
      </c>
      <c r="H26" s="15" t="n">
        <v>113.736</v>
      </c>
      <c r="I26" s="15" t="n">
        <v>3.933</v>
      </c>
      <c r="J26" s="15" t="n">
        <v>16.741</v>
      </c>
      <c r="K26" s="15" t="n">
        <v>114.301</v>
      </c>
      <c r="L26" s="15" t="n">
        <v>96.995</v>
      </c>
      <c r="M26" s="15" t="n">
        <v>11.519</v>
      </c>
      <c r="N26" s="15" t="n">
        <v>10.959</v>
      </c>
      <c r="O26" s="15" t="n">
        <v>110.543</v>
      </c>
      <c r="P26" s="15" t="n">
        <v>62.146</v>
      </c>
      <c r="Q26" s="15" t="n">
        <v>50.672</v>
      </c>
      <c r="R26" s="15" t="n">
        <v>61.555</v>
      </c>
      <c r="S26" s="15" t="n">
        <v>48.304</v>
      </c>
      <c r="T26" s="15" t="n">
        <v>9.821999999999999</v>
      </c>
      <c r="U26" s="15" t="n">
        <v>11.128</v>
      </c>
      <c r="V26" s="15" t="n">
        <v>95.28100000000001</v>
      </c>
      <c r="W26" s="15" t="n">
        <v>143.566</v>
      </c>
      <c r="X26" s="15" t="n">
        <v>135.405</v>
      </c>
      <c r="Y26" s="15" t="n">
        <v>145.308</v>
      </c>
      <c r="Z26" s="15" t="n">
        <v>153.982</v>
      </c>
      <c r="AA26" s="15" t="n">
        <v>112.455</v>
      </c>
      <c r="AB26" s="16" t="n">
        <v>15550.061</v>
      </c>
      <c r="AC26" s="17">
        <f>IF(AND(ISNUMBER(H26),ISNUMBER(I26)),H26+I26,IF(ISNUMBER(K26),K26,IF(ISNUMBER(H26),H26,"")))</f>
        <v/>
      </c>
      <c r="AD26" s="18">
        <f>IF(OR(NOT(ISNUMBER(J26)),NOT(ISNUMBER(H26)),H26&lt;=0),기준표!$B$8,MIN(MAX(J26/H26,기준표!$B$6),기준표!$B$7))</f>
        <v/>
      </c>
      <c r="AE26" s="17">
        <f>IF(ISNUMBER(AC26),AC26*(1-AD26),"")</f>
        <v/>
      </c>
      <c r="AF26" s="17">
        <f>IF(AND(NOT(ISNUMBER(T26)),NOT(ISNUMBER(V26))),"",IF(ISNUMBER(T26),T26,0)+IF(ISNUMBER(V26),V26,0))</f>
        <v/>
      </c>
      <c r="AG26" s="17">
        <f>IF(E26="금융","",IF(AND(ISNUMBER(P26),ISNUMBER(AF26),ISNUMBER(R26)),P26+AF26-R26,""))</f>
        <v/>
      </c>
      <c r="AH26" s="17">
        <f>IF(E26="금융","",IF(NOT(ISNUMBER(AG26)),"",IF(ISNUMBER(AA26),(AG26+AA26)/2,AG26)))</f>
        <v/>
      </c>
      <c r="AI26" s="19">
        <f>IF(AND(ISNUMBER(AE26),ISNUMBER(AH26),AH26&gt;0),AE26/AH26,"")</f>
        <v/>
      </c>
      <c r="AJ26" s="17">
        <f>IF(E26="금융","",IF(AND(ISNUMBER(P26),ISNUMBER(AF26)),P26+AF26,""))</f>
        <v/>
      </c>
      <c r="AK26" s="19">
        <f>IF(OR(NOT(ISNUMBER(AE26)),NOT(ISNUMBER(AJ26)),AJ26&lt;=0),"",IF(AND(ISNUMBER(G26),AJ26&lt;0.1*G26),"",AE26/AJ26))</f>
        <v/>
      </c>
      <c r="AL26" s="17">
        <f>IF(NOT(ISNUMBER(P26)),"",IF(ISNUMBER(Q26),(P26+Q26)/2,P26))</f>
        <v/>
      </c>
      <c r="AM26" s="19">
        <f>IF(AND(ISNUMBER(L26),ISNUMBER(AL26),AL26&gt;0),L26/AL26,"")</f>
        <v/>
      </c>
      <c r="AN26" s="19">
        <f>IF(AND(ISNUMBER(AM26),ISNUMBER({ROIC})),AM26-{ROIC},"")</f>
        <v/>
      </c>
      <c r="AO26" s="17">
        <f>IF(AND(ISNUMBER(AC26),ISNUMBER(M26)),AC26+M26,"")</f>
        <v/>
      </c>
      <c r="AP26" s="20">
        <f>IF(AND(ISNUMBER(AF26),ISNUMBER(R26),ISNUMBER(AO26),AO26&gt;0),(AF26-R26)/AO26,"")</f>
        <v/>
      </c>
      <c r="AQ26" s="20">
        <f>IF(AND(ISNUMBER(AC26),ISNUMBER(I26),I26&lt;&gt;0,AC26&gt;0),AC26/I26,"")</f>
        <v/>
      </c>
      <c r="AR26" s="17">
        <f>IF(AND(ISNUMBER(W26),ISNUMBER(Y26)),W26-IF(ISNUMBER(R26),R26,0)-(Y26-IF(ISNUMBER(T26),T26,0)),"")</f>
        <v/>
      </c>
      <c r="AS26" s="17">
        <f>IF(AND(ISNUMBER(X26),ISNUMBER(Z26)),X26-IF(ISNUMBER(S26),S26,0)-(Z26-IF(ISNUMBER(U26),U26,0)),"")</f>
        <v/>
      </c>
      <c r="AT26" s="17">
        <f>IF(AND(ISNUMBER(AR26),ISNUMBER(AS26)),AR26-AS26,"")</f>
        <v/>
      </c>
      <c r="AU26" s="17">
        <f>IF(E26="금융","",IF(AND(ISNUMBER(L26),ISNUMBER(M26),ISNUMBER(N26),ISNUMBER(AT26)),L26+M26-N26-AT26,IF(AND(ISNUMBER(O26),ISNUMBER(N26)),O26-N26,"")))</f>
        <v/>
      </c>
      <c r="AV26" s="8">
        <f>IF(E26="금융","금융업 - 정의되지 않음",IF(AND(ISNUMBER(L26),ISNUMBER(M26),ISNUMBER(N26),ISNUMBER(AT26)),"순이익+감가상각-설비투자-운전자본증감",IF(AND(ISNUMBER(O26),ISNUMBER(N26)),"영업현금흐름-설비투자","산출불가")))</f>
        <v/>
      </c>
      <c r="AW26" s="19">
        <f>IF(AND(ISNUMBER(AU26),ISNUMBER(G26),G26&lt;&gt;0),AU26/G26,"")</f>
        <v/>
      </c>
      <c r="AX26" s="19">
        <f>IF(AND(ISNUMBER(AC26),ISNUMBER(G26),G26&lt;&gt;0),AC26/G26,"")</f>
        <v/>
      </c>
    </row>
    <row r="27">
      <c r="A27" s="8" t="inlineStr">
        <is>
          <t>AAPL</t>
        </is>
      </c>
      <c r="B27" s="8" t="inlineStr">
        <is>
          <t>Apple Inc.</t>
        </is>
      </c>
      <c r="C27" s="8" t="n">
        <v>2024</v>
      </c>
      <c r="D27" s="8" t="inlineStr">
        <is>
          <t>2024-09-28</t>
        </is>
      </c>
      <c r="E27" s="8" t="inlineStr">
        <is>
          <t>일반</t>
        </is>
      </c>
      <c r="F27" s="8" t="inlineStr">
        <is>
          <t>0000320193-25-000079</t>
        </is>
      </c>
      <c r="G27" s="15" t="n">
        <v>391.035</v>
      </c>
      <c r="H27" s="15" t="n">
        <v>123.485</v>
      </c>
      <c r="I27" s="15" t="n"/>
      <c r="J27" s="15" t="n">
        <v>29.749</v>
      </c>
      <c r="K27" s="15" t="n">
        <v>123.216</v>
      </c>
      <c r="L27" s="15" t="n">
        <v>93.736</v>
      </c>
      <c r="M27" s="15" t="n">
        <v>11.445</v>
      </c>
      <c r="N27" s="15" t="n">
        <v>9.446999999999999</v>
      </c>
      <c r="O27" s="15" t="n">
        <v>118.254</v>
      </c>
      <c r="P27" s="15" t="n">
        <v>56.95</v>
      </c>
      <c r="Q27" s="15" t="n">
        <v>62.146</v>
      </c>
      <c r="R27" s="15" t="n">
        <v>65.17100000000001</v>
      </c>
      <c r="S27" s="15" t="n">
        <v>61.555</v>
      </c>
      <c r="T27" s="15" t="n">
        <v>10.912</v>
      </c>
      <c r="U27" s="15" t="n">
        <v>9.821999999999999</v>
      </c>
      <c r="V27" s="15" t="n">
        <v>85.75</v>
      </c>
      <c r="W27" s="15" t="n">
        <v>152.987</v>
      </c>
      <c r="X27" s="15" t="n">
        <v>143.566</v>
      </c>
      <c r="Y27" s="15" t="n">
        <v>176.392</v>
      </c>
      <c r="Z27" s="15" t="n">
        <v>145.308</v>
      </c>
      <c r="AA27" s="15" t="n">
        <v>105.694</v>
      </c>
      <c r="AB27" s="16" t="n">
        <v>15116.786</v>
      </c>
      <c r="AC27" s="17">
        <f>IF(AND(ISNUMBER(H27),ISNUMBER(I27)),H27+I27,IF(ISNUMBER(K27),K27,IF(ISNUMBER(H27),H27,"")))</f>
        <v/>
      </c>
      <c r="AD27" s="18">
        <f>IF(OR(NOT(ISNUMBER(J27)),NOT(ISNUMBER(H27)),H27&lt;=0),기준표!$B$8,MIN(MAX(J27/H27,기준표!$B$6),기준표!$B$7))</f>
        <v/>
      </c>
      <c r="AE27" s="17">
        <f>IF(ISNUMBER(AC27),AC27*(1-AD27),"")</f>
        <v/>
      </c>
      <c r="AF27" s="17">
        <f>IF(AND(NOT(ISNUMBER(T27)),NOT(ISNUMBER(V27))),"",IF(ISNUMBER(T27),T27,0)+IF(ISNUMBER(V27),V27,0))</f>
        <v/>
      </c>
      <c r="AG27" s="17">
        <f>IF(E27="금융","",IF(AND(ISNUMBER(P27),ISNUMBER(AF27),ISNUMBER(R27)),P27+AF27-R27,""))</f>
        <v/>
      </c>
      <c r="AH27" s="17">
        <f>IF(E27="금융","",IF(NOT(ISNUMBER(AG27)),"",IF(ISNUMBER(AA27),(AG27+AA27)/2,AG27)))</f>
        <v/>
      </c>
      <c r="AI27" s="19">
        <f>IF(AND(ISNUMBER(AE27),ISNUMBER(AH27),AH27&gt;0),AE27/AH27,"")</f>
        <v/>
      </c>
      <c r="AJ27" s="17">
        <f>IF(E27="금융","",IF(AND(ISNUMBER(P27),ISNUMBER(AF27)),P27+AF27,""))</f>
        <v/>
      </c>
      <c r="AK27" s="19">
        <f>IF(OR(NOT(ISNUMBER(AE27)),NOT(ISNUMBER(AJ27)),AJ27&lt;=0),"",IF(AND(ISNUMBER(G27),AJ27&lt;0.1*G27),"",AE27/AJ27))</f>
        <v/>
      </c>
      <c r="AL27" s="17">
        <f>IF(NOT(ISNUMBER(P27)),"",IF(ISNUMBER(Q27),(P27+Q27)/2,P27))</f>
        <v/>
      </c>
      <c r="AM27" s="19">
        <f>IF(AND(ISNUMBER(L27),ISNUMBER(AL27),AL27&gt;0),L27/AL27,"")</f>
        <v/>
      </c>
      <c r="AN27" s="19">
        <f>IF(AND(ISNUMBER(AM27),ISNUMBER({ROIC})),AM27-{ROIC},"")</f>
        <v/>
      </c>
      <c r="AO27" s="17">
        <f>IF(AND(ISNUMBER(AC27),ISNUMBER(M27)),AC27+M27,"")</f>
        <v/>
      </c>
      <c r="AP27" s="20">
        <f>IF(AND(ISNUMBER(AF27),ISNUMBER(R27),ISNUMBER(AO27),AO27&gt;0),(AF27-R27)/AO27,"")</f>
        <v/>
      </c>
      <c r="AQ27" s="20">
        <f>IF(AND(ISNUMBER(AC27),ISNUMBER(I27),I27&lt;&gt;0,AC27&gt;0),AC27/I27,"")</f>
        <v/>
      </c>
      <c r="AR27" s="17">
        <f>IF(AND(ISNUMBER(W27),ISNUMBER(Y27)),W27-IF(ISNUMBER(R27),R27,0)-(Y27-IF(ISNUMBER(T27),T27,0)),"")</f>
        <v/>
      </c>
      <c r="AS27" s="17">
        <f>IF(AND(ISNUMBER(X27),ISNUMBER(Z27)),X27-IF(ISNUMBER(S27),S27,0)-(Z27-IF(ISNUMBER(U27),U27,0)),"")</f>
        <v/>
      </c>
      <c r="AT27" s="17">
        <f>IF(AND(ISNUMBER(AR27),ISNUMBER(AS27)),AR27-AS27,"")</f>
        <v/>
      </c>
      <c r="AU27" s="17">
        <f>IF(E27="금융","",IF(AND(ISNUMBER(L27),ISNUMBER(M27),ISNUMBER(N27),ISNUMBER(AT27)),L27+M27-N27-AT27,IF(AND(ISNUMBER(O27),ISNUMBER(N27)),O27-N27,"")))</f>
        <v/>
      </c>
      <c r="AV27" s="8">
        <f>IF(E27="금융","금융업 - 정의되지 않음",IF(AND(ISNUMBER(L27),ISNUMBER(M27),ISNUMBER(N27),ISNUMBER(AT27)),"순이익+감가상각-설비투자-운전자본증감",IF(AND(ISNUMBER(O27),ISNUMBER(N27)),"영업현금흐름-설비투자","산출불가")))</f>
        <v/>
      </c>
      <c r="AW27" s="19">
        <f>IF(AND(ISNUMBER(AU27),ISNUMBER(G27),G27&lt;&gt;0),AU27/G27,"")</f>
        <v/>
      </c>
      <c r="AX27" s="19">
        <f>IF(AND(ISNUMBER(AC27),ISNUMBER(G27),G27&lt;&gt;0),AC27/G27,"")</f>
        <v/>
      </c>
    </row>
    <row r="28">
      <c r="A28" s="8" t="inlineStr">
        <is>
          <t>AAPL</t>
        </is>
      </c>
      <c r="B28" s="8" t="inlineStr">
        <is>
          <t>Apple Inc.</t>
        </is>
      </c>
      <c r="C28" s="8" t="n">
        <v>2025</v>
      </c>
      <c r="D28" s="8" t="inlineStr">
        <is>
          <t>2025-09-27</t>
        </is>
      </c>
      <c r="E28" s="8" t="inlineStr">
        <is>
          <t>일반</t>
        </is>
      </c>
      <c r="F28" s="8" t="inlineStr">
        <is>
          <t>0000320193-25-000079</t>
        </is>
      </c>
      <c r="G28" s="15" t="n">
        <v>416.161</v>
      </c>
      <c r="H28" s="15" t="n">
        <v>132.729</v>
      </c>
      <c r="I28" s="15" t="n"/>
      <c r="J28" s="15" t="n">
        <v>20.719</v>
      </c>
      <c r="K28" s="15" t="n">
        <v>133.05</v>
      </c>
      <c r="L28" s="15" t="n">
        <v>112.01</v>
      </c>
      <c r="M28" s="15" t="n">
        <v>11.698</v>
      </c>
      <c r="N28" s="15" t="n">
        <v>12.715</v>
      </c>
      <c r="O28" s="15" t="n">
        <v>111.482</v>
      </c>
      <c r="P28" s="15" t="n">
        <v>73.733</v>
      </c>
      <c r="Q28" s="15" t="n">
        <v>56.95</v>
      </c>
      <c r="R28" s="15" t="n">
        <v>54.697</v>
      </c>
      <c r="S28" s="15" t="n">
        <v>65.17100000000001</v>
      </c>
      <c r="T28" s="15" t="n">
        <v>12.35</v>
      </c>
      <c r="U28" s="15" t="n">
        <v>10.912</v>
      </c>
      <c r="V28" s="15" t="n">
        <v>78.328</v>
      </c>
      <c r="W28" s="15" t="n">
        <v>147.957</v>
      </c>
      <c r="X28" s="15" t="n">
        <v>152.987</v>
      </c>
      <c r="Y28" s="15" t="n">
        <v>165.631</v>
      </c>
      <c r="Z28" s="15" t="n">
        <v>176.392</v>
      </c>
      <c r="AA28" s="15" t="n">
        <v>88.441</v>
      </c>
      <c r="AB28" s="16" t="n">
        <v>14773.26</v>
      </c>
      <c r="AC28" s="17">
        <f>IF(AND(ISNUMBER(H28),ISNUMBER(I28)),H28+I28,IF(ISNUMBER(K28),K28,IF(ISNUMBER(H28),H28,"")))</f>
        <v/>
      </c>
      <c r="AD28" s="18">
        <f>IF(OR(NOT(ISNUMBER(J28)),NOT(ISNUMBER(H28)),H28&lt;=0),기준표!$B$8,MIN(MAX(J28/H28,기준표!$B$6),기준표!$B$7))</f>
        <v/>
      </c>
      <c r="AE28" s="17">
        <f>IF(ISNUMBER(AC28),AC28*(1-AD28),"")</f>
        <v/>
      </c>
      <c r="AF28" s="17">
        <f>IF(AND(NOT(ISNUMBER(T28)),NOT(ISNUMBER(V28))),"",IF(ISNUMBER(T28),T28,0)+IF(ISNUMBER(V28),V28,0))</f>
        <v/>
      </c>
      <c r="AG28" s="17">
        <f>IF(E28="금융","",IF(AND(ISNUMBER(P28),ISNUMBER(AF28),ISNUMBER(R28)),P28+AF28-R28,""))</f>
        <v/>
      </c>
      <c r="AH28" s="17">
        <f>IF(E28="금융","",IF(NOT(ISNUMBER(AG28)),"",IF(ISNUMBER(AA28),(AG28+AA28)/2,AG28)))</f>
        <v/>
      </c>
      <c r="AI28" s="19">
        <f>IF(AND(ISNUMBER(AE28),ISNUMBER(AH28),AH28&gt;0),AE28/AH28,"")</f>
        <v/>
      </c>
      <c r="AJ28" s="17">
        <f>IF(E28="금융","",IF(AND(ISNUMBER(P28),ISNUMBER(AF28)),P28+AF28,""))</f>
        <v/>
      </c>
      <c r="AK28" s="19">
        <f>IF(OR(NOT(ISNUMBER(AE28)),NOT(ISNUMBER(AJ28)),AJ28&lt;=0),"",IF(AND(ISNUMBER(G28),AJ28&lt;0.1*G28),"",AE28/AJ28))</f>
        <v/>
      </c>
      <c r="AL28" s="17">
        <f>IF(NOT(ISNUMBER(P28)),"",IF(ISNUMBER(Q28),(P28+Q28)/2,P28))</f>
        <v/>
      </c>
      <c r="AM28" s="19">
        <f>IF(AND(ISNUMBER(L28),ISNUMBER(AL28),AL28&gt;0),L28/AL28,"")</f>
        <v/>
      </c>
      <c r="AN28" s="19">
        <f>IF(AND(ISNUMBER(AM28),ISNUMBER({ROIC})),AM28-{ROIC},"")</f>
        <v/>
      </c>
      <c r="AO28" s="17">
        <f>IF(AND(ISNUMBER(AC28),ISNUMBER(M28)),AC28+M28,"")</f>
        <v/>
      </c>
      <c r="AP28" s="20">
        <f>IF(AND(ISNUMBER(AF28),ISNUMBER(R28),ISNUMBER(AO28),AO28&gt;0),(AF28-R28)/AO28,"")</f>
        <v/>
      </c>
      <c r="AQ28" s="20">
        <f>IF(AND(ISNUMBER(AC28),ISNUMBER(I28),I28&lt;&gt;0,AC28&gt;0),AC28/I28,"")</f>
        <v/>
      </c>
      <c r="AR28" s="17">
        <f>IF(AND(ISNUMBER(W28),ISNUMBER(Y28)),W28-IF(ISNUMBER(R28),R28,0)-(Y28-IF(ISNUMBER(T28),T28,0)),"")</f>
        <v/>
      </c>
      <c r="AS28" s="17">
        <f>IF(AND(ISNUMBER(X28),ISNUMBER(Z28)),X28-IF(ISNUMBER(S28),S28,0)-(Z28-IF(ISNUMBER(U28),U28,0)),"")</f>
        <v/>
      </c>
      <c r="AT28" s="17">
        <f>IF(AND(ISNUMBER(AR28),ISNUMBER(AS28)),AR28-AS28,"")</f>
        <v/>
      </c>
      <c r="AU28" s="17">
        <f>IF(E28="금융","",IF(AND(ISNUMBER(L28),ISNUMBER(M28),ISNUMBER(N28),ISNUMBER(AT28)),L28+M28-N28-AT28,IF(AND(ISNUMBER(O28),ISNUMBER(N28)),O28-N28,"")))</f>
        <v/>
      </c>
      <c r="AV28" s="8">
        <f>IF(E28="금융","금융업 - 정의되지 않음",IF(AND(ISNUMBER(L28),ISNUMBER(M28),ISNUMBER(N28),ISNUMBER(AT28)),"순이익+감가상각-설비투자-운전자본증감",IF(AND(ISNUMBER(O28),ISNUMBER(N28)),"영업현금흐름-설비투자","산출불가")))</f>
        <v/>
      </c>
      <c r="AW28" s="19">
        <f>IF(AND(ISNUMBER(AU28),ISNUMBER(G28),G28&lt;&gt;0),AU28/G28,"")</f>
        <v/>
      </c>
      <c r="AX28" s="19">
        <f>IF(AND(ISNUMBER(AC28),ISNUMBER(G28),G28&lt;&gt;0),AC28/G28,"")</f>
        <v/>
      </c>
    </row>
    <row r="29">
      <c r="A29" s="8" t="inlineStr">
        <is>
          <t>GOOG</t>
        </is>
      </c>
      <c r="B29" s="8" t="inlineStr">
        <is>
          <t>Alphabet Inc.</t>
        </is>
      </c>
      <c r="C29" s="8" t="n">
        <v>2014</v>
      </c>
      <c r="D29" s="8" t="inlineStr">
        <is>
          <t>2014-12-31</t>
        </is>
      </c>
      <c r="E29" s="8" t="inlineStr">
        <is>
          <t>일반</t>
        </is>
      </c>
      <c r="F29" s="8" t="inlineStr">
        <is>
          <t>0001652044-17-000008</t>
        </is>
      </c>
      <c r="G29" s="15" t="n">
        <v>66.001</v>
      </c>
      <c r="H29" s="15" t="n"/>
      <c r="I29" s="15" t="n"/>
      <c r="J29" s="15" t="n">
        <v>3.639</v>
      </c>
      <c r="K29" s="15" t="n">
        <v>16.496</v>
      </c>
      <c r="L29" s="15" t="n">
        <v>14.136</v>
      </c>
      <c r="M29" s="15" t="n"/>
      <c r="N29" s="15" t="n">
        <v>11.014</v>
      </c>
      <c r="O29" s="15" t="n">
        <v>23.024</v>
      </c>
      <c r="P29" s="15" t="n">
        <v>103.86</v>
      </c>
      <c r="Q29" s="15" t="n"/>
      <c r="R29" s="15" t="n">
        <v>64.395</v>
      </c>
      <c r="S29" s="15" t="n"/>
      <c r="T29" s="15" t="n">
        <v>2</v>
      </c>
      <c r="U29" s="15" t="n"/>
      <c r="V29" s="15" t="n"/>
      <c r="W29" s="15" t="n">
        <v>78.65600000000001</v>
      </c>
      <c r="X29" s="15" t="n"/>
      <c r="Y29" s="15" t="n">
        <v>16.779</v>
      </c>
      <c r="Z29" s="15" t="n"/>
      <c r="AA29" s="15" t="n"/>
      <c r="AB29" s="16" t="n">
        <v>13603.44</v>
      </c>
      <c r="AC29" s="17">
        <f>IF(AND(ISNUMBER(H29),ISNUMBER(I29)),H29+I29,IF(ISNUMBER(K29),K29,IF(ISNUMBER(H29),H29,"")))</f>
        <v/>
      </c>
      <c r="AD29" s="18">
        <f>IF(OR(NOT(ISNUMBER(J29)),NOT(ISNUMBER(H29)),H29&lt;=0),기준표!$B$8,MIN(MAX(J29/H29,기준표!$B$6),기준표!$B$7))</f>
        <v/>
      </c>
      <c r="AE29" s="17">
        <f>IF(ISNUMBER(AC29),AC29*(1-AD29),"")</f>
        <v/>
      </c>
      <c r="AF29" s="17">
        <f>IF(AND(NOT(ISNUMBER(T29)),NOT(ISNUMBER(V29))),"",IF(ISNUMBER(T29),T29,0)+IF(ISNUMBER(V29),V29,0))</f>
        <v/>
      </c>
      <c r="AG29" s="17">
        <f>IF(E29="금융","",IF(AND(ISNUMBER(P29),ISNUMBER(AF29),ISNUMBER(R29)),P29+AF29-R29,""))</f>
        <v/>
      </c>
      <c r="AH29" s="17">
        <f>IF(E29="금융","",IF(NOT(ISNUMBER(AG29)),"",IF(ISNUMBER(AA29),(AG29+AA29)/2,AG29)))</f>
        <v/>
      </c>
      <c r="AI29" s="19">
        <f>IF(AND(ISNUMBER(AE29),ISNUMBER(AH29),AH29&gt;0),AE29/AH29,"")</f>
        <v/>
      </c>
      <c r="AJ29" s="17">
        <f>IF(E29="금융","",IF(AND(ISNUMBER(P29),ISNUMBER(AF29)),P29+AF29,""))</f>
        <v/>
      </c>
      <c r="AK29" s="19">
        <f>IF(OR(NOT(ISNUMBER(AE29)),NOT(ISNUMBER(AJ29)),AJ29&lt;=0),"",IF(AND(ISNUMBER(G29),AJ29&lt;0.1*G29),"",AE29/AJ29))</f>
        <v/>
      </c>
      <c r="AL29" s="17">
        <f>IF(NOT(ISNUMBER(P29)),"",IF(ISNUMBER(Q29),(P29+Q29)/2,P29))</f>
        <v/>
      </c>
      <c r="AM29" s="19">
        <f>IF(AND(ISNUMBER(L29),ISNUMBER(AL29),AL29&gt;0),L29/AL29,"")</f>
        <v/>
      </c>
      <c r="AN29" s="19">
        <f>IF(AND(ISNUMBER(AM29),ISNUMBER({ROIC})),AM29-{ROIC},"")</f>
        <v/>
      </c>
      <c r="AO29" s="17">
        <f>IF(AND(ISNUMBER(AC29),ISNUMBER(M29)),AC29+M29,"")</f>
        <v/>
      </c>
      <c r="AP29" s="20">
        <f>IF(AND(ISNUMBER(AF29),ISNUMBER(R29),ISNUMBER(AO29),AO29&gt;0),(AF29-R29)/AO29,"")</f>
        <v/>
      </c>
      <c r="AQ29" s="20">
        <f>IF(AND(ISNUMBER(AC29),ISNUMBER(I29),I29&lt;&gt;0,AC29&gt;0),AC29/I29,"")</f>
        <v/>
      </c>
      <c r="AR29" s="17">
        <f>IF(AND(ISNUMBER(W29),ISNUMBER(Y29)),W29-IF(ISNUMBER(R29),R29,0)-(Y29-IF(ISNUMBER(T29),T29,0)),"")</f>
        <v/>
      </c>
      <c r="AS29" s="17">
        <f>IF(AND(ISNUMBER(X29),ISNUMBER(Z29)),X29-IF(ISNUMBER(S29),S29,0)-(Z29-IF(ISNUMBER(U29),U29,0)),"")</f>
        <v/>
      </c>
      <c r="AT29" s="17">
        <f>IF(AND(ISNUMBER(AR29),ISNUMBER(AS29)),AR29-AS29,"")</f>
        <v/>
      </c>
      <c r="AU29" s="17">
        <f>IF(E29="금융","",IF(AND(ISNUMBER(L29),ISNUMBER(M29),ISNUMBER(N29),ISNUMBER(AT29)),L29+M29-N29-AT29,IF(AND(ISNUMBER(O29),ISNUMBER(N29)),O29-N29,"")))</f>
        <v/>
      </c>
      <c r="AV29" s="8">
        <f>IF(E29="금융","금융업 - 정의되지 않음",IF(AND(ISNUMBER(L29),ISNUMBER(M29),ISNUMBER(N29),ISNUMBER(AT29)),"순이익+감가상각-설비투자-운전자본증감",IF(AND(ISNUMBER(O29),ISNUMBER(N29)),"영업현금흐름-설비투자","산출불가")))</f>
        <v/>
      </c>
      <c r="AW29" s="19">
        <f>IF(AND(ISNUMBER(AU29),ISNUMBER(G29),G29&lt;&gt;0),AU29/G29,"")</f>
        <v/>
      </c>
      <c r="AX29" s="19">
        <f>IF(AND(ISNUMBER(AC29),ISNUMBER(G29),G29&lt;&gt;0),AC29/G29,"")</f>
        <v/>
      </c>
    </row>
    <row r="30">
      <c r="A30" s="8" t="inlineStr">
        <is>
          <t>GOOG</t>
        </is>
      </c>
      <c r="B30" s="8" t="inlineStr">
        <is>
          <t>Alphabet Inc.</t>
        </is>
      </c>
      <c r="C30" s="8" t="n">
        <v>2015</v>
      </c>
      <c r="D30" s="8" t="inlineStr">
        <is>
          <t>2015-12-31</t>
        </is>
      </c>
      <c r="E30" s="8" t="inlineStr">
        <is>
          <t>일반</t>
        </is>
      </c>
      <c r="F30" s="8" t="inlineStr">
        <is>
          <t>0001652044-18-000007</t>
        </is>
      </c>
      <c r="G30" s="15" t="n">
        <v>74.989</v>
      </c>
      <c r="H30" s="15" t="n"/>
      <c r="I30" s="15" t="n"/>
      <c r="J30" s="15" t="n">
        <v>3.303</v>
      </c>
      <c r="K30" s="15" t="n">
        <v>19.36</v>
      </c>
      <c r="L30" s="15" t="n">
        <v>16.348</v>
      </c>
      <c r="M30" s="15" t="n"/>
      <c r="N30" s="15" t="n">
        <v>9.949999999999999</v>
      </c>
      <c r="O30" s="15" t="n">
        <v>26.572</v>
      </c>
      <c r="P30" s="15" t="n">
        <v>120.331</v>
      </c>
      <c r="Q30" s="15" t="n">
        <v>103.86</v>
      </c>
      <c r="R30" s="15" t="n">
        <v>73.066</v>
      </c>
      <c r="S30" s="15" t="n">
        <v>64.395</v>
      </c>
      <c r="T30" s="15" t="n">
        <v>2</v>
      </c>
      <c r="U30" s="15" t="n">
        <v>2</v>
      </c>
      <c r="V30" s="15" t="n">
        <v>3.225</v>
      </c>
      <c r="W30" s="15" t="n">
        <v>90.114</v>
      </c>
      <c r="X30" s="15" t="n">
        <v>78.65600000000001</v>
      </c>
      <c r="Y30" s="15" t="n">
        <v>19.31</v>
      </c>
      <c r="Z30" s="15" t="n">
        <v>16.779</v>
      </c>
      <c r="AA30" s="15" t="n">
        <v>41.465</v>
      </c>
      <c r="AB30" s="16" t="n">
        <v>13746.96</v>
      </c>
      <c r="AC30" s="17">
        <f>IF(AND(ISNUMBER(H30),ISNUMBER(I30)),H30+I30,IF(ISNUMBER(K30),K30,IF(ISNUMBER(H30),H30,"")))</f>
        <v/>
      </c>
      <c r="AD30" s="18">
        <f>IF(OR(NOT(ISNUMBER(J30)),NOT(ISNUMBER(H30)),H30&lt;=0),기준표!$B$8,MIN(MAX(J30/H30,기준표!$B$6),기준표!$B$7))</f>
        <v/>
      </c>
      <c r="AE30" s="17">
        <f>IF(ISNUMBER(AC30),AC30*(1-AD30),"")</f>
        <v/>
      </c>
      <c r="AF30" s="17">
        <f>IF(AND(NOT(ISNUMBER(T30)),NOT(ISNUMBER(V30))),"",IF(ISNUMBER(T30),T30,0)+IF(ISNUMBER(V30),V30,0))</f>
        <v/>
      </c>
      <c r="AG30" s="17">
        <f>IF(E30="금융","",IF(AND(ISNUMBER(P30),ISNUMBER(AF30),ISNUMBER(R30)),P30+AF30-R30,""))</f>
        <v/>
      </c>
      <c r="AH30" s="17">
        <f>IF(E30="금융","",IF(NOT(ISNUMBER(AG30)),"",IF(ISNUMBER(AA30),(AG30+AA30)/2,AG30)))</f>
        <v/>
      </c>
      <c r="AI30" s="19">
        <f>IF(AND(ISNUMBER(AE30),ISNUMBER(AH30),AH30&gt;0),AE30/AH30,"")</f>
        <v/>
      </c>
      <c r="AJ30" s="17">
        <f>IF(E30="금융","",IF(AND(ISNUMBER(P30),ISNUMBER(AF30)),P30+AF30,""))</f>
        <v/>
      </c>
      <c r="AK30" s="19">
        <f>IF(OR(NOT(ISNUMBER(AE30)),NOT(ISNUMBER(AJ30)),AJ30&lt;=0),"",IF(AND(ISNUMBER(G30),AJ30&lt;0.1*G30),"",AE30/AJ30))</f>
        <v/>
      </c>
      <c r="AL30" s="17">
        <f>IF(NOT(ISNUMBER(P30)),"",IF(ISNUMBER(Q30),(P30+Q30)/2,P30))</f>
        <v/>
      </c>
      <c r="AM30" s="19">
        <f>IF(AND(ISNUMBER(L30),ISNUMBER(AL30),AL30&gt;0),L30/AL30,"")</f>
        <v/>
      </c>
      <c r="AN30" s="19">
        <f>IF(AND(ISNUMBER(AM30),ISNUMBER({ROIC})),AM30-{ROIC},"")</f>
        <v/>
      </c>
      <c r="AO30" s="17">
        <f>IF(AND(ISNUMBER(AC30),ISNUMBER(M30)),AC30+M30,"")</f>
        <v/>
      </c>
      <c r="AP30" s="20">
        <f>IF(AND(ISNUMBER(AF30),ISNUMBER(R30),ISNUMBER(AO30),AO30&gt;0),(AF30-R30)/AO30,"")</f>
        <v/>
      </c>
      <c r="AQ30" s="20">
        <f>IF(AND(ISNUMBER(AC30),ISNUMBER(I30),I30&lt;&gt;0,AC30&gt;0),AC30/I30,"")</f>
        <v/>
      </c>
      <c r="AR30" s="17">
        <f>IF(AND(ISNUMBER(W30),ISNUMBER(Y30)),W30-IF(ISNUMBER(R30),R30,0)-(Y30-IF(ISNUMBER(T30),T30,0)),"")</f>
        <v/>
      </c>
      <c r="AS30" s="17">
        <f>IF(AND(ISNUMBER(X30),ISNUMBER(Z30)),X30-IF(ISNUMBER(S30),S30,0)-(Z30-IF(ISNUMBER(U30),U30,0)),"")</f>
        <v/>
      </c>
      <c r="AT30" s="17">
        <f>IF(AND(ISNUMBER(AR30),ISNUMBER(AS30)),AR30-AS30,"")</f>
        <v/>
      </c>
      <c r="AU30" s="17">
        <f>IF(E30="금융","",IF(AND(ISNUMBER(L30),ISNUMBER(M30),ISNUMBER(N30),ISNUMBER(AT30)),L30+M30-N30-AT30,IF(AND(ISNUMBER(O30),ISNUMBER(N30)),O30-N30,"")))</f>
        <v/>
      </c>
      <c r="AV30" s="8">
        <f>IF(E30="금융","금융업 - 정의되지 않음",IF(AND(ISNUMBER(L30),ISNUMBER(M30),ISNUMBER(N30),ISNUMBER(AT30)),"순이익+감가상각-설비투자-운전자본증감",IF(AND(ISNUMBER(O30),ISNUMBER(N30)),"영업현금흐름-설비투자","산출불가")))</f>
        <v/>
      </c>
      <c r="AW30" s="19">
        <f>IF(AND(ISNUMBER(AU30),ISNUMBER(G30),G30&lt;&gt;0),AU30/G30,"")</f>
        <v/>
      </c>
      <c r="AX30" s="19">
        <f>IF(AND(ISNUMBER(AC30),ISNUMBER(G30),G30&lt;&gt;0),AC30/G30,"")</f>
        <v/>
      </c>
    </row>
    <row r="31">
      <c r="A31" s="8" t="inlineStr">
        <is>
          <t>GOOG</t>
        </is>
      </c>
      <c r="B31" s="8" t="inlineStr">
        <is>
          <t>Alphabet Inc.</t>
        </is>
      </c>
      <c r="C31" s="8" t="n">
        <v>2016</v>
      </c>
      <c r="D31" s="8" t="inlineStr">
        <is>
          <t>2016-12-31</t>
        </is>
      </c>
      <c r="E31" s="8" t="inlineStr">
        <is>
          <t>일반</t>
        </is>
      </c>
      <c r="F31" s="8" t="inlineStr">
        <is>
          <t>0001652044-19-000004</t>
        </is>
      </c>
      <c r="G31" s="15" t="n">
        <v>90.27200000000001</v>
      </c>
      <c r="H31" s="15" t="n"/>
      <c r="I31" s="15" t="n"/>
      <c r="J31" s="15" t="n">
        <v>4.672</v>
      </c>
      <c r="K31" s="15" t="n">
        <v>23.716</v>
      </c>
      <c r="L31" s="15" t="n">
        <v>19.478</v>
      </c>
      <c r="M31" s="15" t="n"/>
      <c r="N31" s="15" t="n">
        <v>10.212</v>
      </c>
      <c r="O31" s="15" t="n">
        <v>36.036</v>
      </c>
      <c r="P31" s="15" t="n">
        <v>139.036</v>
      </c>
      <c r="Q31" s="15" t="n">
        <v>120.331</v>
      </c>
      <c r="R31" s="15" t="n">
        <v>86.333</v>
      </c>
      <c r="S31" s="15" t="n">
        <v>73.066</v>
      </c>
      <c r="T31" s="15" t="n">
        <v>0</v>
      </c>
      <c r="U31" s="15" t="n">
        <v>2</v>
      </c>
      <c r="V31" s="15" t="n">
        <v>4</v>
      </c>
      <c r="W31" s="15" t="n">
        <v>105.408</v>
      </c>
      <c r="X31" s="15" t="n">
        <v>90.114</v>
      </c>
      <c r="Y31" s="15" t="n">
        <v>16.756</v>
      </c>
      <c r="Z31" s="15" t="n">
        <v>19.31</v>
      </c>
      <c r="AA31" s="15" t="n">
        <v>52.49</v>
      </c>
      <c r="AB31" s="16" t="n">
        <v>13825.86</v>
      </c>
      <c r="AC31" s="17">
        <f>IF(AND(ISNUMBER(H31),ISNUMBER(I31)),H31+I31,IF(ISNUMBER(K31),K31,IF(ISNUMBER(H31),H31,"")))</f>
        <v/>
      </c>
      <c r="AD31" s="18">
        <f>IF(OR(NOT(ISNUMBER(J31)),NOT(ISNUMBER(H31)),H31&lt;=0),기준표!$B$8,MIN(MAX(J31/H31,기준표!$B$6),기준표!$B$7))</f>
        <v/>
      </c>
      <c r="AE31" s="17">
        <f>IF(ISNUMBER(AC31),AC31*(1-AD31),"")</f>
        <v/>
      </c>
      <c r="AF31" s="17">
        <f>IF(AND(NOT(ISNUMBER(T31)),NOT(ISNUMBER(V31))),"",IF(ISNUMBER(T31),T31,0)+IF(ISNUMBER(V31),V31,0))</f>
        <v/>
      </c>
      <c r="AG31" s="17">
        <f>IF(E31="금융","",IF(AND(ISNUMBER(P31),ISNUMBER(AF31),ISNUMBER(R31)),P31+AF31-R31,""))</f>
        <v/>
      </c>
      <c r="AH31" s="17">
        <f>IF(E31="금융","",IF(NOT(ISNUMBER(AG31)),"",IF(ISNUMBER(AA31),(AG31+AA31)/2,AG31)))</f>
        <v/>
      </c>
      <c r="AI31" s="19">
        <f>IF(AND(ISNUMBER(AE31),ISNUMBER(AH31),AH31&gt;0),AE31/AH31,"")</f>
        <v/>
      </c>
      <c r="AJ31" s="17">
        <f>IF(E31="금융","",IF(AND(ISNUMBER(P31),ISNUMBER(AF31)),P31+AF31,""))</f>
        <v/>
      </c>
      <c r="AK31" s="19">
        <f>IF(OR(NOT(ISNUMBER(AE31)),NOT(ISNUMBER(AJ31)),AJ31&lt;=0),"",IF(AND(ISNUMBER(G31),AJ31&lt;0.1*G31),"",AE31/AJ31))</f>
        <v/>
      </c>
      <c r="AL31" s="17">
        <f>IF(NOT(ISNUMBER(P31)),"",IF(ISNUMBER(Q31),(P31+Q31)/2,P31))</f>
        <v/>
      </c>
      <c r="AM31" s="19">
        <f>IF(AND(ISNUMBER(L31),ISNUMBER(AL31),AL31&gt;0),L31/AL31,"")</f>
        <v/>
      </c>
      <c r="AN31" s="19">
        <f>IF(AND(ISNUMBER(AM31),ISNUMBER({ROIC})),AM31-{ROIC},"")</f>
        <v/>
      </c>
      <c r="AO31" s="17">
        <f>IF(AND(ISNUMBER(AC31),ISNUMBER(M31)),AC31+M31,"")</f>
        <v/>
      </c>
      <c r="AP31" s="20">
        <f>IF(AND(ISNUMBER(AF31),ISNUMBER(R31),ISNUMBER(AO31),AO31&gt;0),(AF31-R31)/AO31,"")</f>
        <v/>
      </c>
      <c r="AQ31" s="20">
        <f>IF(AND(ISNUMBER(AC31),ISNUMBER(I31),I31&lt;&gt;0,AC31&gt;0),AC31/I31,"")</f>
        <v/>
      </c>
      <c r="AR31" s="17">
        <f>IF(AND(ISNUMBER(W31),ISNUMBER(Y31)),W31-IF(ISNUMBER(R31),R31,0)-(Y31-IF(ISNUMBER(T31),T31,0)),"")</f>
        <v/>
      </c>
      <c r="AS31" s="17">
        <f>IF(AND(ISNUMBER(X31),ISNUMBER(Z31)),X31-IF(ISNUMBER(S31),S31,0)-(Z31-IF(ISNUMBER(U31),U31,0)),"")</f>
        <v/>
      </c>
      <c r="AT31" s="17">
        <f>IF(AND(ISNUMBER(AR31),ISNUMBER(AS31)),AR31-AS31,"")</f>
        <v/>
      </c>
      <c r="AU31" s="17">
        <f>IF(E31="금융","",IF(AND(ISNUMBER(L31),ISNUMBER(M31),ISNUMBER(N31),ISNUMBER(AT31)),L31+M31-N31-AT31,IF(AND(ISNUMBER(O31),ISNUMBER(N31)),O31-N31,"")))</f>
        <v/>
      </c>
      <c r="AV31" s="8">
        <f>IF(E31="금융","금융업 - 정의되지 않음",IF(AND(ISNUMBER(L31),ISNUMBER(M31),ISNUMBER(N31),ISNUMBER(AT31)),"순이익+감가상각-설비투자-운전자본증감",IF(AND(ISNUMBER(O31),ISNUMBER(N31)),"영업현금흐름-설비투자","산출불가")))</f>
        <v/>
      </c>
      <c r="AW31" s="19">
        <f>IF(AND(ISNUMBER(AU31),ISNUMBER(G31),G31&lt;&gt;0),AU31/G31,"")</f>
        <v/>
      </c>
      <c r="AX31" s="19">
        <f>IF(AND(ISNUMBER(AC31),ISNUMBER(G31),G31&lt;&gt;0),AC31/G31,"")</f>
        <v/>
      </c>
    </row>
    <row r="32">
      <c r="A32" s="8" t="inlineStr">
        <is>
          <t>GOOG</t>
        </is>
      </c>
      <c r="B32" s="8" t="inlineStr">
        <is>
          <t>Alphabet Inc.</t>
        </is>
      </c>
      <c r="C32" s="8" t="n">
        <v>2017</v>
      </c>
      <c r="D32" s="8" t="inlineStr">
        <is>
          <t>2017-12-31</t>
        </is>
      </c>
      <c r="E32" s="8" t="inlineStr">
        <is>
          <t>일반</t>
        </is>
      </c>
      <c r="F32" s="8" t="inlineStr">
        <is>
          <t>0001652044-20-000008</t>
        </is>
      </c>
      <c r="G32" s="15" t="n">
        <v>110.855</v>
      </c>
      <c r="H32" s="15" t="n">
        <v>27.193</v>
      </c>
      <c r="I32" s="15" t="n"/>
      <c r="J32" s="15" t="n">
        <v>14.531</v>
      </c>
      <c r="K32" s="15" t="n">
        <v>26.178</v>
      </c>
      <c r="L32" s="15" t="n">
        <v>12.662</v>
      </c>
      <c r="M32" s="15" t="n"/>
      <c r="N32" s="15" t="n">
        <v>13.184</v>
      </c>
      <c r="O32" s="15" t="n">
        <v>37.091</v>
      </c>
      <c r="P32" s="15" t="n">
        <v>152.502</v>
      </c>
      <c r="Q32" s="15" t="n">
        <v>139.036</v>
      </c>
      <c r="R32" s="15" t="n">
        <v>101.871</v>
      </c>
      <c r="S32" s="15" t="n">
        <v>86.333</v>
      </c>
      <c r="T32" s="15" t="n">
        <v>0</v>
      </c>
      <c r="U32" s="15" t="n">
        <v>0</v>
      </c>
      <c r="V32" s="15" t="n">
        <v>4.026</v>
      </c>
      <c r="W32" s="15" t="n">
        <v>124.308</v>
      </c>
      <c r="X32" s="15" t="n">
        <v>105.408</v>
      </c>
      <c r="Y32" s="15" t="n">
        <v>24.183</v>
      </c>
      <c r="Z32" s="15" t="n">
        <v>16.756</v>
      </c>
      <c r="AA32" s="15" t="n">
        <v>56.703</v>
      </c>
      <c r="AB32" s="16" t="n">
        <v>13895.66</v>
      </c>
      <c r="AC32" s="17">
        <f>IF(AND(ISNUMBER(H32),ISNUMBER(I32)),H32+I32,IF(ISNUMBER(K32),K32,IF(ISNUMBER(H32),H32,"")))</f>
        <v/>
      </c>
      <c r="AD32" s="18">
        <f>IF(OR(NOT(ISNUMBER(J32)),NOT(ISNUMBER(H32)),H32&lt;=0),기준표!$B$8,MIN(MAX(J32/H32,기준표!$B$6),기준표!$B$7))</f>
        <v/>
      </c>
      <c r="AE32" s="17">
        <f>IF(ISNUMBER(AC32),AC32*(1-AD32),"")</f>
        <v/>
      </c>
      <c r="AF32" s="17">
        <f>IF(AND(NOT(ISNUMBER(T32)),NOT(ISNUMBER(V32))),"",IF(ISNUMBER(T32),T32,0)+IF(ISNUMBER(V32),V32,0))</f>
        <v/>
      </c>
      <c r="AG32" s="17">
        <f>IF(E32="금융","",IF(AND(ISNUMBER(P32),ISNUMBER(AF32),ISNUMBER(R32)),P32+AF32-R32,""))</f>
        <v/>
      </c>
      <c r="AH32" s="17">
        <f>IF(E32="금융","",IF(NOT(ISNUMBER(AG32)),"",IF(ISNUMBER(AA32),(AG32+AA32)/2,AG32)))</f>
        <v/>
      </c>
      <c r="AI32" s="19">
        <f>IF(AND(ISNUMBER(AE32),ISNUMBER(AH32),AH32&gt;0),AE32/AH32,"")</f>
        <v/>
      </c>
      <c r="AJ32" s="17">
        <f>IF(E32="금융","",IF(AND(ISNUMBER(P32),ISNUMBER(AF32)),P32+AF32,""))</f>
        <v/>
      </c>
      <c r="AK32" s="19">
        <f>IF(OR(NOT(ISNUMBER(AE32)),NOT(ISNUMBER(AJ32)),AJ32&lt;=0),"",IF(AND(ISNUMBER(G32),AJ32&lt;0.1*G32),"",AE32/AJ32))</f>
        <v/>
      </c>
      <c r="AL32" s="17">
        <f>IF(NOT(ISNUMBER(P32)),"",IF(ISNUMBER(Q32),(P32+Q32)/2,P32))</f>
        <v/>
      </c>
      <c r="AM32" s="19">
        <f>IF(AND(ISNUMBER(L32),ISNUMBER(AL32),AL32&gt;0),L32/AL32,"")</f>
        <v/>
      </c>
      <c r="AN32" s="19">
        <f>IF(AND(ISNUMBER(AM32),ISNUMBER({ROIC})),AM32-{ROIC},"")</f>
        <v/>
      </c>
      <c r="AO32" s="17">
        <f>IF(AND(ISNUMBER(AC32),ISNUMBER(M32)),AC32+M32,"")</f>
        <v/>
      </c>
      <c r="AP32" s="20">
        <f>IF(AND(ISNUMBER(AF32),ISNUMBER(R32),ISNUMBER(AO32),AO32&gt;0),(AF32-R32)/AO32,"")</f>
        <v/>
      </c>
      <c r="AQ32" s="20">
        <f>IF(AND(ISNUMBER(AC32),ISNUMBER(I32),I32&lt;&gt;0,AC32&gt;0),AC32/I32,"")</f>
        <v/>
      </c>
      <c r="AR32" s="17">
        <f>IF(AND(ISNUMBER(W32),ISNUMBER(Y32)),W32-IF(ISNUMBER(R32),R32,0)-(Y32-IF(ISNUMBER(T32),T32,0)),"")</f>
        <v/>
      </c>
      <c r="AS32" s="17">
        <f>IF(AND(ISNUMBER(X32),ISNUMBER(Z32)),X32-IF(ISNUMBER(S32),S32,0)-(Z32-IF(ISNUMBER(U32),U32,0)),"")</f>
        <v/>
      </c>
      <c r="AT32" s="17">
        <f>IF(AND(ISNUMBER(AR32),ISNUMBER(AS32)),AR32-AS32,"")</f>
        <v/>
      </c>
      <c r="AU32" s="17">
        <f>IF(E32="금융","",IF(AND(ISNUMBER(L32),ISNUMBER(M32),ISNUMBER(N32),ISNUMBER(AT32)),L32+M32-N32-AT32,IF(AND(ISNUMBER(O32),ISNUMBER(N32)),O32-N32,"")))</f>
        <v/>
      </c>
      <c r="AV32" s="8">
        <f>IF(E32="금융","금융업 - 정의되지 않음",IF(AND(ISNUMBER(L32),ISNUMBER(M32),ISNUMBER(N32),ISNUMBER(AT32)),"순이익+감가상각-설비투자-운전자본증감",IF(AND(ISNUMBER(O32),ISNUMBER(N32)),"영업현금흐름-설비투자","산출불가")))</f>
        <v/>
      </c>
      <c r="AW32" s="19">
        <f>IF(AND(ISNUMBER(AU32),ISNUMBER(G32),G32&lt;&gt;0),AU32/G32,"")</f>
        <v/>
      </c>
      <c r="AX32" s="19">
        <f>IF(AND(ISNUMBER(AC32),ISNUMBER(G32),G32&lt;&gt;0),AC32/G32,"")</f>
        <v/>
      </c>
    </row>
    <row r="33">
      <c r="A33" s="8" t="inlineStr">
        <is>
          <t>GOOG</t>
        </is>
      </c>
      <c r="B33" s="8" t="inlineStr">
        <is>
          <t>Alphabet Inc.</t>
        </is>
      </c>
      <c r="C33" s="8" t="n">
        <v>2018</v>
      </c>
      <c r="D33" s="8" t="inlineStr">
        <is>
          <t>2018-12-31</t>
        </is>
      </c>
      <c r="E33" s="8" t="inlineStr">
        <is>
          <t>일반</t>
        </is>
      </c>
      <c r="F33" s="8" t="inlineStr">
        <is>
          <t>0001652044-21-000010</t>
        </is>
      </c>
      <c r="G33" s="15" t="n">
        <v>136.819</v>
      </c>
      <c r="H33" s="15" t="n">
        <v>34.913</v>
      </c>
      <c r="I33" s="15" t="n"/>
      <c r="J33" s="15" t="n">
        <v>4.177</v>
      </c>
      <c r="K33" s="15" t="n">
        <v>27.524</v>
      </c>
      <c r="L33" s="15" t="n">
        <v>30.736</v>
      </c>
      <c r="M33" s="15" t="n"/>
      <c r="N33" s="15" t="n">
        <v>25.139</v>
      </c>
      <c r="O33" s="15" t="n">
        <v>47.971</v>
      </c>
      <c r="P33" s="15" t="n">
        <v>177.628</v>
      </c>
      <c r="Q33" s="15" t="n">
        <v>152.502</v>
      </c>
      <c r="R33" s="15" t="n">
        <v>109.14</v>
      </c>
      <c r="S33" s="15" t="n">
        <v>101.871</v>
      </c>
      <c r="T33" s="15" t="n">
        <v>0</v>
      </c>
      <c r="U33" s="15" t="n">
        <v>0</v>
      </c>
      <c r="V33" s="15" t="n">
        <v>4.062</v>
      </c>
      <c r="W33" s="15" t="n">
        <v>135.676</v>
      </c>
      <c r="X33" s="15" t="n">
        <v>124.308</v>
      </c>
      <c r="Y33" s="15" t="n">
        <v>34.62</v>
      </c>
      <c r="Z33" s="15" t="n">
        <v>24.183</v>
      </c>
      <c r="AA33" s="15" t="n">
        <v>54.657</v>
      </c>
      <c r="AB33" s="16" t="n">
        <v>13911.12</v>
      </c>
      <c r="AC33" s="17">
        <f>IF(AND(ISNUMBER(H33),ISNUMBER(I33)),H33+I33,IF(ISNUMBER(K33),K33,IF(ISNUMBER(H33),H33,"")))</f>
        <v/>
      </c>
      <c r="AD33" s="18">
        <f>IF(OR(NOT(ISNUMBER(J33)),NOT(ISNUMBER(H33)),H33&lt;=0),기준표!$B$8,MIN(MAX(J33/H33,기준표!$B$6),기준표!$B$7))</f>
        <v/>
      </c>
      <c r="AE33" s="17">
        <f>IF(ISNUMBER(AC33),AC33*(1-AD33),"")</f>
        <v/>
      </c>
      <c r="AF33" s="17">
        <f>IF(AND(NOT(ISNUMBER(T33)),NOT(ISNUMBER(V33))),"",IF(ISNUMBER(T33),T33,0)+IF(ISNUMBER(V33),V33,0))</f>
        <v/>
      </c>
      <c r="AG33" s="17">
        <f>IF(E33="금융","",IF(AND(ISNUMBER(P33),ISNUMBER(AF33),ISNUMBER(R33)),P33+AF33-R33,""))</f>
        <v/>
      </c>
      <c r="AH33" s="17">
        <f>IF(E33="금융","",IF(NOT(ISNUMBER(AG33)),"",IF(ISNUMBER(AA33),(AG33+AA33)/2,AG33)))</f>
        <v/>
      </c>
      <c r="AI33" s="19">
        <f>IF(AND(ISNUMBER(AE33),ISNUMBER(AH33),AH33&gt;0),AE33/AH33,"")</f>
        <v/>
      </c>
      <c r="AJ33" s="17">
        <f>IF(E33="금융","",IF(AND(ISNUMBER(P33),ISNUMBER(AF33)),P33+AF33,""))</f>
        <v/>
      </c>
      <c r="AK33" s="19">
        <f>IF(OR(NOT(ISNUMBER(AE33)),NOT(ISNUMBER(AJ33)),AJ33&lt;=0),"",IF(AND(ISNUMBER(G33),AJ33&lt;0.1*G33),"",AE33/AJ33))</f>
        <v/>
      </c>
      <c r="AL33" s="17">
        <f>IF(NOT(ISNUMBER(P33)),"",IF(ISNUMBER(Q33),(P33+Q33)/2,P33))</f>
        <v/>
      </c>
      <c r="AM33" s="19">
        <f>IF(AND(ISNUMBER(L33),ISNUMBER(AL33),AL33&gt;0),L33/AL33,"")</f>
        <v/>
      </c>
      <c r="AN33" s="19">
        <f>IF(AND(ISNUMBER(AM33),ISNUMBER({ROIC})),AM33-{ROIC},"")</f>
        <v/>
      </c>
      <c r="AO33" s="17">
        <f>IF(AND(ISNUMBER(AC33),ISNUMBER(M33)),AC33+M33,"")</f>
        <v/>
      </c>
      <c r="AP33" s="20">
        <f>IF(AND(ISNUMBER(AF33),ISNUMBER(R33),ISNUMBER(AO33),AO33&gt;0),(AF33-R33)/AO33,"")</f>
        <v/>
      </c>
      <c r="AQ33" s="20">
        <f>IF(AND(ISNUMBER(AC33),ISNUMBER(I33),I33&lt;&gt;0,AC33&gt;0),AC33/I33,"")</f>
        <v/>
      </c>
      <c r="AR33" s="17">
        <f>IF(AND(ISNUMBER(W33),ISNUMBER(Y33)),W33-IF(ISNUMBER(R33),R33,0)-(Y33-IF(ISNUMBER(T33),T33,0)),"")</f>
        <v/>
      </c>
      <c r="AS33" s="17">
        <f>IF(AND(ISNUMBER(X33),ISNUMBER(Z33)),X33-IF(ISNUMBER(S33),S33,0)-(Z33-IF(ISNUMBER(U33),U33,0)),"")</f>
        <v/>
      </c>
      <c r="AT33" s="17">
        <f>IF(AND(ISNUMBER(AR33),ISNUMBER(AS33)),AR33-AS33,"")</f>
        <v/>
      </c>
      <c r="AU33" s="17">
        <f>IF(E33="금융","",IF(AND(ISNUMBER(L33),ISNUMBER(M33),ISNUMBER(N33),ISNUMBER(AT33)),L33+M33-N33-AT33,IF(AND(ISNUMBER(O33),ISNUMBER(N33)),O33-N33,"")))</f>
        <v/>
      </c>
      <c r="AV33" s="8">
        <f>IF(E33="금융","금융업 - 정의되지 않음",IF(AND(ISNUMBER(L33),ISNUMBER(M33),ISNUMBER(N33),ISNUMBER(AT33)),"순이익+감가상각-설비투자-운전자본증감",IF(AND(ISNUMBER(O33),ISNUMBER(N33)),"영업현금흐름-설비투자","산출불가")))</f>
        <v/>
      </c>
      <c r="AW33" s="19">
        <f>IF(AND(ISNUMBER(AU33),ISNUMBER(G33),G33&lt;&gt;0),AU33/G33,"")</f>
        <v/>
      </c>
      <c r="AX33" s="19">
        <f>IF(AND(ISNUMBER(AC33),ISNUMBER(G33),G33&lt;&gt;0),AC33/G33,"")</f>
        <v/>
      </c>
    </row>
    <row r="34">
      <c r="A34" s="8" t="inlineStr">
        <is>
          <t>GOOG</t>
        </is>
      </c>
      <c r="B34" s="8" t="inlineStr">
        <is>
          <t>Alphabet Inc.</t>
        </is>
      </c>
      <c r="C34" s="8" t="n">
        <v>2019</v>
      </c>
      <c r="D34" s="8" t="inlineStr">
        <is>
          <t>2019-12-31</t>
        </is>
      </c>
      <c r="E34" s="8" t="inlineStr">
        <is>
          <t>일반</t>
        </is>
      </c>
      <c r="F34" s="8" t="inlineStr">
        <is>
          <t>0001652044-22-000019</t>
        </is>
      </c>
      <c r="G34" s="15" t="n">
        <v>161.857</v>
      </c>
      <c r="H34" s="15" t="n">
        <v>39.625</v>
      </c>
      <c r="I34" s="15" t="n"/>
      <c r="J34" s="15" t="n">
        <v>5.282</v>
      </c>
      <c r="K34" s="15" t="n">
        <v>34.231</v>
      </c>
      <c r="L34" s="15" t="n">
        <v>34.343</v>
      </c>
      <c r="M34" s="15" t="n"/>
      <c r="N34" s="15" t="n">
        <v>23.548</v>
      </c>
      <c r="O34" s="15" t="n">
        <v>54.52</v>
      </c>
      <c r="P34" s="15" t="n">
        <v>201.442</v>
      </c>
      <c r="Q34" s="15" t="n">
        <v>177.628</v>
      </c>
      <c r="R34" s="15" t="n">
        <v>119.675</v>
      </c>
      <c r="S34" s="15" t="n">
        <v>109.14</v>
      </c>
      <c r="T34" s="15" t="n">
        <v>0</v>
      </c>
      <c r="U34" s="15" t="n">
        <v>0</v>
      </c>
      <c r="V34" s="15" t="n">
        <v>4.685</v>
      </c>
      <c r="W34" s="15" t="n">
        <v>152.578</v>
      </c>
      <c r="X34" s="15" t="n">
        <v>135.676</v>
      </c>
      <c r="Y34" s="15" t="n">
        <v>45.221</v>
      </c>
      <c r="Z34" s="15" t="n">
        <v>34.62</v>
      </c>
      <c r="AA34" s="15" t="n">
        <v>72.55</v>
      </c>
      <c r="AB34" s="16" t="n">
        <v>13766.7</v>
      </c>
      <c r="AC34" s="17">
        <f>IF(AND(ISNUMBER(H34),ISNUMBER(I34)),H34+I34,IF(ISNUMBER(K34),K34,IF(ISNUMBER(H34),H34,"")))</f>
        <v/>
      </c>
      <c r="AD34" s="18">
        <f>IF(OR(NOT(ISNUMBER(J34)),NOT(ISNUMBER(H34)),H34&lt;=0),기준표!$B$8,MIN(MAX(J34/H34,기준표!$B$6),기준표!$B$7))</f>
        <v/>
      </c>
      <c r="AE34" s="17">
        <f>IF(ISNUMBER(AC34),AC34*(1-AD34),"")</f>
        <v/>
      </c>
      <c r="AF34" s="17">
        <f>IF(AND(NOT(ISNUMBER(T34)),NOT(ISNUMBER(V34))),"",IF(ISNUMBER(T34),T34,0)+IF(ISNUMBER(V34),V34,0))</f>
        <v/>
      </c>
      <c r="AG34" s="17">
        <f>IF(E34="금융","",IF(AND(ISNUMBER(P34),ISNUMBER(AF34),ISNUMBER(R34)),P34+AF34-R34,""))</f>
        <v/>
      </c>
      <c r="AH34" s="17">
        <f>IF(E34="금융","",IF(NOT(ISNUMBER(AG34)),"",IF(ISNUMBER(AA34),(AG34+AA34)/2,AG34)))</f>
        <v/>
      </c>
      <c r="AI34" s="19">
        <f>IF(AND(ISNUMBER(AE34),ISNUMBER(AH34),AH34&gt;0),AE34/AH34,"")</f>
        <v/>
      </c>
      <c r="AJ34" s="17">
        <f>IF(E34="금융","",IF(AND(ISNUMBER(P34),ISNUMBER(AF34)),P34+AF34,""))</f>
        <v/>
      </c>
      <c r="AK34" s="19">
        <f>IF(OR(NOT(ISNUMBER(AE34)),NOT(ISNUMBER(AJ34)),AJ34&lt;=0),"",IF(AND(ISNUMBER(G34),AJ34&lt;0.1*G34),"",AE34/AJ34))</f>
        <v/>
      </c>
      <c r="AL34" s="17">
        <f>IF(NOT(ISNUMBER(P34)),"",IF(ISNUMBER(Q34),(P34+Q34)/2,P34))</f>
        <v/>
      </c>
      <c r="AM34" s="19">
        <f>IF(AND(ISNUMBER(L34),ISNUMBER(AL34),AL34&gt;0),L34/AL34,"")</f>
        <v/>
      </c>
      <c r="AN34" s="19">
        <f>IF(AND(ISNUMBER(AM34),ISNUMBER({ROIC})),AM34-{ROIC},"")</f>
        <v/>
      </c>
      <c r="AO34" s="17">
        <f>IF(AND(ISNUMBER(AC34),ISNUMBER(M34)),AC34+M34,"")</f>
        <v/>
      </c>
      <c r="AP34" s="20">
        <f>IF(AND(ISNUMBER(AF34),ISNUMBER(R34),ISNUMBER(AO34),AO34&gt;0),(AF34-R34)/AO34,"")</f>
        <v/>
      </c>
      <c r="AQ34" s="20">
        <f>IF(AND(ISNUMBER(AC34),ISNUMBER(I34),I34&lt;&gt;0,AC34&gt;0),AC34/I34,"")</f>
        <v/>
      </c>
      <c r="AR34" s="17">
        <f>IF(AND(ISNUMBER(W34),ISNUMBER(Y34)),W34-IF(ISNUMBER(R34),R34,0)-(Y34-IF(ISNUMBER(T34),T34,0)),"")</f>
        <v/>
      </c>
      <c r="AS34" s="17">
        <f>IF(AND(ISNUMBER(X34),ISNUMBER(Z34)),X34-IF(ISNUMBER(S34),S34,0)-(Z34-IF(ISNUMBER(U34),U34,0)),"")</f>
        <v/>
      </c>
      <c r="AT34" s="17">
        <f>IF(AND(ISNUMBER(AR34),ISNUMBER(AS34)),AR34-AS34,"")</f>
        <v/>
      </c>
      <c r="AU34" s="17">
        <f>IF(E34="금융","",IF(AND(ISNUMBER(L34),ISNUMBER(M34),ISNUMBER(N34),ISNUMBER(AT34)),L34+M34-N34-AT34,IF(AND(ISNUMBER(O34),ISNUMBER(N34)),O34-N34,"")))</f>
        <v/>
      </c>
      <c r="AV34" s="8">
        <f>IF(E34="금융","금융업 - 정의되지 않음",IF(AND(ISNUMBER(L34),ISNUMBER(M34),ISNUMBER(N34),ISNUMBER(AT34)),"순이익+감가상각-설비투자-운전자본증감",IF(AND(ISNUMBER(O34),ISNUMBER(N34)),"영업현금흐름-설비투자","산출불가")))</f>
        <v/>
      </c>
      <c r="AW34" s="19">
        <f>IF(AND(ISNUMBER(AU34),ISNUMBER(G34),G34&lt;&gt;0),AU34/G34,"")</f>
        <v/>
      </c>
      <c r="AX34" s="19">
        <f>IF(AND(ISNUMBER(AC34),ISNUMBER(G34),G34&lt;&gt;0),AC34/G34,"")</f>
        <v/>
      </c>
    </row>
    <row r="35">
      <c r="A35" s="8" t="inlineStr">
        <is>
          <t>GOOG</t>
        </is>
      </c>
      <c r="B35" s="8" t="inlineStr">
        <is>
          <t>Alphabet Inc.</t>
        </is>
      </c>
      <c r="C35" s="8" t="n">
        <v>2020</v>
      </c>
      <c r="D35" s="8" t="inlineStr">
        <is>
          <t>2020-12-31</t>
        </is>
      </c>
      <c r="E35" s="8" t="inlineStr">
        <is>
          <t>일반</t>
        </is>
      </c>
      <c r="F35" s="8" t="inlineStr">
        <is>
          <t>0001652044-23-000016</t>
        </is>
      </c>
      <c r="G35" s="15" t="n">
        <v>182.527</v>
      </c>
      <c r="H35" s="15" t="n">
        <v>48.082</v>
      </c>
      <c r="I35" s="15" t="n"/>
      <c r="J35" s="15" t="n">
        <v>7.813</v>
      </c>
      <c r="K35" s="15" t="n">
        <v>41.224</v>
      </c>
      <c r="L35" s="15" t="n">
        <v>40.269</v>
      </c>
      <c r="M35" s="15" t="n"/>
      <c r="N35" s="15" t="n">
        <v>22.281</v>
      </c>
      <c r="O35" s="15" t="n">
        <v>65.124</v>
      </c>
      <c r="P35" s="15" t="n">
        <v>222.544</v>
      </c>
      <c r="Q35" s="15" t="n">
        <v>201.442</v>
      </c>
      <c r="R35" s="15" t="n">
        <v>136.694</v>
      </c>
      <c r="S35" s="15" t="n">
        <v>119.675</v>
      </c>
      <c r="T35" s="15" t="n">
        <v>0</v>
      </c>
      <c r="U35" s="15" t="n">
        <v>0</v>
      </c>
      <c r="V35" s="15" t="n">
        <v>15.319</v>
      </c>
      <c r="W35" s="15" t="n">
        <v>174.296</v>
      </c>
      <c r="X35" s="15" t="n">
        <v>152.578</v>
      </c>
      <c r="Y35" s="15" t="n">
        <v>56.834</v>
      </c>
      <c r="Z35" s="15" t="n">
        <v>45.221</v>
      </c>
      <c r="AA35" s="15" t="n">
        <v>86.452</v>
      </c>
      <c r="AB35" s="16" t="n">
        <v>13504.44</v>
      </c>
      <c r="AC35" s="17">
        <f>IF(AND(ISNUMBER(H35),ISNUMBER(I35)),H35+I35,IF(ISNUMBER(K35),K35,IF(ISNUMBER(H35),H35,"")))</f>
        <v/>
      </c>
      <c r="AD35" s="18">
        <f>IF(OR(NOT(ISNUMBER(J35)),NOT(ISNUMBER(H35)),H35&lt;=0),기준표!$B$8,MIN(MAX(J35/H35,기준표!$B$6),기준표!$B$7))</f>
        <v/>
      </c>
      <c r="AE35" s="17">
        <f>IF(ISNUMBER(AC35),AC35*(1-AD35),"")</f>
        <v/>
      </c>
      <c r="AF35" s="17">
        <f>IF(AND(NOT(ISNUMBER(T35)),NOT(ISNUMBER(V35))),"",IF(ISNUMBER(T35),T35,0)+IF(ISNUMBER(V35),V35,0))</f>
        <v/>
      </c>
      <c r="AG35" s="17">
        <f>IF(E35="금융","",IF(AND(ISNUMBER(P35),ISNUMBER(AF35),ISNUMBER(R35)),P35+AF35-R35,""))</f>
        <v/>
      </c>
      <c r="AH35" s="17">
        <f>IF(E35="금융","",IF(NOT(ISNUMBER(AG35)),"",IF(ISNUMBER(AA35),(AG35+AA35)/2,AG35)))</f>
        <v/>
      </c>
      <c r="AI35" s="19">
        <f>IF(AND(ISNUMBER(AE35),ISNUMBER(AH35),AH35&gt;0),AE35/AH35,"")</f>
        <v/>
      </c>
      <c r="AJ35" s="17">
        <f>IF(E35="금융","",IF(AND(ISNUMBER(P35),ISNUMBER(AF35)),P35+AF35,""))</f>
        <v/>
      </c>
      <c r="AK35" s="19">
        <f>IF(OR(NOT(ISNUMBER(AE35)),NOT(ISNUMBER(AJ35)),AJ35&lt;=0),"",IF(AND(ISNUMBER(G35),AJ35&lt;0.1*G35),"",AE35/AJ35))</f>
        <v/>
      </c>
      <c r="AL35" s="17">
        <f>IF(NOT(ISNUMBER(P35)),"",IF(ISNUMBER(Q35),(P35+Q35)/2,P35))</f>
        <v/>
      </c>
      <c r="AM35" s="19">
        <f>IF(AND(ISNUMBER(L35),ISNUMBER(AL35),AL35&gt;0),L35/AL35,"")</f>
        <v/>
      </c>
      <c r="AN35" s="19">
        <f>IF(AND(ISNUMBER(AM35),ISNUMBER({ROIC})),AM35-{ROIC},"")</f>
        <v/>
      </c>
      <c r="AO35" s="17">
        <f>IF(AND(ISNUMBER(AC35),ISNUMBER(M35)),AC35+M35,"")</f>
        <v/>
      </c>
      <c r="AP35" s="20">
        <f>IF(AND(ISNUMBER(AF35),ISNUMBER(R35),ISNUMBER(AO35),AO35&gt;0),(AF35-R35)/AO35,"")</f>
        <v/>
      </c>
      <c r="AQ35" s="20">
        <f>IF(AND(ISNUMBER(AC35),ISNUMBER(I35),I35&lt;&gt;0,AC35&gt;0),AC35/I35,"")</f>
        <v/>
      </c>
      <c r="AR35" s="17">
        <f>IF(AND(ISNUMBER(W35),ISNUMBER(Y35)),W35-IF(ISNUMBER(R35),R35,0)-(Y35-IF(ISNUMBER(T35),T35,0)),"")</f>
        <v/>
      </c>
      <c r="AS35" s="17">
        <f>IF(AND(ISNUMBER(X35),ISNUMBER(Z35)),X35-IF(ISNUMBER(S35),S35,0)-(Z35-IF(ISNUMBER(U35),U35,0)),"")</f>
        <v/>
      </c>
      <c r="AT35" s="17">
        <f>IF(AND(ISNUMBER(AR35),ISNUMBER(AS35)),AR35-AS35,"")</f>
        <v/>
      </c>
      <c r="AU35" s="17">
        <f>IF(E35="금융","",IF(AND(ISNUMBER(L35),ISNUMBER(M35),ISNUMBER(N35),ISNUMBER(AT35)),L35+M35-N35-AT35,IF(AND(ISNUMBER(O35),ISNUMBER(N35)),O35-N35,"")))</f>
        <v/>
      </c>
      <c r="AV35" s="8">
        <f>IF(E35="금융","금융업 - 정의되지 않음",IF(AND(ISNUMBER(L35),ISNUMBER(M35),ISNUMBER(N35),ISNUMBER(AT35)),"순이익+감가상각-설비투자-운전자본증감",IF(AND(ISNUMBER(O35),ISNUMBER(N35)),"영업현금흐름-설비투자","산출불가")))</f>
        <v/>
      </c>
      <c r="AW35" s="19">
        <f>IF(AND(ISNUMBER(AU35),ISNUMBER(G35),G35&lt;&gt;0),AU35/G35,"")</f>
        <v/>
      </c>
      <c r="AX35" s="19">
        <f>IF(AND(ISNUMBER(AC35),ISNUMBER(G35),G35&lt;&gt;0),AC35/G35,"")</f>
        <v/>
      </c>
    </row>
    <row r="36">
      <c r="A36" s="8" t="inlineStr">
        <is>
          <t>GOOG</t>
        </is>
      </c>
      <c r="B36" s="8" t="inlineStr">
        <is>
          <t>Alphabet Inc.</t>
        </is>
      </c>
      <c r="C36" s="8" t="n">
        <v>2021</v>
      </c>
      <c r="D36" s="8" t="inlineStr">
        <is>
          <t>2021-12-31</t>
        </is>
      </c>
      <c r="E36" s="8" t="inlineStr">
        <is>
          <t>일반</t>
        </is>
      </c>
      <c r="F36" s="8" t="inlineStr">
        <is>
          <t>0001652044-24-000022</t>
        </is>
      </c>
      <c r="G36" s="15" t="n">
        <v>257.637</v>
      </c>
      <c r="H36" s="15" t="n">
        <v>90.73399999999999</v>
      </c>
      <c r="I36" s="15" t="n"/>
      <c r="J36" s="15" t="n">
        <v>14.701</v>
      </c>
      <c r="K36" s="15" t="n">
        <v>78.714</v>
      </c>
      <c r="L36" s="15" t="n">
        <v>76.033</v>
      </c>
      <c r="M36" s="15" t="n">
        <v>10.273</v>
      </c>
      <c r="N36" s="15" t="n">
        <v>24.64</v>
      </c>
      <c r="O36" s="15" t="n">
        <v>91.652</v>
      </c>
      <c r="P36" s="15" t="n">
        <v>251.635</v>
      </c>
      <c r="Q36" s="15" t="n">
        <v>222.544</v>
      </c>
      <c r="R36" s="15" t="n">
        <v>139.649</v>
      </c>
      <c r="S36" s="15" t="n">
        <v>136.694</v>
      </c>
      <c r="T36" s="15" t="n">
        <v>0</v>
      </c>
      <c r="U36" s="15" t="n">
        <v>0</v>
      </c>
      <c r="V36" s="15" t="n">
        <v>15.44</v>
      </c>
      <c r="W36" s="15" t="n">
        <v>188.143</v>
      </c>
      <c r="X36" s="15" t="n">
        <v>174.296</v>
      </c>
      <c r="Y36" s="15" t="n">
        <v>64.254</v>
      </c>
      <c r="Z36" s="15" t="n">
        <v>56.834</v>
      </c>
      <c r="AA36" s="15" t="n">
        <v>101.169</v>
      </c>
      <c r="AB36" s="16" t="n">
        <v>13242</v>
      </c>
      <c r="AC36" s="17">
        <f>IF(AND(ISNUMBER(H36),ISNUMBER(I36)),H36+I36,IF(ISNUMBER(K36),K36,IF(ISNUMBER(H36),H36,"")))</f>
        <v/>
      </c>
      <c r="AD36" s="18">
        <f>IF(OR(NOT(ISNUMBER(J36)),NOT(ISNUMBER(H36)),H36&lt;=0),기준표!$B$8,MIN(MAX(J36/H36,기준표!$B$6),기준표!$B$7))</f>
        <v/>
      </c>
      <c r="AE36" s="17">
        <f>IF(ISNUMBER(AC36),AC36*(1-AD36),"")</f>
        <v/>
      </c>
      <c r="AF36" s="17">
        <f>IF(AND(NOT(ISNUMBER(T36)),NOT(ISNUMBER(V36))),"",IF(ISNUMBER(T36),T36,0)+IF(ISNUMBER(V36),V36,0))</f>
        <v/>
      </c>
      <c r="AG36" s="17">
        <f>IF(E36="금융","",IF(AND(ISNUMBER(P36),ISNUMBER(AF36),ISNUMBER(R36)),P36+AF36-R36,""))</f>
        <v/>
      </c>
      <c r="AH36" s="17">
        <f>IF(E36="금융","",IF(NOT(ISNUMBER(AG36)),"",IF(ISNUMBER(AA36),(AG36+AA36)/2,AG36)))</f>
        <v/>
      </c>
      <c r="AI36" s="19">
        <f>IF(AND(ISNUMBER(AE36),ISNUMBER(AH36),AH36&gt;0),AE36/AH36,"")</f>
        <v/>
      </c>
      <c r="AJ36" s="17">
        <f>IF(E36="금융","",IF(AND(ISNUMBER(P36),ISNUMBER(AF36)),P36+AF36,""))</f>
        <v/>
      </c>
      <c r="AK36" s="19">
        <f>IF(OR(NOT(ISNUMBER(AE36)),NOT(ISNUMBER(AJ36)),AJ36&lt;=0),"",IF(AND(ISNUMBER(G36),AJ36&lt;0.1*G36),"",AE36/AJ36))</f>
        <v/>
      </c>
      <c r="AL36" s="17">
        <f>IF(NOT(ISNUMBER(P36)),"",IF(ISNUMBER(Q36),(P36+Q36)/2,P36))</f>
        <v/>
      </c>
      <c r="AM36" s="19">
        <f>IF(AND(ISNUMBER(L36),ISNUMBER(AL36),AL36&gt;0),L36/AL36,"")</f>
        <v/>
      </c>
      <c r="AN36" s="19">
        <f>IF(AND(ISNUMBER(AM36),ISNUMBER({ROIC})),AM36-{ROIC},"")</f>
        <v/>
      </c>
      <c r="AO36" s="17">
        <f>IF(AND(ISNUMBER(AC36),ISNUMBER(M36)),AC36+M36,"")</f>
        <v/>
      </c>
      <c r="AP36" s="20">
        <f>IF(AND(ISNUMBER(AF36),ISNUMBER(R36),ISNUMBER(AO36),AO36&gt;0),(AF36-R36)/AO36,"")</f>
        <v/>
      </c>
      <c r="AQ36" s="20">
        <f>IF(AND(ISNUMBER(AC36),ISNUMBER(I36),I36&lt;&gt;0,AC36&gt;0),AC36/I36,"")</f>
        <v/>
      </c>
      <c r="AR36" s="17">
        <f>IF(AND(ISNUMBER(W36),ISNUMBER(Y36)),W36-IF(ISNUMBER(R36),R36,0)-(Y36-IF(ISNUMBER(T36),T36,0)),"")</f>
        <v/>
      </c>
      <c r="AS36" s="17">
        <f>IF(AND(ISNUMBER(X36),ISNUMBER(Z36)),X36-IF(ISNUMBER(S36),S36,0)-(Z36-IF(ISNUMBER(U36),U36,0)),"")</f>
        <v/>
      </c>
      <c r="AT36" s="17">
        <f>IF(AND(ISNUMBER(AR36),ISNUMBER(AS36)),AR36-AS36,"")</f>
        <v/>
      </c>
      <c r="AU36" s="17">
        <f>IF(E36="금융","",IF(AND(ISNUMBER(L36),ISNUMBER(M36),ISNUMBER(N36),ISNUMBER(AT36)),L36+M36-N36-AT36,IF(AND(ISNUMBER(O36),ISNUMBER(N36)),O36-N36,"")))</f>
        <v/>
      </c>
      <c r="AV36" s="8">
        <f>IF(E36="금융","금융업 - 정의되지 않음",IF(AND(ISNUMBER(L36),ISNUMBER(M36),ISNUMBER(N36),ISNUMBER(AT36)),"순이익+감가상각-설비투자-운전자본증감",IF(AND(ISNUMBER(O36),ISNUMBER(N36)),"영업현금흐름-설비투자","산출불가")))</f>
        <v/>
      </c>
      <c r="AW36" s="19">
        <f>IF(AND(ISNUMBER(AU36),ISNUMBER(G36),G36&lt;&gt;0),AU36/G36,"")</f>
        <v/>
      </c>
      <c r="AX36" s="19">
        <f>IF(AND(ISNUMBER(AC36),ISNUMBER(G36),G36&lt;&gt;0),AC36/G36,"")</f>
        <v/>
      </c>
    </row>
    <row r="37">
      <c r="A37" s="8" t="inlineStr">
        <is>
          <t>GOOG</t>
        </is>
      </c>
      <c r="B37" s="8" t="inlineStr">
        <is>
          <t>Alphabet Inc.</t>
        </is>
      </c>
      <c r="C37" s="8" t="n">
        <v>2022</v>
      </c>
      <c r="D37" s="8" t="inlineStr">
        <is>
          <t>2022-12-31</t>
        </is>
      </c>
      <c r="E37" s="8" t="inlineStr">
        <is>
          <t>일반</t>
        </is>
      </c>
      <c r="F37" s="8" t="inlineStr">
        <is>
          <t>0001652044-25-000014</t>
        </is>
      </c>
      <c r="G37" s="15" t="n">
        <v>282.836</v>
      </c>
      <c r="H37" s="15" t="n">
        <v>71.328</v>
      </c>
      <c r="I37" s="15" t="n">
        <v>0.357</v>
      </c>
      <c r="J37" s="15" t="n">
        <v>11.356</v>
      </c>
      <c r="K37" s="15" t="n">
        <v>74.842</v>
      </c>
      <c r="L37" s="15" t="n">
        <v>59.972</v>
      </c>
      <c r="M37" s="15" t="n">
        <v>13.475</v>
      </c>
      <c r="N37" s="15" t="n">
        <v>31.485</v>
      </c>
      <c r="O37" s="15" t="n">
        <v>91.495</v>
      </c>
      <c r="P37" s="15" t="n">
        <v>256.144</v>
      </c>
      <c r="Q37" s="15" t="n">
        <v>251.635</v>
      </c>
      <c r="R37" s="15" t="n">
        <v>113.762</v>
      </c>
      <c r="S37" s="15" t="n">
        <v>139.649</v>
      </c>
      <c r="T37" s="15" t="n">
        <v>0</v>
      </c>
      <c r="U37" s="15" t="n">
        <v>0</v>
      </c>
      <c r="V37" s="15" t="n">
        <v>15.312</v>
      </c>
      <c r="W37" s="15" t="n">
        <v>164.795</v>
      </c>
      <c r="X37" s="15" t="n">
        <v>188.143</v>
      </c>
      <c r="Y37" s="15" t="n">
        <v>69.3</v>
      </c>
      <c r="Z37" s="15" t="n">
        <v>64.254</v>
      </c>
      <c r="AA37" s="15" t="n">
        <v>127.426</v>
      </c>
      <c r="AB37" s="16" t="n">
        <v>12849</v>
      </c>
      <c r="AC37" s="17">
        <f>IF(AND(ISNUMBER(H37),ISNUMBER(I37)),H37+I37,IF(ISNUMBER(K37),K37,IF(ISNUMBER(H37),H37,"")))</f>
        <v/>
      </c>
      <c r="AD37" s="18">
        <f>IF(OR(NOT(ISNUMBER(J37)),NOT(ISNUMBER(H37)),H37&lt;=0),기준표!$B$8,MIN(MAX(J37/H37,기준표!$B$6),기준표!$B$7))</f>
        <v/>
      </c>
      <c r="AE37" s="17">
        <f>IF(ISNUMBER(AC37),AC37*(1-AD37),"")</f>
        <v/>
      </c>
      <c r="AF37" s="17">
        <f>IF(AND(NOT(ISNUMBER(T37)),NOT(ISNUMBER(V37))),"",IF(ISNUMBER(T37),T37,0)+IF(ISNUMBER(V37),V37,0))</f>
        <v/>
      </c>
      <c r="AG37" s="17">
        <f>IF(E37="금융","",IF(AND(ISNUMBER(P37),ISNUMBER(AF37),ISNUMBER(R37)),P37+AF37-R37,""))</f>
        <v/>
      </c>
      <c r="AH37" s="17">
        <f>IF(E37="금융","",IF(NOT(ISNUMBER(AG37)),"",IF(ISNUMBER(AA37),(AG37+AA37)/2,AG37)))</f>
        <v/>
      </c>
      <c r="AI37" s="19">
        <f>IF(AND(ISNUMBER(AE37),ISNUMBER(AH37),AH37&gt;0),AE37/AH37,"")</f>
        <v/>
      </c>
      <c r="AJ37" s="17">
        <f>IF(E37="금융","",IF(AND(ISNUMBER(P37),ISNUMBER(AF37)),P37+AF37,""))</f>
        <v/>
      </c>
      <c r="AK37" s="19">
        <f>IF(OR(NOT(ISNUMBER(AE37)),NOT(ISNUMBER(AJ37)),AJ37&lt;=0),"",IF(AND(ISNUMBER(G37),AJ37&lt;0.1*G37),"",AE37/AJ37))</f>
        <v/>
      </c>
      <c r="AL37" s="17">
        <f>IF(NOT(ISNUMBER(P37)),"",IF(ISNUMBER(Q37),(P37+Q37)/2,P37))</f>
        <v/>
      </c>
      <c r="AM37" s="19">
        <f>IF(AND(ISNUMBER(L37),ISNUMBER(AL37),AL37&gt;0),L37/AL37,"")</f>
        <v/>
      </c>
      <c r="AN37" s="19">
        <f>IF(AND(ISNUMBER(AM37),ISNUMBER({ROIC})),AM37-{ROIC},"")</f>
        <v/>
      </c>
      <c r="AO37" s="17">
        <f>IF(AND(ISNUMBER(AC37),ISNUMBER(M37)),AC37+M37,"")</f>
        <v/>
      </c>
      <c r="AP37" s="20">
        <f>IF(AND(ISNUMBER(AF37),ISNUMBER(R37),ISNUMBER(AO37),AO37&gt;0),(AF37-R37)/AO37,"")</f>
        <v/>
      </c>
      <c r="AQ37" s="20">
        <f>IF(AND(ISNUMBER(AC37),ISNUMBER(I37),I37&lt;&gt;0,AC37&gt;0),AC37/I37,"")</f>
        <v/>
      </c>
      <c r="AR37" s="17">
        <f>IF(AND(ISNUMBER(W37),ISNUMBER(Y37)),W37-IF(ISNUMBER(R37),R37,0)-(Y37-IF(ISNUMBER(T37),T37,0)),"")</f>
        <v/>
      </c>
      <c r="AS37" s="17">
        <f>IF(AND(ISNUMBER(X37),ISNUMBER(Z37)),X37-IF(ISNUMBER(S37),S37,0)-(Z37-IF(ISNUMBER(U37),U37,0)),"")</f>
        <v/>
      </c>
      <c r="AT37" s="17">
        <f>IF(AND(ISNUMBER(AR37),ISNUMBER(AS37)),AR37-AS37,"")</f>
        <v/>
      </c>
      <c r="AU37" s="17">
        <f>IF(E37="금융","",IF(AND(ISNUMBER(L37),ISNUMBER(M37),ISNUMBER(N37),ISNUMBER(AT37)),L37+M37-N37-AT37,IF(AND(ISNUMBER(O37),ISNUMBER(N37)),O37-N37,"")))</f>
        <v/>
      </c>
      <c r="AV37" s="8">
        <f>IF(E37="금융","금융업 - 정의되지 않음",IF(AND(ISNUMBER(L37),ISNUMBER(M37),ISNUMBER(N37),ISNUMBER(AT37)),"순이익+감가상각-설비투자-운전자본증감",IF(AND(ISNUMBER(O37),ISNUMBER(N37)),"영업현금흐름-설비투자","산출불가")))</f>
        <v/>
      </c>
      <c r="AW37" s="19">
        <f>IF(AND(ISNUMBER(AU37),ISNUMBER(G37),G37&lt;&gt;0),AU37/G37,"")</f>
        <v/>
      </c>
      <c r="AX37" s="19">
        <f>IF(AND(ISNUMBER(AC37),ISNUMBER(G37),G37&lt;&gt;0),AC37/G37,"")</f>
        <v/>
      </c>
    </row>
    <row r="38">
      <c r="A38" s="8" t="inlineStr">
        <is>
          <t>GOOG</t>
        </is>
      </c>
      <c r="B38" s="8" t="inlineStr">
        <is>
          <t>Alphabet Inc.</t>
        </is>
      </c>
      <c r="C38" s="8" t="n">
        <v>2023</v>
      </c>
      <c r="D38" s="8" t="inlineStr">
        <is>
          <t>2023-12-31</t>
        </is>
      </c>
      <c r="E38" s="8" t="inlineStr">
        <is>
          <t>일반</t>
        </is>
      </c>
      <c r="F38" s="8" t="inlineStr">
        <is>
          <t>0001652044-26-000018</t>
        </is>
      </c>
      <c r="G38" s="15" t="n">
        <v>307.394</v>
      </c>
      <c r="H38" s="15" t="n">
        <v>85.717</v>
      </c>
      <c r="I38" s="15" t="n">
        <v>0.308</v>
      </c>
      <c r="J38" s="15" t="n">
        <v>11.922</v>
      </c>
      <c r="K38" s="15" t="n">
        <v>84.29300000000001</v>
      </c>
      <c r="L38" s="15" t="n">
        <v>73.795</v>
      </c>
      <c r="M38" s="15" t="n">
        <v>11.946</v>
      </c>
      <c r="N38" s="15" t="n">
        <v>32.251</v>
      </c>
      <c r="O38" s="15" t="n">
        <v>101.746</v>
      </c>
      <c r="P38" s="15" t="n">
        <v>283.379</v>
      </c>
      <c r="Q38" s="15" t="n">
        <v>256.144</v>
      </c>
      <c r="R38" s="15" t="n">
        <v>110.916</v>
      </c>
      <c r="S38" s="15" t="n">
        <v>113.762</v>
      </c>
      <c r="T38" s="15" t="n">
        <v>0</v>
      </c>
      <c r="U38" s="15" t="n">
        <v>0</v>
      </c>
      <c r="V38" s="15" t="n">
        <v>13</v>
      </c>
      <c r="W38" s="15" t="n">
        <v>171.53</v>
      </c>
      <c r="X38" s="15" t="n">
        <v>164.795</v>
      </c>
      <c r="Y38" s="15" t="n">
        <v>81.81399999999999</v>
      </c>
      <c r="Z38" s="15" t="n">
        <v>69.3</v>
      </c>
      <c r="AA38" s="15" t="n">
        <v>157.694</v>
      </c>
      <c r="AB38" s="16" t="n">
        <v>12460</v>
      </c>
      <c r="AC38" s="17">
        <f>IF(AND(ISNUMBER(H38),ISNUMBER(I38)),H38+I38,IF(ISNUMBER(K38),K38,IF(ISNUMBER(H38),H38,"")))</f>
        <v/>
      </c>
      <c r="AD38" s="18">
        <f>IF(OR(NOT(ISNUMBER(J38)),NOT(ISNUMBER(H38)),H38&lt;=0),기준표!$B$8,MIN(MAX(J38/H38,기준표!$B$6),기준표!$B$7))</f>
        <v/>
      </c>
      <c r="AE38" s="17">
        <f>IF(ISNUMBER(AC38),AC38*(1-AD38),"")</f>
        <v/>
      </c>
      <c r="AF38" s="17">
        <f>IF(AND(NOT(ISNUMBER(T38)),NOT(ISNUMBER(V38))),"",IF(ISNUMBER(T38),T38,0)+IF(ISNUMBER(V38),V38,0))</f>
        <v/>
      </c>
      <c r="AG38" s="17">
        <f>IF(E38="금융","",IF(AND(ISNUMBER(P38),ISNUMBER(AF38),ISNUMBER(R38)),P38+AF38-R38,""))</f>
        <v/>
      </c>
      <c r="AH38" s="17">
        <f>IF(E38="금융","",IF(NOT(ISNUMBER(AG38)),"",IF(ISNUMBER(AA38),(AG38+AA38)/2,AG38)))</f>
        <v/>
      </c>
      <c r="AI38" s="19">
        <f>IF(AND(ISNUMBER(AE38),ISNUMBER(AH38),AH38&gt;0),AE38/AH38,"")</f>
        <v/>
      </c>
      <c r="AJ38" s="17">
        <f>IF(E38="금융","",IF(AND(ISNUMBER(P38),ISNUMBER(AF38)),P38+AF38,""))</f>
        <v/>
      </c>
      <c r="AK38" s="19">
        <f>IF(OR(NOT(ISNUMBER(AE38)),NOT(ISNUMBER(AJ38)),AJ38&lt;=0),"",IF(AND(ISNUMBER(G38),AJ38&lt;0.1*G38),"",AE38/AJ38))</f>
        <v/>
      </c>
      <c r="AL38" s="17">
        <f>IF(NOT(ISNUMBER(P38)),"",IF(ISNUMBER(Q38),(P38+Q38)/2,P38))</f>
        <v/>
      </c>
      <c r="AM38" s="19">
        <f>IF(AND(ISNUMBER(L38),ISNUMBER(AL38),AL38&gt;0),L38/AL38,"")</f>
        <v/>
      </c>
      <c r="AN38" s="19">
        <f>IF(AND(ISNUMBER(AM38),ISNUMBER({ROIC})),AM38-{ROIC},"")</f>
        <v/>
      </c>
      <c r="AO38" s="17">
        <f>IF(AND(ISNUMBER(AC38),ISNUMBER(M38)),AC38+M38,"")</f>
        <v/>
      </c>
      <c r="AP38" s="20">
        <f>IF(AND(ISNUMBER(AF38),ISNUMBER(R38),ISNUMBER(AO38),AO38&gt;0),(AF38-R38)/AO38,"")</f>
        <v/>
      </c>
      <c r="AQ38" s="20">
        <f>IF(AND(ISNUMBER(AC38),ISNUMBER(I38),I38&lt;&gt;0,AC38&gt;0),AC38/I38,"")</f>
        <v/>
      </c>
      <c r="AR38" s="17">
        <f>IF(AND(ISNUMBER(W38),ISNUMBER(Y38)),W38-IF(ISNUMBER(R38),R38,0)-(Y38-IF(ISNUMBER(T38),T38,0)),"")</f>
        <v/>
      </c>
      <c r="AS38" s="17">
        <f>IF(AND(ISNUMBER(X38),ISNUMBER(Z38)),X38-IF(ISNUMBER(S38),S38,0)-(Z38-IF(ISNUMBER(U38),U38,0)),"")</f>
        <v/>
      </c>
      <c r="AT38" s="17">
        <f>IF(AND(ISNUMBER(AR38),ISNUMBER(AS38)),AR38-AS38,"")</f>
        <v/>
      </c>
      <c r="AU38" s="17">
        <f>IF(E38="금융","",IF(AND(ISNUMBER(L38),ISNUMBER(M38),ISNUMBER(N38),ISNUMBER(AT38)),L38+M38-N38-AT38,IF(AND(ISNUMBER(O38),ISNUMBER(N38)),O38-N38,"")))</f>
        <v/>
      </c>
      <c r="AV38" s="8">
        <f>IF(E38="금융","금융업 - 정의되지 않음",IF(AND(ISNUMBER(L38),ISNUMBER(M38),ISNUMBER(N38),ISNUMBER(AT38)),"순이익+감가상각-설비투자-운전자본증감",IF(AND(ISNUMBER(O38),ISNUMBER(N38)),"영업현금흐름-설비투자","산출불가")))</f>
        <v/>
      </c>
      <c r="AW38" s="19">
        <f>IF(AND(ISNUMBER(AU38),ISNUMBER(G38),G38&lt;&gt;0),AU38/G38,"")</f>
        <v/>
      </c>
      <c r="AX38" s="19">
        <f>IF(AND(ISNUMBER(AC38),ISNUMBER(G38),G38&lt;&gt;0),AC38/G38,"")</f>
        <v/>
      </c>
    </row>
    <row r="39">
      <c r="A39" s="8" t="inlineStr">
        <is>
          <t>GOOG</t>
        </is>
      </c>
      <c r="B39" s="8" t="inlineStr">
        <is>
          <t>Alphabet Inc.</t>
        </is>
      </c>
      <c r="C39" s="8" t="n">
        <v>2024</v>
      </c>
      <c r="D39" s="8" t="inlineStr">
        <is>
          <t>2024-12-31</t>
        </is>
      </c>
      <c r="E39" s="8" t="inlineStr">
        <is>
          <t>일반</t>
        </is>
      </c>
      <c r="F39" s="8" t="inlineStr">
        <is>
          <t>0001652044-26-000018</t>
        </is>
      </c>
      <c r="G39" s="15" t="n">
        <v>350.018</v>
      </c>
      <c r="H39" s="15" t="n">
        <v>119.815</v>
      </c>
      <c r="I39" s="15" t="n">
        <v>0.268</v>
      </c>
      <c r="J39" s="15" t="n">
        <v>19.697</v>
      </c>
      <c r="K39" s="15" t="n">
        <v>112.39</v>
      </c>
      <c r="L39" s="15" t="n">
        <v>100.118</v>
      </c>
      <c r="M39" s="15" t="n">
        <v>15.311</v>
      </c>
      <c r="N39" s="15" t="n">
        <v>52.535</v>
      </c>
      <c r="O39" s="15" t="n">
        <v>125.299</v>
      </c>
      <c r="P39" s="15" t="n">
        <v>325.084</v>
      </c>
      <c r="Q39" s="15" t="n">
        <v>283.379</v>
      </c>
      <c r="R39" s="15" t="n">
        <v>95.657</v>
      </c>
      <c r="S39" s="15" t="n">
        <v>110.916</v>
      </c>
      <c r="T39" s="15" t="n">
        <v>2.3</v>
      </c>
      <c r="U39" s="15" t="n">
        <v>0</v>
      </c>
      <c r="V39" s="15" t="n">
        <v>12</v>
      </c>
      <c r="W39" s="15" t="n">
        <v>163.711</v>
      </c>
      <c r="X39" s="15" t="n">
        <v>171.53</v>
      </c>
      <c r="Y39" s="15" t="n">
        <v>89.122</v>
      </c>
      <c r="Z39" s="15" t="n">
        <v>81.81399999999999</v>
      </c>
      <c r="AA39" s="15" t="n">
        <v>185.463</v>
      </c>
      <c r="AB39" s="16" t="n">
        <v>12211</v>
      </c>
      <c r="AC39" s="17">
        <f>IF(AND(ISNUMBER(H39),ISNUMBER(I39)),H39+I39,IF(ISNUMBER(K39),K39,IF(ISNUMBER(H39),H39,"")))</f>
        <v/>
      </c>
      <c r="AD39" s="18">
        <f>IF(OR(NOT(ISNUMBER(J39)),NOT(ISNUMBER(H39)),H39&lt;=0),기준표!$B$8,MIN(MAX(J39/H39,기준표!$B$6),기준표!$B$7))</f>
        <v/>
      </c>
      <c r="AE39" s="17">
        <f>IF(ISNUMBER(AC39),AC39*(1-AD39),"")</f>
        <v/>
      </c>
      <c r="AF39" s="17">
        <f>IF(AND(NOT(ISNUMBER(T39)),NOT(ISNUMBER(V39))),"",IF(ISNUMBER(T39),T39,0)+IF(ISNUMBER(V39),V39,0))</f>
        <v/>
      </c>
      <c r="AG39" s="17">
        <f>IF(E39="금융","",IF(AND(ISNUMBER(P39),ISNUMBER(AF39),ISNUMBER(R39)),P39+AF39-R39,""))</f>
        <v/>
      </c>
      <c r="AH39" s="17">
        <f>IF(E39="금융","",IF(NOT(ISNUMBER(AG39)),"",IF(ISNUMBER(AA39),(AG39+AA39)/2,AG39)))</f>
        <v/>
      </c>
      <c r="AI39" s="19">
        <f>IF(AND(ISNUMBER(AE39),ISNUMBER(AH39),AH39&gt;0),AE39/AH39,"")</f>
        <v/>
      </c>
      <c r="AJ39" s="17">
        <f>IF(E39="금융","",IF(AND(ISNUMBER(P39),ISNUMBER(AF39)),P39+AF39,""))</f>
        <v/>
      </c>
      <c r="AK39" s="19">
        <f>IF(OR(NOT(ISNUMBER(AE39)),NOT(ISNUMBER(AJ39)),AJ39&lt;=0),"",IF(AND(ISNUMBER(G39),AJ39&lt;0.1*G39),"",AE39/AJ39))</f>
        <v/>
      </c>
      <c r="AL39" s="17">
        <f>IF(NOT(ISNUMBER(P39)),"",IF(ISNUMBER(Q39),(P39+Q39)/2,P39))</f>
        <v/>
      </c>
      <c r="AM39" s="19">
        <f>IF(AND(ISNUMBER(L39),ISNUMBER(AL39),AL39&gt;0),L39/AL39,"")</f>
        <v/>
      </c>
      <c r="AN39" s="19">
        <f>IF(AND(ISNUMBER(AM39),ISNUMBER({ROIC})),AM39-{ROIC},"")</f>
        <v/>
      </c>
      <c r="AO39" s="17">
        <f>IF(AND(ISNUMBER(AC39),ISNUMBER(M39)),AC39+M39,"")</f>
        <v/>
      </c>
      <c r="AP39" s="20">
        <f>IF(AND(ISNUMBER(AF39),ISNUMBER(R39),ISNUMBER(AO39),AO39&gt;0),(AF39-R39)/AO39,"")</f>
        <v/>
      </c>
      <c r="AQ39" s="20">
        <f>IF(AND(ISNUMBER(AC39),ISNUMBER(I39),I39&lt;&gt;0,AC39&gt;0),AC39/I39,"")</f>
        <v/>
      </c>
      <c r="AR39" s="17">
        <f>IF(AND(ISNUMBER(W39),ISNUMBER(Y39)),W39-IF(ISNUMBER(R39),R39,0)-(Y39-IF(ISNUMBER(T39),T39,0)),"")</f>
        <v/>
      </c>
      <c r="AS39" s="17">
        <f>IF(AND(ISNUMBER(X39),ISNUMBER(Z39)),X39-IF(ISNUMBER(S39),S39,0)-(Z39-IF(ISNUMBER(U39),U39,0)),"")</f>
        <v/>
      </c>
      <c r="AT39" s="17">
        <f>IF(AND(ISNUMBER(AR39),ISNUMBER(AS39)),AR39-AS39,"")</f>
        <v/>
      </c>
      <c r="AU39" s="17">
        <f>IF(E39="금융","",IF(AND(ISNUMBER(L39),ISNUMBER(M39),ISNUMBER(N39),ISNUMBER(AT39)),L39+M39-N39-AT39,IF(AND(ISNUMBER(O39),ISNUMBER(N39)),O39-N39,"")))</f>
        <v/>
      </c>
      <c r="AV39" s="8">
        <f>IF(E39="금융","금융업 - 정의되지 않음",IF(AND(ISNUMBER(L39),ISNUMBER(M39),ISNUMBER(N39),ISNUMBER(AT39)),"순이익+감가상각-설비투자-운전자본증감",IF(AND(ISNUMBER(O39),ISNUMBER(N39)),"영업현금흐름-설비투자","산출불가")))</f>
        <v/>
      </c>
      <c r="AW39" s="19">
        <f>IF(AND(ISNUMBER(AU39),ISNUMBER(G39),G39&lt;&gt;0),AU39/G39,"")</f>
        <v/>
      </c>
      <c r="AX39" s="19">
        <f>IF(AND(ISNUMBER(AC39),ISNUMBER(G39),G39&lt;&gt;0),AC39/G39,"")</f>
        <v/>
      </c>
    </row>
    <row r="40">
      <c r="A40" s="8" t="inlineStr">
        <is>
          <t>GOOG</t>
        </is>
      </c>
      <c r="B40" s="8" t="inlineStr">
        <is>
          <t>Alphabet Inc.</t>
        </is>
      </c>
      <c r="C40" s="8" t="n">
        <v>2025</v>
      </c>
      <c r="D40" s="8" t="inlineStr">
        <is>
          <t>2025-12-31</t>
        </is>
      </c>
      <c r="E40" s="8" t="inlineStr">
        <is>
          <t>일반</t>
        </is>
      </c>
      <c r="F40" s="8" t="inlineStr">
        <is>
          <t>0001652044-26-000018</t>
        </is>
      </c>
      <c r="G40" s="15" t="n">
        <v>402.836</v>
      </c>
      <c r="H40" s="15" t="n">
        <v>158.826</v>
      </c>
      <c r="I40" s="15" t="n">
        <v>0.736</v>
      </c>
      <c r="J40" s="15" t="n">
        <v>26.656</v>
      </c>
      <c r="K40" s="15" t="n">
        <v>129.039</v>
      </c>
      <c r="L40" s="15" t="n">
        <v>132.17</v>
      </c>
      <c r="M40" s="15" t="n">
        <v>21.136</v>
      </c>
      <c r="N40" s="15" t="n">
        <v>91.447</v>
      </c>
      <c r="O40" s="15" t="n">
        <v>164.713</v>
      </c>
      <c r="P40" s="15" t="n">
        <v>415.265</v>
      </c>
      <c r="Q40" s="15" t="n">
        <v>325.084</v>
      </c>
      <c r="R40" s="15" t="n">
        <v>126.843</v>
      </c>
      <c r="S40" s="15" t="n">
        <v>95.657</v>
      </c>
      <c r="T40" s="15" t="n">
        <v>0</v>
      </c>
      <c r="U40" s="15" t="n">
        <v>2.3</v>
      </c>
      <c r="V40" s="15" t="n">
        <v>49.085</v>
      </c>
      <c r="W40" s="15" t="n">
        <v>206.038</v>
      </c>
      <c r="X40" s="15" t="n">
        <v>163.711</v>
      </c>
      <c r="Y40" s="15" t="n">
        <v>102.745</v>
      </c>
      <c r="Z40" s="15" t="n">
        <v>89.122</v>
      </c>
      <c r="AA40" s="15" t="n">
        <v>243.727</v>
      </c>
      <c r="AB40" s="16" t="n">
        <v>12088</v>
      </c>
      <c r="AC40" s="17">
        <f>IF(AND(ISNUMBER(H40),ISNUMBER(I40)),H40+I40,IF(ISNUMBER(K40),K40,IF(ISNUMBER(H40),H40,"")))</f>
        <v/>
      </c>
      <c r="AD40" s="18">
        <f>IF(OR(NOT(ISNUMBER(J40)),NOT(ISNUMBER(H40)),H40&lt;=0),기준표!$B$8,MIN(MAX(J40/H40,기준표!$B$6),기준표!$B$7))</f>
        <v/>
      </c>
      <c r="AE40" s="17">
        <f>IF(ISNUMBER(AC40),AC40*(1-AD40),"")</f>
        <v/>
      </c>
      <c r="AF40" s="17">
        <f>IF(AND(NOT(ISNUMBER(T40)),NOT(ISNUMBER(V40))),"",IF(ISNUMBER(T40),T40,0)+IF(ISNUMBER(V40),V40,0))</f>
        <v/>
      </c>
      <c r="AG40" s="17">
        <f>IF(E40="금융","",IF(AND(ISNUMBER(P40),ISNUMBER(AF40),ISNUMBER(R40)),P40+AF40-R40,""))</f>
        <v/>
      </c>
      <c r="AH40" s="17">
        <f>IF(E40="금융","",IF(NOT(ISNUMBER(AG40)),"",IF(ISNUMBER(AA40),(AG40+AA40)/2,AG40)))</f>
        <v/>
      </c>
      <c r="AI40" s="19">
        <f>IF(AND(ISNUMBER(AE40),ISNUMBER(AH40),AH40&gt;0),AE40/AH40,"")</f>
        <v/>
      </c>
      <c r="AJ40" s="17">
        <f>IF(E40="금융","",IF(AND(ISNUMBER(P40),ISNUMBER(AF40)),P40+AF40,""))</f>
        <v/>
      </c>
      <c r="AK40" s="19">
        <f>IF(OR(NOT(ISNUMBER(AE40)),NOT(ISNUMBER(AJ40)),AJ40&lt;=0),"",IF(AND(ISNUMBER(G40),AJ40&lt;0.1*G40),"",AE40/AJ40))</f>
        <v/>
      </c>
      <c r="AL40" s="17">
        <f>IF(NOT(ISNUMBER(P40)),"",IF(ISNUMBER(Q40),(P40+Q40)/2,P40))</f>
        <v/>
      </c>
      <c r="AM40" s="19">
        <f>IF(AND(ISNUMBER(L40),ISNUMBER(AL40),AL40&gt;0),L40/AL40,"")</f>
        <v/>
      </c>
      <c r="AN40" s="19">
        <f>IF(AND(ISNUMBER(AM40),ISNUMBER({ROIC})),AM40-{ROIC},"")</f>
        <v/>
      </c>
      <c r="AO40" s="17">
        <f>IF(AND(ISNUMBER(AC40),ISNUMBER(M40)),AC40+M40,"")</f>
        <v/>
      </c>
      <c r="AP40" s="20">
        <f>IF(AND(ISNUMBER(AF40),ISNUMBER(R40),ISNUMBER(AO40),AO40&gt;0),(AF40-R40)/AO40,"")</f>
        <v/>
      </c>
      <c r="AQ40" s="20">
        <f>IF(AND(ISNUMBER(AC40),ISNUMBER(I40),I40&lt;&gt;0,AC40&gt;0),AC40/I40,"")</f>
        <v/>
      </c>
      <c r="AR40" s="17">
        <f>IF(AND(ISNUMBER(W40),ISNUMBER(Y40)),W40-IF(ISNUMBER(R40),R40,0)-(Y40-IF(ISNUMBER(T40),T40,0)),"")</f>
        <v/>
      </c>
      <c r="AS40" s="17">
        <f>IF(AND(ISNUMBER(X40),ISNUMBER(Z40)),X40-IF(ISNUMBER(S40),S40,0)-(Z40-IF(ISNUMBER(U40),U40,0)),"")</f>
        <v/>
      </c>
      <c r="AT40" s="17">
        <f>IF(AND(ISNUMBER(AR40),ISNUMBER(AS40)),AR40-AS40,"")</f>
        <v/>
      </c>
      <c r="AU40" s="17">
        <f>IF(E40="금융","",IF(AND(ISNUMBER(L40),ISNUMBER(M40),ISNUMBER(N40),ISNUMBER(AT40)),L40+M40-N40-AT40,IF(AND(ISNUMBER(O40),ISNUMBER(N40)),O40-N40,"")))</f>
        <v/>
      </c>
      <c r="AV40" s="8">
        <f>IF(E40="금융","금융업 - 정의되지 않음",IF(AND(ISNUMBER(L40),ISNUMBER(M40),ISNUMBER(N40),ISNUMBER(AT40)),"순이익+감가상각-설비투자-운전자본증감",IF(AND(ISNUMBER(O40),ISNUMBER(N40)),"영업현금흐름-설비투자","산출불가")))</f>
        <v/>
      </c>
      <c r="AW40" s="19">
        <f>IF(AND(ISNUMBER(AU40),ISNUMBER(G40),G40&lt;&gt;0),AU40/G40,"")</f>
        <v/>
      </c>
      <c r="AX40" s="19">
        <f>IF(AND(ISNUMBER(AC40),ISNUMBER(G40),G40&lt;&gt;0),AC40/G40,"")</f>
        <v/>
      </c>
    </row>
    <row r="41">
      <c r="A41" s="8" t="inlineStr">
        <is>
          <t>MSFT</t>
        </is>
      </c>
      <c r="B41" s="8" t="inlineStr">
        <is>
          <t>MICROSOFT CORP</t>
        </is>
      </c>
      <c r="C41" s="8" t="n">
        <v>2015</v>
      </c>
      <c r="D41" s="8" t="inlineStr">
        <is>
          <t>2015-06-30</t>
        </is>
      </c>
      <c r="E41" s="8" t="inlineStr">
        <is>
          <t>일반</t>
        </is>
      </c>
      <c r="F41" s="8" t="inlineStr">
        <is>
          <t>0001564590-17-014900</t>
        </is>
      </c>
      <c r="G41" s="15" t="n"/>
      <c r="H41" s="15" t="n"/>
      <c r="I41" s="15" t="n"/>
      <c r="J41" s="15" t="n">
        <v>6.314</v>
      </c>
      <c r="K41" s="15" t="n">
        <v>18.161</v>
      </c>
      <c r="L41" s="15" t="n">
        <v>12.193</v>
      </c>
      <c r="M41" s="15" t="n">
        <v>4.1</v>
      </c>
      <c r="N41" s="15" t="n">
        <v>5.944</v>
      </c>
      <c r="O41" s="15" t="n">
        <v>29.668</v>
      </c>
      <c r="P41" s="15" t="n">
        <v>80.083</v>
      </c>
      <c r="Q41" s="15" t="n"/>
      <c r="R41" s="15" t="n">
        <v>96.526</v>
      </c>
      <c r="S41" s="15" t="n"/>
      <c r="T41" s="15" t="n">
        <v>2.499</v>
      </c>
      <c r="U41" s="15" t="n"/>
      <c r="V41" s="15" t="n">
        <v>27.808</v>
      </c>
      <c r="W41" s="15" t="n">
        <v>122.797</v>
      </c>
      <c r="X41" s="15" t="n"/>
      <c r="Y41" s="15" t="n">
        <v>49.647</v>
      </c>
      <c r="Z41" s="15" t="n"/>
      <c r="AA41" s="15" t="n"/>
      <c r="AB41" s="16" t="n">
        <v>8027</v>
      </c>
      <c r="AC41" s="17">
        <f>IF(AND(ISNUMBER(H41),ISNUMBER(I41)),H41+I41,IF(ISNUMBER(K41),K41,IF(ISNUMBER(H41),H41,"")))</f>
        <v/>
      </c>
      <c r="AD41" s="18">
        <f>IF(OR(NOT(ISNUMBER(J41)),NOT(ISNUMBER(H41)),H41&lt;=0),기준표!$B$8,MIN(MAX(J41/H41,기준표!$B$6),기준표!$B$7))</f>
        <v/>
      </c>
      <c r="AE41" s="17">
        <f>IF(ISNUMBER(AC41),AC41*(1-AD41),"")</f>
        <v/>
      </c>
      <c r="AF41" s="17">
        <f>IF(AND(NOT(ISNUMBER(T41)),NOT(ISNUMBER(V41))),"",IF(ISNUMBER(T41),T41,0)+IF(ISNUMBER(V41),V41,0))</f>
        <v/>
      </c>
      <c r="AG41" s="17">
        <f>IF(E41="금융","",IF(AND(ISNUMBER(P41),ISNUMBER(AF41),ISNUMBER(R41)),P41+AF41-R41,""))</f>
        <v/>
      </c>
      <c r="AH41" s="17">
        <f>IF(E41="금융","",IF(NOT(ISNUMBER(AG41)),"",IF(ISNUMBER(AA41),(AG41+AA41)/2,AG41)))</f>
        <v/>
      </c>
      <c r="AI41" s="19">
        <f>IF(AND(ISNUMBER(AE41),ISNUMBER(AH41),AH41&gt;0),AE41/AH41,"")</f>
        <v/>
      </c>
      <c r="AJ41" s="17">
        <f>IF(E41="금융","",IF(AND(ISNUMBER(P41),ISNUMBER(AF41)),P41+AF41,""))</f>
        <v/>
      </c>
      <c r="AK41" s="19">
        <f>IF(OR(NOT(ISNUMBER(AE41)),NOT(ISNUMBER(AJ41)),AJ41&lt;=0),"",IF(AND(ISNUMBER(G41),AJ41&lt;0.1*G41),"",AE41/AJ41))</f>
        <v/>
      </c>
      <c r="AL41" s="17">
        <f>IF(NOT(ISNUMBER(P41)),"",IF(ISNUMBER(Q41),(P41+Q41)/2,P41))</f>
        <v/>
      </c>
      <c r="AM41" s="19">
        <f>IF(AND(ISNUMBER(L41),ISNUMBER(AL41),AL41&gt;0),L41/AL41,"")</f>
        <v/>
      </c>
      <c r="AN41" s="19">
        <f>IF(AND(ISNUMBER(AM41),ISNUMBER({ROIC})),AM41-{ROIC},"")</f>
        <v/>
      </c>
      <c r="AO41" s="17">
        <f>IF(AND(ISNUMBER(AC41),ISNUMBER(M41)),AC41+M41,"")</f>
        <v/>
      </c>
      <c r="AP41" s="20">
        <f>IF(AND(ISNUMBER(AF41),ISNUMBER(R41),ISNUMBER(AO41),AO41&gt;0),(AF41-R41)/AO41,"")</f>
        <v/>
      </c>
      <c r="AQ41" s="20">
        <f>IF(AND(ISNUMBER(AC41),ISNUMBER(I41),I41&lt;&gt;0,AC41&gt;0),AC41/I41,"")</f>
        <v/>
      </c>
      <c r="AR41" s="17">
        <f>IF(AND(ISNUMBER(W41),ISNUMBER(Y41)),W41-IF(ISNUMBER(R41),R41,0)-(Y41-IF(ISNUMBER(T41),T41,0)),"")</f>
        <v/>
      </c>
      <c r="AS41" s="17">
        <f>IF(AND(ISNUMBER(X41),ISNUMBER(Z41)),X41-IF(ISNUMBER(S41),S41,0)-(Z41-IF(ISNUMBER(U41),U41,0)),"")</f>
        <v/>
      </c>
      <c r="AT41" s="17">
        <f>IF(AND(ISNUMBER(AR41),ISNUMBER(AS41)),AR41-AS41,"")</f>
        <v/>
      </c>
      <c r="AU41" s="17">
        <f>IF(E41="금융","",IF(AND(ISNUMBER(L41),ISNUMBER(M41),ISNUMBER(N41),ISNUMBER(AT41)),L41+M41-N41-AT41,IF(AND(ISNUMBER(O41),ISNUMBER(N41)),O41-N41,"")))</f>
        <v/>
      </c>
      <c r="AV41" s="8">
        <f>IF(E41="금융","금융업 - 정의되지 않음",IF(AND(ISNUMBER(L41),ISNUMBER(M41),ISNUMBER(N41),ISNUMBER(AT41)),"순이익+감가상각-설비투자-운전자본증감",IF(AND(ISNUMBER(O41),ISNUMBER(N41)),"영업현금흐름-설비투자","산출불가")))</f>
        <v/>
      </c>
      <c r="AW41" s="19">
        <f>IF(AND(ISNUMBER(AU41),ISNUMBER(G41),G41&lt;&gt;0),AU41/G41,"")</f>
        <v/>
      </c>
      <c r="AX41" s="19">
        <f>IF(AND(ISNUMBER(AC41),ISNUMBER(G41),G41&lt;&gt;0),AC41/G41,"")</f>
        <v/>
      </c>
    </row>
    <row r="42">
      <c r="A42" s="8" t="inlineStr">
        <is>
          <t>MSFT</t>
        </is>
      </c>
      <c r="B42" s="8" t="inlineStr">
        <is>
          <t>MICROSOFT CORP</t>
        </is>
      </c>
      <c r="C42" s="8" t="n">
        <v>2016</v>
      </c>
      <c r="D42" s="8" t="inlineStr">
        <is>
          <t>2016-06-30</t>
        </is>
      </c>
      <c r="E42" s="8" t="inlineStr">
        <is>
          <t>일반</t>
        </is>
      </c>
      <c r="F42" s="8" t="inlineStr">
        <is>
          <t>0001564590-18-019062</t>
        </is>
      </c>
      <c r="G42" s="15" t="n">
        <v>91.154</v>
      </c>
      <c r="H42" s="15" t="n"/>
      <c r="I42" s="15" t="n"/>
      <c r="J42" s="15" t="n">
        <v>5.1</v>
      </c>
      <c r="K42" s="15" t="n">
        <v>26.078</v>
      </c>
      <c r="L42" s="15" t="n">
        <v>20.539</v>
      </c>
      <c r="M42" s="15" t="n">
        <v>4.9</v>
      </c>
      <c r="N42" s="15" t="n">
        <v>8.343</v>
      </c>
      <c r="O42" s="15" t="n">
        <v>33.325</v>
      </c>
      <c r="P42" s="15" t="n">
        <v>83.09</v>
      </c>
      <c r="Q42" s="15" t="n">
        <v>80.083</v>
      </c>
      <c r="R42" s="15" t="n">
        <v>113.24</v>
      </c>
      <c r="S42" s="15" t="n">
        <v>96.526</v>
      </c>
      <c r="T42" s="15" t="n">
        <v>0</v>
      </c>
      <c r="U42" s="15" t="n">
        <v>2.499</v>
      </c>
      <c r="V42" s="15" t="n">
        <v>40.557</v>
      </c>
      <c r="W42" s="15" t="n">
        <v>139.66</v>
      </c>
      <c r="X42" s="15" t="n">
        <v>122.797</v>
      </c>
      <c r="Y42" s="15" t="n">
        <v>59.357</v>
      </c>
      <c r="Z42" s="15" t="n">
        <v>49.647</v>
      </c>
      <c r="AA42" s="15" t="n">
        <v>13.864</v>
      </c>
      <c r="AB42" s="16" t="n">
        <v>7808</v>
      </c>
      <c r="AC42" s="17">
        <f>IF(AND(ISNUMBER(H42),ISNUMBER(I42)),H42+I42,IF(ISNUMBER(K42),K42,IF(ISNUMBER(H42),H42,"")))</f>
        <v/>
      </c>
      <c r="AD42" s="18">
        <f>IF(OR(NOT(ISNUMBER(J42)),NOT(ISNUMBER(H42)),H42&lt;=0),기준표!$B$8,MIN(MAX(J42/H42,기준표!$B$6),기준표!$B$7))</f>
        <v/>
      </c>
      <c r="AE42" s="17">
        <f>IF(ISNUMBER(AC42),AC42*(1-AD42),"")</f>
        <v/>
      </c>
      <c r="AF42" s="17">
        <f>IF(AND(NOT(ISNUMBER(T42)),NOT(ISNUMBER(V42))),"",IF(ISNUMBER(T42),T42,0)+IF(ISNUMBER(V42),V42,0))</f>
        <v/>
      </c>
      <c r="AG42" s="17">
        <f>IF(E42="금융","",IF(AND(ISNUMBER(P42),ISNUMBER(AF42),ISNUMBER(R42)),P42+AF42-R42,""))</f>
        <v/>
      </c>
      <c r="AH42" s="17">
        <f>IF(E42="금융","",IF(NOT(ISNUMBER(AG42)),"",IF(ISNUMBER(AA42),(AG42+AA42)/2,AG42)))</f>
        <v/>
      </c>
      <c r="AI42" s="19">
        <f>IF(AND(ISNUMBER(AE42),ISNUMBER(AH42),AH42&gt;0),AE42/AH42,"")</f>
        <v/>
      </c>
      <c r="AJ42" s="17">
        <f>IF(E42="금융","",IF(AND(ISNUMBER(P42),ISNUMBER(AF42)),P42+AF42,""))</f>
        <v/>
      </c>
      <c r="AK42" s="19">
        <f>IF(OR(NOT(ISNUMBER(AE42)),NOT(ISNUMBER(AJ42)),AJ42&lt;=0),"",IF(AND(ISNUMBER(G42),AJ42&lt;0.1*G42),"",AE42/AJ42))</f>
        <v/>
      </c>
      <c r="AL42" s="17">
        <f>IF(NOT(ISNUMBER(P42)),"",IF(ISNUMBER(Q42),(P42+Q42)/2,P42))</f>
        <v/>
      </c>
      <c r="AM42" s="19">
        <f>IF(AND(ISNUMBER(L42),ISNUMBER(AL42),AL42&gt;0),L42/AL42,"")</f>
        <v/>
      </c>
      <c r="AN42" s="19">
        <f>IF(AND(ISNUMBER(AM42),ISNUMBER({ROIC})),AM42-{ROIC},"")</f>
        <v/>
      </c>
      <c r="AO42" s="17">
        <f>IF(AND(ISNUMBER(AC42),ISNUMBER(M42)),AC42+M42,"")</f>
        <v/>
      </c>
      <c r="AP42" s="20">
        <f>IF(AND(ISNUMBER(AF42),ISNUMBER(R42),ISNUMBER(AO42),AO42&gt;0),(AF42-R42)/AO42,"")</f>
        <v/>
      </c>
      <c r="AQ42" s="20">
        <f>IF(AND(ISNUMBER(AC42),ISNUMBER(I42),I42&lt;&gt;0,AC42&gt;0),AC42/I42,"")</f>
        <v/>
      </c>
      <c r="AR42" s="17">
        <f>IF(AND(ISNUMBER(W42),ISNUMBER(Y42)),W42-IF(ISNUMBER(R42),R42,0)-(Y42-IF(ISNUMBER(T42),T42,0)),"")</f>
        <v/>
      </c>
      <c r="AS42" s="17">
        <f>IF(AND(ISNUMBER(X42),ISNUMBER(Z42)),X42-IF(ISNUMBER(S42),S42,0)-(Z42-IF(ISNUMBER(U42),U42,0)),"")</f>
        <v/>
      </c>
      <c r="AT42" s="17">
        <f>IF(AND(ISNUMBER(AR42),ISNUMBER(AS42)),AR42-AS42,"")</f>
        <v/>
      </c>
      <c r="AU42" s="17">
        <f>IF(E42="금융","",IF(AND(ISNUMBER(L42),ISNUMBER(M42),ISNUMBER(N42),ISNUMBER(AT42)),L42+M42-N42-AT42,IF(AND(ISNUMBER(O42),ISNUMBER(N42)),O42-N42,"")))</f>
        <v/>
      </c>
      <c r="AV42" s="8">
        <f>IF(E42="금융","금융업 - 정의되지 않음",IF(AND(ISNUMBER(L42),ISNUMBER(M42),ISNUMBER(N42),ISNUMBER(AT42)),"순이익+감가상각-설비투자-운전자본증감",IF(AND(ISNUMBER(O42),ISNUMBER(N42)),"영업현금흐름-설비투자","산출불가")))</f>
        <v/>
      </c>
      <c r="AW42" s="19">
        <f>IF(AND(ISNUMBER(AU42),ISNUMBER(G42),G42&lt;&gt;0),AU42/G42,"")</f>
        <v/>
      </c>
      <c r="AX42" s="19">
        <f>IF(AND(ISNUMBER(AC42),ISNUMBER(G42),G42&lt;&gt;0),AC42/G42,"")</f>
        <v/>
      </c>
    </row>
    <row r="43">
      <c r="A43" s="8" t="inlineStr">
        <is>
          <t>MSFT</t>
        </is>
      </c>
      <c r="B43" s="8" t="inlineStr">
        <is>
          <t>MICROSOFT CORP</t>
        </is>
      </c>
      <c r="C43" s="8" t="n">
        <v>2017</v>
      </c>
      <c r="D43" s="8" t="inlineStr">
        <is>
          <t>2017-06-30</t>
        </is>
      </c>
      <c r="E43" s="8" t="inlineStr">
        <is>
          <t>일반</t>
        </is>
      </c>
      <c r="F43" s="8" t="inlineStr">
        <is>
          <t>0001564590-19-027952</t>
        </is>
      </c>
      <c r="G43" s="15" t="n">
        <v>96.571</v>
      </c>
      <c r="H43" s="15" t="n"/>
      <c r="I43" s="15" t="n"/>
      <c r="J43" s="15" t="n">
        <v>4.412</v>
      </c>
      <c r="K43" s="15" t="n">
        <v>29.025</v>
      </c>
      <c r="L43" s="15" t="n">
        <v>25.489</v>
      </c>
      <c r="M43" s="15" t="n">
        <v>6.1</v>
      </c>
      <c r="N43" s="15" t="n">
        <v>8.129</v>
      </c>
      <c r="O43" s="15" t="n">
        <v>39.507</v>
      </c>
      <c r="P43" s="15" t="n">
        <v>87.711</v>
      </c>
      <c r="Q43" s="15" t="n">
        <v>83.09</v>
      </c>
      <c r="R43" s="15" t="n">
        <v>132.981</v>
      </c>
      <c r="S43" s="15" t="n">
        <v>113.24</v>
      </c>
      <c r="T43" s="15" t="n">
        <v>1.049</v>
      </c>
      <c r="U43" s="15" t="n">
        <v>0</v>
      </c>
      <c r="V43" s="15" t="n">
        <v>76.07299999999999</v>
      </c>
      <c r="W43" s="15" t="n">
        <v>162.696</v>
      </c>
      <c r="X43" s="15" t="n">
        <v>139.66</v>
      </c>
      <c r="Y43" s="15" t="n">
        <v>55.745</v>
      </c>
      <c r="Z43" s="15" t="n">
        <v>59.357</v>
      </c>
      <c r="AA43" s="15" t="n">
        <v>10.407</v>
      </c>
      <c r="AB43" s="16" t="n">
        <v>7708</v>
      </c>
      <c r="AC43" s="17">
        <f>IF(AND(ISNUMBER(H43),ISNUMBER(I43)),H43+I43,IF(ISNUMBER(K43),K43,IF(ISNUMBER(H43),H43,"")))</f>
        <v/>
      </c>
      <c r="AD43" s="18">
        <f>IF(OR(NOT(ISNUMBER(J43)),NOT(ISNUMBER(H43)),H43&lt;=0),기준표!$B$8,MIN(MAX(J43/H43,기준표!$B$6),기준표!$B$7))</f>
        <v/>
      </c>
      <c r="AE43" s="17">
        <f>IF(ISNUMBER(AC43),AC43*(1-AD43),"")</f>
        <v/>
      </c>
      <c r="AF43" s="17">
        <f>IF(AND(NOT(ISNUMBER(T43)),NOT(ISNUMBER(V43))),"",IF(ISNUMBER(T43),T43,0)+IF(ISNUMBER(V43),V43,0))</f>
        <v/>
      </c>
      <c r="AG43" s="17">
        <f>IF(E43="금융","",IF(AND(ISNUMBER(P43),ISNUMBER(AF43),ISNUMBER(R43)),P43+AF43-R43,""))</f>
        <v/>
      </c>
      <c r="AH43" s="17">
        <f>IF(E43="금융","",IF(NOT(ISNUMBER(AG43)),"",IF(ISNUMBER(AA43),(AG43+AA43)/2,AG43)))</f>
        <v/>
      </c>
      <c r="AI43" s="19">
        <f>IF(AND(ISNUMBER(AE43),ISNUMBER(AH43),AH43&gt;0),AE43/AH43,"")</f>
        <v/>
      </c>
      <c r="AJ43" s="17">
        <f>IF(E43="금융","",IF(AND(ISNUMBER(P43),ISNUMBER(AF43)),P43+AF43,""))</f>
        <v/>
      </c>
      <c r="AK43" s="19">
        <f>IF(OR(NOT(ISNUMBER(AE43)),NOT(ISNUMBER(AJ43)),AJ43&lt;=0),"",IF(AND(ISNUMBER(G43),AJ43&lt;0.1*G43),"",AE43/AJ43))</f>
        <v/>
      </c>
      <c r="AL43" s="17">
        <f>IF(NOT(ISNUMBER(P43)),"",IF(ISNUMBER(Q43),(P43+Q43)/2,P43))</f>
        <v/>
      </c>
      <c r="AM43" s="19">
        <f>IF(AND(ISNUMBER(L43),ISNUMBER(AL43),AL43&gt;0),L43/AL43,"")</f>
        <v/>
      </c>
      <c r="AN43" s="19">
        <f>IF(AND(ISNUMBER(AM43),ISNUMBER({ROIC})),AM43-{ROIC},"")</f>
        <v/>
      </c>
      <c r="AO43" s="17">
        <f>IF(AND(ISNUMBER(AC43),ISNUMBER(M43)),AC43+M43,"")</f>
        <v/>
      </c>
      <c r="AP43" s="20">
        <f>IF(AND(ISNUMBER(AF43),ISNUMBER(R43),ISNUMBER(AO43),AO43&gt;0),(AF43-R43)/AO43,"")</f>
        <v/>
      </c>
      <c r="AQ43" s="20">
        <f>IF(AND(ISNUMBER(AC43),ISNUMBER(I43),I43&lt;&gt;0,AC43&gt;0),AC43/I43,"")</f>
        <v/>
      </c>
      <c r="AR43" s="17">
        <f>IF(AND(ISNUMBER(W43),ISNUMBER(Y43)),W43-IF(ISNUMBER(R43),R43,0)-(Y43-IF(ISNUMBER(T43),T43,0)),"")</f>
        <v/>
      </c>
      <c r="AS43" s="17">
        <f>IF(AND(ISNUMBER(X43),ISNUMBER(Z43)),X43-IF(ISNUMBER(S43),S43,0)-(Z43-IF(ISNUMBER(U43),U43,0)),"")</f>
        <v/>
      </c>
      <c r="AT43" s="17">
        <f>IF(AND(ISNUMBER(AR43),ISNUMBER(AS43)),AR43-AS43,"")</f>
        <v/>
      </c>
      <c r="AU43" s="17">
        <f>IF(E43="금융","",IF(AND(ISNUMBER(L43),ISNUMBER(M43),ISNUMBER(N43),ISNUMBER(AT43)),L43+M43-N43-AT43,IF(AND(ISNUMBER(O43),ISNUMBER(N43)),O43-N43,"")))</f>
        <v/>
      </c>
      <c r="AV43" s="8">
        <f>IF(E43="금융","금융업 - 정의되지 않음",IF(AND(ISNUMBER(L43),ISNUMBER(M43),ISNUMBER(N43),ISNUMBER(AT43)),"순이익+감가상각-설비투자-운전자본증감",IF(AND(ISNUMBER(O43),ISNUMBER(N43)),"영업현금흐름-설비투자","산출불가")))</f>
        <v/>
      </c>
      <c r="AW43" s="19">
        <f>IF(AND(ISNUMBER(AU43),ISNUMBER(G43),G43&lt;&gt;0),AU43/G43,"")</f>
        <v/>
      </c>
      <c r="AX43" s="19">
        <f>IF(AND(ISNUMBER(AC43),ISNUMBER(G43),G43&lt;&gt;0),AC43/G43,"")</f>
        <v/>
      </c>
    </row>
    <row r="44">
      <c r="A44" s="8" t="inlineStr">
        <is>
          <t>MSFT</t>
        </is>
      </c>
      <c r="B44" s="8" t="inlineStr">
        <is>
          <t>MICROSOFT CORP</t>
        </is>
      </c>
      <c r="C44" s="8" t="n">
        <v>2018</v>
      </c>
      <c r="D44" s="8" t="inlineStr">
        <is>
          <t>2018-06-30</t>
        </is>
      </c>
      <c r="E44" s="8" t="inlineStr">
        <is>
          <t>일반</t>
        </is>
      </c>
      <c r="F44" s="8" t="inlineStr">
        <is>
          <t>0001564590-20-034944</t>
        </is>
      </c>
      <c r="G44" s="15" t="n">
        <v>110.36</v>
      </c>
      <c r="H44" s="15" t="n"/>
      <c r="I44" s="15" t="n"/>
      <c r="J44" s="15" t="n">
        <v>19.903</v>
      </c>
      <c r="K44" s="15" t="n">
        <v>35.058</v>
      </c>
      <c r="L44" s="15" t="n">
        <v>16.571</v>
      </c>
      <c r="M44" s="15" t="n">
        <v>7.7</v>
      </c>
      <c r="N44" s="15" t="n">
        <v>11.632</v>
      </c>
      <c r="O44" s="15" t="n">
        <v>43.884</v>
      </c>
      <c r="P44" s="15" t="n">
        <v>82.718</v>
      </c>
      <c r="Q44" s="15" t="n">
        <v>87.711</v>
      </c>
      <c r="R44" s="15" t="n">
        <v>133.768</v>
      </c>
      <c r="S44" s="15" t="n">
        <v>132.981</v>
      </c>
      <c r="T44" s="15" t="n">
        <v>3.998</v>
      </c>
      <c r="U44" s="15" t="n">
        <v>1.049</v>
      </c>
      <c r="V44" s="15" t="n">
        <v>72.242</v>
      </c>
      <c r="W44" s="15" t="n">
        <v>169.662</v>
      </c>
      <c r="X44" s="15" t="n">
        <v>162.696</v>
      </c>
      <c r="Y44" s="15" t="n">
        <v>58.488</v>
      </c>
      <c r="Z44" s="15" t="n">
        <v>55.745</v>
      </c>
      <c r="AA44" s="15" t="n">
        <v>31.852</v>
      </c>
      <c r="AB44" s="16" t="n">
        <v>7677</v>
      </c>
      <c r="AC44" s="17">
        <f>IF(AND(ISNUMBER(H44),ISNUMBER(I44)),H44+I44,IF(ISNUMBER(K44),K44,IF(ISNUMBER(H44),H44,"")))</f>
        <v/>
      </c>
      <c r="AD44" s="18">
        <f>IF(OR(NOT(ISNUMBER(J44)),NOT(ISNUMBER(H44)),H44&lt;=0),기준표!$B$8,MIN(MAX(J44/H44,기준표!$B$6),기준표!$B$7))</f>
        <v/>
      </c>
      <c r="AE44" s="17">
        <f>IF(ISNUMBER(AC44),AC44*(1-AD44),"")</f>
        <v/>
      </c>
      <c r="AF44" s="17">
        <f>IF(AND(NOT(ISNUMBER(T44)),NOT(ISNUMBER(V44))),"",IF(ISNUMBER(T44),T44,0)+IF(ISNUMBER(V44),V44,0))</f>
        <v/>
      </c>
      <c r="AG44" s="17">
        <f>IF(E44="금융","",IF(AND(ISNUMBER(P44),ISNUMBER(AF44),ISNUMBER(R44)),P44+AF44-R44,""))</f>
        <v/>
      </c>
      <c r="AH44" s="17">
        <f>IF(E44="금융","",IF(NOT(ISNUMBER(AG44)),"",IF(ISNUMBER(AA44),(AG44+AA44)/2,AG44)))</f>
        <v/>
      </c>
      <c r="AI44" s="19">
        <f>IF(AND(ISNUMBER(AE44),ISNUMBER(AH44),AH44&gt;0),AE44/AH44,"")</f>
        <v/>
      </c>
      <c r="AJ44" s="17">
        <f>IF(E44="금융","",IF(AND(ISNUMBER(P44),ISNUMBER(AF44)),P44+AF44,""))</f>
        <v/>
      </c>
      <c r="AK44" s="19">
        <f>IF(OR(NOT(ISNUMBER(AE44)),NOT(ISNUMBER(AJ44)),AJ44&lt;=0),"",IF(AND(ISNUMBER(G44),AJ44&lt;0.1*G44),"",AE44/AJ44))</f>
        <v/>
      </c>
      <c r="AL44" s="17">
        <f>IF(NOT(ISNUMBER(P44)),"",IF(ISNUMBER(Q44),(P44+Q44)/2,P44))</f>
        <v/>
      </c>
      <c r="AM44" s="19">
        <f>IF(AND(ISNUMBER(L44),ISNUMBER(AL44),AL44&gt;0),L44/AL44,"")</f>
        <v/>
      </c>
      <c r="AN44" s="19">
        <f>IF(AND(ISNUMBER(AM44),ISNUMBER({ROIC})),AM44-{ROIC},"")</f>
        <v/>
      </c>
      <c r="AO44" s="17">
        <f>IF(AND(ISNUMBER(AC44),ISNUMBER(M44)),AC44+M44,"")</f>
        <v/>
      </c>
      <c r="AP44" s="20">
        <f>IF(AND(ISNUMBER(AF44),ISNUMBER(R44),ISNUMBER(AO44),AO44&gt;0),(AF44-R44)/AO44,"")</f>
        <v/>
      </c>
      <c r="AQ44" s="20">
        <f>IF(AND(ISNUMBER(AC44),ISNUMBER(I44),I44&lt;&gt;0,AC44&gt;0),AC44/I44,"")</f>
        <v/>
      </c>
      <c r="AR44" s="17">
        <f>IF(AND(ISNUMBER(W44),ISNUMBER(Y44)),W44-IF(ISNUMBER(R44),R44,0)-(Y44-IF(ISNUMBER(T44),T44,0)),"")</f>
        <v/>
      </c>
      <c r="AS44" s="17">
        <f>IF(AND(ISNUMBER(X44),ISNUMBER(Z44)),X44-IF(ISNUMBER(S44),S44,0)-(Z44-IF(ISNUMBER(U44),U44,0)),"")</f>
        <v/>
      </c>
      <c r="AT44" s="17">
        <f>IF(AND(ISNUMBER(AR44),ISNUMBER(AS44)),AR44-AS44,"")</f>
        <v/>
      </c>
      <c r="AU44" s="17">
        <f>IF(E44="금융","",IF(AND(ISNUMBER(L44),ISNUMBER(M44),ISNUMBER(N44),ISNUMBER(AT44)),L44+M44-N44-AT44,IF(AND(ISNUMBER(O44),ISNUMBER(N44)),O44-N44,"")))</f>
        <v/>
      </c>
      <c r="AV44" s="8">
        <f>IF(E44="금융","금융업 - 정의되지 않음",IF(AND(ISNUMBER(L44),ISNUMBER(M44),ISNUMBER(N44),ISNUMBER(AT44)),"순이익+감가상각-설비투자-운전자본증감",IF(AND(ISNUMBER(O44),ISNUMBER(N44)),"영업현금흐름-설비투자","산출불가")))</f>
        <v/>
      </c>
      <c r="AW44" s="19">
        <f>IF(AND(ISNUMBER(AU44),ISNUMBER(G44),G44&lt;&gt;0),AU44/G44,"")</f>
        <v/>
      </c>
      <c r="AX44" s="19">
        <f>IF(AND(ISNUMBER(AC44),ISNUMBER(G44),G44&lt;&gt;0),AC44/G44,"")</f>
        <v/>
      </c>
    </row>
    <row r="45">
      <c r="A45" s="8" t="inlineStr">
        <is>
          <t>MSFT</t>
        </is>
      </c>
      <c r="B45" s="8" t="inlineStr">
        <is>
          <t>MICROSOFT CORP</t>
        </is>
      </c>
      <c r="C45" s="8" t="n">
        <v>2019</v>
      </c>
      <c r="D45" s="8" t="inlineStr">
        <is>
          <t>2019-06-30</t>
        </is>
      </c>
      <c r="E45" s="8" t="inlineStr">
        <is>
          <t>일반</t>
        </is>
      </c>
      <c r="F45" s="8" t="inlineStr">
        <is>
          <t>0001564590-21-039151</t>
        </is>
      </c>
      <c r="G45" s="15" t="n">
        <v>125.843</v>
      </c>
      <c r="H45" s="15" t="n"/>
      <c r="I45" s="15" t="n"/>
      <c r="J45" s="15" t="n">
        <v>4.448</v>
      </c>
      <c r="K45" s="15" t="n">
        <v>42.959</v>
      </c>
      <c r="L45" s="15" t="n">
        <v>39.24</v>
      </c>
      <c r="M45" s="15" t="n">
        <v>9.699999999999999</v>
      </c>
      <c r="N45" s="15" t="n">
        <v>13.925</v>
      </c>
      <c r="O45" s="15" t="n">
        <v>52.185</v>
      </c>
      <c r="P45" s="15" t="n">
        <v>102.33</v>
      </c>
      <c r="Q45" s="15" t="n">
        <v>82.718</v>
      </c>
      <c r="R45" s="15" t="n">
        <v>133.819</v>
      </c>
      <c r="S45" s="15" t="n">
        <v>133.768</v>
      </c>
      <c r="T45" s="15" t="n">
        <v>5.516</v>
      </c>
      <c r="U45" s="15" t="n">
        <v>3.998</v>
      </c>
      <c r="V45" s="15" t="n">
        <v>66.66200000000001</v>
      </c>
      <c r="W45" s="15" t="n">
        <v>175.552</v>
      </c>
      <c r="X45" s="15" t="n">
        <v>169.662</v>
      </c>
      <c r="Y45" s="15" t="n">
        <v>69.42</v>
      </c>
      <c r="Z45" s="15" t="n">
        <v>58.488</v>
      </c>
      <c r="AA45" s="15" t="n">
        <v>25.19</v>
      </c>
      <c r="AB45" s="16" t="n">
        <v>7643</v>
      </c>
      <c r="AC45" s="17">
        <f>IF(AND(ISNUMBER(H45),ISNUMBER(I45)),H45+I45,IF(ISNUMBER(K45),K45,IF(ISNUMBER(H45),H45,"")))</f>
        <v/>
      </c>
      <c r="AD45" s="18">
        <f>IF(OR(NOT(ISNUMBER(J45)),NOT(ISNUMBER(H45)),H45&lt;=0),기준표!$B$8,MIN(MAX(J45/H45,기준표!$B$6),기준표!$B$7))</f>
        <v/>
      </c>
      <c r="AE45" s="17">
        <f>IF(ISNUMBER(AC45),AC45*(1-AD45),"")</f>
        <v/>
      </c>
      <c r="AF45" s="17">
        <f>IF(AND(NOT(ISNUMBER(T45)),NOT(ISNUMBER(V45))),"",IF(ISNUMBER(T45),T45,0)+IF(ISNUMBER(V45),V45,0))</f>
        <v/>
      </c>
      <c r="AG45" s="17">
        <f>IF(E45="금융","",IF(AND(ISNUMBER(P45),ISNUMBER(AF45),ISNUMBER(R45)),P45+AF45-R45,""))</f>
        <v/>
      </c>
      <c r="AH45" s="17">
        <f>IF(E45="금융","",IF(NOT(ISNUMBER(AG45)),"",IF(ISNUMBER(AA45),(AG45+AA45)/2,AG45)))</f>
        <v/>
      </c>
      <c r="AI45" s="19">
        <f>IF(AND(ISNUMBER(AE45),ISNUMBER(AH45),AH45&gt;0),AE45/AH45,"")</f>
        <v/>
      </c>
      <c r="AJ45" s="17">
        <f>IF(E45="금융","",IF(AND(ISNUMBER(P45),ISNUMBER(AF45)),P45+AF45,""))</f>
        <v/>
      </c>
      <c r="AK45" s="19">
        <f>IF(OR(NOT(ISNUMBER(AE45)),NOT(ISNUMBER(AJ45)),AJ45&lt;=0),"",IF(AND(ISNUMBER(G45),AJ45&lt;0.1*G45),"",AE45/AJ45))</f>
        <v/>
      </c>
      <c r="AL45" s="17">
        <f>IF(NOT(ISNUMBER(P45)),"",IF(ISNUMBER(Q45),(P45+Q45)/2,P45))</f>
        <v/>
      </c>
      <c r="AM45" s="19">
        <f>IF(AND(ISNUMBER(L45),ISNUMBER(AL45),AL45&gt;0),L45/AL45,"")</f>
        <v/>
      </c>
      <c r="AN45" s="19">
        <f>IF(AND(ISNUMBER(AM45),ISNUMBER({ROIC})),AM45-{ROIC},"")</f>
        <v/>
      </c>
      <c r="AO45" s="17">
        <f>IF(AND(ISNUMBER(AC45),ISNUMBER(M45)),AC45+M45,"")</f>
        <v/>
      </c>
      <c r="AP45" s="20">
        <f>IF(AND(ISNUMBER(AF45),ISNUMBER(R45),ISNUMBER(AO45),AO45&gt;0),(AF45-R45)/AO45,"")</f>
        <v/>
      </c>
      <c r="AQ45" s="20">
        <f>IF(AND(ISNUMBER(AC45),ISNUMBER(I45),I45&lt;&gt;0,AC45&gt;0),AC45/I45,"")</f>
        <v/>
      </c>
      <c r="AR45" s="17">
        <f>IF(AND(ISNUMBER(W45),ISNUMBER(Y45)),W45-IF(ISNUMBER(R45),R45,0)-(Y45-IF(ISNUMBER(T45),T45,0)),"")</f>
        <v/>
      </c>
      <c r="AS45" s="17">
        <f>IF(AND(ISNUMBER(X45),ISNUMBER(Z45)),X45-IF(ISNUMBER(S45),S45,0)-(Z45-IF(ISNUMBER(U45),U45,0)),"")</f>
        <v/>
      </c>
      <c r="AT45" s="17">
        <f>IF(AND(ISNUMBER(AR45),ISNUMBER(AS45)),AR45-AS45,"")</f>
        <v/>
      </c>
      <c r="AU45" s="17">
        <f>IF(E45="금융","",IF(AND(ISNUMBER(L45),ISNUMBER(M45),ISNUMBER(N45),ISNUMBER(AT45)),L45+M45-N45-AT45,IF(AND(ISNUMBER(O45),ISNUMBER(N45)),O45-N45,"")))</f>
        <v/>
      </c>
      <c r="AV45" s="8">
        <f>IF(E45="금융","금융업 - 정의되지 않음",IF(AND(ISNUMBER(L45),ISNUMBER(M45),ISNUMBER(N45),ISNUMBER(AT45)),"순이익+감가상각-설비투자-운전자본증감",IF(AND(ISNUMBER(O45),ISNUMBER(N45)),"영업현금흐름-설비투자","산출불가")))</f>
        <v/>
      </c>
      <c r="AW45" s="19">
        <f>IF(AND(ISNUMBER(AU45),ISNUMBER(G45),G45&lt;&gt;0),AU45/G45,"")</f>
        <v/>
      </c>
      <c r="AX45" s="19">
        <f>IF(AND(ISNUMBER(AC45),ISNUMBER(G45),G45&lt;&gt;0),AC45/G45,"")</f>
        <v/>
      </c>
    </row>
    <row r="46">
      <c r="A46" s="8" t="inlineStr">
        <is>
          <t>MSFT</t>
        </is>
      </c>
      <c r="B46" s="8" t="inlineStr">
        <is>
          <t>MICROSOFT CORP</t>
        </is>
      </c>
      <c r="C46" s="8" t="n">
        <v>2020</v>
      </c>
      <c r="D46" s="8" t="inlineStr">
        <is>
          <t>2020-06-30</t>
        </is>
      </c>
      <c r="E46" s="8" t="inlineStr">
        <is>
          <t>일반</t>
        </is>
      </c>
      <c r="F46" s="8" t="inlineStr">
        <is>
          <t>0001564590-22-026876</t>
        </is>
      </c>
      <c r="G46" s="15" t="n">
        <v>143.015</v>
      </c>
      <c r="H46" s="15" t="n">
        <v>53.036</v>
      </c>
      <c r="I46" s="15" t="n"/>
      <c r="J46" s="15" t="n">
        <v>8.755000000000001</v>
      </c>
      <c r="K46" s="15" t="n">
        <v>52.959</v>
      </c>
      <c r="L46" s="15" t="n">
        <v>44.281</v>
      </c>
      <c r="M46" s="15" t="n">
        <v>10.7</v>
      </c>
      <c r="N46" s="15" t="n">
        <v>15.441</v>
      </c>
      <c r="O46" s="15" t="n">
        <v>60.675</v>
      </c>
      <c r="P46" s="15" t="n">
        <v>118.304</v>
      </c>
      <c r="Q46" s="15" t="n">
        <v>102.33</v>
      </c>
      <c r="R46" s="15" t="n">
        <v>136.527</v>
      </c>
      <c r="S46" s="15" t="n">
        <v>133.819</v>
      </c>
      <c r="T46" s="15" t="n">
        <v>3.749</v>
      </c>
      <c r="U46" s="15" t="n">
        <v>5.516</v>
      </c>
      <c r="V46" s="15" t="n">
        <v>59.578</v>
      </c>
      <c r="W46" s="15" t="n">
        <v>181.915</v>
      </c>
      <c r="X46" s="15" t="n">
        <v>175.552</v>
      </c>
      <c r="Y46" s="15" t="n">
        <v>72.31</v>
      </c>
      <c r="Z46" s="15" t="n">
        <v>69.42</v>
      </c>
      <c r="AA46" s="15" t="n">
        <v>40.689</v>
      </c>
      <c r="AB46" s="16" t="n">
        <v>7571</v>
      </c>
      <c r="AC46" s="17">
        <f>IF(AND(ISNUMBER(H46),ISNUMBER(I46)),H46+I46,IF(ISNUMBER(K46),K46,IF(ISNUMBER(H46),H46,"")))</f>
        <v/>
      </c>
      <c r="AD46" s="18">
        <f>IF(OR(NOT(ISNUMBER(J46)),NOT(ISNUMBER(H46)),H46&lt;=0),기준표!$B$8,MIN(MAX(J46/H46,기준표!$B$6),기준표!$B$7))</f>
        <v/>
      </c>
      <c r="AE46" s="17">
        <f>IF(ISNUMBER(AC46),AC46*(1-AD46),"")</f>
        <v/>
      </c>
      <c r="AF46" s="17">
        <f>IF(AND(NOT(ISNUMBER(T46)),NOT(ISNUMBER(V46))),"",IF(ISNUMBER(T46),T46,0)+IF(ISNUMBER(V46),V46,0))</f>
        <v/>
      </c>
      <c r="AG46" s="17">
        <f>IF(E46="금융","",IF(AND(ISNUMBER(P46),ISNUMBER(AF46),ISNUMBER(R46)),P46+AF46-R46,""))</f>
        <v/>
      </c>
      <c r="AH46" s="17">
        <f>IF(E46="금융","",IF(NOT(ISNUMBER(AG46)),"",IF(ISNUMBER(AA46),(AG46+AA46)/2,AG46)))</f>
        <v/>
      </c>
      <c r="AI46" s="19">
        <f>IF(AND(ISNUMBER(AE46),ISNUMBER(AH46),AH46&gt;0),AE46/AH46,"")</f>
        <v/>
      </c>
      <c r="AJ46" s="17">
        <f>IF(E46="금융","",IF(AND(ISNUMBER(P46),ISNUMBER(AF46)),P46+AF46,""))</f>
        <v/>
      </c>
      <c r="AK46" s="19">
        <f>IF(OR(NOT(ISNUMBER(AE46)),NOT(ISNUMBER(AJ46)),AJ46&lt;=0),"",IF(AND(ISNUMBER(G46),AJ46&lt;0.1*G46),"",AE46/AJ46))</f>
        <v/>
      </c>
      <c r="AL46" s="17">
        <f>IF(NOT(ISNUMBER(P46)),"",IF(ISNUMBER(Q46),(P46+Q46)/2,P46))</f>
        <v/>
      </c>
      <c r="AM46" s="19">
        <f>IF(AND(ISNUMBER(L46),ISNUMBER(AL46),AL46&gt;0),L46/AL46,"")</f>
        <v/>
      </c>
      <c r="AN46" s="19">
        <f>IF(AND(ISNUMBER(AM46),ISNUMBER({ROIC})),AM46-{ROIC},"")</f>
        <v/>
      </c>
      <c r="AO46" s="17">
        <f>IF(AND(ISNUMBER(AC46),ISNUMBER(M46)),AC46+M46,"")</f>
        <v/>
      </c>
      <c r="AP46" s="20">
        <f>IF(AND(ISNUMBER(AF46),ISNUMBER(R46),ISNUMBER(AO46),AO46&gt;0),(AF46-R46)/AO46,"")</f>
        <v/>
      </c>
      <c r="AQ46" s="20">
        <f>IF(AND(ISNUMBER(AC46),ISNUMBER(I46),I46&lt;&gt;0,AC46&gt;0),AC46/I46,"")</f>
        <v/>
      </c>
      <c r="AR46" s="17">
        <f>IF(AND(ISNUMBER(W46),ISNUMBER(Y46)),W46-IF(ISNUMBER(R46),R46,0)-(Y46-IF(ISNUMBER(T46),T46,0)),"")</f>
        <v/>
      </c>
      <c r="AS46" s="17">
        <f>IF(AND(ISNUMBER(X46),ISNUMBER(Z46)),X46-IF(ISNUMBER(S46),S46,0)-(Z46-IF(ISNUMBER(U46),U46,0)),"")</f>
        <v/>
      </c>
      <c r="AT46" s="17">
        <f>IF(AND(ISNUMBER(AR46),ISNUMBER(AS46)),AR46-AS46,"")</f>
        <v/>
      </c>
      <c r="AU46" s="17">
        <f>IF(E46="금융","",IF(AND(ISNUMBER(L46),ISNUMBER(M46),ISNUMBER(N46),ISNUMBER(AT46)),L46+M46-N46-AT46,IF(AND(ISNUMBER(O46),ISNUMBER(N46)),O46-N46,"")))</f>
        <v/>
      </c>
      <c r="AV46" s="8">
        <f>IF(E46="금융","금융업 - 정의되지 않음",IF(AND(ISNUMBER(L46),ISNUMBER(M46),ISNUMBER(N46),ISNUMBER(AT46)),"순이익+감가상각-설비투자-운전자본증감",IF(AND(ISNUMBER(O46),ISNUMBER(N46)),"영업현금흐름-설비투자","산출불가")))</f>
        <v/>
      </c>
      <c r="AW46" s="19">
        <f>IF(AND(ISNUMBER(AU46),ISNUMBER(G46),G46&lt;&gt;0),AU46/G46,"")</f>
        <v/>
      </c>
      <c r="AX46" s="19">
        <f>IF(AND(ISNUMBER(AC46),ISNUMBER(G46),G46&lt;&gt;0),AC46/G46,"")</f>
        <v/>
      </c>
    </row>
    <row r="47">
      <c r="A47" s="8" t="inlineStr">
        <is>
          <t>MSFT</t>
        </is>
      </c>
      <c r="B47" s="8" t="inlineStr">
        <is>
          <t>MICROSOFT CORP</t>
        </is>
      </c>
      <c r="C47" s="8" t="n">
        <v>2021</v>
      </c>
      <c r="D47" s="8" t="inlineStr">
        <is>
          <t>2021-06-30</t>
        </is>
      </c>
      <c r="E47" s="8" t="inlineStr">
        <is>
          <t>일반</t>
        </is>
      </c>
      <c r="F47" s="8" t="inlineStr">
        <is>
          <t>0000950170-23-035122</t>
        </is>
      </c>
      <c r="G47" s="15" t="n">
        <v>168.088</v>
      </c>
      <c r="H47" s="15" t="n">
        <v>71.102</v>
      </c>
      <c r="I47" s="15" t="n"/>
      <c r="J47" s="15" t="n">
        <v>9.831</v>
      </c>
      <c r="K47" s="15" t="n">
        <v>69.916</v>
      </c>
      <c r="L47" s="15" t="n">
        <v>61.271</v>
      </c>
      <c r="M47" s="15" t="n">
        <v>9.300000000000001</v>
      </c>
      <c r="N47" s="15" t="n">
        <v>20.622</v>
      </c>
      <c r="O47" s="15" t="n">
        <v>76.73999999999999</v>
      </c>
      <c r="P47" s="15" t="n">
        <v>141.988</v>
      </c>
      <c r="Q47" s="15" t="n">
        <v>118.304</v>
      </c>
      <c r="R47" s="15" t="n">
        <v>130.334</v>
      </c>
      <c r="S47" s="15" t="n">
        <v>136.527</v>
      </c>
      <c r="T47" s="15" t="n">
        <v>8.071999999999999</v>
      </c>
      <c r="U47" s="15" t="n">
        <v>3.749</v>
      </c>
      <c r="V47" s="15" t="n">
        <v>50.074</v>
      </c>
      <c r="W47" s="15" t="n">
        <v>184.406</v>
      </c>
      <c r="X47" s="15" t="n">
        <v>181.915</v>
      </c>
      <c r="Y47" s="15" t="n">
        <v>88.657</v>
      </c>
      <c r="Z47" s="15" t="n">
        <v>72.31</v>
      </c>
      <c r="AA47" s="15" t="n">
        <v>45.104</v>
      </c>
      <c r="AB47" s="16" t="n">
        <v>7519</v>
      </c>
      <c r="AC47" s="17">
        <f>IF(AND(ISNUMBER(H47),ISNUMBER(I47)),H47+I47,IF(ISNUMBER(K47),K47,IF(ISNUMBER(H47),H47,"")))</f>
        <v/>
      </c>
      <c r="AD47" s="18">
        <f>IF(OR(NOT(ISNUMBER(J47)),NOT(ISNUMBER(H47)),H47&lt;=0),기준표!$B$8,MIN(MAX(J47/H47,기준표!$B$6),기준표!$B$7))</f>
        <v/>
      </c>
      <c r="AE47" s="17">
        <f>IF(ISNUMBER(AC47),AC47*(1-AD47),"")</f>
        <v/>
      </c>
      <c r="AF47" s="17">
        <f>IF(AND(NOT(ISNUMBER(T47)),NOT(ISNUMBER(V47))),"",IF(ISNUMBER(T47),T47,0)+IF(ISNUMBER(V47),V47,0))</f>
        <v/>
      </c>
      <c r="AG47" s="17">
        <f>IF(E47="금융","",IF(AND(ISNUMBER(P47),ISNUMBER(AF47),ISNUMBER(R47)),P47+AF47-R47,""))</f>
        <v/>
      </c>
      <c r="AH47" s="17">
        <f>IF(E47="금융","",IF(NOT(ISNUMBER(AG47)),"",IF(ISNUMBER(AA47),(AG47+AA47)/2,AG47)))</f>
        <v/>
      </c>
      <c r="AI47" s="19">
        <f>IF(AND(ISNUMBER(AE47),ISNUMBER(AH47),AH47&gt;0),AE47/AH47,"")</f>
        <v/>
      </c>
      <c r="AJ47" s="17">
        <f>IF(E47="금융","",IF(AND(ISNUMBER(P47),ISNUMBER(AF47)),P47+AF47,""))</f>
        <v/>
      </c>
      <c r="AK47" s="19">
        <f>IF(OR(NOT(ISNUMBER(AE47)),NOT(ISNUMBER(AJ47)),AJ47&lt;=0),"",IF(AND(ISNUMBER(G47),AJ47&lt;0.1*G47),"",AE47/AJ47))</f>
        <v/>
      </c>
      <c r="AL47" s="17">
        <f>IF(NOT(ISNUMBER(P47)),"",IF(ISNUMBER(Q47),(P47+Q47)/2,P47))</f>
        <v/>
      </c>
      <c r="AM47" s="19">
        <f>IF(AND(ISNUMBER(L47),ISNUMBER(AL47),AL47&gt;0),L47/AL47,"")</f>
        <v/>
      </c>
      <c r="AN47" s="19">
        <f>IF(AND(ISNUMBER(AM47),ISNUMBER({ROIC})),AM47-{ROIC},"")</f>
        <v/>
      </c>
      <c r="AO47" s="17">
        <f>IF(AND(ISNUMBER(AC47),ISNUMBER(M47)),AC47+M47,"")</f>
        <v/>
      </c>
      <c r="AP47" s="20">
        <f>IF(AND(ISNUMBER(AF47),ISNUMBER(R47),ISNUMBER(AO47),AO47&gt;0),(AF47-R47)/AO47,"")</f>
        <v/>
      </c>
      <c r="AQ47" s="20">
        <f>IF(AND(ISNUMBER(AC47),ISNUMBER(I47),I47&lt;&gt;0,AC47&gt;0),AC47/I47,"")</f>
        <v/>
      </c>
      <c r="AR47" s="17">
        <f>IF(AND(ISNUMBER(W47),ISNUMBER(Y47)),W47-IF(ISNUMBER(R47),R47,0)-(Y47-IF(ISNUMBER(T47),T47,0)),"")</f>
        <v/>
      </c>
      <c r="AS47" s="17">
        <f>IF(AND(ISNUMBER(X47),ISNUMBER(Z47)),X47-IF(ISNUMBER(S47),S47,0)-(Z47-IF(ISNUMBER(U47),U47,0)),"")</f>
        <v/>
      </c>
      <c r="AT47" s="17">
        <f>IF(AND(ISNUMBER(AR47),ISNUMBER(AS47)),AR47-AS47,"")</f>
        <v/>
      </c>
      <c r="AU47" s="17">
        <f>IF(E47="금융","",IF(AND(ISNUMBER(L47),ISNUMBER(M47),ISNUMBER(N47),ISNUMBER(AT47)),L47+M47-N47-AT47,IF(AND(ISNUMBER(O47),ISNUMBER(N47)),O47-N47,"")))</f>
        <v/>
      </c>
      <c r="AV47" s="8">
        <f>IF(E47="금융","금융업 - 정의되지 않음",IF(AND(ISNUMBER(L47),ISNUMBER(M47),ISNUMBER(N47),ISNUMBER(AT47)),"순이익+감가상각-설비투자-운전자본증감",IF(AND(ISNUMBER(O47),ISNUMBER(N47)),"영업현금흐름-설비투자","산출불가")))</f>
        <v/>
      </c>
      <c r="AW47" s="19">
        <f>IF(AND(ISNUMBER(AU47),ISNUMBER(G47),G47&lt;&gt;0),AU47/G47,"")</f>
        <v/>
      </c>
      <c r="AX47" s="19">
        <f>IF(AND(ISNUMBER(AC47),ISNUMBER(G47),G47&lt;&gt;0),AC47/G47,"")</f>
        <v/>
      </c>
    </row>
    <row r="48">
      <c r="A48" s="8" t="inlineStr">
        <is>
          <t>MSFT</t>
        </is>
      </c>
      <c r="B48" s="8" t="inlineStr">
        <is>
          <t>MICROSOFT CORP</t>
        </is>
      </c>
      <c r="C48" s="8" t="n">
        <v>2022</v>
      </c>
      <c r="D48" s="8" t="inlineStr">
        <is>
          <t>2022-06-30</t>
        </is>
      </c>
      <c r="E48" s="8" t="inlineStr">
        <is>
          <t>일반</t>
        </is>
      </c>
      <c r="F48" s="8" t="inlineStr">
        <is>
          <t>0000950170-24-087843</t>
        </is>
      </c>
      <c r="G48" s="15" t="n">
        <v>198.27</v>
      </c>
      <c r="H48" s="15" t="n">
        <v>83.71599999999999</v>
      </c>
      <c r="I48" s="15" t="n"/>
      <c r="J48" s="15" t="n">
        <v>10.978</v>
      </c>
      <c r="K48" s="15" t="n">
        <v>83.383</v>
      </c>
      <c r="L48" s="15" t="n">
        <v>72.738</v>
      </c>
      <c r="M48" s="15" t="n">
        <v>12.6</v>
      </c>
      <c r="N48" s="15" t="n">
        <v>23.886</v>
      </c>
      <c r="O48" s="15" t="n">
        <v>89.035</v>
      </c>
      <c r="P48" s="15" t="n">
        <v>166.542</v>
      </c>
      <c r="Q48" s="15" t="n">
        <v>141.988</v>
      </c>
      <c r="R48" s="15" t="n">
        <v>104.757</v>
      </c>
      <c r="S48" s="15" t="n">
        <v>130.334</v>
      </c>
      <c r="T48" s="15" t="n">
        <v>2.749</v>
      </c>
      <c r="U48" s="15" t="n">
        <v>8.071999999999999</v>
      </c>
      <c r="V48" s="15" t="n">
        <v>47.032</v>
      </c>
      <c r="W48" s="15" t="n">
        <v>169.684</v>
      </c>
      <c r="X48" s="15" t="n">
        <v>184.406</v>
      </c>
      <c r="Y48" s="15" t="n">
        <v>95.08199999999999</v>
      </c>
      <c r="Z48" s="15" t="n">
        <v>88.657</v>
      </c>
      <c r="AA48" s="15" t="n">
        <v>69.8</v>
      </c>
      <c r="AB48" s="16" t="n">
        <v>7464</v>
      </c>
      <c r="AC48" s="17">
        <f>IF(AND(ISNUMBER(H48),ISNUMBER(I48)),H48+I48,IF(ISNUMBER(K48),K48,IF(ISNUMBER(H48),H48,"")))</f>
        <v/>
      </c>
      <c r="AD48" s="18">
        <f>IF(OR(NOT(ISNUMBER(J48)),NOT(ISNUMBER(H48)),H48&lt;=0),기준표!$B$8,MIN(MAX(J48/H48,기준표!$B$6),기준표!$B$7))</f>
        <v/>
      </c>
      <c r="AE48" s="17">
        <f>IF(ISNUMBER(AC48),AC48*(1-AD48),"")</f>
        <v/>
      </c>
      <c r="AF48" s="17">
        <f>IF(AND(NOT(ISNUMBER(T48)),NOT(ISNUMBER(V48))),"",IF(ISNUMBER(T48),T48,0)+IF(ISNUMBER(V48),V48,0))</f>
        <v/>
      </c>
      <c r="AG48" s="17">
        <f>IF(E48="금융","",IF(AND(ISNUMBER(P48),ISNUMBER(AF48),ISNUMBER(R48)),P48+AF48-R48,""))</f>
        <v/>
      </c>
      <c r="AH48" s="17">
        <f>IF(E48="금융","",IF(NOT(ISNUMBER(AG48)),"",IF(ISNUMBER(AA48),(AG48+AA48)/2,AG48)))</f>
        <v/>
      </c>
      <c r="AI48" s="19">
        <f>IF(AND(ISNUMBER(AE48),ISNUMBER(AH48),AH48&gt;0),AE48/AH48,"")</f>
        <v/>
      </c>
      <c r="AJ48" s="17">
        <f>IF(E48="금융","",IF(AND(ISNUMBER(P48),ISNUMBER(AF48)),P48+AF48,""))</f>
        <v/>
      </c>
      <c r="AK48" s="19">
        <f>IF(OR(NOT(ISNUMBER(AE48)),NOT(ISNUMBER(AJ48)),AJ48&lt;=0),"",IF(AND(ISNUMBER(G48),AJ48&lt;0.1*G48),"",AE48/AJ48))</f>
        <v/>
      </c>
      <c r="AL48" s="17">
        <f>IF(NOT(ISNUMBER(P48)),"",IF(ISNUMBER(Q48),(P48+Q48)/2,P48))</f>
        <v/>
      </c>
      <c r="AM48" s="19">
        <f>IF(AND(ISNUMBER(L48),ISNUMBER(AL48),AL48&gt;0),L48/AL48,"")</f>
        <v/>
      </c>
      <c r="AN48" s="19">
        <f>IF(AND(ISNUMBER(AM48),ISNUMBER({ROIC})),AM48-{ROIC},"")</f>
        <v/>
      </c>
      <c r="AO48" s="17">
        <f>IF(AND(ISNUMBER(AC48),ISNUMBER(M48)),AC48+M48,"")</f>
        <v/>
      </c>
      <c r="AP48" s="20">
        <f>IF(AND(ISNUMBER(AF48),ISNUMBER(R48),ISNUMBER(AO48),AO48&gt;0),(AF48-R48)/AO48,"")</f>
        <v/>
      </c>
      <c r="AQ48" s="20">
        <f>IF(AND(ISNUMBER(AC48),ISNUMBER(I48),I48&lt;&gt;0,AC48&gt;0),AC48/I48,"")</f>
        <v/>
      </c>
      <c r="AR48" s="17">
        <f>IF(AND(ISNUMBER(W48),ISNUMBER(Y48)),W48-IF(ISNUMBER(R48),R48,0)-(Y48-IF(ISNUMBER(T48),T48,0)),"")</f>
        <v/>
      </c>
      <c r="AS48" s="17">
        <f>IF(AND(ISNUMBER(X48),ISNUMBER(Z48)),X48-IF(ISNUMBER(S48),S48,0)-(Z48-IF(ISNUMBER(U48),U48,0)),"")</f>
        <v/>
      </c>
      <c r="AT48" s="17">
        <f>IF(AND(ISNUMBER(AR48),ISNUMBER(AS48)),AR48-AS48,"")</f>
        <v/>
      </c>
      <c r="AU48" s="17">
        <f>IF(E48="금융","",IF(AND(ISNUMBER(L48),ISNUMBER(M48),ISNUMBER(N48),ISNUMBER(AT48)),L48+M48-N48-AT48,IF(AND(ISNUMBER(O48),ISNUMBER(N48)),O48-N48,"")))</f>
        <v/>
      </c>
      <c r="AV48" s="8">
        <f>IF(E48="금융","금융업 - 정의되지 않음",IF(AND(ISNUMBER(L48),ISNUMBER(M48),ISNUMBER(N48),ISNUMBER(AT48)),"순이익+감가상각-설비투자-운전자본증감",IF(AND(ISNUMBER(O48),ISNUMBER(N48)),"영업현금흐름-설비투자","산출불가")))</f>
        <v/>
      </c>
      <c r="AW48" s="19">
        <f>IF(AND(ISNUMBER(AU48),ISNUMBER(G48),G48&lt;&gt;0),AU48/G48,"")</f>
        <v/>
      </c>
      <c r="AX48" s="19">
        <f>IF(AND(ISNUMBER(AC48),ISNUMBER(G48),G48&lt;&gt;0),AC48/G48,"")</f>
        <v/>
      </c>
    </row>
    <row r="49">
      <c r="A49" s="8" t="inlineStr">
        <is>
          <t>MSFT</t>
        </is>
      </c>
      <c r="B49" s="8" t="inlineStr">
        <is>
          <t>MICROSOFT CORP</t>
        </is>
      </c>
      <c r="C49" s="8" t="n">
        <v>2023</v>
      </c>
      <c r="D49" s="8" t="inlineStr">
        <is>
          <t>2023-06-30</t>
        </is>
      </c>
      <c r="E49" s="8" t="inlineStr">
        <is>
          <t>일반</t>
        </is>
      </c>
      <c r="F49" s="8" t="inlineStr">
        <is>
          <t>0000950170-25-100235</t>
        </is>
      </c>
      <c r="G49" s="15" t="n">
        <v>211.915</v>
      </c>
      <c r="H49" s="15" t="n">
        <v>89.31100000000001</v>
      </c>
      <c r="I49" s="15" t="n">
        <v>1.968</v>
      </c>
      <c r="J49" s="15" t="n">
        <v>16.95</v>
      </c>
      <c r="K49" s="15" t="n">
        <v>88.523</v>
      </c>
      <c r="L49" s="15" t="n">
        <v>72.361</v>
      </c>
      <c r="M49" s="15" t="n">
        <v>11</v>
      </c>
      <c r="N49" s="15" t="n">
        <v>28.107</v>
      </c>
      <c r="O49" s="15" t="n">
        <v>87.58199999999999</v>
      </c>
      <c r="P49" s="15" t="n">
        <v>206.223</v>
      </c>
      <c r="Q49" s="15" t="n">
        <v>166.542</v>
      </c>
      <c r="R49" s="15" t="n">
        <v>111.262</v>
      </c>
      <c r="S49" s="15" t="n">
        <v>104.757</v>
      </c>
      <c r="T49" s="15" t="n">
        <v>5.247</v>
      </c>
      <c r="U49" s="15" t="n">
        <v>2.749</v>
      </c>
      <c r="V49" s="15" t="n">
        <v>41.99</v>
      </c>
      <c r="W49" s="15" t="n">
        <v>184.257</v>
      </c>
      <c r="X49" s="15" t="n">
        <v>169.684</v>
      </c>
      <c r="Y49" s="15" t="n">
        <v>104.149</v>
      </c>
      <c r="Z49" s="15" t="n">
        <v>95.08199999999999</v>
      </c>
      <c r="AA49" s="15" t="n">
        <v>111.566</v>
      </c>
      <c r="AB49" s="16" t="n">
        <v>7432</v>
      </c>
      <c r="AC49" s="17">
        <f>IF(AND(ISNUMBER(H49),ISNUMBER(I49)),H49+I49,IF(ISNUMBER(K49),K49,IF(ISNUMBER(H49),H49,"")))</f>
        <v/>
      </c>
      <c r="AD49" s="18">
        <f>IF(OR(NOT(ISNUMBER(J49)),NOT(ISNUMBER(H49)),H49&lt;=0),기준표!$B$8,MIN(MAX(J49/H49,기준표!$B$6),기준표!$B$7))</f>
        <v/>
      </c>
      <c r="AE49" s="17">
        <f>IF(ISNUMBER(AC49),AC49*(1-AD49),"")</f>
        <v/>
      </c>
      <c r="AF49" s="17">
        <f>IF(AND(NOT(ISNUMBER(T49)),NOT(ISNUMBER(V49))),"",IF(ISNUMBER(T49),T49,0)+IF(ISNUMBER(V49),V49,0))</f>
        <v/>
      </c>
      <c r="AG49" s="17">
        <f>IF(E49="금융","",IF(AND(ISNUMBER(P49),ISNUMBER(AF49),ISNUMBER(R49)),P49+AF49-R49,""))</f>
        <v/>
      </c>
      <c r="AH49" s="17">
        <f>IF(E49="금융","",IF(NOT(ISNUMBER(AG49)),"",IF(ISNUMBER(AA49),(AG49+AA49)/2,AG49)))</f>
        <v/>
      </c>
      <c r="AI49" s="19">
        <f>IF(AND(ISNUMBER(AE49),ISNUMBER(AH49),AH49&gt;0),AE49/AH49,"")</f>
        <v/>
      </c>
      <c r="AJ49" s="17">
        <f>IF(E49="금융","",IF(AND(ISNUMBER(P49),ISNUMBER(AF49)),P49+AF49,""))</f>
        <v/>
      </c>
      <c r="AK49" s="19">
        <f>IF(OR(NOT(ISNUMBER(AE49)),NOT(ISNUMBER(AJ49)),AJ49&lt;=0),"",IF(AND(ISNUMBER(G49),AJ49&lt;0.1*G49),"",AE49/AJ49))</f>
        <v/>
      </c>
      <c r="AL49" s="17">
        <f>IF(NOT(ISNUMBER(P49)),"",IF(ISNUMBER(Q49),(P49+Q49)/2,P49))</f>
        <v/>
      </c>
      <c r="AM49" s="19">
        <f>IF(AND(ISNUMBER(L49),ISNUMBER(AL49),AL49&gt;0),L49/AL49,"")</f>
        <v/>
      </c>
      <c r="AN49" s="19">
        <f>IF(AND(ISNUMBER(AM49),ISNUMBER({ROIC})),AM49-{ROIC},"")</f>
        <v/>
      </c>
      <c r="AO49" s="17">
        <f>IF(AND(ISNUMBER(AC49),ISNUMBER(M49)),AC49+M49,"")</f>
        <v/>
      </c>
      <c r="AP49" s="20">
        <f>IF(AND(ISNUMBER(AF49),ISNUMBER(R49),ISNUMBER(AO49),AO49&gt;0),(AF49-R49)/AO49,"")</f>
        <v/>
      </c>
      <c r="AQ49" s="20">
        <f>IF(AND(ISNUMBER(AC49),ISNUMBER(I49),I49&lt;&gt;0,AC49&gt;0),AC49/I49,"")</f>
        <v/>
      </c>
      <c r="AR49" s="17">
        <f>IF(AND(ISNUMBER(W49),ISNUMBER(Y49)),W49-IF(ISNUMBER(R49),R49,0)-(Y49-IF(ISNUMBER(T49),T49,0)),"")</f>
        <v/>
      </c>
      <c r="AS49" s="17">
        <f>IF(AND(ISNUMBER(X49),ISNUMBER(Z49)),X49-IF(ISNUMBER(S49),S49,0)-(Z49-IF(ISNUMBER(U49),U49,0)),"")</f>
        <v/>
      </c>
      <c r="AT49" s="17">
        <f>IF(AND(ISNUMBER(AR49),ISNUMBER(AS49)),AR49-AS49,"")</f>
        <v/>
      </c>
      <c r="AU49" s="17">
        <f>IF(E49="금융","",IF(AND(ISNUMBER(L49),ISNUMBER(M49),ISNUMBER(N49),ISNUMBER(AT49)),L49+M49-N49-AT49,IF(AND(ISNUMBER(O49),ISNUMBER(N49)),O49-N49,"")))</f>
        <v/>
      </c>
      <c r="AV49" s="8">
        <f>IF(E49="금융","금융업 - 정의되지 않음",IF(AND(ISNUMBER(L49),ISNUMBER(M49),ISNUMBER(N49),ISNUMBER(AT49)),"순이익+감가상각-설비투자-운전자본증감",IF(AND(ISNUMBER(O49),ISNUMBER(N49)),"영업현금흐름-설비투자","산출불가")))</f>
        <v/>
      </c>
      <c r="AW49" s="19">
        <f>IF(AND(ISNUMBER(AU49),ISNUMBER(G49),G49&lt;&gt;0),AU49/G49,"")</f>
        <v/>
      </c>
      <c r="AX49" s="19">
        <f>IF(AND(ISNUMBER(AC49),ISNUMBER(G49),G49&lt;&gt;0),AC49/G49,"")</f>
        <v/>
      </c>
    </row>
    <row r="50">
      <c r="A50" s="8" t="inlineStr">
        <is>
          <t>MSFT</t>
        </is>
      </c>
      <c r="B50" s="8" t="inlineStr">
        <is>
          <t>MICROSOFT CORP</t>
        </is>
      </c>
      <c r="C50" s="8" t="n">
        <v>2024</v>
      </c>
      <c r="D50" s="8" t="inlineStr">
        <is>
          <t>2024-06-30</t>
        </is>
      </c>
      <c r="E50" s="8" t="inlineStr">
        <is>
          <t>일반</t>
        </is>
      </c>
      <c r="F50" s="8" t="inlineStr">
        <is>
          <t>0001193125-26-323660</t>
        </is>
      </c>
      <c r="G50" s="15" t="n">
        <v>245.122</v>
      </c>
      <c r="H50" s="15" t="n">
        <v>107.787</v>
      </c>
      <c r="I50" s="15" t="n">
        <v>2.935</v>
      </c>
      <c r="J50" s="15" t="n">
        <v>19.651</v>
      </c>
      <c r="K50" s="15" t="n">
        <v>109.433</v>
      </c>
      <c r="L50" s="15" t="n">
        <v>88.136</v>
      </c>
      <c r="M50" s="15" t="n">
        <v>15.2</v>
      </c>
      <c r="N50" s="15" t="n">
        <v>44.477</v>
      </c>
      <c r="O50" s="15" t="n">
        <v>118.548</v>
      </c>
      <c r="P50" s="15" t="n">
        <v>268.477</v>
      </c>
      <c r="Q50" s="15" t="n">
        <v>206.223</v>
      </c>
      <c r="R50" s="15" t="n">
        <v>75.54300000000001</v>
      </c>
      <c r="S50" s="15" t="n">
        <v>111.262</v>
      </c>
      <c r="T50" s="15" t="n">
        <v>2.249</v>
      </c>
      <c r="U50" s="15" t="n">
        <v>5.247</v>
      </c>
      <c r="V50" s="15" t="n">
        <v>42.688</v>
      </c>
      <c r="W50" s="15" t="n">
        <v>159.734</v>
      </c>
      <c r="X50" s="15" t="n">
        <v>184.257</v>
      </c>
      <c r="Y50" s="15" t="n">
        <v>125.286</v>
      </c>
      <c r="Z50" s="15" t="n">
        <v>104.149</v>
      </c>
      <c r="AA50" s="15" t="n">
        <v>142.198</v>
      </c>
      <c r="AB50" s="16" t="n">
        <v>7434</v>
      </c>
      <c r="AC50" s="17">
        <f>IF(AND(ISNUMBER(H50),ISNUMBER(I50)),H50+I50,IF(ISNUMBER(K50),K50,IF(ISNUMBER(H50),H50,"")))</f>
        <v/>
      </c>
      <c r="AD50" s="18">
        <f>IF(OR(NOT(ISNUMBER(J50)),NOT(ISNUMBER(H50)),H50&lt;=0),기준표!$B$8,MIN(MAX(J50/H50,기준표!$B$6),기준표!$B$7))</f>
        <v/>
      </c>
      <c r="AE50" s="17">
        <f>IF(ISNUMBER(AC50),AC50*(1-AD50),"")</f>
        <v/>
      </c>
      <c r="AF50" s="17">
        <f>IF(AND(NOT(ISNUMBER(T50)),NOT(ISNUMBER(V50))),"",IF(ISNUMBER(T50),T50,0)+IF(ISNUMBER(V50),V50,0))</f>
        <v/>
      </c>
      <c r="AG50" s="17">
        <f>IF(E50="금융","",IF(AND(ISNUMBER(P50),ISNUMBER(AF50),ISNUMBER(R50)),P50+AF50-R50,""))</f>
        <v/>
      </c>
      <c r="AH50" s="17">
        <f>IF(E50="금융","",IF(NOT(ISNUMBER(AG50)),"",IF(ISNUMBER(AA50),(AG50+AA50)/2,AG50)))</f>
        <v/>
      </c>
      <c r="AI50" s="19">
        <f>IF(AND(ISNUMBER(AE50),ISNUMBER(AH50),AH50&gt;0),AE50/AH50,"")</f>
        <v/>
      </c>
      <c r="AJ50" s="17">
        <f>IF(E50="금융","",IF(AND(ISNUMBER(P50),ISNUMBER(AF50)),P50+AF50,""))</f>
        <v/>
      </c>
      <c r="AK50" s="19">
        <f>IF(OR(NOT(ISNUMBER(AE50)),NOT(ISNUMBER(AJ50)),AJ50&lt;=0),"",IF(AND(ISNUMBER(G50),AJ50&lt;0.1*G50),"",AE50/AJ50))</f>
        <v/>
      </c>
      <c r="AL50" s="17">
        <f>IF(NOT(ISNUMBER(P50)),"",IF(ISNUMBER(Q50),(P50+Q50)/2,P50))</f>
        <v/>
      </c>
      <c r="AM50" s="19">
        <f>IF(AND(ISNUMBER(L50),ISNUMBER(AL50),AL50&gt;0),L50/AL50,"")</f>
        <v/>
      </c>
      <c r="AN50" s="19">
        <f>IF(AND(ISNUMBER(AM50),ISNUMBER({ROIC})),AM50-{ROIC},"")</f>
        <v/>
      </c>
      <c r="AO50" s="17">
        <f>IF(AND(ISNUMBER(AC50),ISNUMBER(M50)),AC50+M50,"")</f>
        <v/>
      </c>
      <c r="AP50" s="20">
        <f>IF(AND(ISNUMBER(AF50),ISNUMBER(R50),ISNUMBER(AO50),AO50&gt;0),(AF50-R50)/AO50,"")</f>
        <v/>
      </c>
      <c r="AQ50" s="20">
        <f>IF(AND(ISNUMBER(AC50),ISNUMBER(I50),I50&lt;&gt;0,AC50&gt;0),AC50/I50,"")</f>
        <v/>
      </c>
      <c r="AR50" s="17">
        <f>IF(AND(ISNUMBER(W50),ISNUMBER(Y50)),W50-IF(ISNUMBER(R50),R50,0)-(Y50-IF(ISNUMBER(T50),T50,0)),"")</f>
        <v/>
      </c>
      <c r="AS50" s="17">
        <f>IF(AND(ISNUMBER(X50),ISNUMBER(Z50)),X50-IF(ISNUMBER(S50),S50,0)-(Z50-IF(ISNUMBER(U50),U50,0)),"")</f>
        <v/>
      </c>
      <c r="AT50" s="17">
        <f>IF(AND(ISNUMBER(AR50),ISNUMBER(AS50)),AR50-AS50,"")</f>
        <v/>
      </c>
      <c r="AU50" s="17">
        <f>IF(E50="금융","",IF(AND(ISNUMBER(L50),ISNUMBER(M50),ISNUMBER(N50),ISNUMBER(AT50)),L50+M50-N50-AT50,IF(AND(ISNUMBER(O50),ISNUMBER(N50)),O50-N50,"")))</f>
        <v/>
      </c>
      <c r="AV50" s="8">
        <f>IF(E50="금융","금융업 - 정의되지 않음",IF(AND(ISNUMBER(L50),ISNUMBER(M50),ISNUMBER(N50),ISNUMBER(AT50)),"순이익+감가상각-설비투자-운전자본증감",IF(AND(ISNUMBER(O50),ISNUMBER(N50)),"영업현금흐름-설비투자","산출불가")))</f>
        <v/>
      </c>
      <c r="AW50" s="19">
        <f>IF(AND(ISNUMBER(AU50),ISNUMBER(G50),G50&lt;&gt;0),AU50/G50,"")</f>
        <v/>
      </c>
      <c r="AX50" s="19">
        <f>IF(AND(ISNUMBER(AC50),ISNUMBER(G50),G50&lt;&gt;0),AC50/G50,"")</f>
        <v/>
      </c>
    </row>
    <row r="51">
      <c r="A51" s="8" t="inlineStr">
        <is>
          <t>MSFT</t>
        </is>
      </c>
      <c r="B51" s="8" t="inlineStr">
        <is>
          <t>MICROSOFT CORP</t>
        </is>
      </c>
      <c r="C51" s="8" t="n">
        <v>2025</v>
      </c>
      <c r="D51" s="8" t="inlineStr">
        <is>
          <t>2025-06-30</t>
        </is>
      </c>
      <c r="E51" s="8" t="inlineStr">
        <is>
          <t>일반</t>
        </is>
      </c>
      <c r="F51" s="8" t="inlineStr">
        <is>
          <t>0001193125-26-323660</t>
        </is>
      </c>
      <c r="G51" s="15" t="n">
        <v>281.724</v>
      </c>
      <c r="H51" s="15" t="n">
        <v>123.627</v>
      </c>
      <c r="I51" s="15" t="n">
        <v>2.385</v>
      </c>
      <c r="J51" s="15" t="n">
        <v>21.795</v>
      </c>
      <c r="K51" s="15" t="n">
        <v>128.528</v>
      </c>
      <c r="L51" s="15" t="n">
        <v>101.832</v>
      </c>
      <c r="M51" s="15" t="n">
        <v>22</v>
      </c>
      <c r="N51" s="15" t="n">
        <v>64.551</v>
      </c>
      <c r="O51" s="15" t="n">
        <v>136.162</v>
      </c>
      <c r="P51" s="15" t="n">
        <v>343.479</v>
      </c>
      <c r="Q51" s="15" t="n">
        <v>268.477</v>
      </c>
      <c r="R51" s="15" t="n">
        <v>94.565</v>
      </c>
      <c r="S51" s="15" t="n">
        <v>75.54300000000001</v>
      </c>
      <c r="T51" s="15" t="n">
        <v>2.999</v>
      </c>
      <c r="U51" s="15" t="n">
        <v>2.249</v>
      </c>
      <c r="V51" s="15" t="n">
        <v>40.152</v>
      </c>
      <c r="W51" s="15" t="n">
        <v>191.131</v>
      </c>
      <c r="X51" s="15" t="n">
        <v>159.734</v>
      </c>
      <c r="Y51" s="15" t="n">
        <v>141.218</v>
      </c>
      <c r="Z51" s="15" t="n">
        <v>125.286</v>
      </c>
      <c r="AA51" s="15" t="n">
        <v>237.871</v>
      </c>
      <c r="AB51" s="16" t="n">
        <v>7434</v>
      </c>
      <c r="AC51" s="17">
        <f>IF(AND(ISNUMBER(H51),ISNUMBER(I51)),H51+I51,IF(ISNUMBER(K51),K51,IF(ISNUMBER(H51),H51,"")))</f>
        <v/>
      </c>
      <c r="AD51" s="18">
        <f>IF(OR(NOT(ISNUMBER(J51)),NOT(ISNUMBER(H51)),H51&lt;=0),기준표!$B$8,MIN(MAX(J51/H51,기준표!$B$6),기준표!$B$7))</f>
        <v/>
      </c>
      <c r="AE51" s="17">
        <f>IF(ISNUMBER(AC51),AC51*(1-AD51),"")</f>
        <v/>
      </c>
      <c r="AF51" s="17">
        <f>IF(AND(NOT(ISNUMBER(T51)),NOT(ISNUMBER(V51))),"",IF(ISNUMBER(T51),T51,0)+IF(ISNUMBER(V51),V51,0))</f>
        <v/>
      </c>
      <c r="AG51" s="17">
        <f>IF(E51="금융","",IF(AND(ISNUMBER(P51),ISNUMBER(AF51),ISNUMBER(R51)),P51+AF51-R51,""))</f>
        <v/>
      </c>
      <c r="AH51" s="17">
        <f>IF(E51="금융","",IF(NOT(ISNUMBER(AG51)),"",IF(ISNUMBER(AA51),(AG51+AA51)/2,AG51)))</f>
        <v/>
      </c>
      <c r="AI51" s="19">
        <f>IF(AND(ISNUMBER(AE51),ISNUMBER(AH51),AH51&gt;0),AE51/AH51,"")</f>
        <v/>
      </c>
      <c r="AJ51" s="17">
        <f>IF(E51="금융","",IF(AND(ISNUMBER(P51),ISNUMBER(AF51)),P51+AF51,""))</f>
        <v/>
      </c>
      <c r="AK51" s="19">
        <f>IF(OR(NOT(ISNUMBER(AE51)),NOT(ISNUMBER(AJ51)),AJ51&lt;=0),"",IF(AND(ISNUMBER(G51),AJ51&lt;0.1*G51),"",AE51/AJ51))</f>
        <v/>
      </c>
      <c r="AL51" s="17">
        <f>IF(NOT(ISNUMBER(P51)),"",IF(ISNUMBER(Q51),(P51+Q51)/2,P51))</f>
        <v/>
      </c>
      <c r="AM51" s="19">
        <f>IF(AND(ISNUMBER(L51),ISNUMBER(AL51),AL51&gt;0),L51/AL51,"")</f>
        <v/>
      </c>
      <c r="AN51" s="19">
        <f>IF(AND(ISNUMBER(AM51),ISNUMBER({ROIC})),AM51-{ROIC},"")</f>
        <v/>
      </c>
      <c r="AO51" s="17">
        <f>IF(AND(ISNUMBER(AC51),ISNUMBER(M51)),AC51+M51,"")</f>
        <v/>
      </c>
      <c r="AP51" s="20">
        <f>IF(AND(ISNUMBER(AF51),ISNUMBER(R51),ISNUMBER(AO51),AO51&gt;0),(AF51-R51)/AO51,"")</f>
        <v/>
      </c>
      <c r="AQ51" s="20">
        <f>IF(AND(ISNUMBER(AC51),ISNUMBER(I51),I51&lt;&gt;0,AC51&gt;0),AC51/I51,"")</f>
        <v/>
      </c>
      <c r="AR51" s="17">
        <f>IF(AND(ISNUMBER(W51),ISNUMBER(Y51)),W51-IF(ISNUMBER(R51),R51,0)-(Y51-IF(ISNUMBER(T51),T51,0)),"")</f>
        <v/>
      </c>
      <c r="AS51" s="17">
        <f>IF(AND(ISNUMBER(X51),ISNUMBER(Z51)),X51-IF(ISNUMBER(S51),S51,0)-(Z51-IF(ISNUMBER(U51),U51,0)),"")</f>
        <v/>
      </c>
      <c r="AT51" s="17">
        <f>IF(AND(ISNUMBER(AR51),ISNUMBER(AS51)),AR51-AS51,"")</f>
        <v/>
      </c>
      <c r="AU51" s="17">
        <f>IF(E51="금융","",IF(AND(ISNUMBER(L51),ISNUMBER(M51),ISNUMBER(N51),ISNUMBER(AT51)),L51+M51-N51-AT51,IF(AND(ISNUMBER(O51),ISNUMBER(N51)),O51-N51,"")))</f>
        <v/>
      </c>
      <c r="AV51" s="8">
        <f>IF(E51="금융","금융업 - 정의되지 않음",IF(AND(ISNUMBER(L51),ISNUMBER(M51),ISNUMBER(N51),ISNUMBER(AT51)),"순이익+감가상각-설비투자-운전자본증감",IF(AND(ISNUMBER(O51),ISNUMBER(N51)),"영업현금흐름-설비투자","산출불가")))</f>
        <v/>
      </c>
      <c r="AW51" s="19">
        <f>IF(AND(ISNUMBER(AU51),ISNUMBER(G51),G51&lt;&gt;0),AU51/G51,"")</f>
        <v/>
      </c>
      <c r="AX51" s="19">
        <f>IF(AND(ISNUMBER(AC51),ISNUMBER(G51),G51&lt;&gt;0),AC51/G51,"")</f>
        <v/>
      </c>
    </row>
    <row r="52">
      <c r="A52" s="8" t="inlineStr">
        <is>
          <t>MSFT</t>
        </is>
      </c>
      <c r="B52" s="8" t="inlineStr">
        <is>
          <t>MICROSOFT CORP</t>
        </is>
      </c>
      <c r="C52" s="8" t="n">
        <v>2026</v>
      </c>
      <c r="D52" s="8" t="inlineStr">
        <is>
          <t>2026-06-30</t>
        </is>
      </c>
      <c r="E52" s="8" t="inlineStr">
        <is>
          <t>일반</t>
        </is>
      </c>
      <c r="F52" s="8" t="inlineStr">
        <is>
          <t>0001193125-26-323660</t>
        </is>
      </c>
      <c r="G52" s="15" t="n">
        <v>331.839</v>
      </c>
      <c r="H52" s="15" t="n">
        <v>165.934</v>
      </c>
      <c r="I52" s="15" t="n">
        <v>3.051</v>
      </c>
      <c r="J52" s="15" t="n">
        <v>32.185</v>
      </c>
      <c r="K52" s="15" t="n">
        <v>155.237</v>
      </c>
      <c r="L52" s="15" t="n">
        <v>133.749</v>
      </c>
      <c r="M52" s="15" t="n">
        <v>34.3</v>
      </c>
      <c r="N52" s="15" t="n">
        <v>115.948</v>
      </c>
      <c r="O52" s="15" t="n">
        <v>182.935</v>
      </c>
      <c r="P52" s="15" t="n">
        <v>442.387</v>
      </c>
      <c r="Q52" s="15" t="n">
        <v>343.479</v>
      </c>
      <c r="R52" s="15" t="n">
        <v>76.843</v>
      </c>
      <c r="S52" s="15" t="n">
        <v>94.565</v>
      </c>
      <c r="T52" s="15" t="n">
        <v>9.227</v>
      </c>
      <c r="U52" s="15" t="n">
        <v>2.999</v>
      </c>
      <c r="V52" s="15" t="n">
        <v>31.067</v>
      </c>
      <c r="W52" s="15" t="n">
        <v>207.71</v>
      </c>
      <c r="X52" s="15" t="n">
        <v>191.131</v>
      </c>
      <c r="Y52" s="15" t="n">
        <v>168.825</v>
      </c>
      <c r="Z52" s="15" t="n">
        <v>141.218</v>
      </c>
      <c r="AA52" s="15" t="n">
        <v>292.065</v>
      </c>
      <c r="AB52" s="16" t="n">
        <v>7427</v>
      </c>
      <c r="AC52" s="17">
        <f>IF(AND(ISNUMBER(H52),ISNUMBER(I52)),H52+I52,IF(ISNUMBER(K52),K52,IF(ISNUMBER(H52),H52,"")))</f>
        <v/>
      </c>
      <c r="AD52" s="18">
        <f>IF(OR(NOT(ISNUMBER(J52)),NOT(ISNUMBER(H52)),H52&lt;=0),기준표!$B$8,MIN(MAX(J52/H52,기준표!$B$6),기준표!$B$7))</f>
        <v/>
      </c>
      <c r="AE52" s="17">
        <f>IF(ISNUMBER(AC52),AC52*(1-AD52),"")</f>
        <v/>
      </c>
      <c r="AF52" s="17">
        <f>IF(AND(NOT(ISNUMBER(T52)),NOT(ISNUMBER(V52))),"",IF(ISNUMBER(T52),T52,0)+IF(ISNUMBER(V52),V52,0))</f>
        <v/>
      </c>
      <c r="AG52" s="17">
        <f>IF(E52="금융","",IF(AND(ISNUMBER(P52),ISNUMBER(AF52),ISNUMBER(R52)),P52+AF52-R52,""))</f>
        <v/>
      </c>
      <c r="AH52" s="17">
        <f>IF(E52="금융","",IF(NOT(ISNUMBER(AG52)),"",IF(ISNUMBER(AA52),(AG52+AA52)/2,AG52)))</f>
        <v/>
      </c>
      <c r="AI52" s="19">
        <f>IF(AND(ISNUMBER(AE52),ISNUMBER(AH52),AH52&gt;0),AE52/AH52,"")</f>
        <v/>
      </c>
      <c r="AJ52" s="17">
        <f>IF(E52="금융","",IF(AND(ISNUMBER(P52),ISNUMBER(AF52)),P52+AF52,""))</f>
        <v/>
      </c>
      <c r="AK52" s="19">
        <f>IF(OR(NOT(ISNUMBER(AE52)),NOT(ISNUMBER(AJ52)),AJ52&lt;=0),"",IF(AND(ISNUMBER(G52),AJ52&lt;0.1*G52),"",AE52/AJ52))</f>
        <v/>
      </c>
      <c r="AL52" s="17">
        <f>IF(NOT(ISNUMBER(P52)),"",IF(ISNUMBER(Q52),(P52+Q52)/2,P52))</f>
        <v/>
      </c>
      <c r="AM52" s="19">
        <f>IF(AND(ISNUMBER(L52),ISNUMBER(AL52),AL52&gt;0),L52/AL52,"")</f>
        <v/>
      </c>
      <c r="AN52" s="19">
        <f>IF(AND(ISNUMBER(AM52),ISNUMBER({ROIC})),AM52-{ROIC},"")</f>
        <v/>
      </c>
      <c r="AO52" s="17">
        <f>IF(AND(ISNUMBER(AC52),ISNUMBER(M52)),AC52+M52,"")</f>
        <v/>
      </c>
      <c r="AP52" s="20">
        <f>IF(AND(ISNUMBER(AF52),ISNUMBER(R52),ISNUMBER(AO52),AO52&gt;0),(AF52-R52)/AO52,"")</f>
        <v/>
      </c>
      <c r="AQ52" s="20">
        <f>IF(AND(ISNUMBER(AC52),ISNUMBER(I52),I52&lt;&gt;0,AC52&gt;0),AC52/I52,"")</f>
        <v/>
      </c>
      <c r="AR52" s="17">
        <f>IF(AND(ISNUMBER(W52),ISNUMBER(Y52)),W52-IF(ISNUMBER(R52),R52,0)-(Y52-IF(ISNUMBER(T52),T52,0)),"")</f>
        <v/>
      </c>
      <c r="AS52" s="17">
        <f>IF(AND(ISNUMBER(X52),ISNUMBER(Z52)),X52-IF(ISNUMBER(S52),S52,0)-(Z52-IF(ISNUMBER(U52),U52,0)),"")</f>
        <v/>
      </c>
      <c r="AT52" s="17">
        <f>IF(AND(ISNUMBER(AR52),ISNUMBER(AS52)),AR52-AS52,"")</f>
        <v/>
      </c>
      <c r="AU52" s="17">
        <f>IF(E52="금융","",IF(AND(ISNUMBER(L52),ISNUMBER(M52),ISNUMBER(N52),ISNUMBER(AT52)),L52+M52-N52-AT52,IF(AND(ISNUMBER(O52),ISNUMBER(N52)),O52-N52,"")))</f>
        <v/>
      </c>
      <c r="AV52" s="8">
        <f>IF(E52="금융","금융업 - 정의되지 않음",IF(AND(ISNUMBER(L52),ISNUMBER(M52),ISNUMBER(N52),ISNUMBER(AT52)),"순이익+감가상각-설비투자-운전자본증감",IF(AND(ISNUMBER(O52),ISNUMBER(N52)),"영업현금흐름-설비투자","산출불가")))</f>
        <v/>
      </c>
      <c r="AW52" s="19">
        <f>IF(AND(ISNUMBER(AU52),ISNUMBER(G52),G52&lt;&gt;0),AU52/G52,"")</f>
        <v/>
      </c>
      <c r="AX52" s="19">
        <f>IF(AND(ISNUMBER(AC52),ISNUMBER(G52),G52&lt;&gt;0),AC52/G52,"")</f>
        <v/>
      </c>
    </row>
    <row r="53">
      <c r="A53" s="8" t="inlineStr">
        <is>
          <t>AMZN</t>
        </is>
      </c>
      <c r="B53" s="8" t="inlineStr">
        <is>
          <t>AMAZON COM INC</t>
        </is>
      </c>
      <c r="C53" s="8" t="n">
        <v>2014</v>
      </c>
      <c r="D53" s="8" t="inlineStr">
        <is>
          <t>2014-12-31</t>
        </is>
      </c>
      <c r="E53" s="8" t="inlineStr">
        <is>
          <t>일반</t>
        </is>
      </c>
      <c r="F53" s="8" t="inlineStr">
        <is>
          <t>0001018724-17-000011</t>
        </is>
      </c>
      <c r="G53" s="15" t="n"/>
      <c r="H53" s="15" t="n">
        <v>-0.111</v>
      </c>
      <c r="I53" s="15" t="n"/>
      <c r="J53" s="15" t="n">
        <v>0.167</v>
      </c>
      <c r="K53" s="15" t="n">
        <v>0.178</v>
      </c>
      <c r="L53" s="15" t="n">
        <v>-0.241</v>
      </c>
      <c r="M53" s="15" t="n">
        <v>3.616</v>
      </c>
      <c r="N53" s="15" t="n"/>
      <c r="O53" s="15" t="n">
        <v>6.842</v>
      </c>
      <c r="P53" s="15" t="n">
        <v>10.741</v>
      </c>
      <c r="Q53" s="15" t="n"/>
      <c r="R53" s="15" t="n">
        <v>17.416</v>
      </c>
      <c r="S53" s="15" t="n"/>
      <c r="T53" s="15" t="n">
        <v>1.52</v>
      </c>
      <c r="U53" s="15" t="n"/>
      <c r="V53" s="15" t="n">
        <v>8.265000000000001</v>
      </c>
      <c r="W53" s="15" t="n">
        <v>31.327</v>
      </c>
      <c r="X53" s="15" t="n"/>
      <c r="Y53" s="15" t="n">
        <v>28.089</v>
      </c>
      <c r="Z53" s="15" t="n"/>
      <c r="AA53" s="15" t="n"/>
      <c r="AB53" s="16" t="n">
        <v>9300</v>
      </c>
      <c r="AC53" s="17">
        <f>IF(AND(ISNUMBER(H53),ISNUMBER(I53)),H53+I53,IF(ISNUMBER(K53),K53,IF(ISNUMBER(H53),H53,"")))</f>
        <v/>
      </c>
      <c r="AD53" s="18">
        <f>IF(OR(NOT(ISNUMBER(J53)),NOT(ISNUMBER(H53)),H53&lt;=0),기준표!$B$8,MIN(MAX(J53/H53,기준표!$B$6),기준표!$B$7))</f>
        <v/>
      </c>
      <c r="AE53" s="17">
        <f>IF(ISNUMBER(AC53),AC53*(1-AD53),"")</f>
        <v/>
      </c>
      <c r="AF53" s="17">
        <f>IF(AND(NOT(ISNUMBER(T53)),NOT(ISNUMBER(V53))),"",IF(ISNUMBER(T53),T53,0)+IF(ISNUMBER(V53),V53,0))</f>
        <v/>
      </c>
      <c r="AG53" s="17">
        <f>IF(E53="금융","",IF(AND(ISNUMBER(P53),ISNUMBER(AF53),ISNUMBER(R53)),P53+AF53-R53,""))</f>
        <v/>
      </c>
      <c r="AH53" s="17">
        <f>IF(E53="금융","",IF(NOT(ISNUMBER(AG53)),"",IF(ISNUMBER(AA53),(AG53+AA53)/2,AG53)))</f>
        <v/>
      </c>
      <c r="AI53" s="19">
        <f>IF(AND(ISNUMBER(AE53),ISNUMBER(AH53),AH53&gt;0),AE53/AH53,"")</f>
        <v/>
      </c>
      <c r="AJ53" s="17">
        <f>IF(E53="금융","",IF(AND(ISNUMBER(P53),ISNUMBER(AF53)),P53+AF53,""))</f>
        <v/>
      </c>
      <c r="AK53" s="19">
        <f>IF(OR(NOT(ISNUMBER(AE53)),NOT(ISNUMBER(AJ53)),AJ53&lt;=0),"",IF(AND(ISNUMBER(G53),AJ53&lt;0.1*G53),"",AE53/AJ53))</f>
        <v/>
      </c>
      <c r="AL53" s="17">
        <f>IF(NOT(ISNUMBER(P53)),"",IF(ISNUMBER(Q53),(P53+Q53)/2,P53))</f>
        <v/>
      </c>
      <c r="AM53" s="19">
        <f>IF(AND(ISNUMBER(L53),ISNUMBER(AL53),AL53&gt;0),L53/AL53,"")</f>
        <v/>
      </c>
      <c r="AN53" s="19">
        <f>IF(AND(ISNUMBER(AM53),ISNUMBER({ROIC})),AM53-{ROIC},"")</f>
        <v/>
      </c>
      <c r="AO53" s="17">
        <f>IF(AND(ISNUMBER(AC53),ISNUMBER(M53)),AC53+M53,"")</f>
        <v/>
      </c>
      <c r="AP53" s="20">
        <f>IF(AND(ISNUMBER(AF53),ISNUMBER(R53),ISNUMBER(AO53),AO53&gt;0),(AF53-R53)/AO53,"")</f>
        <v/>
      </c>
      <c r="AQ53" s="20">
        <f>IF(AND(ISNUMBER(AC53),ISNUMBER(I53),I53&lt;&gt;0,AC53&gt;0),AC53/I53,"")</f>
        <v/>
      </c>
      <c r="AR53" s="17">
        <f>IF(AND(ISNUMBER(W53),ISNUMBER(Y53)),W53-IF(ISNUMBER(R53),R53,0)-(Y53-IF(ISNUMBER(T53),T53,0)),"")</f>
        <v/>
      </c>
      <c r="AS53" s="17">
        <f>IF(AND(ISNUMBER(X53),ISNUMBER(Z53)),X53-IF(ISNUMBER(S53),S53,0)-(Z53-IF(ISNUMBER(U53),U53,0)),"")</f>
        <v/>
      </c>
      <c r="AT53" s="17">
        <f>IF(AND(ISNUMBER(AR53),ISNUMBER(AS53)),AR53-AS53,"")</f>
        <v/>
      </c>
      <c r="AU53" s="17">
        <f>IF(E53="금융","",IF(AND(ISNUMBER(L53),ISNUMBER(M53),ISNUMBER(N53),ISNUMBER(AT53)),L53+M53-N53-AT53,IF(AND(ISNUMBER(O53),ISNUMBER(N53)),O53-N53,"")))</f>
        <v/>
      </c>
      <c r="AV53" s="8">
        <f>IF(E53="금융","금융업 - 정의되지 않음",IF(AND(ISNUMBER(L53),ISNUMBER(M53),ISNUMBER(N53),ISNUMBER(AT53)),"순이익+감가상각-설비투자-운전자본증감",IF(AND(ISNUMBER(O53),ISNUMBER(N53)),"영업현금흐름-설비투자","산출불가")))</f>
        <v/>
      </c>
      <c r="AW53" s="19">
        <f>IF(AND(ISNUMBER(AU53),ISNUMBER(G53),G53&lt;&gt;0),AU53/G53,"")</f>
        <v/>
      </c>
      <c r="AX53" s="19">
        <f>IF(AND(ISNUMBER(AC53),ISNUMBER(G53),G53&lt;&gt;0),AC53/G53,"")</f>
        <v/>
      </c>
    </row>
    <row r="54">
      <c r="A54" s="8" t="inlineStr">
        <is>
          <t>AMZN</t>
        </is>
      </c>
      <c r="B54" s="8" t="inlineStr">
        <is>
          <t>AMAZON COM INC</t>
        </is>
      </c>
      <c r="C54" s="8" t="n">
        <v>2015</v>
      </c>
      <c r="D54" s="8" t="inlineStr">
        <is>
          <t>2015-12-31</t>
        </is>
      </c>
      <c r="E54" s="8" t="inlineStr">
        <is>
          <t>일반</t>
        </is>
      </c>
      <c r="F54" s="8" t="inlineStr">
        <is>
          <t>0001018724-18-000005</t>
        </is>
      </c>
      <c r="G54" s="15" t="n"/>
      <c r="H54" s="15" t="n">
        <v>1.568</v>
      </c>
      <c r="I54" s="15" t="n"/>
      <c r="J54" s="15" t="n">
        <v>0.95</v>
      </c>
      <c r="K54" s="15" t="n">
        <v>2.233</v>
      </c>
      <c r="L54" s="15" t="n">
        <v>0.596</v>
      </c>
      <c r="M54" s="15" t="n">
        <v>6.281</v>
      </c>
      <c r="N54" s="15" t="n"/>
      <c r="O54" s="15" t="n">
        <v>12.039</v>
      </c>
      <c r="P54" s="15" t="n">
        <v>13.384</v>
      </c>
      <c r="Q54" s="15" t="n">
        <v>10.741</v>
      </c>
      <c r="R54" s="15" t="n">
        <v>19.808</v>
      </c>
      <c r="S54" s="15" t="n">
        <v>17.416</v>
      </c>
      <c r="T54" s="15" t="n">
        <v>0.238</v>
      </c>
      <c r="U54" s="15" t="n">
        <v>1.52</v>
      </c>
      <c r="V54" s="15" t="n">
        <v>8.227</v>
      </c>
      <c r="W54" s="15" t="n">
        <v>35.705</v>
      </c>
      <c r="X54" s="15" t="n">
        <v>31.327</v>
      </c>
      <c r="Y54" s="15" t="n">
        <v>33.887</v>
      </c>
      <c r="Z54" s="15" t="n">
        <v>28.089</v>
      </c>
      <c r="AA54" s="15" t="n">
        <v>3.11</v>
      </c>
      <c r="AB54" s="16" t="n">
        <v>9420</v>
      </c>
      <c r="AC54" s="17">
        <f>IF(AND(ISNUMBER(H54),ISNUMBER(I54)),H54+I54,IF(ISNUMBER(K54),K54,IF(ISNUMBER(H54),H54,"")))</f>
        <v/>
      </c>
      <c r="AD54" s="18">
        <f>IF(OR(NOT(ISNUMBER(J54)),NOT(ISNUMBER(H54)),H54&lt;=0),기준표!$B$8,MIN(MAX(J54/H54,기준표!$B$6),기준표!$B$7))</f>
        <v/>
      </c>
      <c r="AE54" s="17">
        <f>IF(ISNUMBER(AC54),AC54*(1-AD54),"")</f>
        <v/>
      </c>
      <c r="AF54" s="17">
        <f>IF(AND(NOT(ISNUMBER(T54)),NOT(ISNUMBER(V54))),"",IF(ISNUMBER(T54),T54,0)+IF(ISNUMBER(V54),V54,0))</f>
        <v/>
      </c>
      <c r="AG54" s="17">
        <f>IF(E54="금융","",IF(AND(ISNUMBER(P54),ISNUMBER(AF54),ISNUMBER(R54)),P54+AF54-R54,""))</f>
        <v/>
      </c>
      <c r="AH54" s="17">
        <f>IF(E54="금융","",IF(NOT(ISNUMBER(AG54)),"",IF(ISNUMBER(AA54),(AG54+AA54)/2,AG54)))</f>
        <v/>
      </c>
      <c r="AI54" s="19">
        <f>IF(AND(ISNUMBER(AE54),ISNUMBER(AH54),AH54&gt;0),AE54/AH54,"")</f>
        <v/>
      </c>
      <c r="AJ54" s="17">
        <f>IF(E54="금융","",IF(AND(ISNUMBER(P54),ISNUMBER(AF54)),P54+AF54,""))</f>
        <v/>
      </c>
      <c r="AK54" s="19">
        <f>IF(OR(NOT(ISNUMBER(AE54)),NOT(ISNUMBER(AJ54)),AJ54&lt;=0),"",IF(AND(ISNUMBER(G54),AJ54&lt;0.1*G54),"",AE54/AJ54))</f>
        <v/>
      </c>
      <c r="AL54" s="17">
        <f>IF(NOT(ISNUMBER(P54)),"",IF(ISNUMBER(Q54),(P54+Q54)/2,P54))</f>
        <v/>
      </c>
      <c r="AM54" s="19">
        <f>IF(AND(ISNUMBER(L54),ISNUMBER(AL54),AL54&gt;0),L54/AL54,"")</f>
        <v/>
      </c>
      <c r="AN54" s="19">
        <f>IF(AND(ISNUMBER(AM54),ISNUMBER({ROIC})),AM54-{ROIC},"")</f>
        <v/>
      </c>
      <c r="AO54" s="17">
        <f>IF(AND(ISNUMBER(AC54),ISNUMBER(M54)),AC54+M54,"")</f>
        <v/>
      </c>
      <c r="AP54" s="20">
        <f>IF(AND(ISNUMBER(AF54),ISNUMBER(R54),ISNUMBER(AO54),AO54&gt;0),(AF54-R54)/AO54,"")</f>
        <v/>
      </c>
      <c r="AQ54" s="20">
        <f>IF(AND(ISNUMBER(AC54),ISNUMBER(I54),I54&lt;&gt;0,AC54&gt;0),AC54/I54,"")</f>
        <v/>
      </c>
      <c r="AR54" s="17">
        <f>IF(AND(ISNUMBER(W54),ISNUMBER(Y54)),W54-IF(ISNUMBER(R54),R54,0)-(Y54-IF(ISNUMBER(T54),T54,0)),"")</f>
        <v/>
      </c>
      <c r="AS54" s="17">
        <f>IF(AND(ISNUMBER(X54),ISNUMBER(Z54)),X54-IF(ISNUMBER(S54),S54,0)-(Z54-IF(ISNUMBER(U54),U54,0)),"")</f>
        <v/>
      </c>
      <c r="AT54" s="17">
        <f>IF(AND(ISNUMBER(AR54),ISNUMBER(AS54)),AR54-AS54,"")</f>
        <v/>
      </c>
      <c r="AU54" s="17">
        <f>IF(E54="금융","",IF(AND(ISNUMBER(L54),ISNUMBER(M54),ISNUMBER(N54),ISNUMBER(AT54)),L54+M54-N54-AT54,IF(AND(ISNUMBER(O54),ISNUMBER(N54)),O54-N54,"")))</f>
        <v/>
      </c>
      <c r="AV54" s="8">
        <f>IF(E54="금융","금융업 - 정의되지 않음",IF(AND(ISNUMBER(L54),ISNUMBER(M54),ISNUMBER(N54),ISNUMBER(AT54)),"순이익+감가상각-설비투자-운전자본증감",IF(AND(ISNUMBER(O54),ISNUMBER(N54)),"영업현금흐름-설비투자","산출불가")))</f>
        <v/>
      </c>
      <c r="AW54" s="19">
        <f>IF(AND(ISNUMBER(AU54),ISNUMBER(G54),G54&lt;&gt;0),AU54/G54,"")</f>
        <v/>
      </c>
      <c r="AX54" s="19">
        <f>IF(AND(ISNUMBER(AC54),ISNUMBER(G54),G54&lt;&gt;0),AC54/G54,"")</f>
        <v/>
      </c>
    </row>
    <row r="55">
      <c r="A55" s="8" t="inlineStr">
        <is>
          <t>AMZN</t>
        </is>
      </c>
      <c r="B55" s="8" t="inlineStr">
        <is>
          <t>AMAZON COM INC</t>
        </is>
      </c>
      <c r="C55" s="8" t="n">
        <v>2016</v>
      </c>
      <c r="D55" s="8" t="inlineStr">
        <is>
          <t>2016-12-31</t>
        </is>
      </c>
      <c r="E55" s="8" t="inlineStr">
        <is>
          <t>일반</t>
        </is>
      </c>
      <c r="F55" s="8" t="inlineStr">
        <is>
          <t>0001018724-19-000004</t>
        </is>
      </c>
      <c r="G55" s="15" t="n">
        <v>135.987</v>
      </c>
      <c r="H55" s="15" t="n">
        <v>3.892</v>
      </c>
      <c r="I55" s="15" t="n"/>
      <c r="J55" s="15" t="n">
        <v>1.425</v>
      </c>
      <c r="K55" s="15" t="n">
        <v>4.186</v>
      </c>
      <c r="L55" s="15" t="n">
        <v>2.371</v>
      </c>
      <c r="M55" s="15" t="n">
        <v>8.116</v>
      </c>
      <c r="N55" s="15" t="n">
        <v>7.804</v>
      </c>
      <c r="O55" s="15" t="n">
        <v>17.203</v>
      </c>
      <c r="P55" s="15" t="n">
        <v>19.285</v>
      </c>
      <c r="Q55" s="15" t="n">
        <v>13.384</v>
      </c>
      <c r="R55" s="15" t="n">
        <v>25.981</v>
      </c>
      <c r="S55" s="15" t="n">
        <v>19.808</v>
      </c>
      <c r="T55" s="15" t="n">
        <v>1.056</v>
      </c>
      <c r="U55" s="15" t="n">
        <v>0.238</v>
      </c>
      <c r="V55" s="15" t="n">
        <v>7.694</v>
      </c>
      <c r="W55" s="15" t="n">
        <v>45.781</v>
      </c>
      <c r="X55" s="15" t="n">
        <v>35.705</v>
      </c>
      <c r="Y55" s="15" t="n">
        <v>43.816</v>
      </c>
      <c r="Z55" s="15" t="n">
        <v>33.887</v>
      </c>
      <c r="AA55" s="15" t="n">
        <v>2.041</v>
      </c>
      <c r="AB55" s="16" t="n">
        <v>9540</v>
      </c>
      <c r="AC55" s="17">
        <f>IF(AND(ISNUMBER(H55),ISNUMBER(I55)),H55+I55,IF(ISNUMBER(K55),K55,IF(ISNUMBER(H55),H55,"")))</f>
        <v/>
      </c>
      <c r="AD55" s="18">
        <f>IF(OR(NOT(ISNUMBER(J55)),NOT(ISNUMBER(H55)),H55&lt;=0),기준표!$B$8,MIN(MAX(J55/H55,기준표!$B$6),기준표!$B$7))</f>
        <v/>
      </c>
      <c r="AE55" s="17">
        <f>IF(ISNUMBER(AC55),AC55*(1-AD55),"")</f>
        <v/>
      </c>
      <c r="AF55" s="17">
        <f>IF(AND(NOT(ISNUMBER(T55)),NOT(ISNUMBER(V55))),"",IF(ISNUMBER(T55),T55,0)+IF(ISNUMBER(V55),V55,0))</f>
        <v/>
      </c>
      <c r="AG55" s="17">
        <f>IF(E55="금융","",IF(AND(ISNUMBER(P55),ISNUMBER(AF55),ISNUMBER(R55)),P55+AF55-R55,""))</f>
        <v/>
      </c>
      <c r="AH55" s="17">
        <f>IF(E55="금융","",IF(NOT(ISNUMBER(AG55)),"",IF(ISNUMBER(AA55),(AG55+AA55)/2,AG55)))</f>
        <v/>
      </c>
      <c r="AI55" s="19">
        <f>IF(AND(ISNUMBER(AE55),ISNUMBER(AH55),AH55&gt;0),AE55/AH55,"")</f>
        <v/>
      </c>
      <c r="AJ55" s="17">
        <f>IF(E55="금융","",IF(AND(ISNUMBER(P55),ISNUMBER(AF55)),P55+AF55,""))</f>
        <v/>
      </c>
      <c r="AK55" s="19">
        <f>IF(OR(NOT(ISNUMBER(AE55)),NOT(ISNUMBER(AJ55)),AJ55&lt;=0),"",IF(AND(ISNUMBER(G55),AJ55&lt;0.1*G55),"",AE55/AJ55))</f>
        <v/>
      </c>
      <c r="AL55" s="17">
        <f>IF(NOT(ISNUMBER(P55)),"",IF(ISNUMBER(Q55),(P55+Q55)/2,P55))</f>
        <v/>
      </c>
      <c r="AM55" s="19">
        <f>IF(AND(ISNUMBER(L55),ISNUMBER(AL55),AL55&gt;0),L55/AL55,"")</f>
        <v/>
      </c>
      <c r="AN55" s="19">
        <f>IF(AND(ISNUMBER(AM55),ISNUMBER({ROIC})),AM55-{ROIC},"")</f>
        <v/>
      </c>
      <c r="AO55" s="17">
        <f>IF(AND(ISNUMBER(AC55),ISNUMBER(M55)),AC55+M55,"")</f>
        <v/>
      </c>
      <c r="AP55" s="20">
        <f>IF(AND(ISNUMBER(AF55),ISNUMBER(R55),ISNUMBER(AO55),AO55&gt;0),(AF55-R55)/AO55,"")</f>
        <v/>
      </c>
      <c r="AQ55" s="20">
        <f>IF(AND(ISNUMBER(AC55),ISNUMBER(I55),I55&lt;&gt;0,AC55&gt;0),AC55/I55,"")</f>
        <v/>
      </c>
      <c r="AR55" s="17">
        <f>IF(AND(ISNUMBER(W55),ISNUMBER(Y55)),W55-IF(ISNUMBER(R55),R55,0)-(Y55-IF(ISNUMBER(T55),T55,0)),"")</f>
        <v/>
      </c>
      <c r="AS55" s="17">
        <f>IF(AND(ISNUMBER(X55),ISNUMBER(Z55)),X55-IF(ISNUMBER(S55),S55,0)-(Z55-IF(ISNUMBER(U55),U55,0)),"")</f>
        <v/>
      </c>
      <c r="AT55" s="17">
        <f>IF(AND(ISNUMBER(AR55),ISNUMBER(AS55)),AR55-AS55,"")</f>
        <v/>
      </c>
      <c r="AU55" s="17">
        <f>IF(E55="금융","",IF(AND(ISNUMBER(L55),ISNUMBER(M55),ISNUMBER(N55),ISNUMBER(AT55)),L55+M55-N55-AT55,IF(AND(ISNUMBER(O55),ISNUMBER(N55)),O55-N55,"")))</f>
        <v/>
      </c>
      <c r="AV55" s="8">
        <f>IF(E55="금융","금융업 - 정의되지 않음",IF(AND(ISNUMBER(L55),ISNUMBER(M55),ISNUMBER(N55),ISNUMBER(AT55)),"순이익+감가상각-설비투자-운전자본증감",IF(AND(ISNUMBER(O55),ISNUMBER(N55)),"영업현금흐름-설비투자","산출불가")))</f>
        <v/>
      </c>
      <c r="AW55" s="19">
        <f>IF(AND(ISNUMBER(AU55),ISNUMBER(G55),G55&lt;&gt;0),AU55/G55,"")</f>
        <v/>
      </c>
      <c r="AX55" s="19">
        <f>IF(AND(ISNUMBER(AC55),ISNUMBER(G55),G55&lt;&gt;0),AC55/G55,"")</f>
        <v/>
      </c>
    </row>
    <row r="56">
      <c r="A56" s="8" t="inlineStr">
        <is>
          <t>AMZN</t>
        </is>
      </c>
      <c r="B56" s="8" t="inlineStr">
        <is>
          <t>AMAZON COM INC</t>
        </is>
      </c>
      <c r="C56" s="8" t="n">
        <v>2017</v>
      </c>
      <c r="D56" s="8" t="inlineStr">
        <is>
          <t>2017-12-31</t>
        </is>
      </c>
      <c r="E56" s="8" t="inlineStr">
        <is>
          <t>일반</t>
        </is>
      </c>
      <c r="F56" s="8" t="inlineStr">
        <is>
          <t>0001018724-20-000004</t>
        </is>
      </c>
      <c r="G56" s="15" t="n">
        <v>177.866</v>
      </c>
      <c r="H56" s="15" t="n">
        <v>3.806</v>
      </c>
      <c r="I56" s="15" t="n"/>
      <c r="J56" s="15" t="n">
        <v>0.769</v>
      </c>
      <c r="K56" s="15" t="n">
        <v>4.106</v>
      </c>
      <c r="L56" s="15" t="n">
        <v>3.033</v>
      </c>
      <c r="M56" s="15" t="n">
        <v>11.478</v>
      </c>
      <c r="N56" s="15" t="n">
        <v>11.955</v>
      </c>
      <c r="O56" s="15" t="n">
        <v>18.365</v>
      </c>
      <c r="P56" s="15" t="n">
        <v>27.709</v>
      </c>
      <c r="Q56" s="15" t="n">
        <v>19.285</v>
      </c>
      <c r="R56" s="15" t="n">
        <v>30.986</v>
      </c>
      <c r="S56" s="15" t="n">
        <v>25.981</v>
      </c>
      <c r="T56" s="15" t="n">
        <v>0.1</v>
      </c>
      <c r="U56" s="15" t="n">
        <v>1.056</v>
      </c>
      <c r="V56" s="15" t="n">
        <v>24.743</v>
      </c>
      <c r="W56" s="15" t="n">
        <v>60.197</v>
      </c>
      <c r="X56" s="15" t="n">
        <v>45.781</v>
      </c>
      <c r="Y56" s="15" t="n">
        <v>57.883</v>
      </c>
      <c r="Z56" s="15" t="n">
        <v>43.816</v>
      </c>
      <c r="AA56" s="15" t="n">
        <v>2.054</v>
      </c>
      <c r="AB56" s="16" t="n">
        <v>9680</v>
      </c>
      <c r="AC56" s="17">
        <f>IF(AND(ISNUMBER(H56),ISNUMBER(I56)),H56+I56,IF(ISNUMBER(K56),K56,IF(ISNUMBER(H56),H56,"")))</f>
        <v/>
      </c>
      <c r="AD56" s="18">
        <f>IF(OR(NOT(ISNUMBER(J56)),NOT(ISNUMBER(H56)),H56&lt;=0),기준표!$B$8,MIN(MAX(J56/H56,기준표!$B$6),기준표!$B$7))</f>
        <v/>
      </c>
      <c r="AE56" s="17">
        <f>IF(ISNUMBER(AC56),AC56*(1-AD56),"")</f>
        <v/>
      </c>
      <c r="AF56" s="17">
        <f>IF(AND(NOT(ISNUMBER(T56)),NOT(ISNUMBER(V56))),"",IF(ISNUMBER(T56),T56,0)+IF(ISNUMBER(V56),V56,0))</f>
        <v/>
      </c>
      <c r="AG56" s="17">
        <f>IF(E56="금융","",IF(AND(ISNUMBER(P56),ISNUMBER(AF56),ISNUMBER(R56)),P56+AF56-R56,""))</f>
        <v/>
      </c>
      <c r="AH56" s="17">
        <f>IF(E56="금융","",IF(NOT(ISNUMBER(AG56)),"",IF(ISNUMBER(AA56),(AG56+AA56)/2,AG56)))</f>
        <v/>
      </c>
      <c r="AI56" s="19">
        <f>IF(AND(ISNUMBER(AE56),ISNUMBER(AH56),AH56&gt;0),AE56/AH56,"")</f>
        <v/>
      </c>
      <c r="AJ56" s="17">
        <f>IF(E56="금융","",IF(AND(ISNUMBER(P56),ISNUMBER(AF56)),P56+AF56,""))</f>
        <v/>
      </c>
      <c r="AK56" s="19">
        <f>IF(OR(NOT(ISNUMBER(AE56)),NOT(ISNUMBER(AJ56)),AJ56&lt;=0),"",IF(AND(ISNUMBER(G56),AJ56&lt;0.1*G56),"",AE56/AJ56))</f>
        <v/>
      </c>
      <c r="AL56" s="17">
        <f>IF(NOT(ISNUMBER(P56)),"",IF(ISNUMBER(Q56),(P56+Q56)/2,P56))</f>
        <v/>
      </c>
      <c r="AM56" s="19">
        <f>IF(AND(ISNUMBER(L56),ISNUMBER(AL56),AL56&gt;0),L56/AL56,"")</f>
        <v/>
      </c>
      <c r="AN56" s="19">
        <f>IF(AND(ISNUMBER(AM56),ISNUMBER({ROIC})),AM56-{ROIC},"")</f>
        <v/>
      </c>
      <c r="AO56" s="17">
        <f>IF(AND(ISNUMBER(AC56),ISNUMBER(M56)),AC56+M56,"")</f>
        <v/>
      </c>
      <c r="AP56" s="20">
        <f>IF(AND(ISNUMBER(AF56),ISNUMBER(R56),ISNUMBER(AO56),AO56&gt;0),(AF56-R56)/AO56,"")</f>
        <v/>
      </c>
      <c r="AQ56" s="20">
        <f>IF(AND(ISNUMBER(AC56),ISNUMBER(I56),I56&lt;&gt;0,AC56&gt;0),AC56/I56,"")</f>
        <v/>
      </c>
      <c r="AR56" s="17">
        <f>IF(AND(ISNUMBER(W56),ISNUMBER(Y56)),W56-IF(ISNUMBER(R56),R56,0)-(Y56-IF(ISNUMBER(T56),T56,0)),"")</f>
        <v/>
      </c>
      <c r="AS56" s="17">
        <f>IF(AND(ISNUMBER(X56),ISNUMBER(Z56)),X56-IF(ISNUMBER(S56),S56,0)-(Z56-IF(ISNUMBER(U56),U56,0)),"")</f>
        <v/>
      </c>
      <c r="AT56" s="17">
        <f>IF(AND(ISNUMBER(AR56),ISNUMBER(AS56)),AR56-AS56,"")</f>
        <v/>
      </c>
      <c r="AU56" s="17">
        <f>IF(E56="금융","",IF(AND(ISNUMBER(L56),ISNUMBER(M56),ISNUMBER(N56),ISNUMBER(AT56)),L56+M56-N56-AT56,IF(AND(ISNUMBER(O56),ISNUMBER(N56)),O56-N56,"")))</f>
        <v/>
      </c>
      <c r="AV56" s="8">
        <f>IF(E56="금융","금융업 - 정의되지 않음",IF(AND(ISNUMBER(L56),ISNUMBER(M56),ISNUMBER(N56),ISNUMBER(AT56)),"순이익+감가상각-설비투자-운전자본증감",IF(AND(ISNUMBER(O56),ISNUMBER(N56)),"영업현금흐름-설비투자","산출불가")))</f>
        <v/>
      </c>
      <c r="AW56" s="19">
        <f>IF(AND(ISNUMBER(AU56),ISNUMBER(G56),G56&lt;&gt;0),AU56/G56,"")</f>
        <v/>
      </c>
      <c r="AX56" s="19">
        <f>IF(AND(ISNUMBER(AC56),ISNUMBER(G56),G56&lt;&gt;0),AC56/G56,"")</f>
        <v/>
      </c>
    </row>
    <row r="57">
      <c r="A57" s="8" t="inlineStr">
        <is>
          <t>AMZN</t>
        </is>
      </c>
      <c r="B57" s="8" t="inlineStr">
        <is>
          <t>AMAZON COM INC</t>
        </is>
      </c>
      <c r="C57" s="8" t="n">
        <v>2018</v>
      </c>
      <c r="D57" s="8" t="inlineStr">
        <is>
          <t>2018-12-31</t>
        </is>
      </c>
      <c r="E57" s="8" t="inlineStr">
        <is>
          <t>일반</t>
        </is>
      </c>
      <c r="F57" s="8" t="inlineStr">
        <is>
          <t>0001018724-21-000004</t>
        </is>
      </c>
      <c r="G57" s="15" t="n">
        <v>232.887</v>
      </c>
      <c r="H57" s="15" t="n">
        <v>11.261</v>
      </c>
      <c r="I57" s="15" t="n"/>
      <c r="J57" s="15" t="n">
        <v>1.197</v>
      </c>
      <c r="K57" s="15" t="n">
        <v>12.421</v>
      </c>
      <c r="L57" s="15" t="n">
        <v>10.073</v>
      </c>
      <c r="M57" s="15" t="n">
        <v>15.341</v>
      </c>
      <c r="N57" s="15" t="n">
        <v>13.427</v>
      </c>
      <c r="O57" s="15" t="n">
        <v>30.723</v>
      </c>
      <c r="P57" s="15" t="n">
        <v>43.549</v>
      </c>
      <c r="Q57" s="15" t="n">
        <v>27.709</v>
      </c>
      <c r="R57" s="15" t="n">
        <v>41.25</v>
      </c>
      <c r="S57" s="15" t="n">
        <v>30.986</v>
      </c>
      <c r="T57" s="15" t="n">
        <v>1.371</v>
      </c>
      <c r="U57" s="15" t="n">
        <v>0.1</v>
      </c>
      <c r="V57" s="15" t="n">
        <v>23.495</v>
      </c>
      <c r="W57" s="15" t="n">
        <v>75.101</v>
      </c>
      <c r="X57" s="15" t="n">
        <v>60.197</v>
      </c>
      <c r="Y57" s="15" t="n">
        <v>68.39100000000001</v>
      </c>
      <c r="Z57" s="15" t="n">
        <v>57.883</v>
      </c>
      <c r="AA57" s="15" t="n">
        <v>21.566</v>
      </c>
      <c r="AB57" s="16" t="n">
        <v>9820</v>
      </c>
      <c r="AC57" s="17">
        <f>IF(AND(ISNUMBER(H57),ISNUMBER(I57)),H57+I57,IF(ISNUMBER(K57),K57,IF(ISNUMBER(H57),H57,"")))</f>
        <v/>
      </c>
      <c r="AD57" s="18">
        <f>IF(OR(NOT(ISNUMBER(J57)),NOT(ISNUMBER(H57)),H57&lt;=0),기준표!$B$8,MIN(MAX(J57/H57,기준표!$B$6),기준표!$B$7))</f>
        <v/>
      </c>
      <c r="AE57" s="17">
        <f>IF(ISNUMBER(AC57),AC57*(1-AD57),"")</f>
        <v/>
      </c>
      <c r="AF57" s="17">
        <f>IF(AND(NOT(ISNUMBER(T57)),NOT(ISNUMBER(V57))),"",IF(ISNUMBER(T57),T57,0)+IF(ISNUMBER(V57),V57,0))</f>
        <v/>
      </c>
      <c r="AG57" s="17">
        <f>IF(E57="금융","",IF(AND(ISNUMBER(P57),ISNUMBER(AF57),ISNUMBER(R57)),P57+AF57-R57,""))</f>
        <v/>
      </c>
      <c r="AH57" s="17">
        <f>IF(E57="금융","",IF(NOT(ISNUMBER(AG57)),"",IF(ISNUMBER(AA57),(AG57+AA57)/2,AG57)))</f>
        <v/>
      </c>
      <c r="AI57" s="19">
        <f>IF(AND(ISNUMBER(AE57),ISNUMBER(AH57),AH57&gt;0),AE57/AH57,"")</f>
        <v/>
      </c>
      <c r="AJ57" s="17">
        <f>IF(E57="금융","",IF(AND(ISNUMBER(P57),ISNUMBER(AF57)),P57+AF57,""))</f>
        <v/>
      </c>
      <c r="AK57" s="19">
        <f>IF(OR(NOT(ISNUMBER(AE57)),NOT(ISNUMBER(AJ57)),AJ57&lt;=0),"",IF(AND(ISNUMBER(G57),AJ57&lt;0.1*G57),"",AE57/AJ57))</f>
        <v/>
      </c>
      <c r="AL57" s="17">
        <f>IF(NOT(ISNUMBER(P57)),"",IF(ISNUMBER(Q57),(P57+Q57)/2,P57))</f>
        <v/>
      </c>
      <c r="AM57" s="19">
        <f>IF(AND(ISNUMBER(L57),ISNUMBER(AL57),AL57&gt;0),L57/AL57,"")</f>
        <v/>
      </c>
      <c r="AN57" s="19">
        <f>IF(AND(ISNUMBER(AM57),ISNUMBER({ROIC})),AM57-{ROIC},"")</f>
        <v/>
      </c>
      <c r="AO57" s="17">
        <f>IF(AND(ISNUMBER(AC57),ISNUMBER(M57)),AC57+M57,"")</f>
        <v/>
      </c>
      <c r="AP57" s="20">
        <f>IF(AND(ISNUMBER(AF57),ISNUMBER(R57),ISNUMBER(AO57),AO57&gt;0),(AF57-R57)/AO57,"")</f>
        <v/>
      </c>
      <c r="AQ57" s="20">
        <f>IF(AND(ISNUMBER(AC57),ISNUMBER(I57),I57&lt;&gt;0,AC57&gt;0),AC57/I57,"")</f>
        <v/>
      </c>
      <c r="AR57" s="17">
        <f>IF(AND(ISNUMBER(W57),ISNUMBER(Y57)),W57-IF(ISNUMBER(R57),R57,0)-(Y57-IF(ISNUMBER(T57),T57,0)),"")</f>
        <v/>
      </c>
      <c r="AS57" s="17">
        <f>IF(AND(ISNUMBER(X57),ISNUMBER(Z57)),X57-IF(ISNUMBER(S57),S57,0)-(Z57-IF(ISNUMBER(U57),U57,0)),"")</f>
        <v/>
      </c>
      <c r="AT57" s="17">
        <f>IF(AND(ISNUMBER(AR57),ISNUMBER(AS57)),AR57-AS57,"")</f>
        <v/>
      </c>
      <c r="AU57" s="17">
        <f>IF(E57="금융","",IF(AND(ISNUMBER(L57),ISNUMBER(M57),ISNUMBER(N57),ISNUMBER(AT57)),L57+M57-N57-AT57,IF(AND(ISNUMBER(O57),ISNUMBER(N57)),O57-N57,"")))</f>
        <v/>
      </c>
      <c r="AV57" s="8">
        <f>IF(E57="금융","금융업 - 정의되지 않음",IF(AND(ISNUMBER(L57),ISNUMBER(M57),ISNUMBER(N57),ISNUMBER(AT57)),"순이익+감가상각-설비투자-운전자본증감",IF(AND(ISNUMBER(O57),ISNUMBER(N57)),"영업현금흐름-설비투자","산출불가")))</f>
        <v/>
      </c>
      <c r="AW57" s="19">
        <f>IF(AND(ISNUMBER(AU57),ISNUMBER(G57),G57&lt;&gt;0),AU57/G57,"")</f>
        <v/>
      </c>
      <c r="AX57" s="19">
        <f>IF(AND(ISNUMBER(AC57),ISNUMBER(G57),G57&lt;&gt;0),AC57/G57,"")</f>
        <v/>
      </c>
    </row>
    <row r="58">
      <c r="A58" s="8" t="inlineStr">
        <is>
          <t>AMZN</t>
        </is>
      </c>
      <c r="B58" s="8" t="inlineStr">
        <is>
          <t>AMAZON COM INC</t>
        </is>
      </c>
      <c r="C58" s="8" t="n">
        <v>2019</v>
      </c>
      <c r="D58" s="8" t="inlineStr">
        <is>
          <t>2019-12-31</t>
        </is>
      </c>
      <c r="E58" s="8" t="inlineStr">
        <is>
          <t>일반</t>
        </is>
      </c>
      <c r="F58" s="8" t="inlineStr">
        <is>
          <t>0001018724-22-000005</t>
        </is>
      </c>
      <c r="G58" s="15" t="n">
        <v>280.522</v>
      </c>
      <c r="H58" s="15" t="n">
        <v>13.976</v>
      </c>
      <c r="I58" s="15" t="n"/>
      <c r="J58" s="15" t="n">
        <v>2.374</v>
      </c>
      <c r="K58" s="15" t="n">
        <v>14.541</v>
      </c>
      <c r="L58" s="15" t="n">
        <v>11.588</v>
      </c>
      <c r="M58" s="15" t="n">
        <v>21.789</v>
      </c>
      <c r="N58" s="15" t="n">
        <v>16.861</v>
      </c>
      <c r="O58" s="15" t="n">
        <v>38.514</v>
      </c>
      <c r="P58" s="15" t="n">
        <v>62.06</v>
      </c>
      <c r="Q58" s="15" t="n">
        <v>43.549</v>
      </c>
      <c r="R58" s="15" t="n">
        <v>55.021</v>
      </c>
      <c r="S58" s="15" t="n">
        <v>41.25</v>
      </c>
      <c r="T58" s="15" t="n">
        <v>1.305</v>
      </c>
      <c r="U58" s="15" t="n">
        <v>1.371</v>
      </c>
      <c r="V58" s="15" t="n">
        <v>23.414</v>
      </c>
      <c r="W58" s="15" t="n">
        <v>96.334</v>
      </c>
      <c r="X58" s="15" t="n">
        <v>75.101</v>
      </c>
      <c r="Y58" s="15" t="n">
        <v>87.812</v>
      </c>
      <c r="Z58" s="15" t="n">
        <v>68.39100000000001</v>
      </c>
      <c r="AA58" s="15" t="n">
        <v>27.165</v>
      </c>
      <c r="AB58" s="16" t="n">
        <v>9960</v>
      </c>
      <c r="AC58" s="17">
        <f>IF(AND(ISNUMBER(H58),ISNUMBER(I58)),H58+I58,IF(ISNUMBER(K58),K58,IF(ISNUMBER(H58),H58,"")))</f>
        <v/>
      </c>
      <c r="AD58" s="18">
        <f>IF(OR(NOT(ISNUMBER(J58)),NOT(ISNUMBER(H58)),H58&lt;=0),기준표!$B$8,MIN(MAX(J58/H58,기준표!$B$6),기준표!$B$7))</f>
        <v/>
      </c>
      <c r="AE58" s="17">
        <f>IF(ISNUMBER(AC58),AC58*(1-AD58),"")</f>
        <v/>
      </c>
      <c r="AF58" s="17">
        <f>IF(AND(NOT(ISNUMBER(T58)),NOT(ISNUMBER(V58))),"",IF(ISNUMBER(T58),T58,0)+IF(ISNUMBER(V58),V58,0))</f>
        <v/>
      </c>
      <c r="AG58" s="17">
        <f>IF(E58="금융","",IF(AND(ISNUMBER(P58),ISNUMBER(AF58),ISNUMBER(R58)),P58+AF58-R58,""))</f>
        <v/>
      </c>
      <c r="AH58" s="17">
        <f>IF(E58="금융","",IF(NOT(ISNUMBER(AG58)),"",IF(ISNUMBER(AA58),(AG58+AA58)/2,AG58)))</f>
        <v/>
      </c>
      <c r="AI58" s="19">
        <f>IF(AND(ISNUMBER(AE58),ISNUMBER(AH58),AH58&gt;0),AE58/AH58,"")</f>
        <v/>
      </c>
      <c r="AJ58" s="17">
        <f>IF(E58="금융","",IF(AND(ISNUMBER(P58),ISNUMBER(AF58)),P58+AF58,""))</f>
        <v/>
      </c>
      <c r="AK58" s="19">
        <f>IF(OR(NOT(ISNUMBER(AE58)),NOT(ISNUMBER(AJ58)),AJ58&lt;=0),"",IF(AND(ISNUMBER(G58),AJ58&lt;0.1*G58),"",AE58/AJ58))</f>
        <v/>
      </c>
      <c r="AL58" s="17">
        <f>IF(NOT(ISNUMBER(P58)),"",IF(ISNUMBER(Q58),(P58+Q58)/2,P58))</f>
        <v/>
      </c>
      <c r="AM58" s="19">
        <f>IF(AND(ISNUMBER(L58),ISNUMBER(AL58),AL58&gt;0),L58/AL58,"")</f>
        <v/>
      </c>
      <c r="AN58" s="19">
        <f>IF(AND(ISNUMBER(AM58),ISNUMBER({ROIC})),AM58-{ROIC},"")</f>
        <v/>
      </c>
      <c r="AO58" s="17">
        <f>IF(AND(ISNUMBER(AC58),ISNUMBER(M58)),AC58+M58,"")</f>
        <v/>
      </c>
      <c r="AP58" s="20">
        <f>IF(AND(ISNUMBER(AF58),ISNUMBER(R58),ISNUMBER(AO58),AO58&gt;0),(AF58-R58)/AO58,"")</f>
        <v/>
      </c>
      <c r="AQ58" s="20">
        <f>IF(AND(ISNUMBER(AC58),ISNUMBER(I58),I58&lt;&gt;0,AC58&gt;0),AC58/I58,"")</f>
        <v/>
      </c>
      <c r="AR58" s="17">
        <f>IF(AND(ISNUMBER(W58),ISNUMBER(Y58)),W58-IF(ISNUMBER(R58),R58,0)-(Y58-IF(ISNUMBER(T58),T58,0)),"")</f>
        <v/>
      </c>
      <c r="AS58" s="17">
        <f>IF(AND(ISNUMBER(X58),ISNUMBER(Z58)),X58-IF(ISNUMBER(S58),S58,0)-(Z58-IF(ISNUMBER(U58),U58,0)),"")</f>
        <v/>
      </c>
      <c r="AT58" s="17">
        <f>IF(AND(ISNUMBER(AR58),ISNUMBER(AS58)),AR58-AS58,"")</f>
        <v/>
      </c>
      <c r="AU58" s="17">
        <f>IF(E58="금융","",IF(AND(ISNUMBER(L58),ISNUMBER(M58),ISNUMBER(N58),ISNUMBER(AT58)),L58+M58-N58-AT58,IF(AND(ISNUMBER(O58),ISNUMBER(N58)),O58-N58,"")))</f>
        <v/>
      </c>
      <c r="AV58" s="8">
        <f>IF(E58="금융","금융업 - 정의되지 않음",IF(AND(ISNUMBER(L58),ISNUMBER(M58),ISNUMBER(N58),ISNUMBER(AT58)),"순이익+감가상각-설비투자-운전자본증감",IF(AND(ISNUMBER(O58),ISNUMBER(N58)),"영업현금흐름-설비투자","산출불가")))</f>
        <v/>
      </c>
      <c r="AW58" s="19">
        <f>IF(AND(ISNUMBER(AU58),ISNUMBER(G58),G58&lt;&gt;0),AU58/G58,"")</f>
        <v/>
      </c>
      <c r="AX58" s="19">
        <f>IF(AND(ISNUMBER(AC58),ISNUMBER(G58),G58&lt;&gt;0),AC58/G58,"")</f>
        <v/>
      </c>
    </row>
    <row r="59">
      <c r="A59" s="8" t="inlineStr">
        <is>
          <t>AMZN</t>
        </is>
      </c>
      <c r="B59" s="8" t="inlineStr">
        <is>
          <t>AMAZON COM INC</t>
        </is>
      </c>
      <c r="C59" s="8" t="n">
        <v>2020</v>
      </c>
      <c r="D59" s="8" t="inlineStr">
        <is>
          <t>2020-12-31</t>
        </is>
      </c>
      <c r="E59" s="8" t="inlineStr">
        <is>
          <t>일반</t>
        </is>
      </c>
      <c r="F59" s="8" t="inlineStr">
        <is>
          <t>0001018724-23-000004</t>
        </is>
      </c>
      <c r="G59" s="15" t="n">
        <v>386.064</v>
      </c>
      <c r="H59" s="15" t="n">
        <v>24.178</v>
      </c>
      <c r="I59" s="15" t="n"/>
      <c r="J59" s="15" t="n">
        <v>2.863</v>
      </c>
      <c r="K59" s="15" t="n">
        <v>22.899</v>
      </c>
      <c r="L59" s="15" t="n">
        <v>21.331</v>
      </c>
      <c r="M59" s="15" t="n">
        <v>25.18</v>
      </c>
      <c r="N59" s="15" t="n">
        <v>40.14</v>
      </c>
      <c r="O59" s="15" t="n">
        <v>66.06399999999999</v>
      </c>
      <c r="P59" s="15" t="n">
        <v>93.404</v>
      </c>
      <c r="Q59" s="15" t="n">
        <v>62.06</v>
      </c>
      <c r="R59" s="15" t="n">
        <v>84.396</v>
      </c>
      <c r="S59" s="15" t="n">
        <v>55.021</v>
      </c>
      <c r="T59" s="15" t="n">
        <v>1.155</v>
      </c>
      <c r="U59" s="15" t="n">
        <v>1.305</v>
      </c>
      <c r="V59" s="15" t="n">
        <v>31.816</v>
      </c>
      <c r="W59" s="15" t="n">
        <v>132.733</v>
      </c>
      <c r="X59" s="15" t="n">
        <v>96.334</v>
      </c>
      <c r="Y59" s="15" t="n">
        <v>126.385</v>
      </c>
      <c r="Z59" s="15" t="n">
        <v>87.812</v>
      </c>
      <c r="AA59" s="15" t="n">
        <v>31.758</v>
      </c>
      <c r="AB59" s="16" t="n">
        <v>10060</v>
      </c>
      <c r="AC59" s="17">
        <f>IF(AND(ISNUMBER(H59),ISNUMBER(I59)),H59+I59,IF(ISNUMBER(K59),K59,IF(ISNUMBER(H59),H59,"")))</f>
        <v/>
      </c>
      <c r="AD59" s="18">
        <f>IF(OR(NOT(ISNUMBER(J59)),NOT(ISNUMBER(H59)),H59&lt;=0),기준표!$B$8,MIN(MAX(J59/H59,기준표!$B$6),기준표!$B$7))</f>
        <v/>
      </c>
      <c r="AE59" s="17">
        <f>IF(ISNUMBER(AC59),AC59*(1-AD59),"")</f>
        <v/>
      </c>
      <c r="AF59" s="17">
        <f>IF(AND(NOT(ISNUMBER(T59)),NOT(ISNUMBER(V59))),"",IF(ISNUMBER(T59),T59,0)+IF(ISNUMBER(V59),V59,0))</f>
        <v/>
      </c>
      <c r="AG59" s="17">
        <f>IF(E59="금융","",IF(AND(ISNUMBER(P59),ISNUMBER(AF59),ISNUMBER(R59)),P59+AF59-R59,""))</f>
        <v/>
      </c>
      <c r="AH59" s="17">
        <f>IF(E59="금융","",IF(NOT(ISNUMBER(AG59)),"",IF(ISNUMBER(AA59),(AG59+AA59)/2,AG59)))</f>
        <v/>
      </c>
      <c r="AI59" s="19">
        <f>IF(AND(ISNUMBER(AE59),ISNUMBER(AH59),AH59&gt;0),AE59/AH59,"")</f>
        <v/>
      </c>
      <c r="AJ59" s="17">
        <f>IF(E59="금융","",IF(AND(ISNUMBER(P59),ISNUMBER(AF59)),P59+AF59,""))</f>
        <v/>
      </c>
      <c r="AK59" s="19">
        <f>IF(OR(NOT(ISNUMBER(AE59)),NOT(ISNUMBER(AJ59)),AJ59&lt;=0),"",IF(AND(ISNUMBER(G59),AJ59&lt;0.1*G59),"",AE59/AJ59))</f>
        <v/>
      </c>
      <c r="AL59" s="17">
        <f>IF(NOT(ISNUMBER(P59)),"",IF(ISNUMBER(Q59),(P59+Q59)/2,P59))</f>
        <v/>
      </c>
      <c r="AM59" s="19">
        <f>IF(AND(ISNUMBER(L59),ISNUMBER(AL59),AL59&gt;0),L59/AL59,"")</f>
        <v/>
      </c>
      <c r="AN59" s="19">
        <f>IF(AND(ISNUMBER(AM59),ISNUMBER({ROIC})),AM59-{ROIC},"")</f>
        <v/>
      </c>
      <c r="AO59" s="17">
        <f>IF(AND(ISNUMBER(AC59),ISNUMBER(M59)),AC59+M59,"")</f>
        <v/>
      </c>
      <c r="AP59" s="20">
        <f>IF(AND(ISNUMBER(AF59),ISNUMBER(R59),ISNUMBER(AO59),AO59&gt;0),(AF59-R59)/AO59,"")</f>
        <v/>
      </c>
      <c r="AQ59" s="20">
        <f>IF(AND(ISNUMBER(AC59),ISNUMBER(I59),I59&lt;&gt;0,AC59&gt;0),AC59/I59,"")</f>
        <v/>
      </c>
      <c r="AR59" s="17">
        <f>IF(AND(ISNUMBER(W59),ISNUMBER(Y59)),W59-IF(ISNUMBER(R59),R59,0)-(Y59-IF(ISNUMBER(T59),T59,0)),"")</f>
        <v/>
      </c>
      <c r="AS59" s="17">
        <f>IF(AND(ISNUMBER(X59),ISNUMBER(Z59)),X59-IF(ISNUMBER(S59),S59,0)-(Z59-IF(ISNUMBER(U59),U59,0)),"")</f>
        <v/>
      </c>
      <c r="AT59" s="17">
        <f>IF(AND(ISNUMBER(AR59),ISNUMBER(AS59)),AR59-AS59,"")</f>
        <v/>
      </c>
      <c r="AU59" s="17">
        <f>IF(E59="금융","",IF(AND(ISNUMBER(L59),ISNUMBER(M59),ISNUMBER(N59),ISNUMBER(AT59)),L59+M59-N59-AT59,IF(AND(ISNUMBER(O59),ISNUMBER(N59)),O59-N59,"")))</f>
        <v/>
      </c>
      <c r="AV59" s="8">
        <f>IF(E59="금융","금융업 - 정의되지 않음",IF(AND(ISNUMBER(L59),ISNUMBER(M59),ISNUMBER(N59),ISNUMBER(AT59)),"순이익+감가상각-설비투자-운전자본증감",IF(AND(ISNUMBER(O59),ISNUMBER(N59)),"영업현금흐름-설비투자","산출불가")))</f>
        <v/>
      </c>
      <c r="AW59" s="19">
        <f>IF(AND(ISNUMBER(AU59),ISNUMBER(G59),G59&lt;&gt;0),AU59/G59,"")</f>
        <v/>
      </c>
      <c r="AX59" s="19">
        <f>IF(AND(ISNUMBER(AC59),ISNUMBER(G59),G59&lt;&gt;0),AC59/G59,"")</f>
        <v/>
      </c>
    </row>
    <row r="60">
      <c r="A60" s="8" t="inlineStr">
        <is>
          <t>AMZN</t>
        </is>
      </c>
      <c r="B60" s="8" t="inlineStr">
        <is>
          <t>AMAZON COM INC</t>
        </is>
      </c>
      <c r="C60" s="8" t="n">
        <v>2021</v>
      </c>
      <c r="D60" s="8" t="inlineStr">
        <is>
          <t>2021-12-31</t>
        </is>
      </c>
      <c r="E60" s="8" t="inlineStr">
        <is>
          <t>일반</t>
        </is>
      </c>
      <c r="F60" s="8" t="inlineStr">
        <is>
          <t>0001018724-24-000008</t>
        </is>
      </c>
      <c r="G60" s="15" t="n">
        <v>469.822</v>
      </c>
      <c r="H60" s="15" t="n">
        <v>38.151</v>
      </c>
      <c r="I60" s="15" t="n"/>
      <c r="J60" s="15" t="n">
        <v>4.791</v>
      </c>
      <c r="K60" s="15" t="n">
        <v>24.879</v>
      </c>
      <c r="L60" s="15" t="n">
        <v>33.364</v>
      </c>
      <c r="M60" s="15" t="n">
        <v>34.433</v>
      </c>
      <c r="N60" s="15" t="n">
        <v>61.053</v>
      </c>
      <c r="O60" s="15" t="n">
        <v>46.327</v>
      </c>
      <c r="P60" s="15" t="n">
        <v>138.245</v>
      </c>
      <c r="Q60" s="15" t="n">
        <v>93.404</v>
      </c>
      <c r="R60" s="15" t="n">
        <v>96.04900000000001</v>
      </c>
      <c r="S60" s="15" t="n">
        <v>84.396</v>
      </c>
      <c r="T60" s="15" t="n">
        <v>1.491</v>
      </c>
      <c r="U60" s="15" t="n">
        <v>1.155</v>
      </c>
      <c r="V60" s="15" t="n">
        <v>48.744</v>
      </c>
      <c r="W60" s="15" t="n">
        <v>161.58</v>
      </c>
      <c r="X60" s="15" t="n">
        <v>132.733</v>
      </c>
      <c r="Y60" s="15" t="n">
        <v>142.266</v>
      </c>
      <c r="Z60" s="15" t="n">
        <v>126.385</v>
      </c>
      <c r="AA60" s="15" t="n">
        <v>41.979</v>
      </c>
      <c r="AB60" s="16" t="n">
        <v>10175</v>
      </c>
      <c r="AC60" s="17">
        <f>IF(AND(ISNUMBER(H60),ISNUMBER(I60)),H60+I60,IF(ISNUMBER(K60),K60,IF(ISNUMBER(H60),H60,"")))</f>
        <v/>
      </c>
      <c r="AD60" s="18">
        <f>IF(OR(NOT(ISNUMBER(J60)),NOT(ISNUMBER(H60)),H60&lt;=0),기준표!$B$8,MIN(MAX(J60/H60,기준표!$B$6),기준표!$B$7))</f>
        <v/>
      </c>
      <c r="AE60" s="17">
        <f>IF(ISNUMBER(AC60),AC60*(1-AD60),"")</f>
        <v/>
      </c>
      <c r="AF60" s="17">
        <f>IF(AND(NOT(ISNUMBER(T60)),NOT(ISNUMBER(V60))),"",IF(ISNUMBER(T60),T60,0)+IF(ISNUMBER(V60),V60,0))</f>
        <v/>
      </c>
      <c r="AG60" s="17">
        <f>IF(E60="금융","",IF(AND(ISNUMBER(P60),ISNUMBER(AF60),ISNUMBER(R60)),P60+AF60-R60,""))</f>
        <v/>
      </c>
      <c r="AH60" s="17">
        <f>IF(E60="금융","",IF(NOT(ISNUMBER(AG60)),"",IF(ISNUMBER(AA60),(AG60+AA60)/2,AG60)))</f>
        <v/>
      </c>
      <c r="AI60" s="19">
        <f>IF(AND(ISNUMBER(AE60),ISNUMBER(AH60),AH60&gt;0),AE60/AH60,"")</f>
        <v/>
      </c>
      <c r="AJ60" s="17">
        <f>IF(E60="금융","",IF(AND(ISNUMBER(P60),ISNUMBER(AF60)),P60+AF60,""))</f>
        <v/>
      </c>
      <c r="AK60" s="19">
        <f>IF(OR(NOT(ISNUMBER(AE60)),NOT(ISNUMBER(AJ60)),AJ60&lt;=0),"",IF(AND(ISNUMBER(G60),AJ60&lt;0.1*G60),"",AE60/AJ60))</f>
        <v/>
      </c>
      <c r="AL60" s="17">
        <f>IF(NOT(ISNUMBER(P60)),"",IF(ISNUMBER(Q60),(P60+Q60)/2,P60))</f>
        <v/>
      </c>
      <c r="AM60" s="19">
        <f>IF(AND(ISNUMBER(L60),ISNUMBER(AL60),AL60&gt;0),L60/AL60,"")</f>
        <v/>
      </c>
      <c r="AN60" s="19">
        <f>IF(AND(ISNUMBER(AM60),ISNUMBER({ROIC})),AM60-{ROIC},"")</f>
        <v/>
      </c>
      <c r="AO60" s="17">
        <f>IF(AND(ISNUMBER(AC60),ISNUMBER(M60)),AC60+M60,"")</f>
        <v/>
      </c>
      <c r="AP60" s="20">
        <f>IF(AND(ISNUMBER(AF60),ISNUMBER(R60),ISNUMBER(AO60),AO60&gt;0),(AF60-R60)/AO60,"")</f>
        <v/>
      </c>
      <c r="AQ60" s="20">
        <f>IF(AND(ISNUMBER(AC60),ISNUMBER(I60),I60&lt;&gt;0,AC60&gt;0),AC60/I60,"")</f>
        <v/>
      </c>
      <c r="AR60" s="17">
        <f>IF(AND(ISNUMBER(W60),ISNUMBER(Y60)),W60-IF(ISNUMBER(R60),R60,0)-(Y60-IF(ISNUMBER(T60),T60,0)),"")</f>
        <v/>
      </c>
      <c r="AS60" s="17">
        <f>IF(AND(ISNUMBER(X60),ISNUMBER(Z60)),X60-IF(ISNUMBER(S60),S60,0)-(Z60-IF(ISNUMBER(U60),U60,0)),"")</f>
        <v/>
      </c>
      <c r="AT60" s="17">
        <f>IF(AND(ISNUMBER(AR60),ISNUMBER(AS60)),AR60-AS60,"")</f>
        <v/>
      </c>
      <c r="AU60" s="17">
        <f>IF(E60="금융","",IF(AND(ISNUMBER(L60),ISNUMBER(M60),ISNUMBER(N60),ISNUMBER(AT60)),L60+M60-N60-AT60,IF(AND(ISNUMBER(O60),ISNUMBER(N60)),O60-N60,"")))</f>
        <v/>
      </c>
      <c r="AV60" s="8">
        <f>IF(E60="금융","금융업 - 정의되지 않음",IF(AND(ISNUMBER(L60),ISNUMBER(M60),ISNUMBER(N60),ISNUMBER(AT60)),"순이익+감가상각-설비투자-운전자본증감",IF(AND(ISNUMBER(O60),ISNUMBER(N60)),"영업현금흐름-설비투자","산출불가")))</f>
        <v/>
      </c>
      <c r="AW60" s="19">
        <f>IF(AND(ISNUMBER(AU60),ISNUMBER(G60),G60&lt;&gt;0),AU60/G60,"")</f>
        <v/>
      </c>
      <c r="AX60" s="19">
        <f>IF(AND(ISNUMBER(AC60),ISNUMBER(G60),G60&lt;&gt;0),AC60/G60,"")</f>
        <v/>
      </c>
    </row>
    <row r="61">
      <c r="A61" s="8" t="inlineStr">
        <is>
          <t>AMZN</t>
        </is>
      </c>
      <c r="B61" s="8" t="inlineStr">
        <is>
          <t>AMAZON COM INC</t>
        </is>
      </c>
      <c r="C61" s="8" t="n">
        <v>2022</v>
      </c>
      <c r="D61" s="8" t="inlineStr">
        <is>
          <t>2022-12-31</t>
        </is>
      </c>
      <c r="E61" s="8" t="inlineStr">
        <is>
          <t>일반</t>
        </is>
      </c>
      <c r="F61" s="8" t="inlineStr">
        <is>
          <t>0001018724-25-000004</t>
        </is>
      </c>
      <c r="G61" s="15" t="n">
        <v>513.9829999999999</v>
      </c>
      <c r="H61" s="15" t="n">
        <v>-5.936</v>
      </c>
      <c r="I61" s="15" t="n">
        <v>2.367</v>
      </c>
      <c r="J61" s="15" t="n">
        <v>-3.217</v>
      </c>
      <c r="K61" s="15" t="n">
        <v>12.248</v>
      </c>
      <c r="L61" s="15" t="n">
        <v>-2.722</v>
      </c>
      <c r="M61" s="15" t="n">
        <v>41.921</v>
      </c>
      <c r="N61" s="15" t="n">
        <v>63.645</v>
      </c>
      <c r="O61" s="15" t="n">
        <v>46.752</v>
      </c>
      <c r="P61" s="15" t="n">
        <v>146.043</v>
      </c>
      <c r="Q61" s="15" t="n">
        <v>138.245</v>
      </c>
      <c r="R61" s="15" t="n">
        <v>70.026</v>
      </c>
      <c r="S61" s="15" t="n">
        <v>96.04900000000001</v>
      </c>
      <c r="T61" s="15" t="n">
        <v>2.999</v>
      </c>
      <c r="U61" s="15" t="n">
        <v>1.491</v>
      </c>
      <c r="V61" s="15" t="n">
        <v>67.15000000000001</v>
      </c>
      <c r="W61" s="15" t="n">
        <v>146.791</v>
      </c>
      <c r="X61" s="15" t="n">
        <v>161.58</v>
      </c>
      <c r="Y61" s="15" t="n">
        <v>155.393</v>
      </c>
      <c r="Z61" s="15" t="n">
        <v>142.266</v>
      </c>
      <c r="AA61" s="15" t="n">
        <v>92.431</v>
      </c>
      <c r="AB61" s="16" t="n">
        <v>10242</v>
      </c>
      <c r="AC61" s="17">
        <f>IF(AND(ISNUMBER(H61),ISNUMBER(I61)),H61+I61,IF(ISNUMBER(K61),K61,IF(ISNUMBER(H61),H61,"")))</f>
        <v/>
      </c>
      <c r="AD61" s="18">
        <f>IF(OR(NOT(ISNUMBER(J61)),NOT(ISNUMBER(H61)),H61&lt;=0),기준표!$B$8,MIN(MAX(J61/H61,기준표!$B$6),기준표!$B$7))</f>
        <v/>
      </c>
      <c r="AE61" s="17">
        <f>IF(ISNUMBER(AC61),AC61*(1-AD61),"")</f>
        <v/>
      </c>
      <c r="AF61" s="17">
        <f>IF(AND(NOT(ISNUMBER(T61)),NOT(ISNUMBER(V61))),"",IF(ISNUMBER(T61),T61,0)+IF(ISNUMBER(V61),V61,0))</f>
        <v/>
      </c>
      <c r="AG61" s="17">
        <f>IF(E61="금융","",IF(AND(ISNUMBER(P61),ISNUMBER(AF61),ISNUMBER(R61)),P61+AF61-R61,""))</f>
        <v/>
      </c>
      <c r="AH61" s="17">
        <f>IF(E61="금융","",IF(NOT(ISNUMBER(AG61)),"",IF(ISNUMBER(AA61),(AG61+AA61)/2,AG61)))</f>
        <v/>
      </c>
      <c r="AI61" s="19">
        <f>IF(AND(ISNUMBER(AE61),ISNUMBER(AH61),AH61&gt;0),AE61/AH61,"")</f>
        <v/>
      </c>
      <c r="AJ61" s="17">
        <f>IF(E61="금융","",IF(AND(ISNUMBER(P61),ISNUMBER(AF61)),P61+AF61,""))</f>
        <v/>
      </c>
      <c r="AK61" s="19">
        <f>IF(OR(NOT(ISNUMBER(AE61)),NOT(ISNUMBER(AJ61)),AJ61&lt;=0),"",IF(AND(ISNUMBER(G61),AJ61&lt;0.1*G61),"",AE61/AJ61))</f>
        <v/>
      </c>
      <c r="AL61" s="17">
        <f>IF(NOT(ISNUMBER(P61)),"",IF(ISNUMBER(Q61),(P61+Q61)/2,P61))</f>
        <v/>
      </c>
      <c r="AM61" s="19">
        <f>IF(AND(ISNUMBER(L61),ISNUMBER(AL61),AL61&gt;0),L61/AL61,"")</f>
        <v/>
      </c>
      <c r="AN61" s="19">
        <f>IF(AND(ISNUMBER(AM61),ISNUMBER({ROIC})),AM61-{ROIC},"")</f>
        <v/>
      </c>
      <c r="AO61" s="17">
        <f>IF(AND(ISNUMBER(AC61),ISNUMBER(M61)),AC61+M61,"")</f>
        <v/>
      </c>
      <c r="AP61" s="20">
        <f>IF(AND(ISNUMBER(AF61),ISNUMBER(R61),ISNUMBER(AO61),AO61&gt;0),(AF61-R61)/AO61,"")</f>
        <v/>
      </c>
      <c r="AQ61" s="20">
        <f>IF(AND(ISNUMBER(AC61),ISNUMBER(I61),I61&lt;&gt;0,AC61&gt;0),AC61/I61,"")</f>
        <v/>
      </c>
      <c r="AR61" s="17">
        <f>IF(AND(ISNUMBER(W61),ISNUMBER(Y61)),W61-IF(ISNUMBER(R61),R61,0)-(Y61-IF(ISNUMBER(T61),T61,0)),"")</f>
        <v/>
      </c>
      <c r="AS61" s="17">
        <f>IF(AND(ISNUMBER(X61),ISNUMBER(Z61)),X61-IF(ISNUMBER(S61),S61,0)-(Z61-IF(ISNUMBER(U61),U61,0)),"")</f>
        <v/>
      </c>
      <c r="AT61" s="17">
        <f>IF(AND(ISNUMBER(AR61),ISNUMBER(AS61)),AR61-AS61,"")</f>
        <v/>
      </c>
      <c r="AU61" s="17">
        <f>IF(E61="금융","",IF(AND(ISNUMBER(L61),ISNUMBER(M61),ISNUMBER(N61),ISNUMBER(AT61)),L61+M61-N61-AT61,IF(AND(ISNUMBER(O61),ISNUMBER(N61)),O61-N61,"")))</f>
        <v/>
      </c>
      <c r="AV61" s="8">
        <f>IF(E61="금융","금융업 - 정의되지 않음",IF(AND(ISNUMBER(L61),ISNUMBER(M61),ISNUMBER(N61),ISNUMBER(AT61)),"순이익+감가상각-설비투자-운전자본증감",IF(AND(ISNUMBER(O61),ISNUMBER(N61)),"영업현금흐름-설비투자","산출불가")))</f>
        <v/>
      </c>
      <c r="AW61" s="19">
        <f>IF(AND(ISNUMBER(AU61),ISNUMBER(G61),G61&lt;&gt;0),AU61/G61,"")</f>
        <v/>
      </c>
      <c r="AX61" s="19">
        <f>IF(AND(ISNUMBER(AC61),ISNUMBER(G61),G61&lt;&gt;0),AC61/G61,"")</f>
        <v/>
      </c>
    </row>
    <row r="62">
      <c r="A62" s="8" t="inlineStr">
        <is>
          <t>AMZN</t>
        </is>
      </c>
      <c r="B62" s="8" t="inlineStr">
        <is>
          <t>AMAZON COM INC</t>
        </is>
      </c>
      <c r="C62" s="8" t="n">
        <v>2023</v>
      </c>
      <c r="D62" s="8" t="inlineStr">
        <is>
          <t>2023-12-31</t>
        </is>
      </c>
      <c r="E62" s="8" t="inlineStr">
        <is>
          <t>일반</t>
        </is>
      </c>
      <c r="F62" s="8" t="inlineStr">
        <is>
          <t>0001018724-26-000004</t>
        </is>
      </c>
      <c r="G62" s="15" t="n">
        <v>574.785</v>
      </c>
      <c r="H62" s="15" t="n">
        <v>37.557</v>
      </c>
      <c r="I62" s="15" t="n">
        <v>3.182</v>
      </c>
      <c r="J62" s="15" t="n">
        <v>7.12</v>
      </c>
      <c r="K62" s="15" t="n">
        <v>36.852</v>
      </c>
      <c r="L62" s="15" t="n">
        <v>30.425</v>
      </c>
      <c r="M62" s="15" t="n">
        <v>48.663</v>
      </c>
      <c r="N62" s="15" t="n">
        <v>52.729</v>
      </c>
      <c r="O62" s="15" t="n">
        <v>84.946</v>
      </c>
      <c r="P62" s="15" t="n">
        <v>201.875</v>
      </c>
      <c r="Q62" s="15" t="n">
        <v>146.043</v>
      </c>
      <c r="R62" s="15" t="n">
        <v>86.78</v>
      </c>
      <c r="S62" s="15" t="n">
        <v>70.026</v>
      </c>
      <c r="T62" s="15" t="n">
        <v>8.494</v>
      </c>
      <c r="U62" s="15" t="n">
        <v>2.999</v>
      </c>
      <c r="V62" s="15" t="n">
        <v>58.314</v>
      </c>
      <c r="W62" s="15" t="n">
        <v>172.351</v>
      </c>
      <c r="X62" s="15" t="n">
        <v>146.791</v>
      </c>
      <c r="Y62" s="15" t="n">
        <v>164.917</v>
      </c>
      <c r="Z62" s="15" t="n">
        <v>155.393</v>
      </c>
      <c r="AA62" s="15" t="n">
        <v>146.166</v>
      </c>
      <c r="AB62" s="16" t="n">
        <v>10383</v>
      </c>
      <c r="AC62" s="17">
        <f>IF(AND(ISNUMBER(H62),ISNUMBER(I62)),H62+I62,IF(ISNUMBER(K62),K62,IF(ISNUMBER(H62),H62,"")))</f>
        <v/>
      </c>
      <c r="AD62" s="18">
        <f>IF(OR(NOT(ISNUMBER(J62)),NOT(ISNUMBER(H62)),H62&lt;=0),기준표!$B$8,MIN(MAX(J62/H62,기준표!$B$6),기준표!$B$7))</f>
        <v/>
      </c>
      <c r="AE62" s="17">
        <f>IF(ISNUMBER(AC62),AC62*(1-AD62),"")</f>
        <v/>
      </c>
      <c r="AF62" s="17">
        <f>IF(AND(NOT(ISNUMBER(T62)),NOT(ISNUMBER(V62))),"",IF(ISNUMBER(T62),T62,0)+IF(ISNUMBER(V62),V62,0))</f>
        <v/>
      </c>
      <c r="AG62" s="17">
        <f>IF(E62="금융","",IF(AND(ISNUMBER(P62),ISNUMBER(AF62),ISNUMBER(R62)),P62+AF62-R62,""))</f>
        <v/>
      </c>
      <c r="AH62" s="17">
        <f>IF(E62="금융","",IF(NOT(ISNUMBER(AG62)),"",IF(ISNUMBER(AA62),(AG62+AA62)/2,AG62)))</f>
        <v/>
      </c>
      <c r="AI62" s="19">
        <f>IF(AND(ISNUMBER(AE62),ISNUMBER(AH62),AH62&gt;0),AE62/AH62,"")</f>
        <v/>
      </c>
      <c r="AJ62" s="17">
        <f>IF(E62="금융","",IF(AND(ISNUMBER(P62),ISNUMBER(AF62)),P62+AF62,""))</f>
        <v/>
      </c>
      <c r="AK62" s="19">
        <f>IF(OR(NOT(ISNUMBER(AE62)),NOT(ISNUMBER(AJ62)),AJ62&lt;=0),"",IF(AND(ISNUMBER(G62),AJ62&lt;0.1*G62),"",AE62/AJ62))</f>
        <v/>
      </c>
      <c r="AL62" s="17">
        <f>IF(NOT(ISNUMBER(P62)),"",IF(ISNUMBER(Q62),(P62+Q62)/2,P62))</f>
        <v/>
      </c>
      <c r="AM62" s="19">
        <f>IF(AND(ISNUMBER(L62),ISNUMBER(AL62),AL62&gt;0),L62/AL62,"")</f>
        <v/>
      </c>
      <c r="AN62" s="19">
        <f>IF(AND(ISNUMBER(AM62),ISNUMBER({ROIC})),AM62-{ROIC},"")</f>
        <v/>
      </c>
      <c r="AO62" s="17">
        <f>IF(AND(ISNUMBER(AC62),ISNUMBER(M62)),AC62+M62,"")</f>
        <v/>
      </c>
      <c r="AP62" s="20">
        <f>IF(AND(ISNUMBER(AF62),ISNUMBER(R62),ISNUMBER(AO62),AO62&gt;0),(AF62-R62)/AO62,"")</f>
        <v/>
      </c>
      <c r="AQ62" s="20">
        <f>IF(AND(ISNUMBER(AC62),ISNUMBER(I62),I62&lt;&gt;0,AC62&gt;0),AC62/I62,"")</f>
        <v/>
      </c>
      <c r="AR62" s="17">
        <f>IF(AND(ISNUMBER(W62),ISNUMBER(Y62)),W62-IF(ISNUMBER(R62),R62,0)-(Y62-IF(ISNUMBER(T62),T62,0)),"")</f>
        <v/>
      </c>
      <c r="AS62" s="17">
        <f>IF(AND(ISNUMBER(X62),ISNUMBER(Z62)),X62-IF(ISNUMBER(S62),S62,0)-(Z62-IF(ISNUMBER(U62),U62,0)),"")</f>
        <v/>
      </c>
      <c r="AT62" s="17">
        <f>IF(AND(ISNUMBER(AR62),ISNUMBER(AS62)),AR62-AS62,"")</f>
        <v/>
      </c>
      <c r="AU62" s="17">
        <f>IF(E62="금융","",IF(AND(ISNUMBER(L62),ISNUMBER(M62),ISNUMBER(N62),ISNUMBER(AT62)),L62+M62-N62-AT62,IF(AND(ISNUMBER(O62),ISNUMBER(N62)),O62-N62,"")))</f>
        <v/>
      </c>
      <c r="AV62" s="8">
        <f>IF(E62="금융","금융업 - 정의되지 않음",IF(AND(ISNUMBER(L62),ISNUMBER(M62),ISNUMBER(N62),ISNUMBER(AT62)),"순이익+감가상각-설비투자-운전자본증감",IF(AND(ISNUMBER(O62),ISNUMBER(N62)),"영업현금흐름-설비투자","산출불가")))</f>
        <v/>
      </c>
      <c r="AW62" s="19">
        <f>IF(AND(ISNUMBER(AU62),ISNUMBER(G62),G62&lt;&gt;0),AU62/G62,"")</f>
        <v/>
      </c>
      <c r="AX62" s="19">
        <f>IF(AND(ISNUMBER(AC62),ISNUMBER(G62),G62&lt;&gt;0),AC62/G62,"")</f>
        <v/>
      </c>
    </row>
    <row r="63">
      <c r="A63" s="8" t="inlineStr">
        <is>
          <t>AMZN</t>
        </is>
      </c>
      <c r="B63" s="8" t="inlineStr">
        <is>
          <t>AMAZON COM INC</t>
        </is>
      </c>
      <c r="C63" s="8" t="n">
        <v>2024</v>
      </c>
      <c r="D63" s="8" t="inlineStr">
        <is>
          <t>2024-12-31</t>
        </is>
      </c>
      <c r="E63" s="8" t="inlineStr">
        <is>
          <t>일반</t>
        </is>
      </c>
      <c r="F63" s="8" t="inlineStr">
        <is>
          <t>0001018724-26-000004</t>
        </is>
      </c>
      <c r="G63" s="15" t="n">
        <v>637.9589999999999</v>
      </c>
      <c r="H63" s="15" t="n">
        <v>68.614</v>
      </c>
      <c r="I63" s="15" t="n">
        <v>2.406</v>
      </c>
      <c r="J63" s="15" t="n">
        <v>9.265000000000001</v>
      </c>
      <c r="K63" s="15" t="n">
        <v>68.593</v>
      </c>
      <c r="L63" s="15" t="n">
        <v>59.248</v>
      </c>
      <c r="M63" s="15" t="n">
        <v>52.795</v>
      </c>
      <c r="N63" s="15" t="n">
        <v>82.999</v>
      </c>
      <c r="O63" s="15" t="n">
        <v>115.877</v>
      </c>
      <c r="P63" s="15" t="n">
        <v>285.97</v>
      </c>
      <c r="Q63" s="15" t="n">
        <v>201.875</v>
      </c>
      <c r="R63" s="15" t="n">
        <v>101.202</v>
      </c>
      <c r="S63" s="15" t="n">
        <v>86.78</v>
      </c>
      <c r="T63" s="15" t="n">
        <v>5.017</v>
      </c>
      <c r="U63" s="15" t="n">
        <v>8.494</v>
      </c>
      <c r="V63" s="15" t="n">
        <v>52.623</v>
      </c>
      <c r="W63" s="15" t="n">
        <v>190.867</v>
      </c>
      <c r="X63" s="15" t="n">
        <v>172.351</v>
      </c>
      <c r="Y63" s="15" t="n">
        <v>179.431</v>
      </c>
      <c r="Z63" s="15" t="n">
        <v>164.917</v>
      </c>
      <c r="AA63" s="15" t="n">
        <v>181.903</v>
      </c>
      <c r="AB63" s="16" t="n">
        <v>10593</v>
      </c>
      <c r="AC63" s="17">
        <f>IF(AND(ISNUMBER(H63),ISNUMBER(I63)),H63+I63,IF(ISNUMBER(K63),K63,IF(ISNUMBER(H63),H63,"")))</f>
        <v/>
      </c>
      <c r="AD63" s="18">
        <f>IF(OR(NOT(ISNUMBER(J63)),NOT(ISNUMBER(H63)),H63&lt;=0),기준표!$B$8,MIN(MAX(J63/H63,기준표!$B$6),기준표!$B$7))</f>
        <v/>
      </c>
      <c r="AE63" s="17">
        <f>IF(ISNUMBER(AC63),AC63*(1-AD63),"")</f>
        <v/>
      </c>
      <c r="AF63" s="17">
        <f>IF(AND(NOT(ISNUMBER(T63)),NOT(ISNUMBER(V63))),"",IF(ISNUMBER(T63),T63,0)+IF(ISNUMBER(V63),V63,0))</f>
        <v/>
      </c>
      <c r="AG63" s="17">
        <f>IF(E63="금융","",IF(AND(ISNUMBER(P63),ISNUMBER(AF63),ISNUMBER(R63)),P63+AF63-R63,""))</f>
        <v/>
      </c>
      <c r="AH63" s="17">
        <f>IF(E63="금융","",IF(NOT(ISNUMBER(AG63)),"",IF(ISNUMBER(AA63),(AG63+AA63)/2,AG63)))</f>
        <v/>
      </c>
      <c r="AI63" s="19">
        <f>IF(AND(ISNUMBER(AE63),ISNUMBER(AH63),AH63&gt;0),AE63/AH63,"")</f>
        <v/>
      </c>
      <c r="AJ63" s="17">
        <f>IF(E63="금융","",IF(AND(ISNUMBER(P63),ISNUMBER(AF63)),P63+AF63,""))</f>
        <v/>
      </c>
      <c r="AK63" s="19">
        <f>IF(OR(NOT(ISNUMBER(AE63)),NOT(ISNUMBER(AJ63)),AJ63&lt;=0),"",IF(AND(ISNUMBER(G63),AJ63&lt;0.1*G63),"",AE63/AJ63))</f>
        <v/>
      </c>
      <c r="AL63" s="17">
        <f>IF(NOT(ISNUMBER(P63)),"",IF(ISNUMBER(Q63),(P63+Q63)/2,P63))</f>
        <v/>
      </c>
      <c r="AM63" s="19">
        <f>IF(AND(ISNUMBER(L63),ISNUMBER(AL63),AL63&gt;0),L63/AL63,"")</f>
        <v/>
      </c>
      <c r="AN63" s="19">
        <f>IF(AND(ISNUMBER(AM63),ISNUMBER({ROIC})),AM63-{ROIC},"")</f>
        <v/>
      </c>
      <c r="AO63" s="17">
        <f>IF(AND(ISNUMBER(AC63),ISNUMBER(M63)),AC63+M63,"")</f>
        <v/>
      </c>
      <c r="AP63" s="20">
        <f>IF(AND(ISNUMBER(AF63),ISNUMBER(R63),ISNUMBER(AO63),AO63&gt;0),(AF63-R63)/AO63,"")</f>
        <v/>
      </c>
      <c r="AQ63" s="20">
        <f>IF(AND(ISNUMBER(AC63),ISNUMBER(I63),I63&lt;&gt;0,AC63&gt;0),AC63/I63,"")</f>
        <v/>
      </c>
      <c r="AR63" s="17">
        <f>IF(AND(ISNUMBER(W63),ISNUMBER(Y63)),W63-IF(ISNUMBER(R63),R63,0)-(Y63-IF(ISNUMBER(T63),T63,0)),"")</f>
        <v/>
      </c>
      <c r="AS63" s="17">
        <f>IF(AND(ISNUMBER(X63),ISNUMBER(Z63)),X63-IF(ISNUMBER(S63),S63,0)-(Z63-IF(ISNUMBER(U63),U63,0)),"")</f>
        <v/>
      </c>
      <c r="AT63" s="17">
        <f>IF(AND(ISNUMBER(AR63),ISNUMBER(AS63)),AR63-AS63,"")</f>
        <v/>
      </c>
      <c r="AU63" s="17">
        <f>IF(E63="금융","",IF(AND(ISNUMBER(L63),ISNUMBER(M63),ISNUMBER(N63),ISNUMBER(AT63)),L63+M63-N63-AT63,IF(AND(ISNUMBER(O63),ISNUMBER(N63)),O63-N63,"")))</f>
        <v/>
      </c>
      <c r="AV63" s="8">
        <f>IF(E63="금융","금융업 - 정의되지 않음",IF(AND(ISNUMBER(L63),ISNUMBER(M63),ISNUMBER(N63),ISNUMBER(AT63)),"순이익+감가상각-설비투자-운전자본증감",IF(AND(ISNUMBER(O63),ISNUMBER(N63)),"영업현금흐름-설비투자","산출불가")))</f>
        <v/>
      </c>
      <c r="AW63" s="19">
        <f>IF(AND(ISNUMBER(AU63),ISNUMBER(G63),G63&lt;&gt;0),AU63/G63,"")</f>
        <v/>
      </c>
      <c r="AX63" s="19">
        <f>IF(AND(ISNUMBER(AC63),ISNUMBER(G63),G63&lt;&gt;0),AC63/G63,"")</f>
        <v/>
      </c>
    </row>
    <row r="64">
      <c r="A64" s="8" t="inlineStr">
        <is>
          <t>AMZN</t>
        </is>
      </c>
      <c r="B64" s="8" t="inlineStr">
        <is>
          <t>AMAZON COM INC</t>
        </is>
      </c>
      <c r="C64" s="8" t="n">
        <v>2025</v>
      </c>
      <c r="D64" s="8" t="inlineStr">
        <is>
          <t>2025-12-31</t>
        </is>
      </c>
      <c r="E64" s="8" t="inlineStr">
        <is>
          <t>일반</t>
        </is>
      </c>
      <c r="F64" s="8" t="inlineStr">
        <is>
          <t>0001018724-26-000004</t>
        </is>
      </c>
      <c r="G64" s="15" t="n">
        <v>716.924</v>
      </c>
      <c r="H64" s="15" t="n">
        <v>97.31100000000001</v>
      </c>
      <c r="I64" s="15" t="n">
        <v>2.274</v>
      </c>
      <c r="J64" s="15" t="n">
        <v>19.087</v>
      </c>
      <c r="K64" s="15" t="n">
        <v>79.97499999999999</v>
      </c>
      <c r="L64" s="15" t="n">
        <v>77.67</v>
      </c>
      <c r="M64" s="15" t="n">
        <v>65.756</v>
      </c>
      <c r="N64" s="15" t="n">
        <v>131.819</v>
      </c>
      <c r="O64" s="15" t="n">
        <v>139.514</v>
      </c>
      <c r="P64" s="15" t="n">
        <v>411.065</v>
      </c>
      <c r="Q64" s="15" t="n">
        <v>285.97</v>
      </c>
      <c r="R64" s="15" t="n">
        <v>123.029</v>
      </c>
      <c r="S64" s="15" t="n">
        <v>101.202</v>
      </c>
      <c r="T64" s="15" t="n">
        <v>2.748</v>
      </c>
      <c r="U64" s="15" t="n">
        <v>5.017</v>
      </c>
      <c r="V64" s="15" t="n">
        <v>65.648</v>
      </c>
      <c r="W64" s="15" t="n">
        <v>229.083</v>
      </c>
      <c r="X64" s="15" t="n">
        <v>190.867</v>
      </c>
      <c r="Y64" s="15" t="n">
        <v>218.005</v>
      </c>
      <c r="Z64" s="15" t="n">
        <v>179.431</v>
      </c>
      <c r="AA64" s="15" t="n">
        <v>242.408</v>
      </c>
      <c r="AB64" s="16" t="n">
        <v>10731</v>
      </c>
      <c r="AC64" s="17">
        <f>IF(AND(ISNUMBER(H64),ISNUMBER(I64)),H64+I64,IF(ISNUMBER(K64),K64,IF(ISNUMBER(H64),H64,"")))</f>
        <v/>
      </c>
      <c r="AD64" s="18">
        <f>IF(OR(NOT(ISNUMBER(J64)),NOT(ISNUMBER(H64)),H64&lt;=0),기준표!$B$8,MIN(MAX(J64/H64,기준표!$B$6),기준표!$B$7))</f>
        <v/>
      </c>
      <c r="AE64" s="17">
        <f>IF(ISNUMBER(AC64),AC64*(1-AD64),"")</f>
        <v/>
      </c>
      <c r="AF64" s="17">
        <f>IF(AND(NOT(ISNUMBER(T64)),NOT(ISNUMBER(V64))),"",IF(ISNUMBER(T64),T64,0)+IF(ISNUMBER(V64),V64,0))</f>
        <v/>
      </c>
      <c r="AG64" s="17">
        <f>IF(E64="금융","",IF(AND(ISNUMBER(P64),ISNUMBER(AF64),ISNUMBER(R64)),P64+AF64-R64,""))</f>
        <v/>
      </c>
      <c r="AH64" s="17">
        <f>IF(E64="금융","",IF(NOT(ISNUMBER(AG64)),"",IF(ISNUMBER(AA64),(AG64+AA64)/2,AG64)))</f>
        <v/>
      </c>
      <c r="AI64" s="19">
        <f>IF(AND(ISNUMBER(AE64),ISNUMBER(AH64),AH64&gt;0),AE64/AH64,"")</f>
        <v/>
      </c>
      <c r="AJ64" s="17">
        <f>IF(E64="금융","",IF(AND(ISNUMBER(P64),ISNUMBER(AF64)),P64+AF64,""))</f>
        <v/>
      </c>
      <c r="AK64" s="19">
        <f>IF(OR(NOT(ISNUMBER(AE64)),NOT(ISNUMBER(AJ64)),AJ64&lt;=0),"",IF(AND(ISNUMBER(G64),AJ64&lt;0.1*G64),"",AE64/AJ64))</f>
        <v/>
      </c>
      <c r="AL64" s="17">
        <f>IF(NOT(ISNUMBER(P64)),"",IF(ISNUMBER(Q64),(P64+Q64)/2,P64))</f>
        <v/>
      </c>
      <c r="AM64" s="19">
        <f>IF(AND(ISNUMBER(L64),ISNUMBER(AL64),AL64&gt;0),L64/AL64,"")</f>
        <v/>
      </c>
      <c r="AN64" s="19">
        <f>IF(AND(ISNUMBER(AM64),ISNUMBER({ROIC})),AM64-{ROIC},"")</f>
        <v/>
      </c>
      <c r="AO64" s="17">
        <f>IF(AND(ISNUMBER(AC64),ISNUMBER(M64)),AC64+M64,"")</f>
        <v/>
      </c>
      <c r="AP64" s="20">
        <f>IF(AND(ISNUMBER(AF64),ISNUMBER(R64),ISNUMBER(AO64),AO64&gt;0),(AF64-R64)/AO64,"")</f>
        <v/>
      </c>
      <c r="AQ64" s="20">
        <f>IF(AND(ISNUMBER(AC64),ISNUMBER(I64),I64&lt;&gt;0,AC64&gt;0),AC64/I64,"")</f>
        <v/>
      </c>
      <c r="AR64" s="17">
        <f>IF(AND(ISNUMBER(W64),ISNUMBER(Y64)),W64-IF(ISNUMBER(R64),R64,0)-(Y64-IF(ISNUMBER(T64),T64,0)),"")</f>
        <v/>
      </c>
      <c r="AS64" s="17">
        <f>IF(AND(ISNUMBER(X64),ISNUMBER(Z64)),X64-IF(ISNUMBER(S64),S64,0)-(Z64-IF(ISNUMBER(U64),U64,0)),"")</f>
        <v/>
      </c>
      <c r="AT64" s="17">
        <f>IF(AND(ISNUMBER(AR64),ISNUMBER(AS64)),AR64-AS64,"")</f>
        <v/>
      </c>
      <c r="AU64" s="17">
        <f>IF(E64="금융","",IF(AND(ISNUMBER(L64),ISNUMBER(M64),ISNUMBER(N64),ISNUMBER(AT64)),L64+M64-N64-AT64,IF(AND(ISNUMBER(O64),ISNUMBER(N64)),O64-N64,"")))</f>
        <v/>
      </c>
      <c r="AV64" s="8">
        <f>IF(E64="금융","금융업 - 정의되지 않음",IF(AND(ISNUMBER(L64),ISNUMBER(M64),ISNUMBER(N64),ISNUMBER(AT64)),"순이익+감가상각-설비투자-운전자본증감",IF(AND(ISNUMBER(O64),ISNUMBER(N64)),"영업현금흐름-설비투자","산출불가")))</f>
        <v/>
      </c>
      <c r="AW64" s="19">
        <f>IF(AND(ISNUMBER(AU64),ISNUMBER(G64),G64&lt;&gt;0),AU64/G64,"")</f>
        <v/>
      </c>
      <c r="AX64" s="19">
        <f>IF(AND(ISNUMBER(AC64),ISNUMBER(G64),G64&lt;&gt;0),AC64/G64,"")</f>
        <v/>
      </c>
    </row>
    <row r="65">
      <c r="A65" s="8" t="inlineStr">
        <is>
          <t>AVGO</t>
        </is>
      </c>
      <c r="B65" s="8" t="inlineStr">
        <is>
          <t>Broadcom Inc.</t>
        </is>
      </c>
      <c r="C65" s="8" t="n">
        <v>2016</v>
      </c>
      <c r="D65" s="8" t="inlineStr">
        <is>
          <t>2016-10-30</t>
        </is>
      </c>
      <c r="E65" s="8" t="inlineStr">
        <is>
          <t>일반</t>
        </is>
      </c>
      <c r="F65" s="8" t="inlineStr">
        <is>
          <t>0001730168-18-000084</t>
        </is>
      </c>
      <c r="G65" s="15" t="n"/>
      <c r="H65" s="15" t="n">
        <v>-1.107</v>
      </c>
      <c r="I65" s="15" t="n"/>
      <c r="J65" s="15" t="n">
        <v>0.642</v>
      </c>
      <c r="K65" s="15" t="n">
        <v>-0.409</v>
      </c>
      <c r="L65" s="15" t="n">
        <v>-1.861</v>
      </c>
      <c r="M65" s="15" t="n">
        <v>0.402</v>
      </c>
      <c r="N65" s="15" t="n">
        <v>0.723</v>
      </c>
      <c r="O65" s="15" t="n">
        <v>3.411</v>
      </c>
      <c r="P65" s="15" t="n">
        <v>21.876</v>
      </c>
      <c r="Q65" s="15" t="n"/>
      <c r="R65" s="15" t="n">
        <v>3.097</v>
      </c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6" t="n">
        <v>3830</v>
      </c>
      <c r="AC65" s="17">
        <f>IF(AND(ISNUMBER(H65),ISNUMBER(I65)),H65+I65,IF(ISNUMBER(K65),K65,IF(ISNUMBER(H65),H65,"")))</f>
        <v/>
      </c>
      <c r="AD65" s="18">
        <f>IF(OR(NOT(ISNUMBER(J65)),NOT(ISNUMBER(H65)),H65&lt;=0),기준표!$B$8,MIN(MAX(J65/H65,기준표!$B$6),기준표!$B$7))</f>
        <v/>
      </c>
      <c r="AE65" s="17">
        <f>IF(ISNUMBER(AC65),AC65*(1-AD65),"")</f>
        <v/>
      </c>
      <c r="AF65" s="17">
        <f>IF(AND(NOT(ISNUMBER(T65)),NOT(ISNUMBER(V65))),"",IF(ISNUMBER(T65),T65,0)+IF(ISNUMBER(V65),V65,0))</f>
        <v/>
      </c>
      <c r="AG65" s="17">
        <f>IF(E65="금융","",IF(AND(ISNUMBER(P65),ISNUMBER(AF65),ISNUMBER(R65)),P65+AF65-R65,""))</f>
        <v/>
      </c>
      <c r="AH65" s="17">
        <f>IF(E65="금융","",IF(NOT(ISNUMBER(AG65)),"",IF(ISNUMBER(AA65),(AG65+AA65)/2,AG65)))</f>
        <v/>
      </c>
      <c r="AI65" s="19">
        <f>IF(AND(ISNUMBER(AE65),ISNUMBER(AH65),AH65&gt;0),AE65/AH65,"")</f>
        <v/>
      </c>
      <c r="AJ65" s="17">
        <f>IF(E65="금융","",IF(AND(ISNUMBER(P65),ISNUMBER(AF65)),P65+AF65,""))</f>
        <v/>
      </c>
      <c r="AK65" s="19">
        <f>IF(OR(NOT(ISNUMBER(AE65)),NOT(ISNUMBER(AJ65)),AJ65&lt;=0),"",IF(AND(ISNUMBER(G65),AJ65&lt;0.1*G65),"",AE65/AJ65))</f>
        <v/>
      </c>
      <c r="AL65" s="17">
        <f>IF(NOT(ISNUMBER(P65)),"",IF(ISNUMBER(Q65),(P65+Q65)/2,P65))</f>
        <v/>
      </c>
      <c r="AM65" s="19">
        <f>IF(AND(ISNUMBER(L65),ISNUMBER(AL65),AL65&gt;0),L65/AL65,"")</f>
        <v/>
      </c>
      <c r="AN65" s="19">
        <f>IF(AND(ISNUMBER(AM65),ISNUMBER({ROIC})),AM65-{ROIC},"")</f>
        <v/>
      </c>
      <c r="AO65" s="17">
        <f>IF(AND(ISNUMBER(AC65),ISNUMBER(M65)),AC65+M65,"")</f>
        <v/>
      </c>
      <c r="AP65" s="20">
        <f>IF(AND(ISNUMBER(AF65),ISNUMBER(R65),ISNUMBER(AO65),AO65&gt;0),(AF65-R65)/AO65,"")</f>
        <v/>
      </c>
      <c r="AQ65" s="20">
        <f>IF(AND(ISNUMBER(AC65),ISNUMBER(I65),I65&lt;&gt;0,AC65&gt;0),AC65/I65,"")</f>
        <v/>
      </c>
      <c r="AR65" s="17">
        <f>IF(AND(ISNUMBER(W65),ISNUMBER(Y65)),W65-IF(ISNUMBER(R65),R65,0)-(Y65-IF(ISNUMBER(T65),T65,0)),"")</f>
        <v/>
      </c>
      <c r="AS65" s="17">
        <f>IF(AND(ISNUMBER(X65),ISNUMBER(Z65)),X65-IF(ISNUMBER(S65),S65,0)-(Z65-IF(ISNUMBER(U65),U65,0)),"")</f>
        <v/>
      </c>
      <c r="AT65" s="17">
        <f>IF(AND(ISNUMBER(AR65),ISNUMBER(AS65)),AR65-AS65,"")</f>
        <v/>
      </c>
      <c r="AU65" s="17">
        <f>IF(E65="금융","",IF(AND(ISNUMBER(L65),ISNUMBER(M65),ISNUMBER(N65),ISNUMBER(AT65)),L65+M65-N65-AT65,IF(AND(ISNUMBER(O65),ISNUMBER(N65)),O65-N65,"")))</f>
        <v/>
      </c>
      <c r="AV65" s="8">
        <f>IF(E65="금융","금융업 - 정의되지 않음",IF(AND(ISNUMBER(L65),ISNUMBER(M65),ISNUMBER(N65),ISNUMBER(AT65)),"순이익+감가상각-설비투자-운전자본증감",IF(AND(ISNUMBER(O65),ISNUMBER(N65)),"영업현금흐름-설비투자","산출불가")))</f>
        <v/>
      </c>
      <c r="AW65" s="19">
        <f>IF(AND(ISNUMBER(AU65),ISNUMBER(G65),G65&lt;&gt;0),AU65/G65,"")</f>
        <v/>
      </c>
      <c r="AX65" s="19">
        <f>IF(AND(ISNUMBER(AC65),ISNUMBER(G65),G65&lt;&gt;0),AC65/G65,"")</f>
        <v/>
      </c>
    </row>
    <row r="66">
      <c r="A66" s="8" t="inlineStr">
        <is>
          <t>AVGO</t>
        </is>
      </c>
      <c r="B66" s="8" t="inlineStr">
        <is>
          <t>Broadcom Inc.</t>
        </is>
      </c>
      <c r="C66" s="8" t="n">
        <v>2017</v>
      </c>
      <c r="D66" s="8" t="inlineStr">
        <is>
          <t>2017-10-29</t>
        </is>
      </c>
      <c r="E66" s="8" t="inlineStr">
        <is>
          <t>일반</t>
        </is>
      </c>
      <c r="F66" s="8" t="inlineStr">
        <is>
          <t>0001730168-19-000144</t>
        </is>
      </c>
      <c r="G66" s="15" t="n">
        <v>17.636</v>
      </c>
      <c r="H66" s="15" t="n">
        <v>1.825</v>
      </c>
      <c r="I66" s="15" t="n"/>
      <c r="J66" s="15" t="n">
        <v>0.035</v>
      </c>
      <c r="K66" s="15" t="n">
        <v>2.371</v>
      </c>
      <c r="L66" s="15" t="n">
        <v>1.784</v>
      </c>
      <c r="M66" s="15" t="n">
        <v>0.451</v>
      </c>
      <c r="N66" s="15" t="n">
        <v>1.069</v>
      </c>
      <c r="O66" s="15" t="n">
        <v>6.551</v>
      </c>
      <c r="P66" s="15" t="n">
        <v>23.186</v>
      </c>
      <c r="Q66" s="15" t="n">
        <v>21.876</v>
      </c>
      <c r="R66" s="15" t="n">
        <v>11.204</v>
      </c>
      <c r="S66" s="15" t="n">
        <v>3.097</v>
      </c>
      <c r="T66" s="15" t="n">
        <v>0.117</v>
      </c>
      <c r="U66" s="15" t="n"/>
      <c r="V66" s="15" t="n"/>
      <c r="W66" s="15" t="n">
        <v>15.823</v>
      </c>
      <c r="X66" s="15" t="n"/>
      <c r="Y66" s="15" t="n">
        <v>2.529</v>
      </c>
      <c r="Z66" s="15" t="n"/>
      <c r="AA66" s="15" t="n"/>
      <c r="AB66" s="16" t="n">
        <v>4210</v>
      </c>
      <c r="AC66" s="17">
        <f>IF(AND(ISNUMBER(H66),ISNUMBER(I66)),H66+I66,IF(ISNUMBER(K66),K66,IF(ISNUMBER(H66),H66,"")))</f>
        <v/>
      </c>
      <c r="AD66" s="18">
        <f>IF(OR(NOT(ISNUMBER(J66)),NOT(ISNUMBER(H66)),H66&lt;=0),기준표!$B$8,MIN(MAX(J66/H66,기준표!$B$6),기준표!$B$7))</f>
        <v/>
      </c>
      <c r="AE66" s="17">
        <f>IF(ISNUMBER(AC66),AC66*(1-AD66),"")</f>
        <v/>
      </c>
      <c r="AF66" s="17">
        <f>IF(AND(NOT(ISNUMBER(T66)),NOT(ISNUMBER(V66))),"",IF(ISNUMBER(T66),T66,0)+IF(ISNUMBER(V66),V66,0))</f>
        <v/>
      </c>
      <c r="AG66" s="17">
        <f>IF(E66="금융","",IF(AND(ISNUMBER(P66),ISNUMBER(AF66),ISNUMBER(R66)),P66+AF66-R66,""))</f>
        <v/>
      </c>
      <c r="AH66" s="17">
        <f>IF(E66="금융","",IF(NOT(ISNUMBER(AG66)),"",IF(ISNUMBER(AA66),(AG66+AA66)/2,AG66)))</f>
        <v/>
      </c>
      <c r="AI66" s="19">
        <f>IF(AND(ISNUMBER(AE66),ISNUMBER(AH66),AH66&gt;0),AE66/AH66,"")</f>
        <v/>
      </c>
      <c r="AJ66" s="17">
        <f>IF(E66="금융","",IF(AND(ISNUMBER(P66),ISNUMBER(AF66)),P66+AF66,""))</f>
        <v/>
      </c>
      <c r="AK66" s="19">
        <f>IF(OR(NOT(ISNUMBER(AE66)),NOT(ISNUMBER(AJ66)),AJ66&lt;=0),"",IF(AND(ISNUMBER(G66),AJ66&lt;0.1*G66),"",AE66/AJ66))</f>
        <v/>
      </c>
      <c r="AL66" s="17">
        <f>IF(NOT(ISNUMBER(P66)),"",IF(ISNUMBER(Q66),(P66+Q66)/2,P66))</f>
        <v/>
      </c>
      <c r="AM66" s="19">
        <f>IF(AND(ISNUMBER(L66),ISNUMBER(AL66),AL66&gt;0),L66/AL66,"")</f>
        <v/>
      </c>
      <c r="AN66" s="19">
        <f>IF(AND(ISNUMBER(AM66),ISNUMBER({ROIC})),AM66-{ROIC},"")</f>
        <v/>
      </c>
      <c r="AO66" s="17">
        <f>IF(AND(ISNUMBER(AC66),ISNUMBER(M66)),AC66+M66,"")</f>
        <v/>
      </c>
      <c r="AP66" s="20">
        <f>IF(AND(ISNUMBER(AF66),ISNUMBER(R66),ISNUMBER(AO66),AO66&gt;0),(AF66-R66)/AO66,"")</f>
        <v/>
      </c>
      <c r="AQ66" s="20">
        <f>IF(AND(ISNUMBER(AC66),ISNUMBER(I66),I66&lt;&gt;0,AC66&gt;0),AC66/I66,"")</f>
        <v/>
      </c>
      <c r="AR66" s="17">
        <f>IF(AND(ISNUMBER(W66),ISNUMBER(Y66)),W66-IF(ISNUMBER(R66),R66,0)-(Y66-IF(ISNUMBER(T66),T66,0)),"")</f>
        <v/>
      </c>
      <c r="AS66" s="17">
        <f>IF(AND(ISNUMBER(X66),ISNUMBER(Z66)),X66-IF(ISNUMBER(S66),S66,0)-(Z66-IF(ISNUMBER(U66),U66,0)),"")</f>
        <v/>
      </c>
      <c r="AT66" s="17">
        <f>IF(AND(ISNUMBER(AR66),ISNUMBER(AS66)),AR66-AS66,"")</f>
        <v/>
      </c>
      <c r="AU66" s="17">
        <f>IF(E66="금융","",IF(AND(ISNUMBER(L66),ISNUMBER(M66),ISNUMBER(N66),ISNUMBER(AT66)),L66+M66-N66-AT66,IF(AND(ISNUMBER(O66),ISNUMBER(N66)),O66-N66,"")))</f>
        <v/>
      </c>
      <c r="AV66" s="8">
        <f>IF(E66="금융","금융업 - 정의되지 않음",IF(AND(ISNUMBER(L66),ISNUMBER(M66),ISNUMBER(N66),ISNUMBER(AT66)),"순이익+감가상각-설비투자-운전자본증감",IF(AND(ISNUMBER(O66),ISNUMBER(N66)),"영업현금흐름-설비투자","산출불가")))</f>
        <v/>
      </c>
      <c r="AW66" s="19">
        <f>IF(AND(ISNUMBER(AU66),ISNUMBER(G66),G66&lt;&gt;0),AU66/G66,"")</f>
        <v/>
      </c>
      <c r="AX66" s="19">
        <f>IF(AND(ISNUMBER(AC66),ISNUMBER(G66),G66&lt;&gt;0),AC66/G66,"")</f>
        <v/>
      </c>
    </row>
    <row r="67">
      <c r="A67" s="8" t="inlineStr">
        <is>
          <t>AVGO</t>
        </is>
      </c>
      <c r="B67" s="8" t="inlineStr">
        <is>
          <t>Broadcom Inc.</t>
        </is>
      </c>
      <c r="C67" s="8" t="n">
        <v>2018</v>
      </c>
      <c r="D67" s="8" t="inlineStr">
        <is>
          <t>2018-11-04</t>
        </is>
      </c>
      <c r="E67" s="8" t="inlineStr">
        <is>
          <t>일반</t>
        </is>
      </c>
      <c r="F67" s="8" t="inlineStr">
        <is>
          <t>0001730168-20-000226</t>
        </is>
      </c>
      <c r="G67" s="15" t="n">
        <v>20.848</v>
      </c>
      <c r="H67" s="15" t="n">
        <v>4.545</v>
      </c>
      <c r="I67" s="15" t="n"/>
      <c r="J67" s="15" t="n">
        <v>-8.084</v>
      </c>
      <c r="K67" s="15" t="n">
        <v>5.135</v>
      </c>
      <c r="L67" s="15" t="n">
        <v>12.61</v>
      </c>
      <c r="M67" s="15" t="n">
        <v>0.515</v>
      </c>
      <c r="N67" s="15" t="n">
        <v>0.635</v>
      </c>
      <c r="O67" s="15" t="n">
        <v>8.880000000000001</v>
      </c>
      <c r="P67" s="15" t="n">
        <v>26.657</v>
      </c>
      <c r="Q67" s="15" t="n">
        <v>23.186</v>
      </c>
      <c r="R67" s="15" t="n">
        <v>4.292</v>
      </c>
      <c r="S67" s="15" t="n">
        <v>11.204</v>
      </c>
      <c r="T67" s="15" t="n">
        <v>0</v>
      </c>
      <c r="U67" s="15" t="n">
        <v>0.117</v>
      </c>
      <c r="V67" s="15" t="n"/>
      <c r="W67" s="15" t="n">
        <v>9.106999999999999</v>
      </c>
      <c r="X67" s="15" t="n">
        <v>15.823</v>
      </c>
      <c r="Y67" s="15" t="n">
        <v>2.338</v>
      </c>
      <c r="Z67" s="15" t="n">
        <v>2.529</v>
      </c>
      <c r="AA67" s="15" t="n">
        <v>12.099</v>
      </c>
      <c r="AB67" s="16" t="n">
        <v>4310</v>
      </c>
      <c r="AC67" s="17">
        <f>IF(AND(ISNUMBER(H67),ISNUMBER(I67)),H67+I67,IF(ISNUMBER(K67),K67,IF(ISNUMBER(H67),H67,"")))</f>
        <v/>
      </c>
      <c r="AD67" s="18">
        <f>IF(OR(NOT(ISNUMBER(J67)),NOT(ISNUMBER(H67)),H67&lt;=0),기준표!$B$8,MIN(MAX(J67/H67,기준표!$B$6),기준표!$B$7))</f>
        <v/>
      </c>
      <c r="AE67" s="17">
        <f>IF(ISNUMBER(AC67),AC67*(1-AD67),"")</f>
        <v/>
      </c>
      <c r="AF67" s="17">
        <f>IF(AND(NOT(ISNUMBER(T67)),NOT(ISNUMBER(V67))),"",IF(ISNUMBER(T67),T67,0)+IF(ISNUMBER(V67),V67,0))</f>
        <v/>
      </c>
      <c r="AG67" s="17">
        <f>IF(E67="금융","",IF(AND(ISNUMBER(P67),ISNUMBER(AF67),ISNUMBER(R67)),P67+AF67-R67,""))</f>
        <v/>
      </c>
      <c r="AH67" s="17">
        <f>IF(E67="금융","",IF(NOT(ISNUMBER(AG67)),"",IF(ISNUMBER(AA67),(AG67+AA67)/2,AG67)))</f>
        <v/>
      </c>
      <c r="AI67" s="19">
        <f>IF(AND(ISNUMBER(AE67),ISNUMBER(AH67),AH67&gt;0),AE67/AH67,"")</f>
        <v/>
      </c>
      <c r="AJ67" s="17">
        <f>IF(E67="금융","",IF(AND(ISNUMBER(P67),ISNUMBER(AF67)),P67+AF67,""))</f>
        <v/>
      </c>
      <c r="AK67" s="19">
        <f>IF(OR(NOT(ISNUMBER(AE67)),NOT(ISNUMBER(AJ67)),AJ67&lt;=0),"",IF(AND(ISNUMBER(G67),AJ67&lt;0.1*G67),"",AE67/AJ67))</f>
        <v/>
      </c>
      <c r="AL67" s="17">
        <f>IF(NOT(ISNUMBER(P67)),"",IF(ISNUMBER(Q67),(P67+Q67)/2,P67))</f>
        <v/>
      </c>
      <c r="AM67" s="19">
        <f>IF(AND(ISNUMBER(L67),ISNUMBER(AL67),AL67&gt;0),L67/AL67,"")</f>
        <v/>
      </c>
      <c r="AN67" s="19">
        <f>IF(AND(ISNUMBER(AM67),ISNUMBER({ROIC})),AM67-{ROIC},"")</f>
        <v/>
      </c>
      <c r="AO67" s="17">
        <f>IF(AND(ISNUMBER(AC67),ISNUMBER(M67)),AC67+M67,"")</f>
        <v/>
      </c>
      <c r="AP67" s="20">
        <f>IF(AND(ISNUMBER(AF67),ISNUMBER(R67),ISNUMBER(AO67),AO67&gt;0),(AF67-R67)/AO67,"")</f>
        <v/>
      </c>
      <c r="AQ67" s="20">
        <f>IF(AND(ISNUMBER(AC67),ISNUMBER(I67),I67&lt;&gt;0,AC67&gt;0),AC67/I67,"")</f>
        <v/>
      </c>
      <c r="AR67" s="17">
        <f>IF(AND(ISNUMBER(W67),ISNUMBER(Y67)),W67-IF(ISNUMBER(R67),R67,0)-(Y67-IF(ISNUMBER(T67),T67,0)),"")</f>
        <v/>
      </c>
      <c r="AS67" s="17">
        <f>IF(AND(ISNUMBER(X67),ISNUMBER(Z67)),X67-IF(ISNUMBER(S67),S67,0)-(Z67-IF(ISNUMBER(U67),U67,0)),"")</f>
        <v/>
      </c>
      <c r="AT67" s="17">
        <f>IF(AND(ISNUMBER(AR67),ISNUMBER(AS67)),AR67-AS67,"")</f>
        <v/>
      </c>
      <c r="AU67" s="17">
        <f>IF(E67="금융","",IF(AND(ISNUMBER(L67),ISNUMBER(M67),ISNUMBER(N67),ISNUMBER(AT67)),L67+M67-N67-AT67,IF(AND(ISNUMBER(O67),ISNUMBER(N67)),O67-N67,"")))</f>
        <v/>
      </c>
      <c r="AV67" s="8">
        <f>IF(E67="금융","금융업 - 정의되지 않음",IF(AND(ISNUMBER(L67),ISNUMBER(M67),ISNUMBER(N67),ISNUMBER(AT67)),"순이익+감가상각-설비투자-운전자본증감",IF(AND(ISNUMBER(O67),ISNUMBER(N67)),"영업현금흐름-설비투자","산출불가")))</f>
        <v/>
      </c>
      <c r="AW67" s="19">
        <f>IF(AND(ISNUMBER(AU67),ISNUMBER(G67),G67&lt;&gt;0),AU67/G67,"")</f>
        <v/>
      </c>
      <c r="AX67" s="19">
        <f>IF(AND(ISNUMBER(AC67),ISNUMBER(G67),G67&lt;&gt;0),AC67/G67,"")</f>
        <v/>
      </c>
    </row>
    <row r="68">
      <c r="A68" s="8" t="inlineStr">
        <is>
          <t>AVGO</t>
        </is>
      </c>
      <c r="B68" s="8" t="inlineStr">
        <is>
          <t>Broadcom Inc.</t>
        </is>
      </c>
      <c r="C68" s="8" t="n">
        <v>2019</v>
      </c>
      <c r="D68" s="8" t="inlineStr">
        <is>
          <t>2019-11-03</t>
        </is>
      </c>
      <c r="E68" s="8" t="inlineStr">
        <is>
          <t>일반</t>
        </is>
      </c>
      <c r="F68" s="8" t="inlineStr">
        <is>
          <t>0001730168-21-000153</t>
        </is>
      </c>
      <c r="G68" s="15" t="n">
        <v>22.597</v>
      </c>
      <c r="H68" s="15" t="n">
        <v>2.226</v>
      </c>
      <c r="I68" s="15" t="n"/>
      <c r="J68" s="15" t="n">
        <v>-0.51</v>
      </c>
      <c r="K68" s="15" t="n">
        <v>3.444</v>
      </c>
      <c r="L68" s="15" t="n">
        <v>2.724</v>
      </c>
      <c r="M68" s="15" t="n">
        <v>0.569</v>
      </c>
      <c r="N68" s="15" t="n">
        <v>0.432</v>
      </c>
      <c r="O68" s="15" t="n">
        <v>9.696999999999999</v>
      </c>
      <c r="P68" s="15" t="n">
        <v>24.941</v>
      </c>
      <c r="Q68" s="15" t="n">
        <v>26.657</v>
      </c>
      <c r="R68" s="15" t="n">
        <v>5.055</v>
      </c>
      <c r="S68" s="15" t="n">
        <v>4.292</v>
      </c>
      <c r="T68" s="15" t="n">
        <v>2.787</v>
      </c>
      <c r="U68" s="15" t="n">
        <v>0</v>
      </c>
      <c r="V68" s="15" t="n"/>
      <c r="W68" s="15" t="n">
        <v>9.917</v>
      </c>
      <c r="X68" s="15" t="n">
        <v>9.106999999999999</v>
      </c>
      <c r="Y68" s="15" t="n">
        <v>6.899</v>
      </c>
      <c r="Z68" s="15" t="n">
        <v>2.338</v>
      </c>
      <c r="AA68" s="15" t="n">
        <v>22.365</v>
      </c>
      <c r="AB68" s="16" t="n">
        <v>4190</v>
      </c>
      <c r="AC68" s="17">
        <f>IF(AND(ISNUMBER(H68),ISNUMBER(I68)),H68+I68,IF(ISNUMBER(K68),K68,IF(ISNUMBER(H68),H68,"")))</f>
        <v/>
      </c>
      <c r="AD68" s="18">
        <f>IF(OR(NOT(ISNUMBER(J68)),NOT(ISNUMBER(H68)),H68&lt;=0),기준표!$B$8,MIN(MAX(J68/H68,기준표!$B$6),기준표!$B$7))</f>
        <v/>
      </c>
      <c r="AE68" s="17">
        <f>IF(ISNUMBER(AC68),AC68*(1-AD68),"")</f>
        <v/>
      </c>
      <c r="AF68" s="17">
        <f>IF(AND(NOT(ISNUMBER(T68)),NOT(ISNUMBER(V68))),"",IF(ISNUMBER(T68),T68,0)+IF(ISNUMBER(V68),V68,0))</f>
        <v/>
      </c>
      <c r="AG68" s="17">
        <f>IF(E68="금융","",IF(AND(ISNUMBER(P68),ISNUMBER(AF68),ISNUMBER(R68)),P68+AF68-R68,""))</f>
        <v/>
      </c>
      <c r="AH68" s="17">
        <f>IF(E68="금융","",IF(NOT(ISNUMBER(AG68)),"",IF(ISNUMBER(AA68),(AG68+AA68)/2,AG68)))</f>
        <v/>
      </c>
      <c r="AI68" s="19">
        <f>IF(AND(ISNUMBER(AE68),ISNUMBER(AH68),AH68&gt;0),AE68/AH68,"")</f>
        <v/>
      </c>
      <c r="AJ68" s="17">
        <f>IF(E68="금융","",IF(AND(ISNUMBER(P68),ISNUMBER(AF68)),P68+AF68,""))</f>
        <v/>
      </c>
      <c r="AK68" s="19">
        <f>IF(OR(NOT(ISNUMBER(AE68)),NOT(ISNUMBER(AJ68)),AJ68&lt;=0),"",IF(AND(ISNUMBER(G68),AJ68&lt;0.1*G68),"",AE68/AJ68))</f>
        <v/>
      </c>
      <c r="AL68" s="17">
        <f>IF(NOT(ISNUMBER(P68)),"",IF(ISNUMBER(Q68),(P68+Q68)/2,P68))</f>
        <v/>
      </c>
      <c r="AM68" s="19">
        <f>IF(AND(ISNUMBER(L68),ISNUMBER(AL68),AL68&gt;0),L68/AL68,"")</f>
        <v/>
      </c>
      <c r="AN68" s="19">
        <f>IF(AND(ISNUMBER(AM68),ISNUMBER({ROIC})),AM68-{ROIC},"")</f>
        <v/>
      </c>
      <c r="AO68" s="17">
        <f>IF(AND(ISNUMBER(AC68),ISNUMBER(M68)),AC68+M68,"")</f>
        <v/>
      </c>
      <c r="AP68" s="20">
        <f>IF(AND(ISNUMBER(AF68),ISNUMBER(R68),ISNUMBER(AO68),AO68&gt;0),(AF68-R68)/AO68,"")</f>
        <v/>
      </c>
      <c r="AQ68" s="20">
        <f>IF(AND(ISNUMBER(AC68),ISNUMBER(I68),I68&lt;&gt;0,AC68&gt;0),AC68/I68,"")</f>
        <v/>
      </c>
      <c r="AR68" s="17">
        <f>IF(AND(ISNUMBER(W68),ISNUMBER(Y68)),W68-IF(ISNUMBER(R68),R68,0)-(Y68-IF(ISNUMBER(T68),T68,0)),"")</f>
        <v/>
      </c>
      <c r="AS68" s="17">
        <f>IF(AND(ISNUMBER(X68),ISNUMBER(Z68)),X68-IF(ISNUMBER(S68),S68,0)-(Z68-IF(ISNUMBER(U68),U68,0)),"")</f>
        <v/>
      </c>
      <c r="AT68" s="17">
        <f>IF(AND(ISNUMBER(AR68),ISNUMBER(AS68)),AR68-AS68,"")</f>
        <v/>
      </c>
      <c r="AU68" s="17">
        <f>IF(E68="금융","",IF(AND(ISNUMBER(L68),ISNUMBER(M68),ISNUMBER(N68),ISNUMBER(AT68)),L68+M68-N68-AT68,IF(AND(ISNUMBER(O68),ISNUMBER(N68)),O68-N68,"")))</f>
        <v/>
      </c>
      <c r="AV68" s="8">
        <f>IF(E68="금융","금융업 - 정의되지 않음",IF(AND(ISNUMBER(L68),ISNUMBER(M68),ISNUMBER(N68),ISNUMBER(AT68)),"순이익+감가상각-설비투자-운전자본증감",IF(AND(ISNUMBER(O68),ISNUMBER(N68)),"영업현금흐름-설비투자","산출불가")))</f>
        <v/>
      </c>
      <c r="AW68" s="19">
        <f>IF(AND(ISNUMBER(AU68),ISNUMBER(G68),G68&lt;&gt;0),AU68/G68,"")</f>
        <v/>
      </c>
      <c r="AX68" s="19">
        <f>IF(AND(ISNUMBER(AC68),ISNUMBER(G68),G68&lt;&gt;0),AC68/G68,"")</f>
        <v/>
      </c>
    </row>
    <row r="69">
      <c r="A69" s="8" t="inlineStr">
        <is>
          <t>AVGO</t>
        </is>
      </c>
      <c r="B69" s="8" t="inlineStr">
        <is>
          <t>Broadcom Inc.</t>
        </is>
      </c>
      <c r="C69" s="8" t="n">
        <v>2020</v>
      </c>
      <c r="D69" s="8" t="inlineStr">
        <is>
          <t>2020-11-01</t>
        </is>
      </c>
      <c r="E69" s="8" t="inlineStr">
        <is>
          <t>일반</t>
        </is>
      </c>
      <c r="F69" s="8" t="inlineStr">
        <is>
          <t>0001730168-22-000118</t>
        </is>
      </c>
      <c r="G69" s="15" t="n">
        <v>23.888</v>
      </c>
      <c r="H69" s="15" t="n">
        <v>2.443</v>
      </c>
      <c r="I69" s="15" t="n"/>
      <c r="J69" s="15" t="n">
        <v>-0.518</v>
      </c>
      <c r="K69" s="15" t="n">
        <v>4.014</v>
      </c>
      <c r="L69" s="15" t="n">
        <v>2.96</v>
      </c>
      <c r="M69" s="15" t="n">
        <v>0.57</v>
      </c>
      <c r="N69" s="15" t="n">
        <v>0.463</v>
      </c>
      <c r="O69" s="15" t="n">
        <v>12.061</v>
      </c>
      <c r="P69" s="15" t="n">
        <v>23.874</v>
      </c>
      <c r="Q69" s="15" t="n">
        <v>24.941</v>
      </c>
      <c r="R69" s="15" t="n">
        <v>7.618</v>
      </c>
      <c r="S69" s="15" t="n">
        <v>5.055</v>
      </c>
      <c r="T69" s="15" t="n">
        <v>0.827</v>
      </c>
      <c r="U69" s="15" t="n">
        <v>2.787</v>
      </c>
      <c r="V69" s="15" t="n"/>
      <c r="W69" s="15" t="n">
        <v>11.895</v>
      </c>
      <c r="X69" s="15" t="n">
        <v>9.917</v>
      </c>
      <c r="Y69" s="15" t="n">
        <v>6.371</v>
      </c>
      <c r="Z69" s="15" t="n">
        <v>6.899</v>
      </c>
      <c r="AA69" s="15" t="n">
        <v>22.673</v>
      </c>
      <c r="AB69" s="16" t="n">
        <v>4210</v>
      </c>
      <c r="AC69" s="17">
        <f>IF(AND(ISNUMBER(H69),ISNUMBER(I69)),H69+I69,IF(ISNUMBER(K69),K69,IF(ISNUMBER(H69),H69,"")))</f>
        <v/>
      </c>
      <c r="AD69" s="18">
        <f>IF(OR(NOT(ISNUMBER(J69)),NOT(ISNUMBER(H69)),H69&lt;=0),기준표!$B$8,MIN(MAX(J69/H69,기준표!$B$6),기준표!$B$7))</f>
        <v/>
      </c>
      <c r="AE69" s="17">
        <f>IF(ISNUMBER(AC69),AC69*(1-AD69),"")</f>
        <v/>
      </c>
      <c r="AF69" s="17">
        <f>IF(AND(NOT(ISNUMBER(T69)),NOT(ISNUMBER(V69))),"",IF(ISNUMBER(T69),T69,0)+IF(ISNUMBER(V69),V69,0))</f>
        <v/>
      </c>
      <c r="AG69" s="17">
        <f>IF(E69="금융","",IF(AND(ISNUMBER(P69),ISNUMBER(AF69),ISNUMBER(R69)),P69+AF69-R69,""))</f>
        <v/>
      </c>
      <c r="AH69" s="17">
        <f>IF(E69="금융","",IF(NOT(ISNUMBER(AG69)),"",IF(ISNUMBER(AA69),(AG69+AA69)/2,AG69)))</f>
        <v/>
      </c>
      <c r="AI69" s="19">
        <f>IF(AND(ISNUMBER(AE69),ISNUMBER(AH69),AH69&gt;0),AE69/AH69,"")</f>
        <v/>
      </c>
      <c r="AJ69" s="17">
        <f>IF(E69="금융","",IF(AND(ISNUMBER(P69),ISNUMBER(AF69)),P69+AF69,""))</f>
        <v/>
      </c>
      <c r="AK69" s="19">
        <f>IF(OR(NOT(ISNUMBER(AE69)),NOT(ISNUMBER(AJ69)),AJ69&lt;=0),"",IF(AND(ISNUMBER(G69),AJ69&lt;0.1*G69),"",AE69/AJ69))</f>
        <v/>
      </c>
      <c r="AL69" s="17">
        <f>IF(NOT(ISNUMBER(P69)),"",IF(ISNUMBER(Q69),(P69+Q69)/2,P69))</f>
        <v/>
      </c>
      <c r="AM69" s="19">
        <f>IF(AND(ISNUMBER(L69),ISNUMBER(AL69),AL69&gt;0),L69/AL69,"")</f>
        <v/>
      </c>
      <c r="AN69" s="19">
        <f>IF(AND(ISNUMBER(AM69),ISNUMBER({ROIC})),AM69-{ROIC},"")</f>
        <v/>
      </c>
      <c r="AO69" s="17">
        <f>IF(AND(ISNUMBER(AC69),ISNUMBER(M69)),AC69+M69,"")</f>
        <v/>
      </c>
      <c r="AP69" s="20">
        <f>IF(AND(ISNUMBER(AF69),ISNUMBER(R69),ISNUMBER(AO69),AO69&gt;0),(AF69-R69)/AO69,"")</f>
        <v/>
      </c>
      <c r="AQ69" s="20">
        <f>IF(AND(ISNUMBER(AC69),ISNUMBER(I69),I69&lt;&gt;0,AC69&gt;0),AC69/I69,"")</f>
        <v/>
      </c>
      <c r="AR69" s="17">
        <f>IF(AND(ISNUMBER(W69),ISNUMBER(Y69)),W69-IF(ISNUMBER(R69),R69,0)-(Y69-IF(ISNUMBER(T69),T69,0)),"")</f>
        <v/>
      </c>
      <c r="AS69" s="17">
        <f>IF(AND(ISNUMBER(X69),ISNUMBER(Z69)),X69-IF(ISNUMBER(S69),S69,0)-(Z69-IF(ISNUMBER(U69),U69,0)),"")</f>
        <v/>
      </c>
      <c r="AT69" s="17">
        <f>IF(AND(ISNUMBER(AR69),ISNUMBER(AS69)),AR69-AS69,"")</f>
        <v/>
      </c>
      <c r="AU69" s="17">
        <f>IF(E69="금융","",IF(AND(ISNUMBER(L69),ISNUMBER(M69),ISNUMBER(N69),ISNUMBER(AT69)),L69+M69-N69-AT69,IF(AND(ISNUMBER(O69),ISNUMBER(N69)),O69-N69,"")))</f>
        <v/>
      </c>
      <c r="AV69" s="8">
        <f>IF(E69="금융","금융업 - 정의되지 않음",IF(AND(ISNUMBER(L69),ISNUMBER(M69),ISNUMBER(N69),ISNUMBER(AT69)),"순이익+감가상각-설비투자-운전자본증감",IF(AND(ISNUMBER(O69),ISNUMBER(N69)),"영업현금흐름-설비투자","산출불가")))</f>
        <v/>
      </c>
      <c r="AW69" s="19">
        <f>IF(AND(ISNUMBER(AU69),ISNUMBER(G69),G69&lt;&gt;0),AU69/G69,"")</f>
        <v/>
      </c>
      <c r="AX69" s="19">
        <f>IF(AND(ISNUMBER(AC69),ISNUMBER(G69),G69&lt;&gt;0),AC69/G69,"")</f>
        <v/>
      </c>
    </row>
    <row r="70">
      <c r="A70" s="8" t="inlineStr">
        <is>
          <t>AVGO</t>
        </is>
      </c>
      <c r="B70" s="8" t="inlineStr">
        <is>
          <t>Broadcom Inc.</t>
        </is>
      </c>
      <c r="C70" s="8" t="n">
        <v>2021</v>
      </c>
      <c r="D70" s="8" t="inlineStr">
        <is>
          <t>2021-10-31</t>
        </is>
      </c>
      <c r="E70" s="8" t="inlineStr">
        <is>
          <t>일반</t>
        </is>
      </c>
      <c r="F70" s="8" t="inlineStr">
        <is>
          <t>0001730168-23-000096</t>
        </is>
      </c>
      <c r="G70" s="15" t="n">
        <v>27.45</v>
      </c>
      <c r="H70" s="15" t="n">
        <v>6.765</v>
      </c>
      <c r="I70" s="15" t="n"/>
      <c r="J70" s="15" t="n">
        <v>0.029</v>
      </c>
      <c r="K70" s="15" t="n">
        <v>8.519</v>
      </c>
      <c r="L70" s="15" t="n">
        <v>6.736</v>
      </c>
      <c r="M70" s="15" t="n">
        <v>0.539</v>
      </c>
      <c r="N70" s="15" t="n">
        <v>0.443</v>
      </c>
      <c r="O70" s="15" t="n">
        <v>13.764</v>
      </c>
      <c r="P70" s="15" t="n">
        <v>24.962</v>
      </c>
      <c r="Q70" s="15" t="n">
        <v>23.874</v>
      </c>
      <c r="R70" s="15" t="n">
        <v>12.163</v>
      </c>
      <c r="S70" s="15" t="n">
        <v>7.618</v>
      </c>
      <c r="T70" s="15" t="n">
        <v>0.264</v>
      </c>
      <c r="U70" s="15" t="n">
        <v>0.827</v>
      </c>
      <c r="V70" s="15" t="n">
        <v>39.44</v>
      </c>
      <c r="W70" s="15" t="n">
        <v>16.586</v>
      </c>
      <c r="X70" s="15" t="n">
        <v>11.895</v>
      </c>
      <c r="Y70" s="15" t="n">
        <v>6.281</v>
      </c>
      <c r="Z70" s="15" t="n">
        <v>6.371</v>
      </c>
      <c r="AA70" s="15" t="n">
        <v>17.083</v>
      </c>
      <c r="AB70" s="16" t="n">
        <v>4290</v>
      </c>
      <c r="AC70" s="17">
        <f>IF(AND(ISNUMBER(H70),ISNUMBER(I70)),H70+I70,IF(ISNUMBER(K70),K70,IF(ISNUMBER(H70),H70,"")))</f>
        <v/>
      </c>
      <c r="AD70" s="18">
        <f>IF(OR(NOT(ISNUMBER(J70)),NOT(ISNUMBER(H70)),H70&lt;=0),기준표!$B$8,MIN(MAX(J70/H70,기준표!$B$6),기준표!$B$7))</f>
        <v/>
      </c>
      <c r="AE70" s="17">
        <f>IF(ISNUMBER(AC70),AC70*(1-AD70),"")</f>
        <v/>
      </c>
      <c r="AF70" s="17">
        <f>IF(AND(NOT(ISNUMBER(T70)),NOT(ISNUMBER(V70))),"",IF(ISNUMBER(T70),T70,0)+IF(ISNUMBER(V70),V70,0))</f>
        <v/>
      </c>
      <c r="AG70" s="17">
        <f>IF(E70="금융","",IF(AND(ISNUMBER(P70),ISNUMBER(AF70),ISNUMBER(R70)),P70+AF70-R70,""))</f>
        <v/>
      </c>
      <c r="AH70" s="17">
        <f>IF(E70="금융","",IF(NOT(ISNUMBER(AG70)),"",IF(ISNUMBER(AA70),(AG70+AA70)/2,AG70)))</f>
        <v/>
      </c>
      <c r="AI70" s="19">
        <f>IF(AND(ISNUMBER(AE70),ISNUMBER(AH70),AH70&gt;0),AE70/AH70,"")</f>
        <v/>
      </c>
      <c r="AJ70" s="17">
        <f>IF(E70="금융","",IF(AND(ISNUMBER(P70),ISNUMBER(AF70)),P70+AF70,""))</f>
        <v/>
      </c>
      <c r="AK70" s="19">
        <f>IF(OR(NOT(ISNUMBER(AE70)),NOT(ISNUMBER(AJ70)),AJ70&lt;=0),"",IF(AND(ISNUMBER(G70),AJ70&lt;0.1*G70),"",AE70/AJ70))</f>
        <v/>
      </c>
      <c r="AL70" s="17">
        <f>IF(NOT(ISNUMBER(P70)),"",IF(ISNUMBER(Q70),(P70+Q70)/2,P70))</f>
        <v/>
      </c>
      <c r="AM70" s="19">
        <f>IF(AND(ISNUMBER(L70),ISNUMBER(AL70),AL70&gt;0),L70/AL70,"")</f>
        <v/>
      </c>
      <c r="AN70" s="19">
        <f>IF(AND(ISNUMBER(AM70),ISNUMBER({ROIC})),AM70-{ROIC},"")</f>
        <v/>
      </c>
      <c r="AO70" s="17">
        <f>IF(AND(ISNUMBER(AC70),ISNUMBER(M70)),AC70+M70,"")</f>
        <v/>
      </c>
      <c r="AP70" s="20">
        <f>IF(AND(ISNUMBER(AF70),ISNUMBER(R70),ISNUMBER(AO70),AO70&gt;0),(AF70-R70)/AO70,"")</f>
        <v/>
      </c>
      <c r="AQ70" s="20">
        <f>IF(AND(ISNUMBER(AC70),ISNUMBER(I70),I70&lt;&gt;0,AC70&gt;0),AC70/I70,"")</f>
        <v/>
      </c>
      <c r="AR70" s="17">
        <f>IF(AND(ISNUMBER(W70),ISNUMBER(Y70)),W70-IF(ISNUMBER(R70),R70,0)-(Y70-IF(ISNUMBER(T70),T70,0)),"")</f>
        <v/>
      </c>
      <c r="AS70" s="17">
        <f>IF(AND(ISNUMBER(X70),ISNUMBER(Z70)),X70-IF(ISNUMBER(S70),S70,0)-(Z70-IF(ISNUMBER(U70),U70,0)),"")</f>
        <v/>
      </c>
      <c r="AT70" s="17">
        <f>IF(AND(ISNUMBER(AR70),ISNUMBER(AS70)),AR70-AS70,"")</f>
        <v/>
      </c>
      <c r="AU70" s="17">
        <f>IF(E70="금융","",IF(AND(ISNUMBER(L70),ISNUMBER(M70),ISNUMBER(N70),ISNUMBER(AT70)),L70+M70-N70-AT70,IF(AND(ISNUMBER(O70),ISNUMBER(N70)),O70-N70,"")))</f>
        <v/>
      </c>
      <c r="AV70" s="8">
        <f>IF(E70="금융","금융업 - 정의되지 않음",IF(AND(ISNUMBER(L70),ISNUMBER(M70),ISNUMBER(N70),ISNUMBER(AT70)),"순이익+감가상각-설비투자-운전자본증감",IF(AND(ISNUMBER(O70),ISNUMBER(N70)),"영업현금흐름-설비투자","산출불가")))</f>
        <v/>
      </c>
      <c r="AW70" s="19">
        <f>IF(AND(ISNUMBER(AU70),ISNUMBER(G70),G70&lt;&gt;0),AU70/G70,"")</f>
        <v/>
      </c>
      <c r="AX70" s="19">
        <f>IF(AND(ISNUMBER(AC70),ISNUMBER(G70),G70&lt;&gt;0),AC70/G70,"")</f>
        <v/>
      </c>
    </row>
    <row r="71">
      <c r="A71" s="8" t="inlineStr">
        <is>
          <t>AVGO</t>
        </is>
      </c>
      <c r="B71" s="8" t="inlineStr">
        <is>
          <t>Broadcom Inc.</t>
        </is>
      </c>
      <c r="C71" s="8" t="n">
        <v>2022</v>
      </c>
      <c r="D71" s="8" t="inlineStr">
        <is>
          <t>2022-10-30</t>
        </is>
      </c>
      <c r="E71" s="8" t="inlineStr">
        <is>
          <t>일반</t>
        </is>
      </c>
      <c r="F71" s="8" t="inlineStr">
        <is>
          <t>0001730168-24-000139</t>
        </is>
      </c>
      <c r="G71" s="15" t="n">
        <v>33.203</v>
      </c>
      <c r="H71" s="15" t="n">
        <v>12.434</v>
      </c>
      <c r="I71" s="15" t="n"/>
      <c r="J71" s="15" t="n">
        <v>0.9389999999999999</v>
      </c>
      <c r="K71" s="15" t="n">
        <v>14.225</v>
      </c>
      <c r="L71" s="15" t="n">
        <v>11.495</v>
      </c>
      <c r="M71" s="15" t="n">
        <v>0.529</v>
      </c>
      <c r="N71" s="15" t="n">
        <v>0.424</v>
      </c>
      <c r="O71" s="15" t="n">
        <v>16.736</v>
      </c>
      <c r="P71" s="15" t="n">
        <v>22.709</v>
      </c>
      <c r="Q71" s="15" t="n">
        <v>24.962</v>
      </c>
      <c r="R71" s="15" t="n">
        <v>12.416</v>
      </c>
      <c r="S71" s="15" t="n">
        <v>12.163</v>
      </c>
      <c r="T71" s="15" t="n">
        <v>0.403</v>
      </c>
      <c r="U71" s="15" t="n">
        <v>0.264</v>
      </c>
      <c r="V71" s="15" t="n">
        <v>39.075</v>
      </c>
      <c r="W71" s="15" t="n">
        <v>18.504</v>
      </c>
      <c r="X71" s="15" t="n">
        <v>16.586</v>
      </c>
      <c r="Y71" s="15" t="n">
        <v>7.052</v>
      </c>
      <c r="Z71" s="15" t="n">
        <v>6.281</v>
      </c>
      <c r="AA71" s="15" t="n">
        <v>52.503</v>
      </c>
      <c r="AB71" s="16" t="n">
        <v>4232</v>
      </c>
      <c r="AC71" s="17">
        <f>IF(AND(ISNUMBER(H71),ISNUMBER(I71)),H71+I71,IF(ISNUMBER(K71),K71,IF(ISNUMBER(H71),H71,"")))</f>
        <v/>
      </c>
      <c r="AD71" s="18">
        <f>IF(OR(NOT(ISNUMBER(J71)),NOT(ISNUMBER(H71)),H71&lt;=0),기준표!$B$8,MIN(MAX(J71/H71,기준표!$B$6),기준표!$B$7))</f>
        <v/>
      </c>
      <c r="AE71" s="17">
        <f>IF(ISNUMBER(AC71),AC71*(1-AD71),"")</f>
        <v/>
      </c>
      <c r="AF71" s="17">
        <f>IF(AND(NOT(ISNUMBER(T71)),NOT(ISNUMBER(V71))),"",IF(ISNUMBER(T71),T71,0)+IF(ISNUMBER(V71),V71,0))</f>
        <v/>
      </c>
      <c r="AG71" s="17">
        <f>IF(E71="금융","",IF(AND(ISNUMBER(P71),ISNUMBER(AF71),ISNUMBER(R71)),P71+AF71-R71,""))</f>
        <v/>
      </c>
      <c r="AH71" s="17">
        <f>IF(E71="금융","",IF(NOT(ISNUMBER(AG71)),"",IF(ISNUMBER(AA71),(AG71+AA71)/2,AG71)))</f>
        <v/>
      </c>
      <c r="AI71" s="19">
        <f>IF(AND(ISNUMBER(AE71),ISNUMBER(AH71),AH71&gt;0),AE71/AH71,"")</f>
        <v/>
      </c>
      <c r="AJ71" s="17">
        <f>IF(E71="금융","",IF(AND(ISNUMBER(P71),ISNUMBER(AF71)),P71+AF71,""))</f>
        <v/>
      </c>
      <c r="AK71" s="19">
        <f>IF(OR(NOT(ISNUMBER(AE71)),NOT(ISNUMBER(AJ71)),AJ71&lt;=0),"",IF(AND(ISNUMBER(G71),AJ71&lt;0.1*G71),"",AE71/AJ71))</f>
        <v/>
      </c>
      <c r="AL71" s="17">
        <f>IF(NOT(ISNUMBER(P71)),"",IF(ISNUMBER(Q71),(P71+Q71)/2,P71))</f>
        <v/>
      </c>
      <c r="AM71" s="19">
        <f>IF(AND(ISNUMBER(L71),ISNUMBER(AL71),AL71&gt;0),L71/AL71,"")</f>
        <v/>
      </c>
      <c r="AN71" s="19">
        <f>IF(AND(ISNUMBER(AM71),ISNUMBER({ROIC})),AM71-{ROIC},"")</f>
        <v/>
      </c>
      <c r="AO71" s="17">
        <f>IF(AND(ISNUMBER(AC71),ISNUMBER(M71)),AC71+M71,"")</f>
        <v/>
      </c>
      <c r="AP71" s="20">
        <f>IF(AND(ISNUMBER(AF71),ISNUMBER(R71),ISNUMBER(AO71),AO71&gt;0),(AF71-R71)/AO71,"")</f>
        <v/>
      </c>
      <c r="AQ71" s="20">
        <f>IF(AND(ISNUMBER(AC71),ISNUMBER(I71),I71&lt;&gt;0,AC71&gt;0),AC71/I71,"")</f>
        <v/>
      </c>
      <c r="AR71" s="17">
        <f>IF(AND(ISNUMBER(W71),ISNUMBER(Y71)),W71-IF(ISNUMBER(R71),R71,0)-(Y71-IF(ISNUMBER(T71),T71,0)),"")</f>
        <v/>
      </c>
      <c r="AS71" s="17">
        <f>IF(AND(ISNUMBER(X71),ISNUMBER(Z71)),X71-IF(ISNUMBER(S71),S71,0)-(Z71-IF(ISNUMBER(U71),U71,0)),"")</f>
        <v/>
      </c>
      <c r="AT71" s="17">
        <f>IF(AND(ISNUMBER(AR71),ISNUMBER(AS71)),AR71-AS71,"")</f>
        <v/>
      </c>
      <c r="AU71" s="17">
        <f>IF(E71="금융","",IF(AND(ISNUMBER(L71),ISNUMBER(M71),ISNUMBER(N71),ISNUMBER(AT71)),L71+M71-N71-AT71,IF(AND(ISNUMBER(O71),ISNUMBER(N71)),O71-N71,"")))</f>
        <v/>
      </c>
      <c r="AV71" s="8">
        <f>IF(E71="금융","금융업 - 정의되지 않음",IF(AND(ISNUMBER(L71),ISNUMBER(M71),ISNUMBER(N71),ISNUMBER(AT71)),"순이익+감가상각-설비투자-운전자본증감",IF(AND(ISNUMBER(O71),ISNUMBER(N71)),"영업현금흐름-설비투자","산출불가")))</f>
        <v/>
      </c>
      <c r="AW71" s="19">
        <f>IF(AND(ISNUMBER(AU71),ISNUMBER(G71),G71&lt;&gt;0),AU71/G71,"")</f>
        <v/>
      </c>
      <c r="AX71" s="19">
        <f>IF(AND(ISNUMBER(AC71),ISNUMBER(G71),G71&lt;&gt;0),AC71/G71,"")</f>
        <v/>
      </c>
    </row>
    <row r="72">
      <c r="A72" s="8" t="inlineStr">
        <is>
          <t>AVGO</t>
        </is>
      </c>
      <c r="B72" s="8" t="inlineStr">
        <is>
          <t>Broadcom Inc.</t>
        </is>
      </c>
      <c r="C72" s="8" t="n">
        <v>2023</v>
      </c>
      <c r="D72" s="8" t="inlineStr">
        <is>
          <t>2023-10-29</t>
        </is>
      </c>
      <c r="E72" s="8" t="inlineStr">
        <is>
          <t>일반</t>
        </is>
      </c>
      <c r="F72" s="8" t="inlineStr">
        <is>
          <t>0001730168-25-000121</t>
        </is>
      </c>
      <c r="G72" s="15" t="n">
        <v>35.819</v>
      </c>
      <c r="H72" s="15" t="n">
        <v>15.097</v>
      </c>
      <c r="I72" s="15" t="n">
        <v>1.622</v>
      </c>
      <c r="J72" s="15" t="n">
        <v>1.015</v>
      </c>
      <c r="K72" s="15" t="n">
        <v>16.207</v>
      </c>
      <c r="L72" s="15" t="n">
        <v>14.082</v>
      </c>
      <c r="M72" s="15" t="n">
        <v>0.502</v>
      </c>
      <c r="N72" s="15" t="n">
        <v>0.452</v>
      </c>
      <c r="O72" s="15" t="n">
        <v>18.085</v>
      </c>
      <c r="P72" s="15" t="n">
        <v>23.988</v>
      </c>
      <c r="Q72" s="15" t="n">
        <v>22.709</v>
      </c>
      <c r="R72" s="15" t="n">
        <v>14.189</v>
      </c>
      <c r="S72" s="15" t="n">
        <v>12.416</v>
      </c>
      <c r="T72" s="15" t="n">
        <v>1.563</v>
      </c>
      <c r="U72" s="15" t="n">
        <v>0.403</v>
      </c>
      <c r="V72" s="15" t="n">
        <v>37.621</v>
      </c>
      <c r="W72" s="15" t="n">
        <v>20.847</v>
      </c>
      <c r="X72" s="15" t="n">
        <v>18.504</v>
      </c>
      <c r="Y72" s="15" t="n">
        <v>7.405</v>
      </c>
      <c r="Z72" s="15" t="n">
        <v>7.052</v>
      </c>
      <c r="AA72" s="15" t="n">
        <v>49.771</v>
      </c>
      <c r="AB72" s="16" t="n">
        <v>4272</v>
      </c>
      <c r="AC72" s="17">
        <f>IF(AND(ISNUMBER(H72),ISNUMBER(I72)),H72+I72,IF(ISNUMBER(K72),K72,IF(ISNUMBER(H72),H72,"")))</f>
        <v/>
      </c>
      <c r="AD72" s="18">
        <f>IF(OR(NOT(ISNUMBER(J72)),NOT(ISNUMBER(H72)),H72&lt;=0),기준표!$B$8,MIN(MAX(J72/H72,기준표!$B$6),기준표!$B$7))</f>
        <v/>
      </c>
      <c r="AE72" s="17">
        <f>IF(ISNUMBER(AC72),AC72*(1-AD72),"")</f>
        <v/>
      </c>
      <c r="AF72" s="17">
        <f>IF(AND(NOT(ISNUMBER(T72)),NOT(ISNUMBER(V72))),"",IF(ISNUMBER(T72),T72,0)+IF(ISNUMBER(V72),V72,0))</f>
        <v/>
      </c>
      <c r="AG72" s="17">
        <f>IF(E72="금융","",IF(AND(ISNUMBER(P72),ISNUMBER(AF72),ISNUMBER(R72)),P72+AF72-R72,""))</f>
        <v/>
      </c>
      <c r="AH72" s="17">
        <f>IF(E72="금융","",IF(NOT(ISNUMBER(AG72)),"",IF(ISNUMBER(AA72),(AG72+AA72)/2,AG72)))</f>
        <v/>
      </c>
      <c r="AI72" s="19">
        <f>IF(AND(ISNUMBER(AE72),ISNUMBER(AH72),AH72&gt;0),AE72/AH72,"")</f>
        <v/>
      </c>
      <c r="AJ72" s="17">
        <f>IF(E72="금융","",IF(AND(ISNUMBER(P72),ISNUMBER(AF72)),P72+AF72,""))</f>
        <v/>
      </c>
      <c r="AK72" s="19">
        <f>IF(OR(NOT(ISNUMBER(AE72)),NOT(ISNUMBER(AJ72)),AJ72&lt;=0),"",IF(AND(ISNUMBER(G72),AJ72&lt;0.1*G72),"",AE72/AJ72))</f>
        <v/>
      </c>
      <c r="AL72" s="17">
        <f>IF(NOT(ISNUMBER(P72)),"",IF(ISNUMBER(Q72),(P72+Q72)/2,P72))</f>
        <v/>
      </c>
      <c r="AM72" s="19">
        <f>IF(AND(ISNUMBER(L72),ISNUMBER(AL72),AL72&gt;0),L72/AL72,"")</f>
        <v/>
      </c>
      <c r="AN72" s="19">
        <f>IF(AND(ISNUMBER(AM72),ISNUMBER({ROIC})),AM72-{ROIC},"")</f>
        <v/>
      </c>
      <c r="AO72" s="17">
        <f>IF(AND(ISNUMBER(AC72),ISNUMBER(M72)),AC72+M72,"")</f>
        <v/>
      </c>
      <c r="AP72" s="20">
        <f>IF(AND(ISNUMBER(AF72),ISNUMBER(R72),ISNUMBER(AO72),AO72&gt;0),(AF72-R72)/AO72,"")</f>
        <v/>
      </c>
      <c r="AQ72" s="20">
        <f>IF(AND(ISNUMBER(AC72),ISNUMBER(I72),I72&lt;&gt;0,AC72&gt;0),AC72/I72,"")</f>
        <v/>
      </c>
      <c r="AR72" s="17">
        <f>IF(AND(ISNUMBER(W72),ISNUMBER(Y72)),W72-IF(ISNUMBER(R72),R72,0)-(Y72-IF(ISNUMBER(T72),T72,0)),"")</f>
        <v/>
      </c>
      <c r="AS72" s="17">
        <f>IF(AND(ISNUMBER(X72),ISNUMBER(Z72)),X72-IF(ISNUMBER(S72),S72,0)-(Z72-IF(ISNUMBER(U72),U72,0)),"")</f>
        <v/>
      </c>
      <c r="AT72" s="17">
        <f>IF(AND(ISNUMBER(AR72),ISNUMBER(AS72)),AR72-AS72,"")</f>
        <v/>
      </c>
      <c r="AU72" s="17">
        <f>IF(E72="금융","",IF(AND(ISNUMBER(L72),ISNUMBER(M72),ISNUMBER(N72),ISNUMBER(AT72)),L72+M72-N72-AT72,IF(AND(ISNUMBER(O72),ISNUMBER(N72)),O72-N72,"")))</f>
        <v/>
      </c>
      <c r="AV72" s="8">
        <f>IF(E72="금융","금융업 - 정의되지 않음",IF(AND(ISNUMBER(L72),ISNUMBER(M72),ISNUMBER(N72),ISNUMBER(AT72)),"순이익+감가상각-설비투자-운전자본증감",IF(AND(ISNUMBER(O72),ISNUMBER(N72)),"영업현금흐름-설비투자","산출불가")))</f>
        <v/>
      </c>
      <c r="AW72" s="19">
        <f>IF(AND(ISNUMBER(AU72),ISNUMBER(G72),G72&lt;&gt;0),AU72/G72,"")</f>
        <v/>
      </c>
      <c r="AX72" s="19">
        <f>IF(AND(ISNUMBER(AC72),ISNUMBER(G72),G72&lt;&gt;0),AC72/G72,"")</f>
        <v/>
      </c>
    </row>
    <row r="73">
      <c r="A73" s="8" t="inlineStr">
        <is>
          <t>AVGO</t>
        </is>
      </c>
      <c r="B73" s="8" t="inlineStr">
        <is>
          <t>Broadcom Inc.</t>
        </is>
      </c>
      <c r="C73" s="8" t="n">
        <v>2024</v>
      </c>
      <c r="D73" s="8" t="inlineStr">
        <is>
          <t>2024-11-03</t>
        </is>
      </c>
      <c r="E73" s="8" t="inlineStr">
        <is>
          <t>일반</t>
        </is>
      </c>
      <c r="F73" s="8" t="inlineStr">
        <is>
          <t>0001730168-25-000121</t>
        </is>
      </c>
      <c r="G73" s="15" t="n">
        <v>51.574</v>
      </c>
      <c r="H73" s="15" t="n">
        <v>9.916</v>
      </c>
      <c r="I73" s="15" t="n">
        <v>3.953</v>
      </c>
      <c r="J73" s="15" t="n">
        <v>3.748</v>
      </c>
      <c r="K73" s="15" t="n">
        <v>13.463</v>
      </c>
      <c r="L73" s="15" t="n">
        <v>5.895</v>
      </c>
      <c r="M73" s="15" t="n">
        <v>0.593</v>
      </c>
      <c r="N73" s="15" t="n">
        <v>0.548</v>
      </c>
      <c r="O73" s="15" t="n">
        <v>19.962</v>
      </c>
      <c r="P73" s="15" t="n">
        <v>67.678</v>
      </c>
      <c r="Q73" s="15" t="n">
        <v>23.988</v>
      </c>
      <c r="R73" s="15" t="n">
        <v>9.348000000000001</v>
      </c>
      <c r="S73" s="15" t="n">
        <v>14.189</v>
      </c>
      <c r="T73" s="15" t="n">
        <v>1.245</v>
      </c>
      <c r="U73" s="15" t="n">
        <v>1.563</v>
      </c>
      <c r="V73" s="15" t="n">
        <v>66.295</v>
      </c>
      <c r="W73" s="15" t="n">
        <v>19.595</v>
      </c>
      <c r="X73" s="15" t="n">
        <v>20.847</v>
      </c>
      <c r="Y73" s="15" t="n">
        <v>16.697</v>
      </c>
      <c r="Z73" s="15" t="n">
        <v>7.405</v>
      </c>
      <c r="AA73" s="15" t="n">
        <v>48.983</v>
      </c>
      <c r="AB73" s="16" t="n">
        <v>4778</v>
      </c>
      <c r="AC73" s="17">
        <f>IF(AND(ISNUMBER(H73),ISNUMBER(I73)),H73+I73,IF(ISNUMBER(K73),K73,IF(ISNUMBER(H73),H73,"")))</f>
        <v/>
      </c>
      <c r="AD73" s="18">
        <f>IF(OR(NOT(ISNUMBER(J73)),NOT(ISNUMBER(H73)),H73&lt;=0),기준표!$B$8,MIN(MAX(J73/H73,기준표!$B$6),기준표!$B$7))</f>
        <v/>
      </c>
      <c r="AE73" s="17">
        <f>IF(ISNUMBER(AC73),AC73*(1-AD73),"")</f>
        <v/>
      </c>
      <c r="AF73" s="17">
        <f>IF(AND(NOT(ISNUMBER(T73)),NOT(ISNUMBER(V73))),"",IF(ISNUMBER(T73),T73,0)+IF(ISNUMBER(V73),V73,0))</f>
        <v/>
      </c>
      <c r="AG73" s="17">
        <f>IF(E73="금융","",IF(AND(ISNUMBER(P73),ISNUMBER(AF73),ISNUMBER(R73)),P73+AF73-R73,""))</f>
        <v/>
      </c>
      <c r="AH73" s="17">
        <f>IF(E73="금융","",IF(NOT(ISNUMBER(AG73)),"",IF(ISNUMBER(AA73),(AG73+AA73)/2,AG73)))</f>
        <v/>
      </c>
      <c r="AI73" s="19">
        <f>IF(AND(ISNUMBER(AE73),ISNUMBER(AH73),AH73&gt;0),AE73/AH73,"")</f>
        <v/>
      </c>
      <c r="AJ73" s="17">
        <f>IF(E73="금융","",IF(AND(ISNUMBER(P73),ISNUMBER(AF73)),P73+AF73,""))</f>
        <v/>
      </c>
      <c r="AK73" s="19">
        <f>IF(OR(NOT(ISNUMBER(AE73)),NOT(ISNUMBER(AJ73)),AJ73&lt;=0),"",IF(AND(ISNUMBER(G73),AJ73&lt;0.1*G73),"",AE73/AJ73))</f>
        <v/>
      </c>
      <c r="AL73" s="17">
        <f>IF(NOT(ISNUMBER(P73)),"",IF(ISNUMBER(Q73),(P73+Q73)/2,P73))</f>
        <v/>
      </c>
      <c r="AM73" s="19">
        <f>IF(AND(ISNUMBER(L73),ISNUMBER(AL73),AL73&gt;0),L73/AL73,"")</f>
        <v/>
      </c>
      <c r="AN73" s="19">
        <f>IF(AND(ISNUMBER(AM73),ISNUMBER({ROIC})),AM73-{ROIC},"")</f>
        <v/>
      </c>
      <c r="AO73" s="17">
        <f>IF(AND(ISNUMBER(AC73),ISNUMBER(M73)),AC73+M73,"")</f>
        <v/>
      </c>
      <c r="AP73" s="20">
        <f>IF(AND(ISNUMBER(AF73),ISNUMBER(R73),ISNUMBER(AO73),AO73&gt;0),(AF73-R73)/AO73,"")</f>
        <v/>
      </c>
      <c r="AQ73" s="20">
        <f>IF(AND(ISNUMBER(AC73),ISNUMBER(I73),I73&lt;&gt;0,AC73&gt;0),AC73/I73,"")</f>
        <v/>
      </c>
      <c r="AR73" s="17">
        <f>IF(AND(ISNUMBER(W73),ISNUMBER(Y73)),W73-IF(ISNUMBER(R73),R73,0)-(Y73-IF(ISNUMBER(T73),T73,0)),"")</f>
        <v/>
      </c>
      <c r="AS73" s="17">
        <f>IF(AND(ISNUMBER(X73),ISNUMBER(Z73)),X73-IF(ISNUMBER(S73),S73,0)-(Z73-IF(ISNUMBER(U73),U73,0)),"")</f>
        <v/>
      </c>
      <c r="AT73" s="17">
        <f>IF(AND(ISNUMBER(AR73),ISNUMBER(AS73)),AR73-AS73,"")</f>
        <v/>
      </c>
      <c r="AU73" s="17">
        <f>IF(E73="금융","",IF(AND(ISNUMBER(L73),ISNUMBER(M73),ISNUMBER(N73),ISNUMBER(AT73)),L73+M73-N73-AT73,IF(AND(ISNUMBER(O73),ISNUMBER(N73)),O73-N73,"")))</f>
        <v/>
      </c>
      <c r="AV73" s="8">
        <f>IF(E73="금융","금융업 - 정의되지 않음",IF(AND(ISNUMBER(L73),ISNUMBER(M73),ISNUMBER(N73),ISNUMBER(AT73)),"순이익+감가상각-설비투자-운전자본증감",IF(AND(ISNUMBER(O73),ISNUMBER(N73)),"영업현금흐름-설비투자","산출불가")))</f>
        <v/>
      </c>
      <c r="AW73" s="19">
        <f>IF(AND(ISNUMBER(AU73),ISNUMBER(G73),G73&lt;&gt;0),AU73/G73,"")</f>
        <v/>
      </c>
      <c r="AX73" s="19">
        <f>IF(AND(ISNUMBER(AC73),ISNUMBER(G73),G73&lt;&gt;0),AC73/G73,"")</f>
        <v/>
      </c>
    </row>
    <row r="74">
      <c r="A74" s="8" t="inlineStr">
        <is>
          <t>AVGO</t>
        </is>
      </c>
      <c r="B74" s="8" t="inlineStr">
        <is>
          <t>Broadcom Inc.</t>
        </is>
      </c>
      <c r="C74" s="8" t="n">
        <v>2025</v>
      </c>
      <c r="D74" s="8" t="inlineStr">
        <is>
          <t>2025-11-02</t>
        </is>
      </c>
      <c r="E74" s="8" t="inlineStr">
        <is>
          <t>일반</t>
        </is>
      </c>
      <c r="F74" s="8" t="inlineStr">
        <is>
          <t>0001730168-25-000121</t>
        </is>
      </c>
      <c r="G74" s="15" t="n">
        <v>63.887</v>
      </c>
      <c r="H74" s="15" t="n">
        <v>22.729</v>
      </c>
      <c r="I74" s="15" t="n">
        <v>3.21</v>
      </c>
      <c r="J74" s="15" t="n">
        <v>-0.397</v>
      </c>
      <c r="K74" s="15" t="n">
        <v>25.484</v>
      </c>
      <c r="L74" s="15" t="n">
        <v>23.126</v>
      </c>
      <c r="M74" s="15" t="n">
        <v>0.574</v>
      </c>
      <c r="N74" s="15" t="n">
        <v>0.623</v>
      </c>
      <c r="O74" s="15" t="n">
        <v>27.537</v>
      </c>
      <c r="P74" s="15" t="n">
        <v>81.292</v>
      </c>
      <c r="Q74" s="15" t="n">
        <v>67.678</v>
      </c>
      <c r="R74" s="15" t="n">
        <v>16.178</v>
      </c>
      <c r="S74" s="15" t="n">
        <v>9.348000000000001</v>
      </c>
      <c r="T74" s="15" t="n">
        <v>3.152</v>
      </c>
      <c r="U74" s="15" t="n">
        <v>1.245</v>
      </c>
      <c r="V74" s="15" t="n">
        <v>61.984</v>
      </c>
      <c r="W74" s="15" t="n">
        <v>31.573</v>
      </c>
      <c r="X74" s="15" t="n">
        <v>19.595</v>
      </c>
      <c r="Y74" s="15" t="n">
        <v>18.514</v>
      </c>
      <c r="Z74" s="15" t="n">
        <v>16.697</v>
      </c>
      <c r="AA74" s="15" t="n">
        <v>125.87</v>
      </c>
      <c r="AB74" s="16" t="n">
        <v>4853</v>
      </c>
      <c r="AC74" s="17">
        <f>IF(AND(ISNUMBER(H74),ISNUMBER(I74)),H74+I74,IF(ISNUMBER(K74),K74,IF(ISNUMBER(H74),H74,"")))</f>
        <v/>
      </c>
      <c r="AD74" s="18">
        <f>IF(OR(NOT(ISNUMBER(J74)),NOT(ISNUMBER(H74)),H74&lt;=0),기준표!$B$8,MIN(MAX(J74/H74,기준표!$B$6),기준표!$B$7))</f>
        <v/>
      </c>
      <c r="AE74" s="17">
        <f>IF(ISNUMBER(AC74),AC74*(1-AD74),"")</f>
        <v/>
      </c>
      <c r="AF74" s="17">
        <f>IF(AND(NOT(ISNUMBER(T74)),NOT(ISNUMBER(V74))),"",IF(ISNUMBER(T74),T74,0)+IF(ISNUMBER(V74),V74,0))</f>
        <v/>
      </c>
      <c r="AG74" s="17">
        <f>IF(E74="금융","",IF(AND(ISNUMBER(P74),ISNUMBER(AF74),ISNUMBER(R74)),P74+AF74-R74,""))</f>
        <v/>
      </c>
      <c r="AH74" s="17">
        <f>IF(E74="금융","",IF(NOT(ISNUMBER(AG74)),"",IF(ISNUMBER(AA74),(AG74+AA74)/2,AG74)))</f>
        <v/>
      </c>
      <c r="AI74" s="19">
        <f>IF(AND(ISNUMBER(AE74),ISNUMBER(AH74),AH74&gt;0),AE74/AH74,"")</f>
        <v/>
      </c>
      <c r="AJ74" s="17">
        <f>IF(E74="금융","",IF(AND(ISNUMBER(P74),ISNUMBER(AF74)),P74+AF74,""))</f>
        <v/>
      </c>
      <c r="AK74" s="19">
        <f>IF(OR(NOT(ISNUMBER(AE74)),NOT(ISNUMBER(AJ74)),AJ74&lt;=0),"",IF(AND(ISNUMBER(G74),AJ74&lt;0.1*G74),"",AE74/AJ74))</f>
        <v/>
      </c>
      <c r="AL74" s="17">
        <f>IF(NOT(ISNUMBER(P74)),"",IF(ISNUMBER(Q74),(P74+Q74)/2,P74))</f>
        <v/>
      </c>
      <c r="AM74" s="19">
        <f>IF(AND(ISNUMBER(L74),ISNUMBER(AL74),AL74&gt;0),L74/AL74,"")</f>
        <v/>
      </c>
      <c r="AN74" s="19">
        <f>IF(AND(ISNUMBER(AM74),ISNUMBER({ROIC})),AM74-{ROIC},"")</f>
        <v/>
      </c>
      <c r="AO74" s="17">
        <f>IF(AND(ISNUMBER(AC74),ISNUMBER(M74)),AC74+M74,"")</f>
        <v/>
      </c>
      <c r="AP74" s="20">
        <f>IF(AND(ISNUMBER(AF74),ISNUMBER(R74),ISNUMBER(AO74),AO74&gt;0),(AF74-R74)/AO74,"")</f>
        <v/>
      </c>
      <c r="AQ74" s="20">
        <f>IF(AND(ISNUMBER(AC74),ISNUMBER(I74),I74&lt;&gt;0,AC74&gt;0),AC74/I74,"")</f>
        <v/>
      </c>
      <c r="AR74" s="17">
        <f>IF(AND(ISNUMBER(W74),ISNUMBER(Y74)),W74-IF(ISNUMBER(R74),R74,0)-(Y74-IF(ISNUMBER(T74),T74,0)),"")</f>
        <v/>
      </c>
      <c r="AS74" s="17">
        <f>IF(AND(ISNUMBER(X74),ISNUMBER(Z74)),X74-IF(ISNUMBER(S74),S74,0)-(Z74-IF(ISNUMBER(U74),U74,0)),"")</f>
        <v/>
      </c>
      <c r="AT74" s="17">
        <f>IF(AND(ISNUMBER(AR74),ISNUMBER(AS74)),AR74-AS74,"")</f>
        <v/>
      </c>
      <c r="AU74" s="17">
        <f>IF(E74="금융","",IF(AND(ISNUMBER(L74),ISNUMBER(M74),ISNUMBER(N74),ISNUMBER(AT74)),L74+M74-N74-AT74,IF(AND(ISNUMBER(O74),ISNUMBER(N74)),O74-N74,"")))</f>
        <v/>
      </c>
      <c r="AV74" s="8">
        <f>IF(E74="금융","금융업 - 정의되지 않음",IF(AND(ISNUMBER(L74),ISNUMBER(M74),ISNUMBER(N74),ISNUMBER(AT74)),"순이익+감가상각-설비투자-운전자본증감",IF(AND(ISNUMBER(O74),ISNUMBER(N74)),"영업현금흐름-설비투자","산출불가")))</f>
        <v/>
      </c>
      <c r="AW74" s="19">
        <f>IF(AND(ISNUMBER(AU74),ISNUMBER(G74),G74&lt;&gt;0),AU74/G74,"")</f>
        <v/>
      </c>
      <c r="AX74" s="19">
        <f>IF(AND(ISNUMBER(AC74),ISNUMBER(G74),G74&lt;&gt;0),AC74/G74,"")</f>
        <v/>
      </c>
    </row>
    <row r="75">
      <c r="A75" s="8" t="inlineStr">
        <is>
          <t>META</t>
        </is>
      </c>
      <c r="B75" s="8" t="inlineStr">
        <is>
          <t>Meta Platforms, Inc.</t>
        </is>
      </c>
      <c r="C75" s="8" t="n">
        <v>2014</v>
      </c>
      <c r="D75" s="8" t="inlineStr">
        <is>
          <t>2014-12-31</t>
        </is>
      </c>
      <c r="E75" s="8" t="inlineStr">
        <is>
          <t>일반</t>
        </is>
      </c>
      <c r="F75" s="8" t="inlineStr">
        <is>
          <t>0001326801-17-000007</t>
        </is>
      </c>
      <c r="G75" s="15" t="n"/>
      <c r="H75" s="15" t="n">
        <v>4.91</v>
      </c>
      <c r="I75" s="15" t="n"/>
      <c r="J75" s="15" t="n">
        <v>1.97</v>
      </c>
      <c r="K75" s="15" t="n">
        <v>4.994</v>
      </c>
      <c r="L75" s="15" t="n">
        <v>2.94</v>
      </c>
      <c r="M75" s="15" t="n">
        <v>1.243</v>
      </c>
      <c r="N75" s="15" t="n">
        <v>1.831</v>
      </c>
      <c r="O75" s="15" t="n">
        <v>7.326</v>
      </c>
      <c r="P75" s="15" t="n">
        <v>36.096</v>
      </c>
      <c r="Q75" s="15" t="n"/>
      <c r="R75" s="15" t="n">
        <v>11.199</v>
      </c>
      <c r="S75" s="15" t="n"/>
      <c r="T75" s="15" t="n">
        <v>0</v>
      </c>
      <c r="U75" s="15" t="n"/>
      <c r="V75" s="15" t="n"/>
      <c r="W75" s="15" t="n">
        <v>13.39</v>
      </c>
      <c r="X75" s="15" t="n"/>
      <c r="Y75" s="15" t="n">
        <v>1.424</v>
      </c>
      <c r="Z75" s="15" t="n"/>
      <c r="AA75" s="15" t="n"/>
      <c r="AB75" s="16" t="n">
        <v>2664</v>
      </c>
      <c r="AC75" s="17">
        <f>IF(AND(ISNUMBER(H75),ISNUMBER(I75)),H75+I75,IF(ISNUMBER(K75),K75,IF(ISNUMBER(H75),H75,"")))</f>
        <v/>
      </c>
      <c r="AD75" s="18">
        <f>IF(OR(NOT(ISNUMBER(J75)),NOT(ISNUMBER(H75)),H75&lt;=0),기준표!$B$8,MIN(MAX(J75/H75,기준표!$B$6),기준표!$B$7))</f>
        <v/>
      </c>
      <c r="AE75" s="17">
        <f>IF(ISNUMBER(AC75),AC75*(1-AD75),"")</f>
        <v/>
      </c>
      <c r="AF75" s="17">
        <f>IF(AND(NOT(ISNUMBER(T75)),NOT(ISNUMBER(V75))),"",IF(ISNUMBER(T75),T75,0)+IF(ISNUMBER(V75),V75,0))</f>
        <v/>
      </c>
      <c r="AG75" s="17">
        <f>IF(E75="금융","",IF(AND(ISNUMBER(P75),ISNUMBER(AF75),ISNUMBER(R75)),P75+AF75-R75,""))</f>
        <v/>
      </c>
      <c r="AH75" s="17">
        <f>IF(E75="금융","",IF(NOT(ISNUMBER(AG75)),"",IF(ISNUMBER(AA75),(AG75+AA75)/2,AG75)))</f>
        <v/>
      </c>
      <c r="AI75" s="19">
        <f>IF(AND(ISNUMBER(AE75),ISNUMBER(AH75),AH75&gt;0),AE75/AH75,"")</f>
        <v/>
      </c>
      <c r="AJ75" s="17">
        <f>IF(E75="금융","",IF(AND(ISNUMBER(P75),ISNUMBER(AF75)),P75+AF75,""))</f>
        <v/>
      </c>
      <c r="AK75" s="19">
        <f>IF(OR(NOT(ISNUMBER(AE75)),NOT(ISNUMBER(AJ75)),AJ75&lt;=0),"",IF(AND(ISNUMBER(G75),AJ75&lt;0.1*G75),"",AE75/AJ75))</f>
        <v/>
      </c>
      <c r="AL75" s="17">
        <f>IF(NOT(ISNUMBER(P75)),"",IF(ISNUMBER(Q75),(P75+Q75)/2,P75))</f>
        <v/>
      </c>
      <c r="AM75" s="19">
        <f>IF(AND(ISNUMBER(L75),ISNUMBER(AL75),AL75&gt;0),L75/AL75,"")</f>
        <v/>
      </c>
      <c r="AN75" s="19">
        <f>IF(AND(ISNUMBER(AM75),ISNUMBER({ROIC})),AM75-{ROIC},"")</f>
        <v/>
      </c>
      <c r="AO75" s="17">
        <f>IF(AND(ISNUMBER(AC75),ISNUMBER(M75)),AC75+M75,"")</f>
        <v/>
      </c>
      <c r="AP75" s="20">
        <f>IF(AND(ISNUMBER(AF75),ISNUMBER(R75),ISNUMBER(AO75),AO75&gt;0),(AF75-R75)/AO75,"")</f>
        <v/>
      </c>
      <c r="AQ75" s="20">
        <f>IF(AND(ISNUMBER(AC75),ISNUMBER(I75),I75&lt;&gt;0,AC75&gt;0),AC75/I75,"")</f>
        <v/>
      </c>
      <c r="AR75" s="17">
        <f>IF(AND(ISNUMBER(W75),ISNUMBER(Y75)),W75-IF(ISNUMBER(R75),R75,0)-(Y75-IF(ISNUMBER(T75),T75,0)),"")</f>
        <v/>
      </c>
      <c r="AS75" s="17">
        <f>IF(AND(ISNUMBER(X75),ISNUMBER(Z75)),X75-IF(ISNUMBER(S75),S75,0)-(Z75-IF(ISNUMBER(U75),U75,0)),"")</f>
        <v/>
      </c>
      <c r="AT75" s="17">
        <f>IF(AND(ISNUMBER(AR75),ISNUMBER(AS75)),AR75-AS75,"")</f>
        <v/>
      </c>
      <c r="AU75" s="17">
        <f>IF(E75="금융","",IF(AND(ISNUMBER(L75),ISNUMBER(M75),ISNUMBER(N75),ISNUMBER(AT75)),L75+M75-N75-AT75,IF(AND(ISNUMBER(O75),ISNUMBER(N75)),O75-N75,"")))</f>
        <v/>
      </c>
      <c r="AV75" s="8">
        <f>IF(E75="금융","금융업 - 정의되지 않음",IF(AND(ISNUMBER(L75),ISNUMBER(M75),ISNUMBER(N75),ISNUMBER(AT75)),"순이익+감가상각-설비투자-운전자본증감",IF(AND(ISNUMBER(O75),ISNUMBER(N75)),"영업현금흐름-설비투자","산출불가")))</f>
        <v/>
      </c>
      <c r="AW75" s="19">
        <f>IF(AND(ISNUMBER(AU75),ISNUMBER(G75),G75&lt;&gt;0),AU75/G75,"")</f>
        <v/>
      </c>
      <c r="AX75" s="19">
        <f>IF(AND(ISNUMBER(AC75),ISNUMBER(G75),G75&lt;&gt;0),AC75/G75,"")</f>
        <v/>
      </c>
    </row>
    <row r="76">
      <c r="A76" s="8" t="inlineStr">
        <is>
          <t>META</t>
        </is>
      </c>
      <c r="B76" s="8" t="inlineStr">
        <is>
          <t>Meta Platforms, Inc.</t>
        </is>
      </c>
      <c r="C76" s="8" t="n">
        <v>2015</v>
      </c>
      <c r="D76" s="8" t="inlineStr">
        <is>
          <t>2015-12-31</t>
        </is>
      </c>
      <c r="E76" s="8" t="inlineStr">
        <is>
          <t>일반</t>
        </is>
      </c>
      <c r="F76" s="8" t="inlineStr">
        <is>
          <t>0001326801-18-000009</t>
        </is>
      </c>
      <c r="G76" s="15" t="n"/>
      <c r="H76" s="15" t="n">
        <v>6.194</v>
      </c>
      <c r="I76" s="15" t="n"/>
      <c r="J76" s="15" t="n">
        <v>2.506</v>
      </c>
      <c r="K76" s="15" t="n">
        <v>6.225</v>
      </c>
      <c r="L76" s="15" t="n">
        <v>3.688</v>
      </c>
      <c r="M76" s="15" t="n">
        <v>1.945</v>
      </c>
      <c r="N76" s="15" t="n">
        <v>2.523</v>
      </c>
      <c r="O76" s="15" t="n">
        <v>10.32</v>
      </c>
      <c r="P76" s="15" t="n">
        <v>44.218</v>
      </c>
      <c r="Q76" s="15" t="n">
        <v>36.096</v>
      </c>
      <c r="R76" s="15" t="n">
        <v>18.434</v>
      </c>
      <c r="S76" s="15" t="n">
        <v>11.199</v>
      </c>
      <c r="T76" s="15" t="n">
        <v>0.201</v>
      </c>
      <c r="U76" s="15" t="n">
        <v>0</v>
      </c>
      <c r="V76" s="15" t="n"/>
      <c r="W76" s="15" t="n">
        <v>21.652</v>
      </c>
      <c r="X76" s="15" t="n">
        <v>13.39</v>
      </c>
      <c r="Y76" s="15" t="n">
        <v>1.925</v>
      </c>
      <c r="Z76" s="15" t="n">
        <v>1.424</v>
      </c>
      <c r="AA76" s="15" t="n">
        <v>24.897</v>
      </c>
      <c r="AB76" s="16" t="n">
        <v>2905</v>
      </c>
      <c r="AC76" s="17">
        <f>IF(AND(ISNUMBER(H76),ISNUMBER(I76)),H76+I76,IF(ISNUMBER(K76),K76,IF(ISNUMBER(H76),H76,"")))</f>
        <v/>
      </c>
      <c r="AD76" s="18">
        <f>IF(OR(NOT(ISNUMBER(J76)),NOT(ISNUMBER(H76)),H76&lt;=0),기준표!$B$8,MIN(MAX(J76/H76,기준표!$B$6),기준표!$B$7))</f>
        <v/>
      </c>
      <c r="AE76" s="17">
        <f>IF(ISNUMBER(AC76),AC76*(1-AD76),"")</f>
        <v/>
      </c>
      <c r="AF76" s="17">
        <f>IF(AND(NOT(ISNUMBER(T76)),NOT(ISNUMBER(V76))),"",IF(ISNUMBER(T76),T76,0)+IF(ISNUMBER(V76),V76,0))</f>
        <v/>
      </c>
      <c r="AG76" s="17">
        <f>IF(E76="금융","",IF(AND(ISNUMBER(P76),ISNUMBER(AF76),ISNUMBER(R76)),P76+AF76-R76,""))</f>
        <v/>
      </c>
      <c r="AH76" s="17">
        <f>IF(E76="금융","",IF(NOT(ISNUMBER(AG76)),"",IF(ISNUMBER(AA76),(AG76+AA76)/2,AG76)))</f>
        <v/>
      </c>
      <c r="AI76" s="19">
        <f>IF(AND(ISNUMBER(AE76),ISNUMBER(AH76),AH76&gt;0),AE76/AH76,"")</f>
        <v/>
      </c>
      <c r="AJ76" s="17">
        <f>IF(E76="금융","",IF(AND(ISNUMBER(P76),ISNUMBER(AF76)),P76+AF76,""))</f>
        <v/>
      </c>
      <c r="AK76" s="19">
        <f>IF(OR(NOT(ISNUMBER(AE76)),NOT(ISNUMBER(AJ76)),AJ76&lt;=0),"",IF(AND(ISNUMBER(G76),AJ76&lt;0.1*G76),"",AE76/AJ76))</f>
        <v/>
      </c>
      <c r="AL76" s="17">
        <f>IF(NOT(ISNUMBER(P76)),"",IF(ISNUMBER(Q76),(P76+Q76)/2,P76))</f>
        <v/>
      </c>
      <c r="AM76" s="19">
        <f>IF(AND(ISNUMBER(L76),ISNUMBER(AL76),AL76&gt;0),L76/AL76,"")</f>
        <v/>
      </c>
      <c r="AN76" s="19">
        <f>IF(AND(ISNUMBER(AM76),ISNUMBER({ROIC})),AM76-{ROIC},"")</f>
        <v/>
      </c>
      <c r="AO76" s="17">
        <f>IF(AND(ISNUMBER(AC76),ISNUMBER(M76)),AC76+M76,"")</f>
        <v/>
      </c>
      <c r="AP76" s="20">
        <f>IF(AND(ISNUMBER(AF76),ISNUMBER(R76),ISNUMBER(AO76),AO76&gt;0),(AF76-R76)/AO76,"")</f>
        <v/>
      </c>
      <c r="AQ76" s="20">
        <f>IF(AND(ISNUMBER(AC76),ISNUMBER(I76),I76&lt;&gt;0,AC76&gt;0),AC76/I76,"")</f>
        <v/>
      </c>
      <c r="AR76" s="17">
        <f>IF(AND(ISNUMBER(W76),ISNUMBER(Y76)),W76-IF(ISNUMBER(R76),R76,0)-(Y76-IF(ISNUMBER(T76),T76,0)),"")</f>
        <v/>
      </c>
      <c r="AS76" s="17">
        <f>IF(AND(ISNUMBER(X76),ISNUMBER(Z76)),X76-IF(ISNUMBER(S76),S76,0)-(Z76-IF(ISNUMBER(U76),U76,0)),"")</f>
        <v/>
      </c>
      <c r="AT76" s="17">
        <f>IF(AND(ISNUMBER(AR76),ISNUMBER(AS76)),AR76-AS76,"")</f>
        <v/>
      </c>
      <c r="AU76" s="17">
        <f>IF(E76="금융","",IF(AND(ISNUMBER(L76),ISNUMBER(M76),ISNUMBER(N76),ISNUMBER(AT76)),L76+M76-N76-AT76,IF(AND(ISNUMBER(O76),ISNUMBER(N76)),O76-N76,"")))</f>
        <v/>
      </c>
      <c r="AV76" s="8">
        <f>IF(E76="금융","금융업 - 정의되지 않음",IF(AND(ISNUMBER(L76),ISNUMBER(M76),ISNUMBER(N76),ISNUMBER(AT76)),"순이익+감가상각-설비투자-운전자본증감",IF(AND(ISNUMBER(O76),ISNUMBER(N76)),"영업현금흐름-설비투자","산출불가")))</f>
        <v/>
      </c>
      <c r="AW76" s="19">
        <f>IF(AND(ISNUMBER(AU76),ISNUMBER(G76),G76&lt;&gt;0),AU76/G76,"")</f>
        <v/>
      </c>
      <c r="AX76" s="19">
        <f>IF(AND(ISNUMBER(AC76),ISNUMBER(G76),G76&lt;&gt;0),AC76/G76,"")</f>
        <v/>
      </c>
    </row>
    <row r="77">
      <c r="A77" s="8" t="inlineStr">
        <is>
          <t>META</t>
        </is>
      </c>
      <c r="B77" s="8" t="inlineStr">
        <is>
          <t>Meta Platforms, Inc.</t>
        </is>
      </c>
      <c r="C77" s="8" t="n">
        <v>2016</v>
      </c>
      <c r="D77" s="8" t="inlineStr">
        <is>
          <t>2016-12-31</t>
        </is>
      </c>
      <c r="E77" s="8" t="inlineStr">
        <is>
          <t>일반</t>
        </is>
      </c>
      <c r="F77" s="8" t="inlineStr">
        <is>
          <t>0001326801-19-000009</t>
        </is>
      </c>
      <c r="G77" s="15" t="n">
        <v>27.638</v>
      </c>
      <c r="H77" s="15" t="n">
        <v>12.518</v>
      </c>
      <c r="I77" s="15" t="n"/>
      <c r="J77" s="15" t="n">
        <v>2.301</v>
      </c>
      <c r="K77" s="15" t="n">
        <v>12.427</v>
      </c>
      <c r="L77" s="15" t="n">
        <v>10.217</v>
      </c>
      <c r="M77" s="15" t="n">
        <v>2.342</v>
      </c>
      <c r="N77" s="15" t="n">
        <v>4.491</v>
      </c>
      <c r="O77" s="15" t="n">
        <v>16.108</v>
      </c>
      <c r="P77" s="15" t="n">
        <v>59.194</v>
      </c>
      <c r="Q77" s="15" t="n">
        <v>44.218</v>
      </c>
      <c r="R77" s="15" t="n">
        <v>29.449</v>
      </c>
      <c r="S77" s="15" t="n">
        <v>18.434</v>
      </c>
      <c r="T77" s="15" t="n">
        <v>0</v>
      </c>
      <c r="U77" s="15" t="n">
        <v>0.201</v>
      </c>
      <c r="V77" s="15" t="n"/>
      <c r="W77" s="15" t="n">
        <v>34.401</v>
      </c>
      <c r="X77" s="15" t="n">
        <v>21.652</v>
      </c>
      <c r="Y77" s="15" t="n">
        <v>2.875</v>
      </c>
      <c r="Z77" s="15" t="n">
        <v>1.925</v>
      </c>
      <c r="AA77" s="15" t="n">
        <v>25.985</v>
      </c>
      <c r="AB77" s="16" t="n">
        <v>2925</v>
      </c>
      <c r="AC77" s="17">
        <f>IF(AND(ISNUMBER(H77),ISNUMBER(I77)),H77+I77,IF(ISNUMBER(K77),K77,IF(ISNUMBER(H77),H77,"")))</f>
        <v/>
      </c>
      <c r="AD77" s="18">
        <f>IF(OR(NOT(ISNUMBER(J77)),NOT(ISNUMBER(H77)),H77&lt;=0),기준표!$B$8,MIN(MAX(J77/H77,기준표!$B$6),기준표!$B$7))</f>
        <v/>
      </c>
      <c r="AE77" s="17">
        <f>IF(ISNUMBER(AC77),AC77*(1-AD77),"")</f>
        <v/>
      </c>
      <c r="AF77" s="17">
        <f>IF(AND(NOT(ISNUMBER(T77)),NOT(ISNUMBER(V77))),"",IF(ISNUMBER(T77),T77,0)+IF(ISNUMBER(V77),V77,0))</f>
        <v/>
      </c>
      <c r="AG77" s="17">
        <f>IF(E77="금융","",IF(AND(ISNUMBER(P77),ISNUMBER(AF77),ISNUMBER(R77)),P77+AF77-R77,""))</f>
        <v/>
      </c>
      <c r="AH77" s="17">
        <f>IF(E77="금융","",IF(NOT(ISNUMBER(AG77)),"",IF(ISNUMBER(AA77),(AG77+AA77)/2,AG77)))</f>
        <v/>
      </c>
      <c r="AI77" s="19">
        <f>IF(AND(ISNUMBER(AE77),ISNUMBER(AH77),AH77&gt;0),AE77/AH77,"")</f>
        <v/>
      </c>
      <c r="AJ77" s="17">
        <f>IF(E77="금융","",IF(AND(ISNUMBER(P77),ISNUMBER(AF77)),P77+AF77,""))</f>
        <v/>
      </c>
      <c r="AK77" s="19">
        <f>IF(OR(NOT(ISNUMBER(AE77)),NOT(ISNUMBER(AJ77)),AJ77&lt;=0),"",IF(AND(ISNUMBER(G77),AJ77&lt;0.1*G77),"",AE77/AJ77))</f>
        <v/>
      </c>
      <c r="AL77" s="17">
        <f>IF(NOT(ISNUMBER(P77)),"",IF(ISNUMBER(Q77),(P77+Q77)/2,P77))</f>
        <v/>
      </c>
      <c r="AM77" s="19">
        <f>IF(AND(ISNUMBER(L77),ISNUMBER(AL77),AL77&gt;0),L77/AL77,"")</f>
        <v/>
      </c>
      <c r="AN77" s="19">
        <f>IF(AND(ISNUMBER(AM77),ISNUMBER({ROIC})),AM77-{ROIC},"")</f>
        <v/>
      </c>
      <c r="AO77" s="17">
        <f>IF(AND(ISNUMBER(AC77),ISNUMBER(M77)),AC77+M77,"")</f>
        <v/>
      </c>
      <c r="AP77" s="20">
        <f>IF(AND(ISNUMBER(AF77),ISNUMBER(R77),ISNUMBER(AO77),AO77&gt;0),(AF77-R77)/AO77,"")</f>
        <v/>
      </c>
      <c r="AQ77" s="20">
        <f>IF(AND(ISNUMBER(AC77),ISNUMBER(I77),I77&lt;&gt;0,AC77&gt;0),AC77/I77,"")</f>
        <v/>
      </c>
      <c r="AR77" s="17">
        <f>IF(AND(ISNUMBER(W77),ISNUMBER(Y77)),W77-IF(ISNUMBER(R77),R77,0)-(Y77-IF(ISNUMBER(T77),T77,0)),"")</f>
        <v/>
      </c>
      <c r="AS77" s="17">
        <f>IF(AND(ISNUMBER(X77),ISNUMBER(Z77)),X77-IF(ISNUMBER(S77),S77,0)-(Z77-IF(ISNUMBER(U77),U77,0)),"")</f>
        <v/>
      </c>
      <c r="AT77" s="17">
        <f>IF(AND(ISNUMBER(AR77),ISNUMBER(AS77)),AR77-AS77,"")</f>
        <v/>
      </c>
      <c r="AU77" s="17">
        <f>IF(E77="금융","",IF(AND(ISNUMBER(L77),ISNUMBER(M77),ISNUMBER(N77),ISNUMBER(AT77)),L77+M77-N77-AT77,IF(AND(ISNUMBER(O77),ISNUMBER(N77)),O77-N77,"")))</f>
        <v/>
      </c>
      <c r="AV77" s="8">
        <f>IF(E77="금융","금융업 - 정의되지 않음",IF(AND(ISNUMBER(L77),ISNUMBER(M77),ISNUMBER(N77),ISNUMBER(AT77)),"순이익+감가상각-설비투자-운전자본증감",IF(AND(ISNUMBER(O77),ISNUMBER(N77)),"영업현금흐름-설비투자","산출불가")))</f>
        <v/>
      </c>
      <c r="AW77" s="19">
        <f>IF(AND(ISNUMBER(AU77),ISNUMBER(G77),G77&lt;&gt;0),AU77/G77,"")</f>
        <v/>
      </c>
      <c r="AX77" s="19">
        <f>IF(AND(ISNUMBER(AC77),ISNUMBER(G77),G77&lt;&gt;0),AC77/G77,"")</f>
        <v/>
      </c>
    </row>
    <row r="78">
      <c r="A78" s="8" t="inlineStr">
        <is>
          <t>META</t>
        </is>
      </c>
      <c r="B78" s="8" t="inlineStr">
        <is>
          <t>Meta Platforms, Inc.</t>
        </is>
      </c>
      <c r="C78" s="8" t="n">
        <v>2017</v>
      </c>
      <c r="D78" s="8" t="inlineStr">
        <is>
          <t>2017-12-31</t>
        </is>
      </c>
      <c r="E78" s="8" t="inlineStr">
        <is>
          <t>일반</t>
        </is>
      </c>
      <c r="F78" s="8" t="inlineStr">
        <is>
          <t>0001326801-20-000013</t>
        </is>
      </c>
      <c r="G78" s="15" t="n">
        <v>40.653</v>
      </c>
      <c r="H78" s="15" t="n">
        <v>20.594</v>
      </c>
      <c r="I78" s="15" t="n"/>
      <c r="J78" s="15" t="n">
        <v>4.66</v>
      </c>
      <c r="K78" s="15" t="n">
        <v>20.203</v>
      </c>
      <c r="L78" s="15" t="n">
        <v>15.934</v>
      </c>
      <c r="M78" s="15" t="n">
        <v>3.025</v>
      </c>
      <c r="N78" s="15" t="n">
        <v>6.733</v>
      </c>
      <c r="O78" s="15" t="n">
        <v>24.216</v>
      </c>
      <c r="P78" s="15" t="n">
        <v>74.34699999999999</v>
      </c>
      <c r="Q78" s="15" t="n">
        <v>59.194</v>
      </c>
      <c r="R78" s="15" t="n">
        <v>41.711</v>
      </c>
      <c r="S78" s="15" t="n">
        <v>29.449</v>
      </c>
      <c r="T78" s="15" t="n"/>
      <c r="U78" s="15" t="n">
        <v>0</v>
      </c>
      <c r="V78" s="15" t="n"/>
      <c r="W78" s="15" t="n">
        <v>48.563</v>
      </c>
      <c r="X78" s="15" t="n">
        <v>34.401</v>
      </c>
      <c r="Y78" s="15" t="n">
        <v>3.76</v>
      </c>
      <c r="Z78" s="15" t="n">
        <v>2.875</v>
      </c>
      <c r="AA78" s="15" t="n">
        <v>29.745</v>
      </c>
      <c r="AB78" s="16" t="n">
        <v>2956</v>
      </c>
      <c r="AC78" s="17">
        <f>IF(AND(ISNUMBER(H78),ISNUMBER(I78)),H78+I78,IF(ISNUMBER(K78),K78,IF(ISNUMBER(H78),H78,"")))</f>
        <v/>
      </c>
      <c r="AD78" s="18">
        <f>IF(OR(NOT(ISNUMBER(J78)),NOT(ISNUMBER(H78)),H78&lt;=0),기준표!$B$8,MIN(MAX(J78/H78,기준표!$B$6),기준표!$B$7))</f>
        <v/>
      </c>
      <c r="AE78" s="17">
        <f>IF(ISNUMBER(AC78),AC78*(1-AD78),"")</f>
        <v/>
      </c>
      <c r="AF78" s="17">
        <f>IF(AND(NOT(ISNUMBER(T78)),NOT(ISNUMBER(V78))),"",IF(ISNUMBER(T78),T78,0)+IF(ISNUMBER(V78),V78,0))</f>
        <v/>
      </c>
      <c r="AG78" s="17">
        <f>IF(E78="금융","",IF(AND(ISNUMBER(P78),ISNUMBER(AF78),ISNUMBER(R78)),P78+AF78-R78,""))</f>
        <v/>
      </c>
      <c r="AH78" s="17">
        <f>IF(E78="금융","",IF(NOT(ISNUMBER(AG78)),"",IF(ISNUMBER(AA78),(AG78+AA78)/2,AG78)))</f>
        <v/>
      </c>
      <c r="AI78" s="19">
        <f>IF(AND(ISNUMBER(AE78),ISNUMBER(AH78),AH78&gt;0),AE78/AH78,"")</f>
        <v/>
      </c>
      <c r="AJ78" s="17">
        <f>IF(E78="금융","",IF(AND(ISNUMBER(P78),ISNUMBER(AF78)),P78+AF78,""))</f>
        <v/>
      </c>
      <c r="AK78" s="19">
        <f>IF(OR(NOT(ISNUMBER(AE78)),NOT(ISNUMBER(AJ78)),AJ78&lt;=0),"",IF(AND(ISNUMBER(G78),AJ78&lt;0.1*G78),"",AE78/AJ78))</f>
        <v/>
      </c>
      <c r="AL78" s="17">
        <f>IF(NOT(ISNUMBER(P78)),"",IF(ISNUMBER(Q78),(P78+Q78)/2,P78))</f>
        <v/>
      </c>
      <c r="AM78" s="19">
        <f>IF(AND(ISNUMBER(L78),ISNUMBER(AL78),AL78&gt;0),L78/AL78,"")</f>
        <v/>
      </c>
      <c r="AN78" s="19">
        <f>IF(AND(ISNUMBER(AM78),ISNUMBER({ROIC})),AM78-{ROIC},"")</f>
        <v/>
      </c>
      <c r="AO78" s="17">
        <f>IF(AND(ISNUMBER(AC78),ISNUMBER(M78)),AC78+M78,"")</f>
        <v/>
      </c>
      <c r="AP78" s="20">
        <f>IF(AND(ISNUMBER(AF78),ISNUMBER(R78),ISNUMBER(AO78),AO78&gt;0),(AF78-R78)/AO78,"")</f>
        <v/>
      </c>
      <c r="AQ78" s="20">
        <f>IF(AND(ISNUMBER(AC78),ISNUMBER(I78),I78&lt;&gt;0,AC78&gt;0),AC78/I78,"")</f>
        <v/>
      </c>
      <c r="AR78" s="17">
        <f>IF(AND(ISNUMBER(W78),ISNUMBER(Y78)),W78-IF(ISNUMBER(R78),R78,0)-(Y78-IF(ISNUMBER(T78),T78,0)),"")</f>
        <v/>
      </c>
      <c r="AS78" s="17">
        <f>IF(AND(ISNUMBER(X78),ISNUMBER(Z78)),X78-IF(ISNUMBER(S78),S78,0)-(Z78-IF(ISNUMBER(U78),U78,0)),"")</f>
        <v/>
      </c>
      <c r="AT78" s="17">
        <f>IF(AND(ISNUMBER(AR78),ISNUMBER(AS78)),AR78-AS78,"")</f>
        <v/>
      </c>
      <c r="AU78" s="17">
        <f>IF(E78="금융","",IF(AND(ISNUMBER(L78),ISNUMBER(M78),ISNUMBER(N78),ISNUMBER(AT78)),L78+M78-N78-AT78,IF(AND(ISNUMBER(O78),ISNUMBER(N78)),O78-N78,"")))</f>
        <v/>
      </c>
      <c r="AV78" s="8">
        <f>IF(E78="금융","금융업 - 정의되지 않음",IF(AND(ISNUMBER(L78),ISNUMBER(M78),ISNUMBER(N78),ISNUMBER(AT78)),"순이익+감가상각-설비투자-운전자본증감",IF(AND(ISNUMBER(O78),ISNUMBER(N78)),"영업현금흐름-설비투자","산출불가")))</f>
        <v/>
      </c>
      <c r="AW78" s="19">
        <f>IF(AND(ISNUMBER(AU78),ISNUMBER(G78),G78&lt;&gt;0),AU78/G78,"")</f>
        <v/>
      </c>
      <c r="AX78" s="19">
        <f>IF(AND(ISNUMBER(AC78),ISNUMBER(G78),G78&lt;&gt;0),AC78/G78,"")</f>
        <v/>
      </c>
    </row>
    <row r="79">
      <c r="A79" s="8" t="inlineStr">
        <is>
          <t>META</t>
        </is>
      </c>
      <c r="B79" s="8" t="inlineStr">
        <is>
          <t>Meta Platforms, Inc.</t>
        </is>
      </c>
      <c r="C79" s="8" t="n">
        <v>2018</v>
      </c>
      <c r="D79" s="8" t="inlineStr">
        <is>
          <t>2018-12-31</t>
        </is>
      </c>
      <c r="E79" s="8" t="inlineStr">
        <is>
          <t>일반</t>
        </is>
      </c>
      <c r="F79" s="8" t="inlineStr">
        <is>
          <t>0001326801-21-000014</t>
        </is>
      </c>
      <c r="G79" s="15" t="n">
        <v>55.838</v>
      </c>
      <c r="H79" s="15" t="n">
        <v>25.361</v>
      </c>
      <c r="I79" s="15" t="n"/>
      <c r="J79" s="15" t="n">
        <v>3.249</v>
      </c>
      <c r="K79" s="15" t="n">
        <v>24.913</v>
      </c>
      <c r="L79" s="15" t="n">
        <v>22.112</v>
      </c>
      <c r="M79" s="15" t="n">
        <v>4.315</v>
      </c>
      <c r="N79" s="15" t="n">
        <v>13.915</v>
      </c>
      <c r="O79" s="15" t="n">
        <v>29.274</v>
      </c>
      <c r="P79" s="15" t="n">
        <v>84.127</v>
      </c>
      <c r="Q79" s="15" t="n">
        <v>74.34699999999999</v>
      </c>
      <c r="R79" s="15" t="n">
        <v>41.114</v>
      </c>
      <c r="S79" s="15" t="n">
        <v>41.711</v>
      </c>
      <c r="T79" s="15" t="n"/>
      <c r="U79" s="15" t="n"/>
      <c r="V79" s="15" t="n"/>
      <c r="W79" s="15" t="n">
        <v>50.48</v>
      </c>
      <c r="X79" s="15" t="n">
        <v>48.563</v>
      </c>
      <c r="Y79" s="15" t="n">
        <v>7.017</v>
      </c>
      <c r="Z79" s="15" t="n">
        <v>3.76</v>
      </c>
      <c r="AA79" s="15" t="n"/>
      <c r="AB79" s="16" t="n">
        <v>2921</v>
      </c>
      <c r="AC79" s="17">
        <f>IF(AND(ISNUMBER(H79),ISNUMBER(I79)),H79+I79,IF(ISNUMBER(K79),K79,IF(ISNUMBER(H79),H79,"")))</f>
        <v/>
      </c>
      <c r="AD79" s="18">
        <f>IF(OR(NOT(ISNUMBER(J79)),NOT(ISNUMBER(H79)),H79&lt;=0),기준표!$B$8,MIN(MAX(J79/H79,기준표!$B$6),기준표!$B$7))</f>
        <v/>
      </c>
      <c r="AE79" s="17">
        <f>IF(ISNUMBER(AC79),AC79*(1-AD79),"")</f>
        <v/>
      </c>
      <c r="AF79" s="17">
        <f>IF(AND(NOT(ISNUMBER(T79)),NOT(ISNUMBER(V79))),"",IF(ISNUMBER(T79),T79,0)+IF(ISNUMBER(V79),V79,0))</f>
        <v/>
      </c>
      <c r="AG79" s="17">
        <f>IF(E79="금융","",IF(AND(ISNUMBER(P79),ISNUMBER(AF79),ISNUMBER(R79)),P79+AF79-R79,""))</f>
        <v/>
      </c>
      <c r="AH79" s="17">
        <f>IF(E79="금융","",IF(NOT(ISNUMBER(AG79)),"",IF(ISNUMBER(AA79),(AG79+AA79)/2,AG79)))</f>
        <v/>
      </c>
      <c r="AI79" s="19">
        <f>IF(AND(ISNUMBER(AE79),ISNUMBER(AH79),AH79&gt;0),AE79/AH79,"")</f>
        <v/>
      </c>
      <c r="AJ79" s="17">
        <f>IF(E79="금융","",IF(AND(ISNUMBER(P79),ISNUMBER(AF79)),P79+AF79,""))</f>
        <v/>
      </c>
      <c r="AK79" s="19">
        <f>IF(OR(NOT(ISNUMBER(AE79)),NOT(ISNUMBER(AJ79)),AJ79&lt;=0),"",IF(AND(ISNUMBER(G79),AJ79&lt;0.1*G79),"",AE79/AJ79))</f>
        <v/>
      </c>
      <c r="AL79" s="17">
        <f>IF(NOT(ISNUMBER(P79)),"",IF(ISNUMBER(Q79),(P79+Q79)/2,P79))</f>
        <v/>
      </c>
      <c r="AM79" s="19">
        <f>IF(AND(ISNUMBER(L79),ISNUMBER(AL79),AL79&gt;0),L79/AL79,"")</f>
        <v/>
      </c>
      <c r="AN79" s="19">
        <f>IF(AND(ISNUMBER(AM79),ISNUMBER({ROIC})),AM79-{ROIC},"")</f>
        <v/>
      </c>
      <c r="AO79" s="17">
        <f>IF(AND(ISNUMBER(AC79),ISNUMBER(M79)),AC79+M79,"")</f>
        <v/>
      </c>
      <c r="AP79" s="20">
        <f>IF(AND(ISNUMBER(AF79),ISNUMBER(R79),ISNUMBER(AO79),AO79&gt;0),(AF79-R79)/AO79,"")</f>
        <v/>
      </c>
      <c r="AQ79" s="20">
        <f>IF(AND(ISNUMBER(AC79),ISNUMBER(I79),I79&lt;&gt;0,AC79&gt;0),AC79/I79,"")</f>
        <v/>
      </c>
      <c r="AR79" s="17">
        <f>IF(AND(ISNUMBER(W79),ISNUMBER(Y79)),W79-IF(ISNUMBER(R79),R79,0)-(Y79-IF(ISNUMBER(T79),T79,0)),"")</f>
        <v/>
      </c>
      <c r="AS79" s="17">
        <f>IF(AND(ISNUMBER(X79),ISNUMBER(Z79)),X79-IF(ISNUMBER(S79),S79,0)-(Z79-IF(ISNUMBER(U79),U79,0)),"")</f>
        <v/>
      </c>
      <c r="AT79" s="17">
        <f>IF(AND(ISNUMBER(AR79),ISNUMBER(AS79)),AR79-AS79,"")</f>
        <v/>
      </c>
      <c r="AU79" s="17">
        <f>IF(E79="금융","",IF(AND(ISNUMBER(L79),ISNUMBER(M79),ISNUMBER(N79),ISNUMBER(AT79)),L79+M79-N79-AT79,IF(AND(ISNUMBER(O79),ISNUMBER(N79)),O79-N79,"")))</f>
        <v/>
      </c>
      <c r="AV79" s="8">
        <f>IF(E79="금융","금융업 - 정의되지 않음",IF(AND(ISNUMBER(L79),ISNUMBER(M79),ISNUMBER(N79),ISNUMBER(AT79)),"순이익+감가상각-설비투자-운전자본증감",IF(AND(ISNUMBER(O79),ISNUMBER(N79)),"영업현금흐름-설비투자","산출불가")))</f>
        <v/>
      </c>
      <c r="AW79" s="19">
        <f>IF(AND(ISNUMBER(AU79),ISNUMBER(G79),G79&lt;&gt;0),AU79/G79,"")</f>
        <v/>
      </c>
      <c r="AX79" s="19">
        <f>IF(AND(ISNUMBER(AC79),ISNUMBER(G79),G79&lt;&gt;0),AC79/G79,"")</f>
        <v/>
      </c>
    </row>
    <row r="80">
      <c r="A80" s="8" t="inlineStr">
        <is>
          <t>META</t>
        </is>
      </c>
      <c r="B80" s="8" t="inlineStr">
        <is>
          <t>Meta Platforms, Inc.</t>
        </is>
      </c>
      <c r="C80" s="8" t="n">
        <v>2019</v>
      </c>
      <c r="D80" s="8" t="inlineStr">
        <is>
          <t>2019-12-31</t>
        </is>
      </c>
      <c r="E80" s="8" t="inlineStr">
        <is>
          <t>일반</t>
        </is>
      </c>
      <c r="F80" s="8" t="inlineStr">
        <is>
          <t>0001326801-22-000018</t>
        </is>
      </c>
      <c r="G80" s="15" t="n">
        <v>70.697</v>
      </c>
      <c r="H80" s="15" t="n">
        <v>24.812</v>
      </c>
      <c r="I80" s="15" t="n"/>
      <c r="J80" s="15" t="n">
        <v>6.327</v>
      </c>
      <c r="K80" s="15" t="n">
        <v>23.986</v>
      </c>
      <c r="L80" s="15" t="n">
        <v>18.485</v>
      </c>
      <c r="M80" s="15" t="n">
        <v>5.741</v>
      </c>
      <c r="N80" s="15" t="n">
        <v>15.102</v>
      </c>
      <c r="O80" s="15" t="n">
        <v>36.314</v>
      </c>
      <c r="P80" s="15" t="n">
        <v>101.054</v>
      </c>
      <c r="Q80" s="15" t="n">
        <v>84.127</v>
      </c>
      <c r="R80" s="15" t="n">
        <v>54.855</v>
      </c>
      <c r="S80" s="15" t="n">
        <v>41.114</v>
      </c>
      <c r="T80" s="15" t="n"/>
      <c r="U80" s="15" t="n"/>
      <c r="V80" s="15" t="n"/>
      <c r="W80" s="15" t="n">
        <v>66.22499999999999</v>
      </c>
      <c r="X80" s="15" t="n">
        <v>50.48</v>
      </c>
      <c r="Y80" s="15" t="n">
        <v>15.053</v>
      </c>
      <c r="Z80" s="15" t="n">
        <v>7.017</v>
      </c>
      <c r="AA80" s="15" t="n"/>
      <c r="AB80" s="16" t="n">
        <v>2876</v>
      </c>
      <c r="AC80" s="17">
        <f>IF(AND(ISNUMBER(H80),ISNUMBER(I80)),H80+I80,IF(ISNUMBER(K80),K80,IF(ISNUMBER(H80),H80,"")))</f>
        <v/>
      </c>
      <c r="AD80" s="18">
        <f>IF(OR(NOT(ISNUMBER(J80)),NOT(ISNUMBER(H80)),H80&lt;=0),기준표!$B$8,MIN(MAX(J80/H80,기준표!$B$6),기준표!$B$7))</f>
        <v/>
      </c>
      <c r="AE80" s="17">
        <f>IF(ISNUMBER(AC80),AC80*(1-AD80),"")</f>
        <v/>
      </c>
      <c r="AF80" s="17">
        <f>IF(AND(NOT(ISNUMBER(T80)),NOT(ISNUMBER(V80))),"",IF(ISNUMBER(T80),T80,0)+IF(ISNUMBER(V80),V80,0))</f>
        <v/>
      </c>
      <c r="AG80" s="17">
        <f>IF(E80="금융","",IF(AND(ISNUMBER(P80),ISNUMBER(AF80),ISNUMBER(R80)),P80+AF80-R80,""))</f>
        <v/>
      </c>
      <c r="AH80" s="17">
        <f>IF(E80="금융","",IF(NOT(ISNUMBER(AG80)),"",IF(ISNUMBER(AA80),(AG80+AA80)/2,AG80)))</f>
        <v/>
      </c>
      <c r="AI80" s="19">
        <f>IF(AND(ISNUMBER(AE80),ISNUMBER(AH80),AH80&gt;0),AE80/AH80,"")</f>
        <v/>
      </c>
      <c r="AJ80" s="17">
        <f>IF(E80="금융","",IF(AND(ISNUMBER(P80),ISNUMBER(AF80)),P80+AF80,""))</f>
        <v/>
      </c>
      <c r="AK80" s="19">
        <f>IF(OR(NOT(ISNUMBER(AE80)),NOT(ISNUMBER(AJ80)),AJ80&lt;=0),"",IF(AND(ISNUMBER(G80),AJ80&lt;0.1*G80),"",AE80/AJ80))</f>
        <v/>
      </c>
      <c r="AL80" s="17">
        <f>IF(NOT(ISNUMBER(P80)),"",IF(ISNUMBER(Q80),(P80+Q80)/2,P80))</f>
        <v/>
      </c>
      <c r="AM80" s="19">
        <f>IF(AND(ISNUMBER(L80),ISNUMBER(AL80),AL80&gt;0),L80/AL80,"")</f>
        <v/>
      </c>
      <c r="AN80" s="19">
        <f>IF(AND(ISNUMBER(AM80),ISNUMBER({ROIC})),AM80-{ROIC},"")</f>
        <v/>
      </c>
      <c r="AO80" s="17">
        <f>IF(AND(ISNUMBER(AC80),ISNUMBER(M80)),AC80+M80,"")</f>
        <v/>
      </c>
      <c r="AP80" s="20">
        <f>IF(AND(ISNUMBER(AF80),ISNUMBER(R80),ISNUMBER(AO80),AO80&gt;0),(AF80-R80)/AO80,"")</f>
        <v/>
      </c>
      <c r="AQ80" s="20">
        <f>IF(AND(ISNUMBER(AC80),ISNUMBER(I80),I80&lt;&gt;0,AC80&gt;0),AC80/I80,"")</f>
        <v/>
      </c>
      <c r="AR80" s="17">
        <f>IF(AND(ISNUMBER(W80),ISNUMBER(Y80)),W80-IF(ISNUMBER(R80),R80,0)-(Y80-IF(ISNUMBER(T80),T80,0)),"")</f>
        <v/>
      </c>
      <c r="AS80" s="17">
        <f>IF(AND(ISNUMBER(X80),ISNUMBER(Z80)),X80-IF(ISNUMBER(S80),S80,0)-(Z80-IF(ISNUMBER(U80),U80,0)),"")</f>
        <v/>
      </c>
      <c r="AT80" s="17">
        <f>IF(AND(ISNUMBER(AR80),ISNUMBER(AS80)),AR80-AS80,"")</f>
        <v/>
      </c>
      <c r="AU80" s="17">
        <f>IF(E80="금융","",IF(AND(ISNUMBER(L80),ISNUMBER(M80),ISNUMBER(N80),ISNUMBER(AT80)),L80+M80-N80-AT80,IF(AND(ISNUMBER(O80),ISNUMBER(N80)),O80-N80,"")))</f>
        <v/>
      </c>
      <c r="AV80" s="8">
        <f>IF(E80="금융","금융업 - 정의되지 않음",IF(AND(ISNUMBER(L80),ISNUMBER(M80),ISNUMBER(N80),ISNUMBER(AT80)),"순이익+감가상각-설비투자-운전자본증감",IF(AND(ISNUMBER(O80),ISNUMBER(N80)),"영업현금흐름-설비투자","산출불가")))</f>
        <v/>
      </c>
      <c r="AW80" s="19">
        <f>IF(AND(ISNUMBER(AU80),ISNUMBER(G80),G80&lt;&gt;0),AU80/G80,"")</f>
        <v/>
      </c>
      <c r="AX80" s="19">
        <f>IF(AND(ISNUMBER(AC80),ISNUMBER(G80),G80&lt;&gt;0),AC80/G80,"")</f>
        <v/>
      </c>
    </row>
    <row r="81">
      <c r="A81" s="8" t="inlineStr">
        <is>
          <t>META</t>
        </is>
      </c>
      <c r="B81" s="8" t="inlineStr">
        <is>
          <t>Meta Platforms, Inc.</t>
        </is>
      </c>
      <c r="C81" s="8" t="n">
        <v>2020</v>
      </c>
      <c r="D81" s="8" t="inlineStr">
        <is>
          <t>2020-12-31</t>
        </is>
      </c>
      <c r="E81" s="8" t="inlineStr">
        <is>
          <t>일반</t>
        </is>
      </c>
      <c r="F81" s="8" t="inlineStr">
        <is>
          <t>0001326801-23-000013</t>
        </is>
      </c>
      <c r="G81" s="15" t="n">
        <v>85.965</v>
      </c>
      <c r="H81" s="15" t="n">
        <v>33.18</v>
      </c>
      <c r="I81" s="15" t="n"/>
      <c r="J81" s="15" t="n">
        <v>4.034</v>
      </c>
      <c r="K81" s="15" t="n">
        <v>32.671</v>
      </c>
      <c r="L81" s="15" t="n">
        <v>29.146</v>
      </c>
      <c r="M81" s="15" t="n">
        <v>6.862</v>
      </c>
      <c r="N81" s="15" t="n">
        <v>15.163</v>
      </c>
      <c r="O81" s="15" t="n">
        <v>38.747</v>
      </c>
      <c r="P81" s="15" t="n">
        <v>128.29</v>
      </c>
      <c r="Q81" s="15" t="n">
        <v>101.054</v>
      </c>
      <c r="R81" s="15" t="n">
        <v>61.954</v>
      </c>
      <c r="S81" s="15" t="n">
        <v>54.855</v>
      </c>
      <c r="T81" s="15" t="n"/>
      <c r="U81" s="15" t="n"/>
      <c r="V81" s="15" t="n"/>
      <c r="W81" s="15" t="n">
        <v>75.67</v>
      </c>
      <c r="X81" s="15" t="n">
        <v>66.22499999999999</v>
      </c>
      <c r="Y81" s="15" t="n">
        <v>14.981</v>
      </c>
      <c r="Z81" s="15" t="n">
        <v>15.053</v>
      </c>
      <c r="AA81" s="15" t="n"/>
      <c r="AB81" s="16" t="n">
        <v>2888</v>
      </c>
      <c r="AC81" s="17">
        <f>IF(AND(ISNUMBER(H81),ISNUMBER(I81)),H81+I81,IF(ISNUMBER(K81),K81,IF(ISNUMBER(H81),H81,"")))</f>
        <v/>
      </c>
      <c r="AD81" s="18">
        <f>IF(OR(NOT(ISNUMBER(J81)),NOT(ISNUMBER(H81)),H81&lt;=0),기준표!$B$8,MIN(MAX(J81/H81,기준표!$B$6),기준표!$B$7))</f>
        <v/>
      </c>
      <c r="AE81" s="17">
        <f>IF(ISNUMBER(AC81),AC81*(1-AD81),"")</f>
        <v/>
      </c>
      <c r="AF81" s="17">
        <f>IF(AND(NOT(ISNUMBER(T81)),NOT(ISNUMBER(V81))),"",IF(ISNUMBER(T81),T81,0)+IF(ISNUMBER(V81),V81,0))</f>
        <v/>
      </c>
      <c r="AG81" s="17">
        <f>IF(E81="금융","",IF(AND(ISNUMBER(P81),ISNUMBER(AF81),ISNUMBER(R81)),P81+AF81-R81,""))</f>
        <v/>
      </c>
      <c r="AH81" s="17">
        <f>IF(E81="금융","",IF(NOT(ISNUMBER(AG81)),"",IF(ISNUMBER(AA81),(AG81+AA81)/2,AG81)))</f>
        <v/>
      </c>
      <c r="AI81" s="19">
        <f>IF(AND(ISNUMBER(AE81),ISNUMBER(AH81),AH81&gt;0),AE81/AH81,"")</f>
        <v/>
      </c>
      <c r="AJ81" s="17">
        <f>IF(E81="금융","",IF(AND(ISNUMBER(P81),ISNUMBER(AF81)),P81+AF81,""))</f>
        <v/>
      </c>
      <c r="AK81" s="19">
        <f>IF(OR(NOT(ISNUMBER(AE81)),NOT(ISNUMBER(AJ81)),AJ81&lt;=0),"",IF(AND(ISNUMBER(G81),AJ81&lt;0.1*G81),"",AE81/AJ81))</f>
        <v/>
      </c>
      <c r="AL81" s="17">
        <f>IF(NOT(ISNUMBER(P81)),"",IF(ISNUMBER(Q81),(P81+Q81)/2,P81))</f>
        <v/>
      </c>
      <c r="AM81" s="19">
        <f>IF(AND(ISNUMBER(L81),ISNUMBER(AL81),AL81&gt;0),L81/AL81,"")</f>
        <v/>
      </c>
      <c r="AN81" s="19">
        <f>IF(AND(ISNUMBER(AM81),ISNUMBER({ROIC})),AM81-{ROIC},"")</f>
        <v/>
      </c>
      <c r="AO81" s="17">
        <f>IF(AND(ISNUMBER(AC81),ISNUMBER(M81)),AC81+M81,"")</f>
        <v/>
      </c>
      <c r="AP81" s="20">
        <f>IF(AND(ISNUMBER(AF81),ISNUMBER(R81),ISNUMBER(AO81),AO81&gt;0),(AF81-R81)/AO81,"")</f>
        <v/>
      </c>
      <c r="AQ81" s="20">
        <f>IF(AND(ISNUMBER(AC81),ISNUMBER(I81),I81&lt;&gt;0,AC81&gt;0),AC81/I81,"")</f>
        <v/>
      </c>
      <c r="AR81" s="17">
        <f>IF(AND(ISNUMBER(W81),ISNUMBER(Y81)),W81-IF(ISNUMBER(R81),R81,0)-(Y81-IF(ISNUMBER(T81),T81,0)),"")</f>
        <v/>
      </c>
      <c r="AS81" s="17">
        <f>IF(AND(ISNUMBER(X81),ISNUMBER(Z81)),X81-IF(ISNUMBER(S81),S81,0)-(Z81-IF(ISNUMBER(U81),U81,0)),"")</f>
        <v/>
      </c>
      <c r="AT81" s="17">
        <f>IF(AND(ISNUMBER(AR81),ISNUMBER(AS81)),AR81-AS81,"")</f>
        <v/>
      </c>
      <c r="AU81" s="17">
        <f>IF(E81="금융","",IF(AND(ISNUMBER(L81),ISNUMBER(M81),ISNUMBER(N81),ISNUMBER(AT81)),L81+M81-N81-AT81,IF(AND(ISNUMBER(O81),ISNUMBER(N81)),O81-N81,"")))</f>
        <v/>
      </c>
      <c r="AV81" s="8">
        <f>IF(E81="금융","금융업 - 정의되지 않음",IF(AND(ISNUMBER(L81),ISNUMBER(M81),ISNUMBER(N81),ISNUMBER(AT81)),"순이익+감가상각-설비투자-운전자본증감",IF(AND(ISNUMBER(O81),ISNUMBER(N81)),"영업현금흐름-설비투자","산출불가")))</f>
        <v/>
      </c>
      <c r="AW81" s="19">
        <f>IF(AND(ISNUMBER(AU81),ISNUMBER(G81),G81&lt;&gt;0),AU81/G81,"")</f>
        <v/>
      </c>
      <c r="AX81" s="19">
        <f>IF(AND(ISNUMBER(AC81),ISNUMBER(G81),G81&lt;&gt;0),AC81/G81,"")</f>
        <v/>
      </c>
    </row>
    <row r="82">
      <c r="A82" s="8" t="inlineStr">
        <is>
          <t>META</t>
        </is>
      </c>
      <c r="B82" s="8" t="inlineStr">
        <is>
          <t>Meta Platforms, Inc.</t>
        </is>
      </c>
      <c r="C82" s="8" t="n">
        <v>2021</v>
      </c>
      <c r="D82" s="8" t="inlineStr">
        <is>
          <t>2021-12-31</t>
        </is>
      </c>
      <c r="E82" s="8" t="inlineStr">
        <is>
          <t>일반</t>
        </is>
      </c>
      <c r="F82" s="8" t="inlineStr">
        <is>
          <t>0001326801-24-000012</t>
        </is>
      </c>
      <c r="G82" s="15" t="n">
        <v>117.929</v>
      </c>
      <c r="H82" s="15" t="n">
        <v>47.284</v>
      </c>
      <c r="I82" s="15" t="n"/>
      <c r="J82" s="15" t="n">
        <v>7.914</v>
      </c>
      <c r="K82" s="15" t="n">
        <v>46.753</v>
      </c>
      <c r="L82" s="15" t="n">
        <v>39.37</v>
      </c>
      <c r="M82" s="15" t="n">
        <v>7.967</v>
      </c>
      <c r="N82" s="15" t="n">
        <v>18.69</v>
      </c>
      <c r="O82" s="15" t="n">
        <v>57.683</v>
      </c>
      <c r="P82" s="15" t="n">
        <v>124.879</v>
      </c>
      <c r="Q82" s="15" t="n">
        <v>128.29</v>
      </c>
      <c r="R82" s="15" t="n">
        <v>47.998</v>
      </c>
      <c r="S82" s="15" t="n">
        <v>61.954</v>
      </c>
      <c r="T82" s="15" t="n"/>
      <c r="U82" s="15" t="n"/>
      <c r="V82" s="15" t="n">
        <v>0</v>
      </c>
      <c r="W82" s="15" t="n">
        <v>66.666</v>
      </c>
      <c r="X82" s="15" t="n">
        <v>75.67</v>
      </c>
      <c r="Y82" s="15" t="n">
        <v>21.135</v>
      </c>
      <c r="Z82" s="15" t="n">
        <v>14.981</v>
      </c>
      <c r="AA82" s="15" t="n"/>
      <c r="AB82" s="16" t="n">
        <v>2859</v>
      </c>
      <c r="AC82" s="17">
        <f>IF(AND(ISNUMBER(H82),ISNUMBER(I82)),H82+I82,IF(ISNUMBER(K82),K82,IF(ISNUMBER(H82),H82,"")))</f>
        <v/>
      </c>
      <c r="AD82" s="18">
        <f>IF(OR(NOT(ISNUMBER(J82)),NOT(ISNUMBER(H82)),H82&lt;=0),기준표!$B$8,MIN(MAX(J82/H82,기준표!$B$6),기준표!$B$7))</f>
        <v/>
      </c>
      <c r="AE82" s="17">
        <f>IF(ISNUMBER(AC82),AC82*(1-AD82),"")</f>
        <v/>
      </c>
      <c r="AF82" s="17">
        <f>IF(AND(NOT(ISNUMBER(T82)),NOT(ISNUMBER(V82))),"",IF(ISNUMBER(T82),T82,0)+IF(ISNUMBER(V82),V82,0))</f>
        <v/>
      </c>
      <c r="AG82" s="17">
        <f>IF(E82="금융","",IF(AND(ISNUMBER(P82),ISNUMBER(AF82),ISNUMBER(R82)),P82+AF82-R82,""))</f>
        <v/>
      </c>
      <c r="AH82" s="17">
        <f>IF(E82="금융","",IF(NOT(ISNUMBER(AG82)),"",IF(ISNUMBER(AA82),(AG82+AA82)/2,AG82)))</f>
        <v/>
      </c>
      <c r="AI82" s="19">
        <f>IF(AND(ISNUMBER(AE82),ISNUMBER(AH82),AH82&gt;0),AE82/AH82,"")</f>
        <v/>
      </c>
      <c r="AJ82" s="17">
        <f>IF(E82="금융","",IF(AND(ISNUMBER(P82),ISNUMBER(AF82)),P82+AF82,""))</f>
        <v/>
      </c>
      <c r="AK82" s="19">
        <f>IF(OR(NOT(ISNUMBER(AE82)),NOT(ISNUMBER(AJ82)),AJ82&lt;=0),"",IF(AND(ISNUMBER(G82),AJ82&lt;0.1*G82),"",AE82/AJ82))</f>
        <v/>
      </c>
      <c r="AL82" s="17">
        <f>IF(NOT(ISNUMBER(P82)),"",IF(ISNUMBER(Q82),(P82+Q82)/2,P82))</f>
        <v/>
      </c>
      <c r="AM82" s="19">
        <f>IF(AND(ISNUMBER(L82),ISNUMBER(AL82),AL82&gt;0),L82/AL82,"")</f>
        <v/>
      </c>
      <c r="AN82" s="19">
        <f>IF(AND(ISNUMBER(AM82),ISNUMBER({ROIC})),AM82-{ROIC},"")</f>
        <v/>
      </c>
      <c r="AO82" s="17">
        <f>IF(AND(ISNUMBER(AC82),ISNUMBER(M82)),AC82+M82,"")</f>
        <v/>
      </c>
      <c r="AP82" s="20">
        <f>IF(AND(ISNUMBER(AF82),ISNUMBER(R82),ISNUMBER(AO82),AO82&gt;0),(AF82-R82)/AO82,"")</f>
        <v/>
      </c>
      <c r="AQ82" s="20">
        <f>IF(AND(ISNUMBER(AC82),ISNUMBER(I82),I82&lt;&gt;0,AC82&gt;0),AC82/I82,"")</f>
        <v/>
      </c>
      <c r="AR82" s="17">
        <f>IF(AND(ISNUMBER(W82),ISNUMBER(Y82)),W82-IF(ISNUMBER(R82),R82,0)-(Y82-IF(ISNUMBER(T82),T82,0)),"")</f>
        <v/>
      </c>
      <c r="AS82" s="17">
        <f>IF(AND(ISNUMBER(X82),ISNUMBER(Z82)),X82-IF(ISNUMBER(S82),S82,0)-(Z82-IF(ISNUMBER(U82),U82,0)),"")</f>
        <v/>
      </c>
      <c r="AT82" s="17">
        <f>IF(AND(ISNUMBER(AR82),ISNUMBER(AS82)),AR82-AS82,"")</f>
        <v/>
      </c>
      <c r="AU82" s="17">
        <f>IF(E82="금융","",IF(AND(ISNUMBER(L82),ISNUMBER(M82),ISNUMBER(N82),ISNUMBER(AT82)),L82+M82-N82-AT82,IF(AND(ISNUMBER(O82),ISNUMBER(N82)),O82-N82,"")))</f>
        <v/>
      </c>
      <c r="AV82" s="8">
        <f>IF(E82="금융","금융업 - 정의되지 않음",IF(AND(ISNUMBER(L82),ISNUMBER(M82),ISNUMBER(N82),ISNUMBER(AT82)),"순이익+감가상각-설비투자-운전자본증감",IF(AND(ISNUMBER(O82),ISNUMBER(N82)),"영업현금흐름-설비투자","산출불가")))</f>
        <v/>
      </c>
      <c r="AW82" s="19">
        <f>IF(AND(ISNUMBER(AU82),ISNUMBER(G82),G82&lt;&gt;0),AU82/G82,"")</f>
        <v/>
      </c>
      <c r="AX82" s="19">
        <f>IF(AND(ISNUMBER(AC82),ISNUMBER(G82),G82&lt;&gt;0),AC82/G82,"")</f>
        <v/>
      </c>
    </row>
    <row r="83">
      <c r="A83" s="8" t="inlineStr">
        <is>
          <t>META</t>
        </is>
      </c>
      <c r="B83" s="8" t="inlineStr">
        <is>
          <t>Meta Platforms, Inc.</t>
        </is>
      </c>
      <c r="C83" s="8" t="n">
        <v>2022</v>
      </c>
      <c r="D83" s="8" t="inlineStr">
        <is>
          <t>2022-12-31</t>
        </is>
      </c>
      <c r="E83" s="8" t="inlineStr">
        <is>
          <t>일반</t>
        </is>
      </c>
      <c r="F83" s="8" t="inlineStr">
        <is>
          <t>0001326801-25-000017</t>
        </is>
      </c>
      <c r="G83" s="15" t="n">
        <v>116.609</v>
      </c>
      <c r="H83" s="15" t="n">
        <v>28.819</v>
      </c>
      <c r="I83" s="15" t="n">
        <v>0.16</v>
      </c>
      <c r="J83" s="15" t="n">
        <v>5.619</v>
      </c>
      <c r="K83" s="15" t="n">
        <v>28.944</v>
      </c>
      <c r="L83" s="15" t="n">
        <v>23.2</v>
      </c>
      <c r="M83" s="15" t="n">
        <v>8.686</v>
      </c>
      <c r="N83" s="15" t="n">
        <v>31.186</v>
      </c>
      <c r="O83" s="15" t="n">
        <v>50.475</v>
      </c>
      <c r="P83" s="15" t="n">
        <v>125.713</v>
      </c>
      <c r="Q83" s="15" t="n">
        <v>124.879</v>
      </c>
      <c r="R83" s="15" t="n">
        <v>40.738</v>
      </c>
      <c r="S83" s="15" t="n">
        <v>47.998</v>
      </c>
      <c r="T83" s="15" t="n"/>
      <c r="U83" s="15" t="n"/>
      <c r="V83" s="15" t="n">
        <v>9.923</v>
      </c>
      <c r="W83" s="15" t="n">
        <v>59.549</v>
      </c>
      <c r="X83" s="15" t="n">
        <v>66.666</v>
      </c>
      <c r="Y83" s="15" t="n">
        <v>27.026</v>
      </c>
      <c r="Z83" s="15" t="n">
        <v>21.135</v>
      </c>
      <c r="AA83" s="15" t="n">
        <v>76.881</v>
      </c>
      <c r="AB83" s="16" t="n">
        <v>2702</v>
      </c>
      <c r="AC83" s="17">
        <f>IF(AND(ISNUMBER(H83),ISNUMBER(I83)),H83+I83,IF(ISNUMBER(K83),K83,IF(ISNUMBER(H83),H83,"")))</f>
        <v/>
      </c>
      <c r="AD83" s="18">
        <f>IF(OR(NOT(ISNUMBER(J83)),NOT(ISNUMBER(H83)),H83&lt;=0),기준표!$B$8,MIN(MAX(J83/H83,기준표!$B$6),기준표!$B$7))</f>
        <v/>
      </c>
      <c r="AE83" s="17">
        <f>IF(ISNUMBER(AC83),AC83*(1-AD83),"")</f>
        <v/>
      </c>
      <c r="AF83" s="17">
        <f>IF(AND(NOT(ISNUMBER(T83)),NOT(ISNUMBER(V83))),"",IF(ISNUMBER(T83),T83,0)+IF(ISNUMBER(V83),V83,0))</f>
        <v/>
      </c>
      <c r="AG83" s="17">
        <f>IF(E83="금융","",IF(AND(ISNUMBER(P83),ISNUMBER(AF83),ISNUMBER(R83)),P83+AF83-R83,""))</f>
        <v/>
      </c>
      <c r="AH83" s="17">
        <f>IF(E83="금융","",IF(NOT(ISNUMBER(AG83)),"",IF(ISNUMBER(AA83),(AG83+AA83)/2,AG83)))</f>
        <v/>
      </c>
      <c r="AI83" s="19">
        <f>IF(AND(ISNUMBER(AE83),ISNUMBER(AH83),AH83&gt;0),AE83/AH83,"")</f>
        <v/>
      </c>
      <c r="AJ83" s="17">
        <f>IF(E83="금융","",IF(AND(ISNUMBER(P83),ISNUMBER(AF83)),P83+AF83,""))</f>
        <v/>
      </c>
      <c r="AK83" s="19">
        <f>IF(OR(NOT(ISNUMBER(AE83)),NOT(ISNUMBER(AJ83)),AJ83&lt;=0),"",IF(AND(ISNUMBER(G83),AJ83&lt;0.1*G83),"",AE83/AJ83))</f>
        <v/>
      </c>
      <c r="AL83" s="17">
        <f>IF(NOT(ISNUMBER(P83)),"",IF(ISNUMBER(Q83),(P83+Q83)/2,P83))</f>
        <v/>
      </c>
      <c r="AM83" s="19">
        <f>IF(AND(ISNUMBER(L83),ISNUMBER(AL83),AL83&gt;0),L83/AL83,"")</f>
        <v/>
      </c>
      <c r="AN83" s="19">
        <f>IF(AND(ISNUMBER(AM83),ISNUMBER({ROIC})),AM83-{ROIC},"")</f>
        <v/>
      </c>
      <c r="AO83" s="17">
        <f>IF(AND(ISNUMBER(AC83),ISNUMBER(M83)),AC83+M83,"")</f>
        <v/>
      </c>
      <c r="AP83" s="20">
        <f>IF(AND(ISNUMBER(AF83),ISNUMBER(R83),ISNUMBER(AO83),AO83&gt;0),(AF83-R83)/AO83,"")</f>
        <v/>
      </c>
      <c r="AQ83" s="20">
        <f>IF(AND(ISNUMBER(AC83),ISNUMBER(I83),I83&lt;&gt;0,AC83&gt;0),AC83/I83,"")</f>
        <v/>
      </c>
      <c r="AR83" s="17">
        <f>IF(AND(ISNUMBER(W83),ISNUMBER(Y83)),W83-IF(ISNUMBER(R83),R83,0)-(Y83-IF(ISNUMBER(T83),T83,0)),"")</f>
        <v/>
      </c>
      <c r="AS83" s="17">
        <f>IF(AND(ISNUMBER(X83),ISNUMBER(Z83)),X83-IF(ISNUMBER(S83),S83,0)-(Z83-IF(ISNUMBER(U83),U83,0)),"")</f>
        <v/>
      </c>
      <c r="AT83" s="17">
        <f>IF(AND(ISNUMBER(AR83),ISNUMBER(AS83)),AR83-AS83,"")</f>
        <v/>
      </c>
      <c r="AU83" s="17">
        <f>IF(E83="금융","",IF(AND(ISNUMBER(L83),ISNUMBER(M83),ISNUMBER(N83),ISNUMBER(AT83)),L83+M83-N83-AT83,IF(AND(ISNUMBER(O83),ISNUMBER(N83)),O83-N83,"")))</f>
        <v/>
      </c>
      <c r="AV83" s="8">
        <f>IF(E83="금융","금융업 - 정의되지 않음",IF(AND(ISNUMBER(L83),ISNUMBER(M83),ISNUMBER(N83),ISNUMBER(AT83)),"순이익+감가상각-설비투자-운전자본증감",IF(AND(ISNUMBER(O83),ISNUMBER(N83)),"영업현금흐름-설비투자","산출불가")))</f>
        <v/>
      </c>
      <c r="AW83" s="19">
        <f>IF(AND(ISNUMBER(AU83),ISNUMBER(G83),G83&lt;&gt;0),AU83/G83,"")</f>
        <v/>
      </c>
      <c r="AX83" s="19">
        <f>IF(AND(ISNUMBER(AC83),ISNUMBER(G83),G83&lt;&gt;0),AC83/G83,"")</f>
        <v/>
      </c>
    </row>
    <row r="84">
      <c r="A84" s="8" t="inlineStr">
        <is>
          <t>META</t>
        </is>
      </c>
      <c r="B84" s="8" t="inlineStr">
        <is>
          <t>Meta Platforms, Inc.</t>
        </is>
      </c>
      <c r="C84" s="8" t="n">
        <v>2023</v>
      </c>
      <c r="D84" s="8" t="inlineStr">
        <is>
          <t>2023-12-31</t>
        </is>
      </c>
      <c r="E84" s="8" t="inlineStr">
        <is>
          <t>일반</t>
        </is>
      </c>
      <c r="F84" s="8" t="inlineStr">
        <is>
          <t>0001628280-26-003942</t>
        </is>
      </c>
      <c r="G84" s="15" t="n">
        <v>134.902</v>
      </c>
      <c r="H84" s="15" t="n">
        <v>47.428</v>
      </c>
      <c r="I84" s="15" t="n">
        <v>0.42</v>
      </c>
      <c r="J84" s="15" t="n">
        <v>8.33</v>
      </c>
      <c r="K84" s="15" t="n">
        <v>46.751</v>
      </c>
      <c r="L84" s="15" t="n">
        <v>39.098</v>
      </c>
      <c r="M84" s="15" t="n">
        <v>11.178</v>
      </c>
      <c r="N84" s="15" t="n">
        <v>27.045</v>
      </c>
      <c r="O84" s="15" t="n">
        <v>71.113</v>
      </c>
      <c r="P84" s="15" t="n">
        <v>153.168</v>
      </c>
      <c r="Q84" s="15" t="n">
        <v>125.713</v>
      </c>
      <c r="R84" s="15" t="n">
        <v>65.40300000000001</v>
      </c>
      <c r="S84" s="15" t="n">
        <v>40.738</v>
      </c>
      <c r="T84" s="15" t="n"/>
      <c r="U84" s="15" t="n"/>
      <c r="V84" s="15" t="n">
        <v>18.385</v>
      </c>
      <c r="W84" s="15" t="n">
        <v>85.36499999999999</v>
      </c>
      <c r="X84" s="15" t="n">
        <v>59.549</v>
      </c>
      <c r="Y84" s="15" t="n">
        <v>31.96</v>
      </c>
      <c r="Z84" s="15" t="n">
        <v>27.026</v>
      </c>
      <c r="AA84" s="15" t="n">
        <v>94.898</v>
      </c>
      <c r="AB84" s="16" t="n">
        <v>2629</v>
      </c>
      <c r="AC84" s="17">
        <f>IF(AND(ISNUMBER(H84),ISNUMBER(I84)),H84+I84,IF(ISNUMBER(K84),K84,IF(ISNUMBER(H84),H84,"")))</f>
        <v/>
      </c>
      <c r="AD84" s="18">
        <f>IF(OR(NOT(ISNUMBER(J84)),NOT(ISNUMBER(H84)),H84&lt;=0),기준표!$B$8,MIN(MAX(J84/H84,기준표!$B$6),기준표!$B$7))</f>
        <v/>
      </c>
      <c r="AE84" s="17">
        <f>IF(ISNUMBER(AC84),AC84*(1-AD84),"")</f>
        <v/>
      </c>
      <c r="AF84" s="17">
        <f>IF(AND(NOT(ISNUMBER(T84)),NOT(ISNUMBER(V84))),"",IF(ISNUMBER(T84),T84,0)+IF(ISNUMBER(V84),V84,0))</f>
        <v/>
      </c>
      <c r="AG84" s="17">
        <f>IF(E84="금융","",IF(AND(ISNUMBER(P84),ISNUMBER(AF84),ISNUMBER(R84)),P84+AF84-R84,""))</f>
        <v/>
      </c>
      <c r="AH84" s="17">
        <f>IF(E84="금융","",IF(NOT(ISNUMBER(AG84)),"",IF(ISNUMBER(AA84),(AG84+AA84)/2,AG84)))</f>
        <v/>
      </c>
      <c r="AI84" s="19">
        <f>IF(AND(ISNUMBER(AE84),ISNUMBER(AH84),AH84&gt;0),AE84/AH84,"")</f>
        <v/>
      </c>
      <c r="AJ84" s="17">
        <f>IF(E84="금융","",IF(AND(ISNUMBER(P84),ISNUMBER(AF84)),P84+AF84,""))</f>
        <v/>
      </c>
      <c r="AK84" s="19">
        <f>IF(OR(NOT(ISNUMBER(AE84)),NOT(ISNUMBER(AJ84)),AJ84&lt;=0),"",IF(AND(ISNUMBER(G84),AJ84&lt;0.1*G84),"",AE84/AJ84))</f>
        <v/>
      </c>
      <c r="AL84" s="17">
        <f>IF(NOT(ISNUMBER(P84)),"",IF(ISNUMBER(Q84),(P84+Q84)/2,P84))</f>
        <v/>
      </c>
      <c r="AM84" s="19">
        <f>IF(AND(ISNUMBER(L84),ISNUMBER(AL84),AL84&gt;0),L84/AL84,"")</f>
        <v/>
      </c>
      <c r="AN84" s="19">
        <f>IF(AND(ISNUMBER(AM84),ISNUMBER({ROIC})),AM84-{ROIC},"")</f>
        <v/>
      </c>
      <c r="AO84" s="17">
        <f>IF(AND(ISNUMBER(AC84),ISNUMBER(M84)),AC84+M84,"")</f>
        <v/>
      </c>
      <c r="AP84" s="20">
        <f>IF(AND(ISNUMBER(AF84),ISNUMBER(R84),ISNUMBER(AO84),AO84&gt;0),(AF84-R84)/AO84,"")</f>
        <v/>
      </c>
      <c r="AQ84" s="20">
        <f>IF(AND(ISNUMBER(AC84),ISNUMBER(I84),I84&lt;&gt;0,AC84&gt;0),AC84/I84,"")</f>
        <v/>
      </c>
      <c r="AR84" s="17">
        <f>IF(AND(ISNUMBER(W84),ISNUMBER(Y84)),W84-IF(ISNUMBER(R84),R84,0)-(Y84-IF(ISNUMBER(T84),T84,0)),"")</f>
        <v/>
      </c>
      <c r="AS84" s="17">
        <f>IF(AND(ISNUMBER(X84),ISNUMBER(Z84)),X84-IF(ISNUMBER(S84),S84,0)-(Z84-IF(ISNUMBER(U84),U84,0)),"")</f>
        <v/>
      </c>
      <c r="AT84" s="17">
        <f>IF(AND(ISNUMBER(AR84),ISNUMBER(AS84)),AR84-AS84,"")</f>
        <v/>
      </c>
      <c r="AU84" s="17">
        <f>IF(E84="금융","",IF(AND(ISNUMBER(L84),ISNUMBER(M84),ISNUMBER(N84),ISNUMBER(AT84)),L84+M84-N84-AT84,IF(AND(ISNUMBER(O84),ISNUMBER(N84)),O84-N84,"")))</f>
        <v/>
      </c>
      <c r="AV84" s="8">
        <f>IF(E84="금융","금융업 - 정의되지 않음",IF(AND(ISNUMBER(L84),ISNUMBER(M84),ISNUMBER(N84),ISNUMBER(AT84)),"순이익+감가상각-설비투자-운전자본증감",IF(AND(ISNUMBER(O84),ISNUMBER(N84)),"영업현금흐름-설비투자","산출불가")))</f>
        <v/>
      </c>
      <c r="AW84" s="19">
        <f>IF(AND(ISNUMBER(AU84),ISNUMBER(G84),G84&lt;&gt;0),AU84/G84,"")</f>
        <v/>
      </c>
      <c r="AX84" s="19">
        <f>IF(AND(ISNUMBER(AC84),ISNUMBER(G84),G84&lt;&gt;0),AC84/G84,"")</f>
        <v/>
      </c>
    </row>
    <row r="85">
      <c r="A85" s="8" t="inlineStr">
        <is>
          <t>META</t>
        </is>
      </c>
      <c r="B85" s="8" t="inlineStr">
        <is>
          <t>Meta Platforms, Inc.</t>
        </is>
      </c>
      <c r="C85" s="8" t="n">
        <v>2024</v>
      </c>
      <c r="D85" s="8" t="inlineStr">
        <is>
          <t>2024-12-31</t>
        </is>
      </c>
      <c r="E85" s="8" t="inlineStr">
        <is>
          <t>일반</t>
        </is>
      </c>
      <c r="F85" s="8" t="inlineStr">
        <is>
          <t>0001628280-26-003942</t>
        </is>
      </c>
      <c r="G85" s="15" t="n">
        <v>164.501</v>
      </c>
      <c r="H85" s="15" t="n">
        <v>70.663</v>
      </c>
      <c r="I85" s="15" t="n">
        <v>0.6830000000000001</v>
      </c>
      <c r="J85" s="15" t="n">
        <v>8.303000000000001</v>
      </c>
      <c r="K85" s="15" t="n">
        <v>69.38</v>
      </c>
      <c r="L85" s="15" t="n">
        <v>62.36</v>
      </c>
      <c r="M85" s="15" t="n">
        <v>15.498</v>
      </c>
      <c r="N85" s="15" t="n">
        <v>37.256</v>
      </c>
      <c r="O85" s="15" t="n">
        <v>91.328</v>
      </c>
      <c r="P85" s="15" t="n">
        <v>182.637</v>
      </c>
      <c r="Q85" s="15" t="n">
        <v>153.168</v>
      </c>
      <c r="R85" s="15" t="n">
        <v>77.815</v>
      </c>
      <c r="S85" s="15" t="n">
        <v>65.40300000000001</v>
      </c>
      <c r="T85" s="15" t="n"/>
      <c r="U85" s="15" t="n"/>
      <c r="V85" s="15" t="n">
        <v>28.826</v>
      </c>
      <c r="W85" s="15" t="n">
        <v>100.045</v>
      </c>
      <c r="X85" s="15" t="n">
        <v>85.36499999999999</v>
      </c>
      <c r="Y85" s="15" t="n">
        <v>33.596</v>
      </c>
      <c r="Z85" s="15" t="n">
        <v>31.96</v>
      </c>
      <c r="AA85" s="15" t="n">
        <v>106.15</v>
      </c>
      <c r="AB85" s="16" t="n">
        <v>2614</v>
      </c>
      <c r="AC85" s="17">
        <f>IF(AND(ISNUMBER(H85),ISNUMBER(I85)),H85+I85,IF(ISNUMBER(K85),K85,IF(ISNUMBER(H85),H85,"")))</f>
        <v/>
      </c>
      <c r="AD85" s="18">
        <f>IF(OR(NOT(ISNUMBER(J85)),NOT(ISNUMBER(H85)),H85&lt;=0),기준표!$B$8,MIN(MAX(J85/H85,기준표!$B$6),기준표!$B$7))</f>
        <v/>
      </c>
      <c r="AE85" s="17">
        <f>IF(ISNUMBER(AC85),AC85*(1-AD85),"")</f>
        <v/>
      </c>
      <c r="AF85" s="17">
        <f>IF(AND(NOT(ISNUMBER(T85)),NOT(ISNUMBER(V85))),"",IF(ISNUMBER(T85),T85,0)+IF(ISNUMBER(V85),V85,0))</f>
        <v/>
      </c>
      <c r="AG85" s="17">
        <f>IF(E85="금융","",IF(AND(ISNUMBER(P85),ISNUMBER(AF85),ISNUMBER(R85)),P85+AF85-R85,""))</f>
        <v/>
      </c>
      <c r="AH85" s="17">
        <f>IF(E85="금융","",IF(NOT(ISNUMBER(AG85)),"",IF(ISNUMBER(AA85),(AG85+AA85)/2,AG85)))</f>
        <v/>
      </c>
      <c r="AI85" s="19">
        <f>IF(AND(ISNUMBER(AE85),ISNUMBER(AH85),AH85&gt;0),AE85/AH85,"")</f>
        <v/>
      </c>
      <c r="AJ85" s="17">
        <f>IF(E85="금융","",IF(AND(ISNUMBER(P85),ISNUMBER(AF85)),P85+AF85,""))</f>
        <v/>
      </c>
      <c r="AK85" s="19">
        <f>IF(OR(NOT(ISNUMBER(AE85)),NOT(ISNUMBER(AJ85)),AJ85&lt;=0),"",IF(AND(ISNUMBER(G85),AJ85&lt;0.1*G85),"",AE85/AJ85))</f>
        <v/>
      </c>
      <c r="AL85" s="17">
        <f>IF(NOT(ISNUMBER(P85)),"",IF(ISNUMBER(Q85),(P85+Q85)/2,P85))</f>
        <v/>
      </c>
      <c r="AM85" s="19">
        <f>IF(AND(ISNUMBER(L85),ISNUMBER(AL85),AL85&gt;0),L85/AL85,"")</f>
        <v/>
      </c>
      <c r="AN85" s="19">
        <f>IF(AND(ISNUMBER(AM85),ISNUMBER({ROIC})),AM85-{ROIC},"")</f>
        <v/>
      </c>
      <c r="AO85" s="17">
        <f>IF(AND(ISNUMBER(AC85),ISNUMBER(M85)),AC85+M85,"")</f>
        <v/>
      </c>
      <c r="AP85" s="20">
        <f>IF(AND(ISNUMBER(AF85),ISNUMBER(R85),ISNUMBER(AO85),AO85&gt;0),(AF85-R85)/AO85,"")</f>
        <v/>
      </c>
      <c r="AQ85" s="20">
        <f>IF(AND(ISNUMBER(AC85),ISNUMBER(I85),I85&lt;&gt;0,AC85&gt;0),AC85/I85,"")</f>
        <v/>
      </c>
      <c r="AR85" s="17">
        <f>IF(AND(ISNUMBER(W85),ISNUMBER(Y85)),W85-IF(ISNUMBER(R85),R85,0)-(Y85-IF(ISNUMBER(T85),T85,0)),"")</f>
        <v/>
      </c>
      <c r="AS85" s="17">
        <f>IF(AND(ISNUMBER(X85),ISNUMBER(Z85)),X85-IF(ISNUMBER(S85),S85,0)-(Z85-IF(ISNUMBER(U85),U85,0)),"")</f>
        <v/>
      </c>
      <c r="AT85" s="17">
        <f>IF(AND(ISNUMBER(AR85),ISNUMBER(AS85)),AR85-AS85,"")</f>
        <v/>
      </c>
      <c r="AU85" s="17">
        <f>IF(E85="금융","",IF(AND(ISNUMBER(L85),ISNUMBER(M85),ISNUMBER(N85),ISNUMBER(AT85)),L85+M85-N85-AT85,IF(AND(ISNUMBER(O85),ISNUMBER(N85)),O85-N85,"")))</f>
        <v/>
      </c>
      <c r="AV85" s="8">
        <f>IF(E85="금융","금융업 - 정의되지 않음",IF(AND(ISNUMBER(L85),ISNUMBER(M85),ISNUMBER(N85),ISNUMBER(AT85)),"순이익+감가상각-설비투자-운전자본증감",IF(AND(ISNUMBER(O85),ISNUMBER(N85)),"영업현금흐름-설비투자","산출불가")))</f>
        <v/>
      </c>
      <c r="AW85" s="19">
        <f>IF(AND(ISNUMBER(AU85),ISNUMBER(G85),G85&lt;&gt;0),AU85/G85,"")</f>
        <v/>
      </c>
      <c r="AX85" s="19">
        <f>IF(AND(ISNUMBER(AC85),ISNUMBER(G85),G85&lt;&gt;0),AC85/G85,"")</f>
        <v/>
      </c>
    </row>
    <row r="86">
      <c r="A86" s="8" t="inlineStr">
        <is>
          <t>META</t>
        </is>
      </c>
      <c r="B86" s="8" t="inlineStr">
        <is>
          <t>Meta Platforms, Inc.</t>
        </is>
      </c>
      <c r="C86" s="8" t="n">
        <v>2025</v>
      </c>
      <c r="D86" s="8" t="inlineStr">
        <is>
          <t>2025-12-31</t>
        </is>
      </c>
      <c r="E86" s="8" t="inlineStr">
        <is>
          <t>일반</t>
        </is>
      </c>
      <c r="F86" s="8" t="inlineStr">
        <is>
          <t>0001628280-26-003942</t>
        </is>
      </c>
      <c r="G86" s="15" t="n">
        <v>200.966</v>
      </c>
      <c r="H86" s="15" t="n">
        <v>85.932</v>
      </c>
      <c r="I86" s="15" t="n">
        <v>1.09</v>
      </c>
      <c r="J86" s="15" t="n">
        <v>25.474</v>
      </c>
      <c r="K86" s="15" t="n">
        <v>83.276</v>
      </c>
      <c r="L86" s="15" t="n">
        <v>60.458</v>
      </c>
      <c r="M86" s="15" t="n">
        <v>18.616</v>
      </c>
      <c r="N86" s="15" t="n">
        <v>69.691</v>
      </c>
      <c r="O86" s="15" t="n">
        <v>115.8</v>
      </c>
      <c r="P86" s="15" t="n">
        <v>217.243</v>
      </c>
      <c r="Q86" s="15" t="n">
        <v>182.637</v>
      </c>
      <c r="R86" s="15" t="n">
        <v>81.592</v>
      </c>
      <c r="S86" s="15" t="n">
        <v>77.815</v>
      </c>
      <c r="T86" s="15" t="n"/>
      <c r="U86" s="15" t="n"/>
      <c r="V86" s="15" t="n">
        <v>58.744</v>
      </c>
      <c r="W86" s="15" t="n">
        <v>108.722</v>
      </c>
      <c r="X86" s="15" t="n">
        <v>100.045</v>
      </c>
      <c r="Y86" s="15" t="n">
        <v>41.836</v>
      </c>
      <c r="Z86" s="15" t="n">
        <v>33.596</v>
      </c>
      <c r="AA86" s="15" t="n">
        <v>133.648</v>
      </c>
      <c r="AB86" s="16" t="n">
        <v>2574</v>
      </c>
      <c r="AC86" s="17">
        <f>IF(AND(ISNUMBER(H86),ISNUMBER(I86)),H86+I86,IF(ISNUMBER(K86),K86,IF(ISNUMBER(H86),H86,"")))</f>
        <v/>
      </c>
      <c r="AD86" s="18">
        <f>IF(OR(NOT(ISNUMBER(J86)),NOT(ISNUMBER(H86)),H86&lt;=0),기준표!$B$8,MIN(MAX(J86/H86,기준표!$B$6),기준표!$B$7))</f>
        <v/>
      </c>
      <c r="AE86" s="17">
        <f>IF(ISNUMBER(AC86),AC86*(1-AD86),"")</f>
        <v/>
      </c>
      <c r="AF86" s="17">
        <f>IF(AND(NOT(ISNUMBER(T86)),NOT(ISNUMBER(V86))),"",IF(ISNUMBER(T86),T86,0)+IF(ISNUMBER(V86),V86,0))</f>
        <v/>
      </c>
      <c r="AG86" s="17">
        <f>IF(E86="금융","",IF(AND(ISNUMBER(P86),ISNUMBER(AF86),ISNUMBER(R86)),P86+AF86-R86,""))</f>
        <v/>
      </c>
      <c r="AH86" s="17">
        <f>IF(E86="금융","",IF(NOT(ISNUMBER(AG86)),"",IF(ISNUMBER(AA86),(AG86+AA86)/2,AG86)))</f>
        <v/>
      </c>
      <c r="AI86" s="19">
        <f>IF(AND(ISNUMBER(AE86),ISNUMBER(AH86),AH86&gt;0),AE86/AH86,"")</f>
        <v/>
      </c>
      <c r="AJ86" s="17">
        <f>IF(E86="금융","",IF(AND(ISNUMBER(P86),ISNUMBER(AF86)),P86+AF86,""))</f>
        <v/>
      </c>
      <c r="AK86" s="19">
        <f>IF(OR(NOT(ISNUMBER(AE86)),NOT(ISNUMBER(AJ86)),AJ86&lt;=0),"",IF(AND(ISNUMBER(G86),AJ86&lt;0.1*G86),"",AE86/AJ86))</f>
        <v/>
      </c>
      <c r="AL86" s="17">
        <f>IF(NOT(ISNUMBER(P86)),"",IF(ISNUMBER(Q86),(P86+Q86)/2,P86))</f>
        <v/>
      </c>
      <c r="AM86" s="19">
        <f>IF(AND(ISNUMBER(L86),ISNUMBER(AL86),AL86&gt;0),L86/AL86,"")</f>
        <v/>
      </c>
      <c r="AN86" s="19">
        <f>IF(AND(ISNUMBER(AM86),ISNUMBER({ROIC})),AM86-{ROIC},"")</f>
        <v/>
      </c>
      <c r="AO86" s="17">
        <f>IF(AND(ISNUMBER(AC86),ISNUMBER(M86)),AC86+M86,"")</f>
        <v/>
      </c>
      <c r="AP86" s="20">
        <f>IF(AND(ISNUMBER(AF86),ISNUMBER(R86),ISNUMBER(AO86),AO86&gt;0),(AF86-R86)/AO86,"")</f>
        <v/>
      </c>
      <c r="AQ86" s="20">
        <f>IF(AND(ISNUMBER(AC86),ISNUMBER(I86),I86&lt;&gt;0,AC86&gt;0),AC86/I86,"")</f>
        <v/>
      </c>
      <c r="AR86" s="17">
        <f>IF(AND(ISNUMBER(W86),ISNUMBER(Y86)),W86-IF(ISNUMBER(R86),R86,0)-(Y86-IF(ISNUMBER(T86),T86,0)),"")</f>
        <v/>
      </c>
      <c r="AS86" s="17">
        <f>IF(AND(ISNUMBER(X86),ISNUMBER(Z86)),X86-IF(ISNUMBER(S86),S86,0)-(Z86-IF(ISNUMBER(U86),U86,0)),"")</f>
        <v/>
      </c>
      <c r="AT86" s="17">
        <f>IF(AND(ISNUMBER(AR86),ISNUMBER(AS86)),AR86-AS86,"")</f>
        <v/>
      </c>
      <c r="AU86" s="17">
        <f>IF(E86="금융","",IF(AND(ISNUMBER(L86),ISNUMBER(M86),ISNUMBER(N86),ISNUMBER(AT86)),L86+M86-N86-AT86,IF(AND(ISNUMBER(O86),ISNUMBER(N86)),O86-N86,"")))</f>
        <v/>
      </c>
      <c r="AV86" s="8">
        <f>IF(E86="금융","금융업 - 정의되지 않음",IF(AND(ISNUMBER(L86),ISNUMBER(M86),ISNUMBER(N86),ISNUMBER(AT86)),"순이익+감가상각-설비투자-운전자본증감",IF(AND(ISNUMBER(O86),ISNUMBER(N86)),"영업현금흐름-설비투자","산출불가")))</f>
        <v/>
      </c>
      <c r="AW86" s="19">
        <f>IF(AND(ISNUMBER(AU86),ISNUMBER(G86),G86&lt;&gt;0),AU86/G86,"")</f>
        <v/>
      </c>
      <c r="AX86" s="19">
        <f>IF(AND(ISNUMBER(AC86),ISNUMBER(G86),G86&lt;&gt;0),AC86/G86,"")</f>
        <v/>
      </c>
    </row>
    <row r="87">
      <c r="A87" s="8" t="inlineStr">
        <is>
          <t>TSLA</t>
        </is>
      </c>
      <c r="B87" s="8" t="inlineStr">
        <is>
          <t>Tesla, Inc.</t>
        </is>
      </c>
      <c r="C87" s="8" t="n">
        <v>2014</v>
      </c>
      <c r="D87" s="8" t="inlineStr">
        <is>
          <t>2014-12-31</t>
        </is>
      </c>
      <c r="E87" s="8" t="inlineStr">
        <is>
          <t>일반</t>
        </is>
      </c>
      <c r="F87" s="8" t="inlineStr">
        <is>
          <t>0001564590-17-003118</t>
        </is>
      </c>
      <c r="G87" s="15" t="n">
        <v>3.198356</v>
      </c>
      <c r="H87" s="15" t="n">
        <v>-0.284636</v>
      </c>
      <c r="I87" s="15" t="n"/>
      <c r="J87" s="15" t="n">
        <v>0.009403999999999999</v>
      </c>
      <c r="K87" s="15" t="n">
        <v>-0.186689</v>
      </c>
      <c r="L87" s="15" t="n">
        <v>-0.29404</v>
      </c>
      <c r="M87" s="15" t="n"/>
      <c r="N87" s="15" t="n">
        <v>0.969885</v>
      </c>
      <c r="O87" s="15" t="n"/>
      <c r="P87" s="15" t="n">
        <v>0.91171</v>
      </c>
      <c r="Q87" s="15" t="n"/>
      <c r="R87" s="15" t="n">
        <v>1.905713</v>
      </c>
      <c r="S87" s="15" t="n"/>
      <c r="T87" s="15" t="n"/>
      <c r="U87" s="15" t="n"/>
      <c r="V87" s="15" t="n">
        <v>2.959795</v>
      </c>
      <c r="W87" s="15" t="n">
        <v>3.180073</v>
      </c>
      <c r="X87" s="15" t="n"/>
      <c r="Y87" s="15" t="n">
        <v>2.107166</v>
      </c>
      <c r="Z87" s="15" t="n"/>
      <c r="AA87" s="15" t="n"/>
      <c r="AB87" s="16" t="n">
        <v>1885.32</v>
      </c>
      <c r="AC87" s="17">
        <f>IF(AND(ISNUMBER(H87),ISNUMBER(I87)),H87+I87,IF(ISNUMBER(K87),K87,IF(ISNUMBER(H87),H87,"")))</f>
        <v/>
      </c>
      <c r="AD87" s="18">
        <f>IF(OR(NOT(ISNUMBER(J87)),NOT(ISNUMBER(H87)),H87&lt;=0),기준표!$B$8,MIN(MAX(J87/H87,기준표!$B$6),기준표!$B$7))</f>
        <v/>
      </c>
      <c r="AE87" s="17">
        <f>IF(ISNUMBER(AC87),AC87*(1-AD87),"")</f>
        <v/>
      </c>
      <c r="AF87" s="17">
        <f>IF(AND(NOT(ISNUMBER(T87)),NOT(ISNUMBER(V87))),"",IF(ISNUMBER(T87),T87,0)+IF(ISNUMBER(V87),V87,0))</f>
        <v/>
      </c>
      <c r="AG87" s="17">
        <f>IF(E87="금융","",IF(AND(ISNUMBER(P87),ISNUMBER(AF87),ISNUMBER(R87)),P87+AF87-R87,""))</f>
        <v/>
      </c>
      <c r="AH87" s="17">
        <f>IF(E87="금융","",IF(NOT(ISNUMBER(AG87)),"",IF(ISNUMBER(AA87),(AG87+AA87)/2,AG87)))</f>
        <v/>
      </c>
      <c r="AI87" s="19">
        <f>IF(AND(ISNUMBER(AE87),ISNUMBER(AH87),AH87&gt;0),AE87/AH87,"")</f>
        <v/>
      </c>
      <c r="AJ87" s="17">
        <f>IF(E87="금융","",IF(AND(ISNUMBER(P87),ISNUMBER(AF87)),P87+AF87,""))</f>
        <v/>
      </c>
      <c r="AK87" s="19">
        <f>IF(OR(NOT(ISNUMBER(AE87)),NOT(ISNUMBER(AJ87)),AJ87&lt;=0),"",IF(AND(ISNUMBER(G87),AJ87&lt;0.1*G87),"",AE87/AJ87))</f>
        <v/>
      </c>
      <c r="AL87" s="17">
        <f>IF(NOT(ISNUMBER(P87)),"",IF(ISNUMBER(Q87),(P87+Q87)/2,P87))</f>
        <v/>
      </c>
      <c r="AM87" s="19">
        <f>IF(AND(ISNUMBER(L87),ISNUMBER(AL87),AL87&gt;0),L87/AL87,"")</f>
        <v/>
      </c>
      <c r="AN87" s="19">
        <f>IF(AND(ISNUMBER(AM87),ISNUMBER({ROIC})),AM87-{ROIC},"")</f>
        <v/>
      </c>
      <c r="AO87" s="17">
        <f>IF(AND(ISNUMBER(AC87),ISNUMBER(M87)),AC87+M87,"")</f>
        <v/>
      </c>
      <c r="AP87" s="20">
        <f>IF(AND(ISNUMBER(AF87),ISNUMBER(R87),ISNUMBER(AO87),AO87&gt;0),(AF87-R87)/AO87,"")</f>
        <v/>
      </c>
      <c r="AQ87" s="20">
        <f>IF(AND(ISNUMBER(AC87),ISNUMBER(I87),I87&lt;&gt;0,AC87&gt;0),AC87/I87,"")</f>
        <v/>
      </c>
      <c r="AR87" s="17">
        <f>IF(AND(ISNUMBER(W87),ISNUMBER(Y87)),W87-IF(ISNUMBER(R87),R87,0)-(Y87-IF(ISNUMBER(T87),T87,0)),"")</f>
        <v/>
      </c>
      <c r="AS87" s="17">
        <f>IF(AND(ISNUMBER(X87),ISNUMBER(Z87)),X87-IF(ISNUMBER(S87),S87,0)-(Z87-IF(ISNUMBER(U87),U87,0)),"")</f>
        <v/>
      </c>
      <c r="AT87" s="17">
        <f>IF(AND(ISNUMBER(AR87),ISNUMBER(AS87)),AR87-AS87,"")</f>
        <v/>
      </c>
      <c r="AU87" s="17">
        <f>IF(E87="금융","",IF(AND(ISNUMBER(L87),ISNUMBER(M87),ISNUMBER(N87),ISNUMBER(AT87)),L87+M87-N87-AT87,IF(AND(ISNUMBER(O87),ISNUMBER(N87)),O87-N87,"")))</f>
        <v/>
      </c>
      <c r="AV87" s="8">
        <f>IF(E87="금융","금융업 - 정의되지 않음",IF(AND(ISNUMBER(L87),ISNUMBER(M87),ISNUMBER(N87),ISNUMBER(AT87)),"순이익+감가상각-설비투자-운전자본증감",IF(AND(ISNUMBER(O87),ISNUMBER(N87)),"영업현금흐름-설비투자","산출불가")))</f>
        <v/>
      </c>
      <c r="AW87" s="19">
        <f>IF(AND(ISNUMBER(AU87),ISNUMBER(G87),G87&lt;&gt;0),AU87/G87,"")</f>
        <v/>
      </c>
      <c r="AX87" s="19">
        <f>IF(AND(ISNUMBER(AC87),ISNUMBER(G87),G87&lt;&gt;0),AC87/G87,"")</f>
        <v/>
      </c>
    </row>
    <row r="88">
      <c r="A88" s="8" t="inlineStr">
        <is>
          <t>TSLA</t>
        </is>
      </c>
      <c r="B88" s="8" t="inlineStr">
        <is>
          <t>Tesla, Inc.</t>
        </is>
      </c>
      <c r="C88" s="8" t="n">
        <v>2015</v>
      </c>
      <c r="D88" s="8" t="inlineStr">
        <is>
          <t>2015-12-31</t>
        </is>
      </c>
      <c r="E88" s="8" t="inlineStr">
        <is>
          <t>일반</t>
        </is>
      </c>
      <c r="F88" s="8" t="inlineStr">
        <is>
          <t>0001564590-18-002956</t>
        </is>
      </c>
      <c r="G88" s="15" t="n">
        <v>4.046025</v>
      </c>
      <c r="H88" s="15" t="n">
        <v>-0.875624</v>
      </c>
      <c r="I88" s="15" t="n"/>
      <c r="J88" s="15" t="n">
        <v>0.013039</v>
      </c>
      <c r="K88" s="15" t="n">
        <v>-0.716629</v>
      </c>
      <c r="L88" s="15" t="n">
        <v>-0.888663</v>
      </c>
      <c r="M88" s="15" t="n"/>
      <c r="N88" s="15" t="n">
        <v>1.63485</v>
      </c>
      <c r="O88" s="15" t="n"/>
      <c r="P88" s="15" t="n">
        <v>1.083704</v>
      </c>
      <c r="Q88" s="15" t="n">
        <v>0.91171</v>
      </c>
      <c r="R88" s="15" t="n">
        <v>1.196908</v>
      </c>
      <c r="S88" s="15" t="n">
        <v>1.905713</v>
      </c>
      <c r="T88" s="15" t="n"/>
      <c r="U88" s="15" t="n"/>
      <c r="V88" s="15" t="n"/>
      <c r="W88" s="15" t="n">
        <v>2.782006</v>
      </c>
      <c r="X88" s="15" t="n">
        <v>3.180073</v>
      </c>
      <c r="Y88" s="15" t="n">
        <v>2.811035</v>
      </c>
      <c r="Z88" s="15" t="n">
        <v>2.107166</v>
      </c>
      <c r="AA88" s="15" t="n">
        <v>1.965792</v>
      </c>
      <c r="AB88" s="16" t="n">
        <v>1971.375</v>
      </c>
      <c r="AC88" s="17">
        <f>IF(AND(ISNUMBER(H88),ISNUMBER(I88)),H88+I88,IF(ISNUMBER(K88),K88,IF(ISNUMBER(H88),H88,"")))</f>
        <v/>
      </c>
      <c r="AD88" s="18">
        <f>IF(OR(NOT(ISNUMBER(J88)),NOT(ISNUMBER(H88)),H88&lt;=0),기준표!$B$8,MIN(MAX(J88/H88,기준표!$B$6),기준표!$B$7))</f>
        <v/>
      </c>
      <c r="AE88" s="17">
        <f>IF(ISNUMBER(AC88),AC88*(1-AD88),"")</f>
        <v/>
      </c>
      <c r="AF88" s="17">
        <f>IF(AND(NOT(ISNUMBER(T88)),NOT(ISNUMBER(V88))),"",IF(ISNUMBER(T88),T88,0)+IF(ISNUMBER(V88),V88,0))</f>
        <v/>
      </c>
      <c r="AG88" s="17">
        <f>IF(E88="금융","",IF(AND(ISNUMBER(P88),ISNUMBER(AF88),ISNUMBER(R88)),P88+AF88-R88,""))</f>
        <v/>
      </c>
      <c r="AH88" s="17">
        <f>IF(E88="금융","",IF(NOT(ISNUMBER(AG88)),"",IF(ISNUMBER(AA88),(AG88+AA88)/2,AG88)))</f>
        <v/>
      </c>
      <c r="AI88" s="19">
        <f>IF(AND(ISNUMBER(AE88),ISNUMBER(AH88),AH88&gt;0),AE88/AH88,"")</f>
        <v/>
      </c>
      <c r="AJ88" s="17">
        <f>IF(E88="금융","",IF(AND(ISNUMBER(P88),ISNUMBER(AF88)),P88+AF88,""))</f>
        <v/>
      </c>
      <c r="AK88" s="19">
        <f>IF(OR(NOT(ISNUMBER(AE88)),NOT(ISNUMBER(AJ88)),AJ88&lt;=0),"",IF(AND(ISNUMBER(G88),AJ88&lt;0.1*G88),"",AE88/AJ88))</f>
        <v/>
      </c>
      <c r="AL88" s="17">
        <f>IF(NOT(ISNUMBER(P88)),"",IF(ISNUMBER(Q88),(P88+Q88)/2,P88))</f>
        <v/>
      </c>
      <c r="AM88" s="19">
        <f>IF(AND(ISNUMBER(L88),ISNUMBER(AL88),AL88&gt;0),L88/AL88,"")</f>
        <v/>
      </c>
      <c r="AN88" s="19">
        <f>IF(AND(ISNUMBER(AM88),ISNUMBER({ROIC})),AM88-{ROIC},"")</f>
        <v/>
      </c>
      <c r="AO88" s="17">
        <f>IF(AND(ISNUMBER(AC88),ISNUMBER(M88)),AC88+M88,"")</f>
        <v/>
      </c>
      <c r="AP88" s="20">
        <f>IF(AND(ISNUMBER(AF88),ISNUMBER(R88),ISNUMBER(AO88),AO88&gt;0),(AF88-R88)/AO88,"")</f>
        <v/>
      </c>
      <c r="AQ88" s="20">
        <f>IF(AND(ISNUMBER(AC88),ISNUMBER(I88),I88&lt;&gt;0,AC88&gt;0),AC88/I88,"")</f>
        <v/>
      </c>
      <c r="AR88" s="17">
        <f>IF(AND(ISNUMBER(W88),ISNUMBER(Y88)),W88-IF(ISNUMBER(R88),R88,0)-(Y88-IF(ISNUMBER(T88),T88,0)),"")</f>
        <v/>
      </c>
      <c r="AS88" s="17">
        <f>IF(AND(ISNUMBER(X88),ISNUMBER(Z88)),X88-IF(ISNUMBER(S88),S88,0)-(Z88-IF(ISNUMBER(U88),U88,0)),"")</f>
        <v/>
      </c>
      <c r="AT88" s="17">
        <f>IF(AND(ISNUMBER(AR88),ISNUMBER(AS88)),AR88-AS88,"")</f>
        <v/>
      </c>
      <c r="AU88" s="17">
        <f>IF(E88="금융","",IF(AND(ISNUMBER(L88),ISNUMBER(M88),ISNUMBER(N88),ISNUMBER(AT88)),L88+M88-N88-AT88,IF(AND(ISNUMBER(O88),ISNUMBER(N88)),O88-N88,"")))</f>
        <v/>
      </c>
      <c r="AV88" s="8">
        <f>IF(E88="금융","금융업 - 정의되지 않음",IF(AND(ISNUMBER(L88),ISNUMBER(M88),ISNUMBER(N88),ISNUMBER(AT88)),"순이익+감가상각-설비투자-운전자본증감",IF(AND(ISNUMBER(O88),ISNUMBER(N88)),"영업현금흐름-설비투자","산출불가")))</f>
        <v/>
      </c>
      <c r="AW88" s="19">
        <f>IF(AND(ISNUMBER(AU88),ISNUMBER(G88),G88&lt;&gt;0),AU88/G88,"")</f>
        <v/>
      </c>
      <c r="AX88" s="19">
        <f>IF(AND(ISNUMBER(AC88),ISNUMBER(G88),G88&lt;&gt;0),AC88/G88,"")</f>
        <v/>
      </c>
    </row>
    <row r="89">
      <c r="A89" s="8" t="inlineStr">
        <is>
          <t>TSLA</t>
        </is>
      </c>
      <c r="B89" s="8" t="inlineStr">
        <is>
          <t>Tesla, Inc.</t>
        </is>
      </c>
      <c r="C89" s="8" t="n">
        <v>2016</v>
      </c>
      <c r="D89" s="8" t="inlineStr">
        <is>
          <t>2016-12-31</t>
        </is>
      </c>
      <c r="E89" s="8" t="inlineStr">
        <is>
          <t>일반</t>
        </is>
      </c>
      <c r="F89" s="8" t="inlineStr">
        <is>
          <t>0001564590-19-003165</t>
        </is>
      </c>
      <c r="G89" s="15" t="n">
        <v>7.000132</v>
      </c>
      <c r="H89" s="15" t="n">
        <v>-0.746348</v>
      </c>
      <c r="I89" s="15" t="n"/>
      <c r="J89" s="15" t="n">
        <v>0.026698</v>
      </c>
      <c r="K89" s="15" t="n">
        <v>-0.66734</v>
      </c>
      <c r="L89" s="15" t="n">
        <v>-0.674914</v>
      </c>
      <c r="M89" s="15" t="n">
        <v>0.4773</v>
      </c>
      <c r="N89" s="15" t="n">
        <v>1.280802</v>
      </c>
      <c r="O89" s="15" t="n">
        <v>-0.123829</v>
      </c>
      <c r="P89" s="15" t="n">
        <v>4.752911</v>
      </c>
      <c r="Q89" s="15" t="n">
        <v>1.083704</v>
      </c>
      <c r="R89" s="15" t="n">
        <v>3.393</v>
      </c>
      <c r="S89" s="15" t="n">
        <v>1.196908</v>
      </c>
      <c r="T89" s="15" t="n">
        <v>1.114652</v>
      </c>
      <c r="U89" s="15" t="n"/>
      <c r="V89" s="15" t="n">
        <v>5.892016</v>
      </c>
      <c r="W89" s="15" t="n">
        <v>6.259796</v>
      </c>
      <c r="X89" s="15" t="n">
        <v>2.782006</v>
      </c>
      <c r="Y89" s="15" t="n">
        <v>5.827005</v>
      </c>
      <c r="Z89" s="15" t="n">
        <v>2.811035</v>
      </c>
      <c r="AA89" s="15" t="n"/>
      <c r="AB89" s="16" t="n">
        <v>2423.415</v>
      </c>
      <c r="AC89" s="17">
        <f>IF(AND(ISNUMBER(H89),ISNUMBER(I89)),H89+I89,IF(ISNUMBER(K89),K89,IF(ISNUMBER(H89),H89,"")))</f>
        <v/>
      </c>
      <c r="AD89" s="18">
        <f>IF(OR(NOT(ISNUMBER(J89)),NOT(ISNUMBER(H89)),H89&lt;=0),기준표!$B$8,MIN(MAX(J89/H89,기준표!$B$6),기준표!$B$7))</f>
        <v/>
      </c>
      <c r="AE89" s="17">
        <f>IF(ISNUMBER(AC89),AC89*(1-AD89),"")</f>
        <v/>
      </c>
      <c r="AF89" s="17">
        <f>IF(AND(NOT(ISNUMBER(T89)),NOT(ISNUMBER(V89))),"",IF(ISNUMBER(T89),T89,0)+IF(ISNUMBER(V89),V89,0))</f>
        <v/>
      </c>
      <c r="AG89" s="17">
        <f>IF(E89="금융","",IF(AND(ISNUMBER(P89),ISNUMBER(AF89),ISNUMBER(R89)),P89+AF89-R89,""))</f>
        <v/>
      </c>
      <c r="AH89" s="17">
        <f>IF(E89="금융","",IF(NOT(ISNUMBER(AG89)),"",IF(ISNUMBER(AA89),(AG89+AA89)/2,AG89)))</f>
        <v/>
      </c>
      <c r="AI89" s="19">
        <f>IF(AND(ISNUMBER(AE89),ISNUMBER(AH89),AH89&gt;0),AE89/AH89,"")</f>
        <v/>
      </c>
      <c r="AJ89" s="17">
        <f>IF(E89="금융","",IF(AND(ISNUMBER(P89),ISNUMBER(AF89)),P89+AF89,""))</f>
        <v/>
      </c>
      <c r="AK89" s="19">
        <f>IF(OR(NOT(ISNUMBER(AE89)),NOT(ISNUMBER(AJ89)),AJ89&lt;=0),"",IF(AND(ISNUMBER(G89),AJ89&lt;0.1*G89),"",AE89/AJ89))</f>
        <v/>
      </c>
      <c r="AL89" s="17">
        <f>IF(NOT(ISNUMBER(P89)),"",IF(ISNUMBER(Q89),(P89+Q89)/2,P89))</f>
        <v/>
      </c>
      <c r="AM89" s="19">
        <f>IF(AND(ISNUMBER(L89),ISNUMBER(AL89),AL89&gt;0),L89/AL89,"")</f>
        <v/>
      </c>
      <c r="AN89" s="19">
        <f>IF(AND(ISNUMBER(AM89),ISNUMBER({ROIC})),AM89-{ROIC},"")</f>
        <v/>
      </c>
      <c r="AO89" s="17">
        <f>IF(AND(ISNUMBER(AC89),ISNUMBER(M89)),AC89+M89,"")</f>
        <v/>
      </c>
      <c r="AP89" s="20">
        <f>IF(AND(ISNUMBER(AF89),ISNUMBER(R89),ISNUMBER(AO89),AO89&gt;0),(AF89-R89)/AO89,"")</f>
        <v/>
      </c>
      <c r="AQ89" s="20">
        <f>IF(AND(ISNUMBER(AC89),ISNUMBER(I89),I89&lt;&gt;0,AC89&gt;0),AC89/I89,"")</f>
        <v/>
      </c>
      <c r="AR89" s="17">
        <f>IF(AND(ISNUMBER(W89),ISNUMBER(Y89)),W89-IF(ISNUMBER(R89),R89,0)-(Y89-IF(ISNUMBER(T89),T89,0)),"")</f>
        <v/>
      </c>
      <c r="AS89" s="17">
        <f>IF(AND(ISNUMBER(X89),ISNUMBER(Z89)),X89-IF(ISNUMBER(S89),S89,0)-(Z89-IF(ISNUMBER(U89),U89,0)),"")</f>
        <v/>
      </c>
      <c r="AT89" s="17">
        <f>IF(AND(ISNUMBER(AR89),ISNUMBER(AS89)),AR89-AS89,"")</f>
        <v/>
      </c>
      <c r="AU89" s="17">
        <f>IF(E89="금융","",IF(AND(ISNUMBER(L89),ISNUMBER(M89),ISNUMBER(N89),ISNUMBER(AT89)),L89+M89-N89-AT89,IF(AND(ISNUMBER(O89),ISNUMBER(N89)),O89-N89,"")))</f>
        <v/>
      </c>
      <c r="AV89" s="8">
        <f>IF(E89="금융","금융업 - 정의되지 않음",IF(AND(ISNUMBER(L89),ISNUMBER(M89),ISNUMBER(N89),ISNUMBER(AT89)),"순이익+감가상각-설비투자-운전자본증감",IF(AND(ISNUMBER(O89),ISNUMBER(N89)),"영업현금흐름-설비투자","산출불가")))</f>
        <v/>
      </c>
      <c r="AW89" s="19">
        <f>IF(AND(ISNUMBER(AU89),ISNUMBER(G89),G89&lt;&gt;0),AU89/G89,"")</f>
        <v/>
      </c>
      <c r="AX89" s="19">
        <f>IF(AND(ISNUMBER(AC89),ISNUMBER(G89),G89&lt;&gt;0),AC89/G89,"")</f>
        <v/>
      </c>
    </row>
    <row r="90">
      <c r="A90" s="8" t="inlineStr">
        <is>
          <t>TSLA</t>
        </is>
      </c>
      <c r="B90" s="8" t="inlineStr">
        <is>
          <t>Tesla, Inc.</t>
        </is>
      </c>
      <c r="C90" s="8" t="n">
        <v>2017</v>
      </c>
      <c r="D90" s="8" t="inlineStr">
        <is>
          <t>2017-12-31</t>
        </is>
      </c>
      <c r="E90" s="8" t="inlineStr">
        <is>
          <t>일반</t>
        </is>
      </c>
      <c r="F90" s="8" t="inlineStr">
        <is>
          <t>0001564590-20-004475</t>
        </is>
      </c>
      <c r="G90" s="15" t="n">
        <v>11.759</v>
      </c>
      <c r="H90" s="15" t="n">
        <v>-2.209</v>
      </c>
      <c r="I90" s="15" t="n"/>
      <c r="J90" s="15" t="n">
        <v>0.032</v>
      </c>
      <c r="K90" s="15" t="n">
        <v>-1.632</v>
      </c>
      <c r="L90" s="15" t="n">
        <v>-1.962</v>
      </c>
      <c r="M90" s="15" t="n">
        <v>0.769</v>
      </c>
      <c r="N90" s="15" t="n">
        <v>3.415</v>
      </c>
      <c r="O90" s="15" t="n">
        <v>-0.061</v>
      </c>
      <c r="P90" s="15" t="n">
        <v>4.237242</v>
      </c>
      <c r="Q90" s="15" t="n">
        <v>4.752911</v>
      </c>
      <c r="R90" s="15" t="n">
        <v>3.368</v>
      </c>
      <c r="S90" s="15" t="n">
        <v>3.393</v>
      </c>
      <c r="T90" s="15" t="n">
        <v>0.799849</v>
      </c>
      <c r="U90" s="15" t="n">
        <v>1.114652</v>
      </c>
      <c r="V90" s="15" t="n">
        <v>8.828984999999999</v>
      </c>
      <c r="W90" s="15" t="n">
        <v>6.57052</v>
      </c>
      <c r="X90" s="15" t="n">
        <v>6.259796</v>
      </c>
      <c r="Y90" s="15" t="n">
        <v>7.67467</v>
      </c>
      <c r="Z90" s="15" t="n">
        <v>5.827005</v>
      </c>
      <c r="AA90" s="15" t="n">
        <v>8.366579</v>
      </c>
      <c r="AB90" s="16" t="n">
        <v>2531.955</v>
      </c>
      <c r="AC90" s="17">
        <f>IF(AND(ISNUMBER(H90),ISNUMBER(I90)),H90+I90,IF(ISNUMBER(K90),K90,IF(ISNUMBER(H90),H90,"")))</f>
        <v/>
      </c>
      <c r="AD90" s="18">
        <f>IF(OR(NOT(ISNUMBER(J90)),NOT(ISNUMBER(H90)),H90&lt;=0),기준표!$B$8,MIN(MAX(J90/H90,기준표!$B$6),기준표!$B$7))</f>
        <v/>
      </c>
      <c r="AE90" s="17">
        <f>IF(ISNUMBER(AC90),AC90*(1-AD90),"")</f>
        <v/>
      </c>
      <c r="AF90" s="17">
        <f>IF(AND(NOT(ISNUMBER(T90)),NOT(ISNUMBER(V90))),"",IF(ISNUMBER(T90),T90,0)+IF(ISNUMBER(V90),V90,0))</f>
        <v/>
      </c>
      <c r="AG90" s="17">
        <f>IF(E90="금융","",IF(AND(ISNUMBER(P90),ISNUMBER(AF90),ISNUMBER(R90)),P90+AF90-R90,""))</f>
        <v/>
      </c>
      <c r="AH90" s="17">
        <f>IF(E90="금융","",IF(NOT(ISNUMBER(AG90)),"",IF(ISNUMBER(AA90),(AG90+AA90)/2,AG90)))</f>
        <v/>
      </c>
      <c r="AI90" s="19">
        <f>IF(AND(ISNUMBER(AE90),ISNUMBER(AH90),AH90&gt;0),AE90/AH90,"")</f>
        <v/>
      </c>
      <c r="AJ90" s="17">
        <f>IF(E90="금융","",IF(AND(ISNUMBER(P90),ISNUMBER(AF90)),P90+AF90,""))</f>
        <v/>
      </c>
      <c r="AK90" s="19">
        <f>IF(OR(NOT(ISNUMBER(AE90)),NOT(ISNUMBER(AJ90)),AJ90&lt;=0),"",IF(AND(ISNUMBER(G90),AJ90&lt;0.1*G90),"",AE90/AJ90))</f>
        <v/>
      </c>
      <c r="AL90" s="17">
        <f>IF(NOT(ISNUMBER(P90)),"",IF(ISNUMBER(Q90),(P90+Q90)/2,P90))</f>
        <v/>
      </c>
      <c r="AM90" s="19">
        <f>IF(AND(ISNUMBER(L90),ISNUMBER(AL90),AL90&gt;0),L90/AL90,"")</f>
        <v/>
      </c>
      <c r="AN90" s="19">
        <f>IF(AND(ISNUMBER(AM90),ISNUMBER({ROIC})),AM90-{ROIC},"")</f>
        <v/>
      </c>
      <c r="AO90" s="17">
        <f>IF(AND(ISNUMBER(AC90),ISNUMBER(M90)),AC90+M90,"")</f>
        <v/>
      </c>
      <c r="AP90" s="20">
        <f>IF(AND(ISNUMBER(AF90),ISNUMBER(R90),ISNUMBER(AO90),AO90&gt;0),(AF90-R90)/AO90,"")</f>
        <v/>
      </c>
      <c r="AQ90" s="20">
        <f>IF(AND(ISNUMBER(AC90),ISNUMBER(I90),I90&lt;&gt;0,AC90&gt;0),AC90/I90,"")</f>
        <v/>
      </c>
      <c r="AR90" s="17">
        <f>IF(AND(ISNUMBER(W90),ISNUMBER(Y90)),W90-IF(ISNUMBER(R90),R90,0)-(Y90-IF(ISNUMBER(T90),T90,0)),"")</f>
        <v/>
      </c>
      <c r="AS90" s="17">
        <f>IF(AND(ISNUMBER(X90),ISNUMBER(Z90)),X90-IF(ISNUMBER(S90),S90,0)-(Z90-IF(ISNUMBER(U90),U90,0)),"")</f>
        <v/>
      </c>
      <c r="AT90" s="17">
        <f>IF(AND(ISNUMBER(AR90),ISNUMBER(AS90)),AR90-AS90,"")</f>
        <v/>
      </c>
      <c r="AU90" s="17">
        <f>IF(E90="금융","",IF(AND(ISNUMBER(L90),ISNUMBER(M90),ISNUMBER(N90),ISNUMBER(AT90)),L90+M90-N90-AT90,IF(AND(ISNUMBER(O90),ISNUMBER(N90)),O90-N90,"")))</f>
        <v/>
      </c>
      <c r="AV90" s="8">
        <f>IF(E90="금융","금융업 - 정의되지 않음",IF(AND(ISNUMBER(L90),ISNUMBER(M90),ISNUMBER(N90),ISNUMBER(AT90)),"순이익+감가상각-설비투자-운전자본증감",IF(AND(ISNUMBER(O90),ISNUMBER(N90)),"영업현금흐름-설비투자","산출불가")))</f>
        <v/>
      </c>
      <c r="AW90" s="19">
        <f>IF(AND(ISNUMBER(AU90),ISNUMBER(G90),G90&lt;&gt;0),AU90/G90,"")</f>
        <v/>
      </c>
      <c r="AX90" s="19">
        <f>IF(AND(ISNUMBER(AC90),ISNUMBER(G90),G90&lt;&gt;0),AC90/G90,"")</f>
        <v/>
      </c>
    </row>
    <row r="91">
      <c r="A91" s="8" t="inlineStr">
        <is>
          <t>TSLA</t>
        </is>
      </c>
      <c r="B91" s="8" t="inlineStr">
        <is>
          <t>Tesla, Inc.</t>
        </is>
      </c>
      <c r="C91" s="8" t="n">
        <v>2018</v>
      </c>
      <c r="D91" s="8" t="inlineStr">
        <is>
          <t>2018-12-31</t>
        </is>
      </c>
      <c r="E91" s="8" t="inlineStr">
        <is>
          <t>일반</t>
        </is>
      </c>
      <c r="F91" s="8" t="inlineStr">
        <is>
          <t>0001564590-21-004599</t>
        </is>
      </c>
      <c r="G91" s="15" t="n">
        <v>21.461</v>
      </c>
      <c r="H91" s="15" t="n">
        <v>-1.005</v>
      </c>
      <c r="I91" s="15" t="n"/>
      <c r="J91" s="15" t="n">
        <v>0.058</v>
      </c>
      <c r="K91" s="15" t="n">
        <v>-0.388</v>
      </c>
      <c r="L91" s="15" t="n">
        <v>-0.976</v>
      </c>
      <c r="M91" s="15" t="n">
        <v>1.11</v>
      </c>
      <c r="N91" s="15" t="n">
        <v>2.101</v>
      </c>
      <c r="O91" s="15" t="n">
        <v>2.098</v>
      </c>
      <c r="P91" s="15" t="n">
        <v>4.923</v>
      </c>
      <c r="Q91" s="15" t="n">
        <v>4.237242</v>
      </c>
      <c r="R91" s="15" t="n">
        <v>3.686</v>
      </c>
      <c r="S91" s="15" t="n">
        <v>3.368</v>
      </c>
      <c r="T91" s="15" t="n">
        <v>2.222</v>
      </c>
      <c r="U91" s="15" t="n">
        <v>0.799849</v>
      </c>
      <c r="V91" s="15" t="n">
        <v>8.411</v>
      </c>
      <c r="W91" s="15" t="n">
        <v>8.307</v>
      </c>
      <c r="X91" s="15" t="n">
        <v>6.57052</v>
      </c>
      <c r="Y91" s="15" t="n">
        <v>9.993</v>
      </c>
      <c r="Z91" s="15" t="n">
        <v>7.67467</v>
      </c>
      <c r="AA91" s="15" t="n">
        <v>10.498076</v>
      </c>
      <c r="AB91" s="16" t="n">
        <v>2595</v>
      </c>
      <c r="AC91" s="17">
        <f>IF(AND(ISNUMBER(H91),ISNUMBER(I91)),H91+I91,IF(ISNUMBER(K91),K91,IF(ISNUMBER(H91),H91,"")))</f>
        <v/>
      </c>
      <c r="AD91" s="18">
        <f>IF(OR(NOT(ISNUMBER(J91)),NOT(ISNUMBER(H91)),H91&lt;=0),기준표!$B$8,MIN(MAX(J91/H91,기준표!$B$6),기준표!$B$7))</f>
        <v/>
      </c>
      <c r="AE91" s="17">
        <f>IF(ISNUMBER(AC91),AC91*(1-AD91),"")</f>
        <v/>
      </c>
      <c r="AF91" s="17">
        <f>IF(AND(NOT(ISNUMBER(T91)),NOT(ISNUMBER(V91))),"",IF(ISNUMBER(T91),T91,0)+IF(ISNUMBER(V91),V91,0))</f>
        <v/>
      </c>
      <c r="AG91" s="17">
        <f>IF(E91="금융","",IF(AND(ISNUMBER(P91),ISNUMBER(AF91),ISNUMBER(R91)),P91+AF91-R91,""))</f>
        <v/>
      </c>
      <c r="AH91" s="17">
        <f>IF(E91="금융","",IF(NOT(ISNUMBER(AG91)),"",IF(ISNUMBER(AA91),(AG91+AA91)/2,AG91)))</f>
        <v/>
      </c>
      <c r="AI91" s="19">
        <f>IF(AND(ISNUMBER(AE91),ISNUMBER(AH91),AH91&gt;0),AE91/AH91,"")</f>
        <v/>
      </c>
      <c r="AJ91" s="17">
        <f>IF(E91="금융","",IF(AND(ISNUMBER(P91),ISNUMBER(AF91)),P91+AF91,""))</f>
        <v/>
      </c>
      <c r="AK91" s="19">
        <f>IF(OR(NOT(ISNUMBER(AE91)),NOT(ISNUMBER(AJ91)),AJ91&lt;=0),"",IF(AND(ISNUMBER(G91),AJ91&lt;0.1*G91),"",AE91/AJ91))</f>
        <v/>
      </c>
      <c r="AL91" s="17">
        <f>IF(NOT(ISNUMBER(P91)),"",IF(ISNUMBER(Q91),(P91+Q91)/2,P91))</f>
        <v/>
      </c>
      <c r="AM91" s="19">
        <f>IF(AND(ISNUMBER(L91),ISNUMBER(AL91),AL91&gt;0),L91/AL91,"")</f>
        <v/>
      </c>
      <c r="AN91" s="19">
        <f>IF(AND(ISNUMBER(AM91),ISNUMBER({ROIC})),AM91-{ROIC},"")</f>
        <v/>
      </c>
      <c r="AO91" s="17">
        <f>IF(AND(ISNUMBER(AC91),ISNUMBER(M91)),AC91+M91,"")</f>
        <v/>
      </c>
      <c r="AP91" s="20">
        <f>IF(AND(ISNUMBER(AF91),ISNUMBER(R91),ISNUMBER(AO91),AO91&gt;0),(AF91-R91)/AO91,"")</f>
        <v/>
      </c>
      <c r="AQ91" s="20">
        <f>IF(AND(ISNUMBER(AC91),ISNUMBER(I91),I91&lt;&gt;0,AC91&gt;0),AC91/I91,"")</f>
        <v/>
      </c>
      <c r="AR91" s="17">
        <f>IF(AND(ISNUMBER(W91),ISNUMBER(Y91)),W91-IF(ISNUMBER(R91),R91,0)-(Y91-IF(ISNUMBER(T91),T91,0)),"")</f>
        <v/>
      </c>
      <c r="AS91" s="17">
        <f>IF(AND(ISNUMBER(X91),ISNUMBER(Z91)),X91-IF(ISNUMBER(S91),S91,0)-(Z91-IF(ISNUMBER(U91),U91,0)),"")</f>
        <v/>
      </c>
      <c r="AT91" s="17">
        <f>IF(AND(ISNUMBER(AR91),ISNUMBER(AS91)),AR91-AS91,"")</f>
        <v/>
      </c>
      <c r="AU91" s="17">
        <f>IF(E91="금융","",IF(AND(ISNUMBER(L91),ISNUMBER(M91),ISNUMBER(N91),ISNUMBER(AT91)),L91+M91-N91-AT91,IF(AND(ISNUMBER(O91),ISNUMBER(N91)),O91-N91,"")))</f>
        <v/>
      </c>
      <c r="AV91" s="8">
        <f>IF(E91="금융","금융업 - 정의되지 않음",IF(AND(ISNUMBER(L91),ISNUMBER(M91),ISNUMBER(N91),ISNUMBER(AT91)),"순이익+감가상각-설비투자-운전자본증감",IF(AND(ISNUMBER(O91),ISNUMBER(N91)),"영업현금흐름-설비투자","산출불가")))</f>
        <v/>
      </c>
      <c r="AW91" s="19">
        <f>IF(AND(ISNUMBER(AU91),ISNUMBER(G91),G91&lt;&gt;0),AU91/G91,"")</f>
        <v/>
      </c>
      <c r="AX91" s="19">
        <f>IF(AND(ISNUMBER(AC91),ISNUMBER(G91),G91&lt;&gt;0),AC91/G91,"")</f>
        <v/>
      </c>
    </row>
    <row r="92">
      <c r="A92" s="8" t="inlineStr">
        <is>
          <t>TSLA</t>
        </is>
      </c>
      <c r="B92" s="8" t="inlineStr">
        <is>
          <t>Tesla, Inc.</t>
        </is>
      </c>
      <c r="C92" s="8" t="n">
        <v>2019</v>
      </c>
      <c r="D92" s="8" t="inlineStr">
        <is>
          <t>2019-12-31</t>
        </is>
      </c>
      <c r="E92" s="8" t="inlineStr">
        <is>
          <t>일반</t>
        </is>
      </c>
      <c r="F92" s="8" t="inlineStr">
        <is>
          <t>0000950170-22-000796</t>
        </is>
      </c>
      <c r="G92" s="15" t="n">
        <v>24.578</v>
      </c>
      <c r="H92" s="15" t="n">
        <v>-0.665</v>
      </c>
      <c r="I92" s="15" t="n"/>
      <c r="J92" s="15" t="n">
        <v>0.11</v>
      </c>
      <c r="K92" s="15" t="n">
        <v>-0.06900000000000001</v>
      </c>
      <c r="L92" s="15" t="n">
        <v>-0.862</v>
      </c>
      <c r="M92" s="15" t="n">
        <v>1.37</v>
      </c>
      <c r="N92" s="15" t="n">
        <v>1.327</v>
      </c>
      <c r="O92" s="15" t="n">
        <v>2.405</v>
      </c>
      <c r="P92" s="15" t="n">
        <v>6.618</v>
      </c>
      <c r="Q92" s="15" t="n">
        <v>4.923</v>
      </c>
      <c r="R92" s="15" t="n">
        <v>6.268</v>
      </c>
      <c r="S92" s="15" t="n">
        <v>3.686</v>
      </c>
      <c r="T92" s="15" t="n">
        <v>1.399</v>
      </c>
      <c r="U92" s="15" t="n">
        <v>2.222</v>
      </c>
      <c r="V92" s="15" t="n">
        <v>10.402</v>
      </c>
      <c r="W92" s="15" t="n">
        <v>12.103</v>
      </c>
      <c r="X92" s="15" t="n">
        <v>8.307</v>
      </c>
      <c r="Y92" s="15" t="n">
        <v>10.667</v>
      </c>
      <c r="Z92" s="15" t="n">
        <v>9.993</v>
      </c>
      <c r="AA92" s="15" t="n">
        <v>11.87</v>
      </c>
      <c r="AB92" s="16" t="n">
        <v>2715</v>
      </c>
      <c r="AC92" s="17">
        <f>IF(AND(ISNUMBER(H92),ISNUMBER(I92)),H92+I92,IF(ISNUMBER(K92),K92,IF(ISNUMBER(H92),H92,"")))</f>
        <v/>
      </c>
      <c r="AD92" s="18">
        <f>IF(OR(NOT(ISNUMBER(J92)),NOT(ISNUMBER(H92)),H92&lt;=0),기준표!$B$8,MIN(MAX(J92/H92,기준표!$B$6),기준표!$B$7))</f>
        <v/>
      </c>
      <c r="AE92" s="17">
        <f>IF(ISNUMBER(AC92),AC92*(1-AD92),"")</f>
        <v/>
      </c>
      <c r="AF92" s="17">
        <f>IF(AND(NOT(ISNUMBER(T92)),NOT(ISNUMBER(V92))),"",IF(ISNUMBER(T92),T92,0)+IF(ISNUMBER(V92),V92,0))</f>
        <v/>
      </c>
      <c r="AG92" s="17">
        <f>IF(E92="금융","",IF(AND(ISNUMBER(P92),ISNUMBER(AF92),ISNUMBER(R92)),P92+AF92-R92,""))</f>
        <v/>
      </c>
      <c r="AH92" s="17">
        <f>IF(E92="금융","",IF(NOT(ISNUMBER(AG92)),"",IF(ISNUMBER(AA92),(AG92+AA92)/2,AG92)))</f>
        <v/>
      </c>
      <c r="AI92" s="19">
        <f>IF(AND(ISNUMBER(AE92),ISNUMBER(AH92),AH92&gt;0),AE92/AH92,"")</f>
        <v/>
      </c>
      <c r="AJ92" s="17">
        <f>IF(E92="금융","",IF(AND(ISNUMBER(P92),ISNUMBER(AF92)),P92+AF92,""))</f>
        <v/>
      </c>
      <c r="AK92" s="19">
        <f>IF(OR(NOT(ISNUMBER(AE92)),NOT(ISNUMBER(AJ92)),AJ92&lt;=0),"",IF(AND(ISNUMBER(G92),AJ92&lt;0.1*G92),"",AE92/AJ92))</f>
        <v/>
      </c>
      <c r="AL92" s="17">
        <f>IF(NOT(ISNUMBER(P92)),"",IF(ISNUMBER(Q92),(P92+Q92)/2,P92))</f>
        <v/>
      </c>
      <c r="AM92" s="19">
        <f>IF(AND(ISNUMBER(L92),ISNUMBER(AL92),AL92&gt;0),L92/AL92,"")</f>
        <v/>
      </c>
      <c r="AN92" s="19">
        <f>IF(AND(ISNUMBER(AM92),ISNUMBER({ROIC})),AM92-{ROIC},"")</f>
        <v/>
      </c>
      <c r="AO92" s="17">
        <f>IF(AND(ISNUMBER(AC92),ISNUMBER(M92)),AC92+M92,"")</f>
        <v/>
      </c>
      <c r="AP92" s="20">
        <f>IF(AND(ISNUMBER(AF92),ISNUMBER(R92),ISNUMBER(AO92),AO92&gt;0),(AF92-R92)/AO92,"")</f>
        <v/>
      </c>
      <c r="AQ92" s="20">
        <f>IF(AND(ISNUMBER(AC92),ISNUMBER(I92),I92&lt;&gt;0,AC92&gt;0),AC92/I92,"")</f>
        <v/>
      </c>
      <c r="AR92" s="17">
        <f>IF(AND(ISNUMBER(W92),ISNUMBER(Y92)),W92-IF(ISNUMBER(R92),R92,0)-(Y92-IF(ISNUMBER(T92),T92,0)),"")</f>
        <v/>
      </c>
      <c r="AS92" s="17">
        <f>IF(AND(ISNUMBER(X92),ISNUMBER(Z92)),X92-IF(ISNUMBER(S92),S92,0)-(Z92-IF(ISNUMBER(U92),U92,0)),"")</f>
        <v/>
      </c>
      <c r="AT92" s="17">
        <f>IF(AND(ISNUMBER(AR92),ISNUMBER(AS92)),AR92-AS92,"")</f>
        <v/>
      </c>
      <c r="AU92" s="17">
        <f>IF(E92="금융","",IF(AND(ISNUMBER(L92),ISNUMBER(M92),ISNUMBER(N92),ISNUMBER(AT92)),L92+M92-N92-AT92,IF(AND(ISNUMBER(O92),ISNUMBER(N92)),O92-N92,"")))</f>
        <v/>
      </c>
      <c r="AV92" s="8">
        <f>IF(E92="금융","금융업 - 정의되지 않음",IF(AND(ISNUMBER(L92),ISNUMBER(M92),ISNUMBER(N92),ISNUMBER(AT92)),"순이익+감가상각-설비투자-운전자본증감",IF(AND(ISNUMBER(O92),ISNUMBER(N92)),"영업현금흐름-설비투자","산출불가")))</f>
        <v/>
      </c>
      <c r="AW92" s="19">
        <f>IF(AND(ISNUMBER(AU92),ISNUMBER(G92),G92&lt;&gt;0),AU92/G92,"")</f>
        <v/>
      </c>
      <c r="AX92" s="19">
        <f>IF(AND(ISNUMBER(AC92),ISNUMBER(G92),G92&lt;&gt;0),AC92/G92,"")</f>
        <v/>
      </c>
    </row>
    <row r="93">
      <c r="A93" s="8" t="inlineStr">
        <is>
          <t>TSLA</t>
        </is>
      </c>
      <c r="B93" s="8" t="inlineStr">
        <is>
          <t>Tesla, Inc.</t>
        </is>
      </c>
      <c r="C93" s="8" t="n">
        <v>2020</v>
      </c>
      <c r="D93" s="8" t="inlineStr">
        <is>
          <t>2020-12-31</t>
        </is>
      </c>
      <c r="E93" s="8" t="inlineStr">
        <is>
          <t>일반</t>
        </is>
      </c>
      <c r="F93" s="8" t="inlineStr">
        <is>
          <t>0000950170-23-001409</t>
        </is>
      </c>
      <c r="G93" s="15" t="n">
        <v>31.536</v>
      </c>
      <c r="H93" s="15" t="n">
        <v>1.154</v>
      </c>
      <c r="I93" s="15" t="n"/>
      <c r="J93" s="15" t="n">
        <v>0.292</v>
      </c>
      <c r="K93" s="15" t="n">
        <v>1.994</v>
      </c>
      <c r="L93" s="15" t="n">
        <v>0.721</v>
      </c>
      <c r="M93" s="15" t="n">
        <v>1.57</v>
      </c>
      <c r="N93" s="15" t="n">
        <v>3.157</v>
      </c>
      <c r="O93" s="15" t="n">
        <v>5.943</v>
      </c>
      <c r="P93" s="15" t="n">
        <v>22.225</v>
      </c>
      <c r="Q93" s="15" t="n">
        <v>6.618</v>
      </c>
      <c r="R93" s="15" t="n">
        <v>19.384</v>
      </c>
      <c r="S93" s="15" t="n">
        <v>6.268</v>
      </c>
      <c r="T93" s="15" t="n">
        <v>1.758</v>
      </c>
      <c r="U93" s="15" t="n">
        <v>1.399</v>
      </c>
      <c r="V93" s="15" t="n">
        <v>8.462</v>
      </c>
      <c r="W93" s="15" t="n">
        <v>26.717</v>
      </c>
      <c r="X93" s="15" t="n">
        <v>12.103</v>
      </c>
      <c r="Y93" s="15" t="n">
        <v>14.248</v>
      </c>
      <c r="Z93" s="15" t="n">
        <v>10.667</v>
      </c>
      <c r="AA93" s="15" t="n">
        <v>12.151</v>
      </c>
      <c r="AB93" s="16" t="n">
        <v>2880</v>
      </c>
      <c r="AC93" s="17">
        <f>IF(AND(ISNUMBER(H93),ISNUMBER(I93)),H93+I93,IF(ISNUMBER(K93),K93,IF(ISNUMBER(H93),H93,"")))</f>
        <v/>
      </c>
      <c r="AD93" s="18">
        <f>IF(OR(NOT(ISNUMBER(J93)),NOT(ISNUMBER(H93)),H93&lt;=0),기준표!$B$8,MIN(MAX(J93/H93,기준표!$B$6),기준표!$B$7))</f>
        <v/>
      </c>
      <c r="AE93" s="17">
        <f>IF(ISNUMBER(AC93),AC93*(1-AD93),"")</f>
        <v/>
      </c>
      <c r="AF93" s="17">
        <f>IF(AND(NOT(ISNUMBER(T93)),NOT(ISNUMBER(V93))),"",IF(ISNUMBER(T93),T93,0)+IF(ISNUMBER(V93),V93,0))</f>
        <v/>
      </c>
      <c r="AG93" s="17">
        <f>IF(E93="금융","",IF(AND(ISNUMBER(P93),ISNUMBER(AF93),ISNUMBER(R93)),P93+AF93-R93,""))</f>
        <v/>
      </c>
      <c r="AH93" s="17">
        <f>IF(E93="금융","",IF(NOT(ISNUMBER(AG93)),"",IF(ISNUMBER(AA93),(AG93+AA93)/2,AG93)))</f>
        <v/>
      </c>
      <c r="AI93" s="19">
        <f>IF(AND(ISNUMBER(AE93),ISNUMBER(AH93),AH93&gt;0),AE93/AH93,"")</f>
        <v/>
      </c>
      <c r="AJ93" s="17">
        <f>IF(E93="금융","",IF(AND(ISNUMBER(P93),ISNUMBER(AF93)),P93+AF93,""))</f>
        <v/>
      </c>
      <c r="AK93" s="19">
        <f>IF(OR(NOT(ISNUMBER(AE93)),NOT(ISNUMBER(AJ93)),AJ93&lt;=0),"",IF(AND(ISNUMBER(G93),AJ93&lt;0.1*G93),"",AE93/AJ93))</f>
        <v/>
      </c>
      <c r="AL93" s="17">
        <f>IF(NOT(ISNUMBER(P93)),"",IF(ISNUMBER(Q93),(P93+Q93)/2,P93))</f>
        <v/>
      </c>
      <c r="AM93" s="19">
        <f>IF(AND(ISNUMBER(L93),ISNUMBER(AL93),AL93&gt;0),L93/AL93,"")</f>
        <v/>
      </c>
      <c r="AN93" s="19">
        <f>IF(AND(ISNUMBER(AM93),ISNUMBER({ROIC})),AM93-{ROIC},"")</f>
        <v/>
      </c>
      <c r="AO93" s="17">
        <f>IF(AND(ISNUMBER(AC93),ISNUMBER(M93)),AC93+M93,"")</f>
        <v/>
      </c>
      <c r="AP93" s="20">
        <f>IF(AND(ISNUMBER(AF93),ISNUMBER(R93),ISNUMBER(AO93),AO93&gt;0),(AF93-R93)/AO93,"")</f>
        <v/>
      </c>
      <c r="AQ93" s="20">
        <f>IF(AND(ISNUMBER(AC93),ISNUMBER(I93),I93&lt;&gt;0,AC93&gt;0),AC93/I93,"")</f>
        <v/>
      </c>
      <c r="AR93" s="17">
        <f>IF(AND(ISNUMBER(W93),ISNUMBER(Y93)),W93-IF(ISNUMBER(R93),R93,0)-(Y93-IF(ISNUMBER(T93),T93,0)),"")</f>
        <v/>
      </c>
      <c r="AS93" s="17">
        <f>IF(AND(ISNUMBER(X93),ISNUMBER(Z93)),X93-IF(ISNUMBER(S93),S93,0)-(Z93-IF(ISNUMBER(U93),U93,0)),"")</f>
        <v/>
      </c>
      <c r="AT93" s="17">
        <f>IF(AND(ISNUMBER(AR93),ISNUMBER(AS93)),AR93-AS93,"")</f>
        <v/>
      </c>
      <c r="AU93" s="17">
        <f>IF(E93="금융","",IF(AND(ISNUMBER(L93),ISNUMBER(M93),ISNUMBER(N93),ISNUMBER(AT93)),L93+M93-N93-AT93,IF(AND(ISNUMBER(O93),ISNUMBER(N93)),O93-N93,"")))</f>
        <v/>
      </c>
      <c r="AV93" s="8">
        <f>IF(E93="금융","금융업 - 정의되지 않음",IF(AND(ISNUMBER(L93),ISNUMBER(M93),ISNUMBER(N93),ISNUMBER(AT93)),"순이익+감가상각-설비투자-운전자본증감",IF(AND(ISNUMBER(O93),ISNUMBER(N93)),"영업현금흐름-설비투자","산출불가")))</f>
        <v/>
      </c>
      <c r="AW93" s="19">
        <f>IF(AND(ISNUMBER(AU93),ISNUMBER(G93),G93&lt;&gt;0),AU93/G93,"")</f>
        <v/>
      </c>
      <c r="AX93" s="19">
        <f>IF(AND(ISNUMBER(AC93),ISNUMBER(G93),G93&lt;&gt;0),AC93/G93,"")</f>
        <v/>
      </c>
    </row>
    <row r="94">
      <c r="A94" s="8" t="inlineStr">
        <is>
          <t>TSLA</t>
        </is>
      </c>
      <c r="B94" s="8" t="inlineStr">
        <is>
          <t>Tesla, Inc.</t>
        </is>
      </c>
      <c r="C94" s="8" t="n">
        <v>2021</v>
      </c>
      <c r="D94" s="8" t="inlineStr">
        <is>
          <t>2021-12-31</t>
        </is>
      </c>
      <c r="E94" s="8" t="inlineStr">
        <is>
          <t>일반</t>
        </is>
      </c>
      <c r="F94" s="8" t="inlineStr">
        <is>
          <t>0001628280-24-002390</t>
        </is>
      </c>
      <c r="G94" s="15" t="n">
        <v>53.823</v>
      </c>
      <c r="H94" s="15" t="n">
        <v>6.343</v>
      </c>
      <c r="I94" s="15" t="n"/>
      <c r="J94" s="15" t="n">
        <v>0.699</v>
      </c>
      <c r="K94" s="15" t="n">
        <v>6.523</v>
      </c>
      <c r="L94" s="15" t="n">
        <v>5.519</v>
      </c>
      <c r="M94" s="15" t="n">
        <v>1.91</v>
      </c>
      <c r="N94" s="15" t="n">
        <v>6.482</v>
      </c>
      <c r="O94" s="15" t="n">
        <v>11.497</v>
      </c>
      <c r="P94" s="15" t="n">
        <v>30.189</v>
      </c>
      <c r="Q94" s="15" t="n">
        <v>22.225</v>
      </c>
      <c r="R94" s="15" t="n">
        <v>17.707</v>
      </c>
      <c r="S94" s="15" t="n">
        <v>19.384</v>
      </c>
      <c r="T94" s="15" t="n">
        <v>1.088</v>
      </c>
      <c r="U94" s="15" t="n">
        <v>1.758</v>
      </c>
      <c r="V94" s="15" t="n">
        <v>4.254</v>
      </c>
      <c r="W94" s="15" t="n">
        <v>27.1</v>
      </c>
      <c r="X94" s="15" t="n">
        <v>26.717</v>
      </c>
      <c r="Y94" s="15" t="n">
        <v>19.705</v>
      </c>
      <c r="Z94" s="15" t="n">
        <v>14.248</v>
      </c>
      <c r="AA94" s="15" t="n">
        <v>13.061</v>
      </c>
      <c r="AB94" s="16" t="n">
        <v>3100</v>
      </c>
      <c r="AC94" s="17">
        <f>IF(AND(ISNUMBER(H94),ISNUMBER(I94)),H94+I94,IF(ISNUMBER(K94),K94,IF(ISNUMBER(H94),H94,"")))</f>
        <v/>
      </c>
      <c r="AD94" s="18">
        <f>IF(OR(NOT(ISNUMBER(J94)),NOT(ISNUMBER(H94)),H94&lt;=0),기준표!$B$8,MIN(MAX(J94/H94,기준표!$B$6),기준표!$B$7))</f>
        <v/>
      </c>
      <c r="AE94" s="17">
        <f>IF(ISNUMBER(AC94),AC94*(1-AD94),"")</f>
        <v/>
      </c>
      <c r="AF94" s="17">
        <f>IF(AND(NOT(ISNUMBER(T94)),NOT(ISNUMBER(V94))),"",IF(ISNUMBER(T94),T94,0)+IF(ISNUMBER(V94),V94,0))</f>
        <v/>
      </c>
      <c r="AG94" s="17">
        <f>IF(E94="금융","",IF(AND(ISNUMBER(P94),ISNUMBER(AF94),ISNUMBER(R94)),P94+AF94-R94,""))</f>
        <v/>
      </c>
      <c r="AH94" s="17">
        <f>IF(E94="금융","",IF(NOT(ISNUMBER(AG94)),"",IF(ISNUMBER(AA94),(AG94+AA94)/2,AG94)))</f>
        <v/>
      </c>
      <c r="AI94" s="19">
        <f>IF(AND(ISNUMBER(AE94),ISNUMBER(AH94),AH94&gt;0),AE94/AH94,"")</f>
        <v/>
      </c>
      <c r="AJ94" s="17">
        <f>IF(E94="금융","",IF(AND(ISNUMBER(P94),ISNUMBER(AF94)),P94+AF94,""))</f>
        <v/>
      </c>
      <c r="AK94" s="19">
        <f>IF(OR(NOT(ISNUMBER(AE94)),NOT(ISNUMBER(AJ94)),AJ94&lt;=0),"",IF(AND(ISNUMBER(G94),AJ94&lt;0.1*G94),"",AE94/AJ94))</f>
        <v/>
      </c>
      <c r="AL94" s="17">
        <f>IF(NOT(ISNUMBER(P94)),"",IF(ISNUMBER(Q94),(P94+Q94)/2,P94))</f>
        <v/>
      </c>
      <c r="AM94" s="19">
        <f>IF(AND(ISNUMBER(L94),ISNUMBER(AL94),AL94&gt;0),L94/AL94,"")</f>
        <v/>
      </c>
      <c r="AN94" s="19">
        <f>IF(AND(ISNUMBER(AM94),ISNUMBER({ROIC})),AM94-{ROIC},"")</f>
        <v/>
      </c>
      <c r="AO94" s="17">
        <f>IF(AND(ISNUMBER(AC94),ISNUMBER(M94)),AC94+M94,"")</f>
        <v/>
      </c>
      <c r="AP94" s="20">
        <f>IF(AND(ISNUMBER(AF94),ISNUMBER(R94),ISNUMBER(AO94),AO94&gt;0),(AF94-R94)/AO94,"")</f>
        <v/>
      </c>
      <c r="AQ94" s="20">
        <f>IF(AND(ISNUMBER(AC94),ISNUMBER(I94),I94&lt;&gt;0,AC94&gt;0),AC94/I94,"")</f>
        <v/>
      </c>
      <c r="AR94" s="17">
        <f>IF(AND(ISNUMBER(W94),ISNUMBER(Y94)),W94-IF(ISNUMBER(R94),R94,0)-(Y94-IF(ISNUMBER(T94),T94,0)),"")</f>
        <v/>
      </c>
      <c r="AS94" s="17">
        <f>IF(AND(ISNUMBER(X94),ISNUMBER(Z94)),X94-IF(ISNUMBER(S94),S94,0)-(Z94-IF(ISNUMBER(U94),U94,0)),"")</f>
        <v/>
      </c>
      <c r="AT94" s="17">
        <f>IF(AND(ISNUMBER(AR94),ISNUMBER(AS94)),AR94-AS94,"")</f>
        <v/>
      </c>
      <c r="AU94" s="17">
        <f>IF(E94="금융","",IF(AND(ISNUMBER(L94),ISNUMBER(M94),ISNUMBER(N94),ISNUMBER(AT94)),L94+M94-N94-AT94,IF(AND(ISNUMBER(O94),ISNUMBER(N94)),O94-N94,"")))</f>
        <v/>
      </c>
      <c r="AV94" s="8">
        <f>IF(E94="금융","금융업 - 정의되지 않음",IF(AND(ISNUMBER(L94),ISNUMBER(M94),ISNUMBER(N94),ISNUMBER(AT94)),"순이익+감가상각-설비투자-운전자본증감",IF(AND(ISNUMBER(O94),ISNUMBER(N94)),"영업현금흐름-설비투자","산출불가")))</f>
        <v/>
      </c>
      <c r="AW94" s="19">
        <f>IF(AND(ISNUMBER(AU94),ISNUMBER(G94),G94&lt;&gt;0),AU94/G94,"")</f>
        <v/>
      </c>
      <c r="AX94" s="19">
        <f>IF(AND(ISNUMBER(AC94),ISNUMBER(G94),G94&lt;&gt;0),AC94/G94,"")</f>
        <v/>
      </c>
    </row>
    <row r="95">
      <c r="A95" s="8" t="inlineStr">
        <is>
          <t>TSLA</t>
        </is>
      </c>
      <c r="B95" s="8" t="inlineStr">
        <is>
          <t>Tesla, Inc.</t>
        </is>
      </c>
      <c r="C95" s="8" t="n">
        <v>2022</v>
      </c>
      <c r="D95" s="8" t="inlineStr">
        <is>
          <t>2022-12-31</t>
        </is>
      </c>
      <c r="E95" s="8" t="inlineStr">
        <is>
          <t>일반</t>
        </is>
      </c>
      <c r="F95" s="8" t="inlineStr">
        <is>
          <t>0001628280-25-003063</t>
        </is>
      </c>
      <c r="G95" s="15" t="n">
        <v>81.462</v>
      </c>
      <c r="H95" s="15" t="n">
        <v>13.719</v>
      </c>
      <c r="I95" s="15" t="n">
        <v>0.191</v>
      </c>
      <c r="J95" s="15" t="n">
        <v>1.132</v>
      </c>
      <c r="K95" s="15" t="n">
        <v>13.656</v>
      </c>
      <c r="L95" s="15" t="n">
        <v>12.556</v>
      </c>
      <c r="M95" s="15" t="n">
        <v>2.42</v>
      </c>
      <c r="N95" s="15" t="n">
        <v>7.158</v>
      </c>
      <c r="O95" s="15" t="n">
        <v>14.724</v>
      </c>
      <c r="P95" s="15" t="n">
        <v>44.704</v>
      </c>
      <c r="Q95" s="15" t="n">
        <v>30.189</v>
      </c>
      <c r="R95" s="15" t="n">
        <v>22.185</v>
      </c>
      <c r="S95" s="15" t="n">
        <v>17.707</v>
      </c>
      <c r="T95" s="15" t="n">
        <v>1.016</v>
      </c>
      <c r="U95" s="15" t="n">
        <v>1.088</v>
      </c>
      <c r="V95" s="15" t="n">
        <v>1.029</v>
      </c>
      <c r="W95" s="15" t="n">
        <v>40.917</v>
      </c>
      <c r="X95" s="15" t="n">
        <v>27.1</v>
      </c>
      <c r="Y95" s="15" t="n">
        <v>26.709</v>
      </c>
      <c r="Z95" s="15" t="n">
        <v>19.705</v>
      </c>
      <c r="AA95" s="15" t="n">
        <v>17.824</v>
      </c>
      <c r="AB95" s="16" t="n">
        <v>3164</v>
      </c>
      <c r="AC95" s="17">
        <f>IF(AND(ISNUMBER(H95),ISNUMBER(I95)),H95+I95,IF(ISNUMBER(K95),K95,IF(ISNUMBER(H95),H95,"")))</f>
        <v/>
      </c>
      <c r="AD95" s="18">
        <f>IF(OR(NOT(ISNUMBER(J95)),NOT(ISNUMBER(H95)),H95&lt;=0),기준표!$B$8,MIN(MAX(J95/H95,기준표!$B$6),기준표!$B$7))</f>
        <v/>
      </c>
      <c r="AE95" s="17">
        <f>IF(ISNUMBER(AC95),AC95*(1-AD95),"")</f>
        <v/>
      </c>
      <c r="AF95" s="17">
        <f>IF(AND(NOT(ISNUMBER(T95)),NOT(ISNUMBER(V95))),"",IF(ISNUMBER(T95),T95,0)+IF(ISNUMBER(V95),V95,0))</f>
        <v/>
      </c>
      <c r="AG95" s="17">
        <f>IF(E95="금융","",IF(AND(ISNUMBER(P95),ISNUMBER(AF95),ISNUMBER(R95)),P95+AF95-R95,""))</f>
        <v/>
      </c>
      <c r="AH95" s="17">
        <f>IF(E95="금융","",IF(NOT(ISNUMBER(AG95)),"",IF(ISNUMBER(AA95),(AG95+AA95)/2,AG95)))</f>
        <v/>
      </c>
      <c r="AI95" s="19">
        <f>IF(AND(ISNUMBER(AE95),ISNUMBER(AH95),AH95&gt;0),AE95/AH95,"")</f>
        <v/>
      </c>
      <c r="AJ95" s="17">
        <f>IF(E95="금융","",IF(AND(ISNUMBER(P95),ISNUMBER(AF95)),P95+AF95,""))</f>
        <v/>
      </c>
      <c r="AK95" s="19">
        <f>IF(OR(NOT(ISNUMBER(AE95)),NOT(ISNUMBER(AJ95)),AJ95&lt;=0),"",IF(AND(ISNUMBER(G95),AJ95&lt;0.1*G95),"",AE95/AJ95))</f>
        <v/>
      </c>
      <c r="AL95" s="17">
        <f>IF(NOT(ISNUMBER(P95)),"",IF(ISNUMBER(Q95),(P95+Q95)/2,P95))</f>
        <v/>
      </c>
      <c r="AM95" s="19">
        <f>IF(AND(ISNUMBER(L95),ISNUMBER(AL95),AL95&gt;0),L95/AL95,"")</f>
        <v/>
      </c>
      <c r="AN95" s="19">
        <f>IF(AND(ISNUMBER(AM95),ISNUMBER({ROIC})),AM95-{ROIC},"")</f>
        <v/>
      </c>
      <c r="AO95" s="17">
        <f>IF(AND(ISNUMBER(AC95),ISNUMBER(M95)),AC95+M95,"")</f>
        <v/>
      </c>
      <c r="AP95" s="20">
        <f>IF(AND(ISNUMBER(AF95),ISNUMBER(R95),ISNUMBER(AO95),AO95&gt;0),(AF95-R95)/AO95,"")</f>
        <v/>
      </c>
      <c r="AQ95" s="20">
        <f>IF(AND(ISNUMBER(AC95),ISNUMBER(I95),I95&lt;&gt;0,AC95&gt;0),AC95/I95,"")</f>
        <v/>
      </c>
      <c r="AR95" s="17">
        <f>IF(AND(ISNUMBER(W95),ISNUMBER(Y95)),W95-IF(ISNUMBER(R95),R95,0)-(Y95-IF(ISNUMBER(T95),T95,0)),"")</f>
        <v/>
      </c>
      <c r="AS95" s="17">
        <f>IF(AND(ISNUMBER(X95),ISNUMBER(Z95)),X95-IF(ISNUMBER(S95),S95,0)-(Z95-IF(ISNUMBER(U95),U95,0)),"")</f>
        <v/>
      </c>
      <c r="AT95" s="17">
        <f>IF(AND(ISNUMBER(AR95),ISNUMBER(AS95)),AR95-AS95,"")</f>
        <v/>
      </c>
      <c r="AU95" s="17">
        <f>IF(E95="금융","",IF(AND(ISNUMBER(L95),ISNUMBER(M95),ISNUMBER(N95),ISNUMBER(AT95)),L95+M95-N95-AT95,IF(AND(ISNUMBER(O95),ISNUMBER(N95)),O95-N95,"")))</f>
        <v/>
      </c>
      <c r="AV95" s="8">
        <f>IF(E95="금융","금융업 - 정의되지 않음",IF(AND(ISNUMBER(L95),ISNUMBER(M95),ISNUMBER(N95),ISNUMBER(AT95)),"순이익+감가상각-설비투자-운전자본증감",IF(AND(ISNUMBER(O95),ISNUMBER(N95)),"영업현금흐름-설비투자","산출불가")))</f>
        <v/>
      </c>
      <c r="AW95" s="19">
        <f>IF(AND(ISNUMBER(AU95),ISNUMBER(G95),G95&lt;&gt;0),AU95/G95,"")</f>
        <v/>
      </c>
      <c r="AX95" s="19">
        <f>IF(AND(ISNUMBER(AC95),ISNUMBER(G95),G95&lt;&gt;0),AC95/G95,"")</f>
        <v/>
      </c>
    </row>
    <row r="96">
      <c r="A96" s="8" t="inlineStr">
        <is>
          <t>TSLA</t>
        </is>
      </c>
      <c r="B96" s="8" t="inlineStr">
        <is>
          <t>Tesla, Inc.</t>
        </is>
      </c>
      <c r="C96" s="8" t="n">
        <v>2023</v>
      </c>
      <c r="D96" s="8" t="inlineStr">
        <is>
          <t>2023-12-31</t>
        </is>
      </c>
      <c r="E96" s="8" t="inlineStr">
        <is>
          <t>일반</t>
        </is>
      </c>
      <c r="F96" s="8" t="inlineStr">
        <is>
          <t>0001628280-26-003952</t>
        </is>
      </c>
      <c r="G96" s="15" t="n">
        <v>96.773</v>
      </c>
      <c r="H96" s="15" t="n">
        <v>9.973000000000001</v>
      </c>
      <c r="I96" s="15" t="n">
        <v>0.156</v>
      </c>
      <c r="J96" s="15" t="n">
        <v>-5.001</v>
      </c>
      <c r="K96" s="15" t="n">
        <v>8.891</v>
      </c>
      <c r="L96" s="15" t="n">
        <v>14.997</v>
      </c>
      <c r="M96" s="15" t="n">
        <v>3.33</v>
      </c>
      <c r="N96" s="15" t="n">
        <v>8.898999999999999</v>
      </c>
      <c r="O96" s="15" t="n">
        <v>13.256</v>
      </c>
      <c r="P96" s="15" t="n">
        <v>62.634</v>
      </c>
      <c r="Q96" s="15" t="n">
        <v>44.704</v>
      </c>
      <c r="R96" s="15" t="n">
        <v>29.094</v>
      </c>
      <c r="S96" s="15" t="n">
        <v>22.185</v>
      </c>
      <c r="T96" s="15" t="n">
        <v>1.975</v>
      </c>
      <c r="U96" s="15" t="n">
        <v>1.016</v>
      </c>
      <c r="V96" s="15" t="n">
        <v>2.682</v>
      </c>
      <c r="W96" s="15" t="n">
        <v>49.616</v>
      </c>
      <c r="X96" s="15" t="n">
        <v>40.917</v>
      </c>
      <c r="Y96" s="15" t="n">
        <v>28.748</v>
      </c>
      <c r="Z96" s="15" t="n">
        <v>26.709</v>
      </c>
      <c r="AA96" s="15" t="n">
        <v>24.564</v>
      </c>
      <c r="AB96" s="16" t="n">
        <v>3185</v>
      </c>
      <c r="AC96" s="17">
        <f>IF(AND(ISNUMBER(H96),ISNUMBER(I96)),H96+I96,IF(ISNUMBER(K96),K96,IF(ISNUMBER(H96),H96,"")))</f>
        <v/>
      </c>
      <c r="AD96" s="18">
        <f>IF(OR(NOT(ISNUMBER(J96)),NOT(ISNUMBER(H96)),H96&lt;=0),기준표!$B$8,MIN(MAX(J96/H96,기준표!$B$6),기준표!$B$7))</f>
        <v/>
      </c>
      <c r="AE96" s="17">
        <f>IF(ISNUMBER(AC96),AC96*(1-AD96),"")</f>
        <v/>
      </c>
      <c r="AF96" s="17">
        <f>IF(AND(NOT(ISNUMBER(T96)),NOT(ISNUMBER(V96))),"",IF(ISNUMBER(T96),T96,0)+IF(ISNUMBER(V96),V96,0))</f>
        <v/>
      </c>
      <c r="AG96" s="17">
        <f>IF(E96="금융","",IF(AND(ISNUMBER(P96),ISNUMBER(AF96),ISNUMBER(R96)),P96+AF96-R96,""))</f>
        <v/>
      </c>
      <c r="AH96" s="17">
        <f>IF(E96="금융","",IF(NOT(ISNUMBER(AG96)),"",IF(ISNUMBER(AA96),(AG96+AA96)/2,AG96)))</f>
        <v/>
      </c>
      <c r="AI96" s="19">
        <f>IF(AND(ISNUMBER(AE96),ISNUMBER(AH96),AH96&gt;0),AE96/AH96,"")</f>
        <v/>
      </c>
      <c r="AJ96" s="17">
        <f>IF(E96="금융","",IF(AND(ISNUMBER(P96),ISNUMBER(AF96)),P96+AF96,""))</f>
        <v/>
      </c>
      <c r="AK96" s="19">
        <f>IF(OR(NOT(ISNUMBER(AE96)),NOT(ISNUMBER(AJ96)),AJ96&lt;=0),"",IF(AND(ISNUMBER(G96),AJ96&lt;0.1*G96),"",AE96/AJ96))</f>
        <v/>
      </c>
      <c r="AL96" s="17">
        <f>IF(NOT(ISNUMBER(P96)),"",IF(ISNUMBER(Q96),(P96+Q96)/2,P96))</f>
        <v/>
      </c>
      <c r="AM96" s="19">
        <f>IF(AND(ISNUMBER(L96),ISNUMBER(AL96),AL96&gt;0),L96/AL96,"")</f>
        <v/>
      </c>
      <c r="AN96" s="19">
        <f>IF(AND(ISNUMBER(AM96),ISNUMBER({ROIC})),AM96-{ROIC},"")</f>
        <v/>
      </c>
      <c r="AO96" s="17">
        <f>IF(AND(ISNUMBER(AC96),ISNUMBER(M96)),AC96+M96,"")</f>
        <v/>
      </c>
      <c r="AP96" s="20">
        <f>IF(AND(ISNUMBER(AF96),ISNUMBER(R96),ISNUMBER(AO96),AO96&gt;0),(AF96-R96)/AO96,"")</f>
        <v/>
      </c>
      <c r="AQ96" s="20">
        <f>IF(AND(ISNUMBER(AC96),ISNUMBER(I96),I96&lt;&gt;0,AC96&gt;0),AC96/I96,"")</f>
        <v/>
      </c>
      <c r="AR96" s="17">
        <f>IF(AND(ISNUMBER(W96),ISNUMBER(Y96)),W96-IF(ISNUMBER(R96),R96,0)-(Y96-IF(ISNUMBER(T96),T96,0)),"")</f>
        <v/>
      </c>
      <c r="AS96" s="17">
        <f>IF(AND(ISNUMBER(X96),ISNUMBER(Z96)),X96-IF(ISNUMBER(S96),S96,0)-(Z96-IF(ISNUMBER(U96),U96,0)),"")</f>
        <v/>
      </c>
      <c r="AT96" s="17">
        <f>IF(AND(ISNUMBER(AR96),ISNUMBER(AS96)),AR96-AS96,"")</f>
        <v/>
      </c>
      <c r="AU96" s="17">
        <f>IF(E96="금융","",IF(AND(ISNUMBER(L96),ISNUMBER(M96),ISNUMBER(N96),ISNUMBER(AT96)),L96+M96-N96-AT96,IF(AND(ISNUMBER(O96),ISNUMBER(N96)),O96-N96,"")))</f>
        <v/>
      </c>
      <c r="AV96" s="8">
        <f>IF(E96="금융","금융업 - 정의되지 않음",IF(AND(ISNUMBER(L96),ISNUMBER(M96),ISNUMBER(N96),ISNUMBER(AT96)),"순이익+감가상각-설비투자-운전자본증감",IF(AND(ISNUMBER(O96),ISNUMBER(N96)),"영업현금흐름-설비투자","산출불가")))</f>
        <v/>
      </c>
      <c r="AW96" s="19">
        <f>IF(AND(ISNUMBER(AU96),ISNUMBER(G96),G96&lt;&gt;0),AU96/G96,"")</f>
        <v/>
      </c>
      <c r="AX96" s="19">
        <f>IF(AND(ISNUMBER(AC96),ISNUMBER(G96),G96&lt;&gt;0),AC96/G96,"")</f>
        <v/>
      </c>
    </row>
    <row r="97">
      <c r="A97" s="8" t="inlineStr">
        <is>
          <t>TSLA</t>
        </is>
      </c>
      <c r="B97" s="8" t="inlineStr">
        <is>
          <t>Tesla, Inc.</t>
        </is>
      </c>
      <c r="C97" s="8" t="n">
        <v>2024</v>
      </c>
      <c r="D97" s="8" t="inlineStr">
        <is>
          <t>2024-12-31</t>
        </is>
      </c>
      <c r="E97" s="8" t="inlineStr">
        <is>
          <t>일반</t>
        </is>
      </c>
      <c r="F97" s="8" t="inlineStr">
        <is>
          <t>0001628280-26-003952</t>
        </is>
      </c>
      <c r="G97" s="15" t="n">
        <v>97.69</v>
      </c>
      <c r="H97" s="15" t="n">
        <v>8.99</v>
      </c>
      <c r="I97" s="15" t="n">
        <v>0.35</v>
      </c>
      <c r="J97" s="15" t="n">
        <v>1.837</v>
      </c>
      <c r="K97" s="15" t="n">
        <v>7.076</v>
      </c>
      <c r="L97" s="15" t="n">
        <v>7.091</v>
      </c>
      <c r="M97" s="15" t="n">
        <v>4.12</v>
      </c>
      <c r="N97" s="15" t="n">
        <v>11.342</v>
      </c>
      <c r="O97" s="15" t="n">
        <v>14.923</v>
      </c>
      <c r="P97" s="15" t="n">
        <v>72.913</v>
      </c>
      <c r="Q97" s="15" t="n">
        <v>62.634</v>
      </c>
      <c r="R97" s="15" t="n">
        <v>36.563</v>
      </c>
      <c r="S97" s="15" t="n">
        <v>29.094</v>
      </c>
      <c r="T97" s="15" t="n">
        <v>2.343</v>
      </c>
      <c r="U97" s="15" t="n">
        <v>1.975</v>
      </c>
      <c r="V97" s="15" t="n">
        <v>5.535</v>
      </c>
      <c r="W97" s="15" t="n">
        <v>58.36</v>
      </c>
      <c r="X97" s="15" t="n">
        <v>49.616</v>
      </c>
      <c r="Y97" s="15" t="n">
        <v>28.821</v>
      </c>
      <c r="Z97" s="15" t="n">
        <v>28.748</v>
      </c>
      <c r="AA97" s="15" t="n">
        <v>38.197</v>
      </c>
      <c r="AB97" s="16" t="n">
        <v>3216</v>
      </c>
      <c r="AC97" s="17">
        <f>IF(AND(ISNUMBER(H97),ISNUMBER(I97)),H97+I97,IF(ISNUMBER(K97),K97,IF(ISNUMBER(H97),H97,"")))</f>
        <v/>
      </c>
      <c r="AD97" s="18">
        <f>IF(OR(NOT(ISNUMBER(J97)),NOT(ISNUMBER(H97)),H97&lt;=0),기준표!$B$8,MIN(MAX(J97/H97,기준표!$B$6),기준표!$B$7))</f>
        <v/>
      </c>
      <c r="AE97" s="17">
        <f>IF(ISNUMBER(AC97),AC97*(1-AD97),"")</f>
        <v/>
      </c>
      <c r="AF97" s="17">
        <f>IF(AND(NOT(ISNUMBER(T97)),NOT(ISNUMBER(V97))),"",IF(ISNUMBER(T97),T97,0)+IF(ISNUMBER(V97),V97,0))</f>
        <v/>
      </c>
      <c r="AG97" s="17">
        <f>IF(E97="금융","",IF(AND(ISNUMBER(P97),ISNUMBER(AF97),ISNUMBER(R97)),P97+AF97-R97,""))</f>
        <v/>
      </c>
      <c r="AH97" s="17">
        <f>IF(E97="금융","",IF(NOT(ISNUMBER(AG97)),"",IF(ISNUMBER(AA97),(AG97+AA97)/2,AG97)))</f>
        <v/>
      </c>
      <c r="AI97" s="19">
        <f>IF(AND(ISNUMBER(AE97),ISNUMBER(AH97),AH97&gt;0),AE97/AH97,"")</f>
        <v/>
      </c>
      <c r="AJ97" s="17">
        <f>IF(E97="금융","",IF(AND(ISNUMBER(P97),ISNUMBER(AF97)),P97+AF97,""))</f>
        <v/>
      </c>
      <c r="AK97" s="19">
        <f>IF(OR(NOT(ISNUMBER(AE97)),NOT(ISNUMBER(AJ97)),AJ97&lt;=0),"",IF(AND(ISNUMBER(G97),AJ97&lt;0.1*G97),"",AE97/AJ97))</f>
        <v/>
      </c>
      <c r="AL97" s="17">
        <f>IF(NOT(ISNUMBER(P97)),"",IF(ISNUMBER(Q97),(P97+Q97)/2,P97))</f>
        <v/>
      </c>
      <c r="AM97" s="19">
        <f>IF(AND(ISNUMBER(L97),ISNUMBER(AL97),AL97&gt;0),L97/AL97,"")</f>
        <v/>
      </c>
      <c r="AN97" s="19">
        <f>IF(AND(ISNUMBER(AM97),ISNUMBER({ROIC})),AM97-{ROIC},"")</f>
        <v/>
      </c>
      <c r="AO97" s="17">
        <f>IF(AND(ISNUMBER(AC97),ISNUMBER(M97)),AC97+M97,"")</f>
        <v/>
      </c>
      <c r="AP97" s="20">
        <f>IF(AND(ISNUMBER(AF97),ISNUMBER(R97),ISNUMBER(AO97),AO97&gt;0),(AF97-R97)/AO97,"")</f>
        <v/>
      </c>
      <c r="AQ97" s="20">
        <f>IF(AND(ISNUMBER(AC97),ISNUMBER(I97),I97&lt;&gt;0,AC97&gt;0),AC97/I97,"")</f>
        <v/>
      </c>
      <c r="AR97" s="17">
        <f>IF(AND(ISNUMBER(W97),ISNUMBER(Y97)),W97-IF(ISNUMBER(R97),R97,0)-(Y97-IF(ISNUMBER(T97),T97,0)),"")</f>
        <v/>
      </c>
      <c r="AS97" s="17">
        <f>IF(AND(ISNUMBER(X97),ISNUMBER(Z97)),X97-IF(ISNUMBER(S97),S97,0)-(Z97-IF(ISNUMBER(U97),U97,0)),"")</f>
        <v/>
      </c>
      <c r="AT97" s="17">
        <f>IF(AND(ISNUMBER(AR97),ISNUMBER(AS97)),AR97-AS97,"")</f>
        <v/>
      </c>
      <c r="AU97" s="17">
        <f>IF(E97="금융","",IF(AND(ISNUMBER(L97),ISNUMBER(M97),ISNUMBER(N97),ISNUMBER(AT97)),L97+M97-N97-AT97,IF(AND(ISNUMBER(O97),ISNUMBER(N97)),O97-N97,"")))</f>
        <v/>
      </c>
      <c r="AV97" s="8">
        <f>IF(E97="금융","금융업 - 정의되지 않음",IF(AND(ISNUMBER(L97),ISNUMBER(M97),ISNUMBER(N97),ISNUMBER(AT97)),"순이익+감가상각-설비투자-운전자본증감",IF(AND(ISNUMBER(O97),ISNUMBER(N97)),"영업현금흐름-설비투자","산출불가")))</f>
        <v/>
      </c>
      <c r="AW97" s="19">
        <f>IF(AND(ISNUMBER(AU97),ISNUMBER(G97),G97&lt;&gt;0),AU97/G97,"")</f>
        <v/>
      </c>
      <c r="AX97" s="19">
        <f>IF(AND(ISNUMBER(AC97),ISNUMBER(G97),G97&lt;&gt;0),AC97/G97,"")</f>
        <v/>
      </c>
    </row>
    <row r="98">
      <c r="A98" s="8" t="inlineStr">
        <is>
          <t>TSLA</t>
        </is>
      </c>
      <c r="B98" s="8" t="inlineStr">
        <is>
          <t>Tesla, Inc.</t>
        </is>
      </c>
      <c r="C98" s="8" t="n">
        <v>2025</v>
      </c>
      <c r="D98" s="8" t="inlineStr">
        <is>
          <t>2025-12-31</t>
        </is>
      </c>
      <c r="E98" s="8" t="inlineStr">
        <is>
          <t>일반</t>
        </is>
      </c>
      <c r="F98" s="8" t="inlineStr">
        <is>
          <t>0001628280-26-003952</t>
        </is>
      </c>
      <c r="G98" s="15" t="n">
        <v>94.827</v>
      </c>
      <c r="H98" s="15" t="n">
        <v>5.278</v>
      </c>
      <c r="I98" s="15" t="n">
        <v>0.338</v>
      </c>
      <c r="J98" s="15" t="n">
        <v>1.423</v>
      </c>
      <c r="K98" s="15" t="n">
        <v>4.355</v>
      </c>
      <c r="L98" s="15" t="n">
        <v>3.794</v>
      </c>
      <c r="M98" s="15" t="n">
        <v>5.03</v>
      </c>
      <c r="N98" s="15" t="n">
        <v>8.526999999999999</v>
      </c>
      <c r="O98" s="15" t="n">
        <v>14.747</v>
      </c>
      <c r="P98" s="15" t="n">
        <v>82.137</v>
      </c>
      <c r="Q98" s="15" t="n">
        <v>72.913</v>
      </c>
      <c r="R98" s="15" t="n">
        <v>44.059</v>
      </c>
      <c r="S98" s="15" t="n">
        <v>36.563</v>
      </c>
      <c r="T98" s="15" t="n">
        <v>1.569</v>
      </c>
      <c r="U98" s="15" t="n">
        <v>2.343</v>
      </c>
      <c r="V98" s="15" t="n">
        <v>6.584</v>
      </c>
      <c r="W98" s="15" t="n">
        <v>68.642</v>
      </c>
      <c r="X98" s="15" t="n">
        <v>58.36</v>
      </c>
      <c r="Y98" s="15" t="n">
        <v>31.714</v>
      </c>
      <c r="Z98" s="15" t="n">
        <v>28.821</v>
      </c>
      <c r="AA98" s="15" t="n">
        <v>44.228</v>
      </c>
      <c r="AB98" s="16" t="n">
        <v>3751</v>
      </c>
      <c r="AC98" s="17">
        <f>IF(AND(ISNUMBER(H98),ISNUMBER(I98)),H98+I98,IF(ISNUMBER(K98),K98,IF(ISNUMBER(H98),H98,"")))</f>
        <v/>
      </c>
      <c r="AD98" s="18">
        <f>IF(OR(NOT(ISNUMBER(J98)),NOT(ISNUMBER(H98)),H98&lt;=0),기준표!$B$8,MIN(MAX(J98/H98,기준표!$B$6),기준표!$B$7))</f>
        <v/>
      </c>
      <c r="AE98" s="17">
        <f>IF(ISNUMBER(AC98),AC98*(1-AD98),"")</f>
        <v/>
      </c>
      <c r="AF98" s="17">
        <f>IF(AND(NOT(ISNUMBER(T98)),NOT(ISNUMBER(V98))),"",IF(ISNUMBER(T98),T98,0)+IF(ISNUMBER(V98),V98,0))</f>
        <v/>
      </c>
      <c r="AG98" s="17">
        <f>IF(E98="금융","",IF(AND(ISNUMBER(P98),ISNUMBER(AF98),ISNUMBER(R98)),P98+AF98-R98,""))</f>
        <v/>
      </c>
      <c r="AH98" s="17">
        <f>IF(E98="금융","",IF(NOT(ISNUMBER(AG98)),"",IF(ISNUMBER(AA98),(AG98+AA98)/2,AG98)))</f>
        <v/>
      </c>
      <c r="AI98" s="19">
        <f>IF(AND(ISNUMBER(AE98),ISNUMBER(AH98),AH98&gt;0),AE98/AH98,"")</f>
        <v/>
      </c>
      <c r="AJ98" s="17">
        <f>IF(E98="금융","",IF(AND(ISNUMBER(P98),ISNUMBER(AF98)),P98+AF98,""))</f>
        <v/>
      </c>
      <c r="AK98" s="19">
        <f>IF(OR(NOT(ISNUMBER(AE98)),NOT(ISNUMBER(AJ98)),AJ98&lt;=0),"",IF(AND(ISNUMBER(G98),AJ98&lt;0.1*G98),"",AE98/AJ98))</f>
        <v/>
      </c>
      <c r="AL98" s="17">
        <f>IF(NOT(ISNUMBER(P98)),"",IF(ISNUMBER(Q98),(P98+Q98)/2,P98))</f>
        <v/>
      </c>
      <c r="AM98" s="19">
        <f>IF(AND(ISNUMBER(L98),ISNUMBER(AL98),AL98&gt;0),L98/AL98,"")</f>
        <v/>
      </c>
      <c r="AN98" s="19">
        <f>IF(AND(ISNUMBER(AM98),ISNUMBER({ROIC})),AM98-{ROIC},"")</f>
        <v/>
      </c>
      <c r="AO98" s="17">
        <f>IF(AND(ISNUMBER(AC98),ISNUMBER(M98)),AC98+M98,"")</f>
        <v/>
      </c>
      <c r="AP98" s="20">
        <f>IF(AND(ISNUMBER(AF98),ISNUMBER(R98),ISNUMBER(AO98),AO98&gt;0),(AF98-R98)/AO98,"")</f>
        <v/>
      </c>
      <c r="AQ98" s="20">
        <f>IF(AND(ISNUMBER(AC98),ISNUMBER(I98),I98&lt;&gt;0,AC98&gt;0),AC98/I98,"")</f>
        <v/>
      </c>
      <c r="AR98" s="17">
        <f>IF(AND(ISNUMBER(W98),ISNUMBER(Y98)),W98-IF(ISNUMBER(R98),R98,0)-(Y98-IF(ISNUMBER(T98),T98,0)),"")</f>
        <v/>
      </c>
      <c r="AS98" s="17">
        <f>IF(AND(ISNUMBER(X98),ISNUMBER(Z98)),X98-IF(ISNUMBER(S98),S98,0)-(Z98-IF(ISNUMBER(U98),U98,0)),"")</f>
        <v/>
      </c>
      <c r="AT98" s="17">
        <f>IF(AND(ISNUMBER(AR98),ISNUMBER(AS98)),AR98-AS98,"")</f>
        <v/>
      </c>
      <c r="AU98" s="17">
        <f>IF(E98="금융","",IF(AND(ISNUMBER(L98),ISNUMBER(M98),ISNUMBER(N98),ISNUMBER(AT98)),L98+M98-N98-AT98,IF(AND(ISNUMBER(O98),ISNUMBER(N98)),O98-N98,"")))</f>
        <v/>
      </c>
      <c r="AV98" s="8">
        <f>IF(E98="금융","금융업 - 정의되지 않음",IF(AND(ISNUMBER(L98),ISNUMBER(M98),ISNUMBER(N98),ISNUMBER(AT98)),"순이익+감가상각-설비투자-운전자본증감",IF(AND(ISNUMBER(O98),ISNUMBER(N98)),"영업현금흐름-설비투자","산출불가")))</f>
        <v/>
      </c>
      <c r="AW98" s="19">
        <f>IF(AND(ISNUMBER(AU98),ISNUMBER(G98),G98&lt;&gt;0),AU98/G98,"")</f>
        <v/>
      </c>
      <c r="AX98" s="19">
        <f>IF(AND(ISNUMBER(AC98),ISNUMBER(G98),G98&lt;&gt;0),AC98/G98,"")</f>
        <v/>
      </c>
    </row>
    <row r="99">
      <c r="A99" s="8" t="inlineStr">
        <is>
          <t>BRK-B</t>
        </is>
      </c>
      <c r="B99" s="8" t="inlineStr">
        <is>
          <t>BERKSHIRE HATHAWAY INC</t>
        </is>
      </c>
      <c r="C99" s="8" t="n">
        <v>2014</v>
      </c>
      <c r="D99" s="8" t="inlineStr">
        <is>
          <t>2014-12-31</t>
        </is>
      </c>
      <c r="E99" s="8" t="inlineStr">
        <is>
          <t>금융</t>
        </is>
      </c>
      <c r="F99" s="8" t="inlineStr">
        <is>
          <t>0001193125-17-056969</t>
        </is>
      </c>
      <c r="G99" s="15" t="n">
        <v>194.699</v>
      </c>
      <c r="H99" s="15" t="n">
        <v>28.105</v>
      </c>
      <c r="I99" s="15" t="n">
        <v>3.253</v>
      </c>
      <c r="J99" s="15" t="n">
        <v>7.935</v>
      </c>
      <c r="K99" s="15" t="n"/>
      <c r="L99" s="15" t="n">
        <v>19.872</v>
      </c>
      <c r="M99" s="15" t="n">
        <v>7.37</v>
      </c>
      <c r="N99" s="15" t="n">
        <v>15.185</v>
      </c>
      <c r="O99" s="15" t="n"/>
      <c r="P99" s="15" t="n">
        <v>240.17</v>
      </c>
      <c r="Q99" s="15" t="n"/>
      <c r="R99" s="15" t="n"/>
      <c r="S99" s="15" t="n"/>
      <c r="T99" s="15" t="n">
        <v>0</v>
      </c>
      <c r="U99" s="15" t="n"/>
      <c r="V99" s="15" t="n"/>
      <c r="W99" s="15" t="n"/>
      <c r="X99" s="15" t="n"/>
      <c r="Y99" s="15" t="n"/>
      <c r="Z99" s="15" t="n"/>
      <c r="AA99" s="15" t="n"/>
      <c r="AB99" s="16" t="n">
        <v>1.643456</v>
      </c>
      <c r="AC99" s="17">
        <f>IF(AND(ISNUMBER(H99),ISNUMBER(I99)),H99+I99,IF(ISNUMBER(K99),K99,IF(ISNUMBER(H99),H99,"")))</f>
        <v/>
      </c>
      <c r="AD99" s="18">
        <f>IF(OR(NOT(ISNUMBER(J99)),NOT(ISNUMBER(H99)),H99&lt;=0),기준표!$B$8,MIN(MAX(J99/H99,기준표!$B$6),기준표!$B$7))</f>
        <v/>
      </c>
      <c r="AE99" s="17">
        <f>IF(ISNUMBER(AC99),AC99*(1-AD99),"")</f>
        <v/>
      </c>
      <c r="AF99" s="17">
        <f>IF(AND(NOT(ISNUMBER(T99)),NOT(ISNUMBER(V99))),"",IF(ISNUMBER(T99),T99,0)+IF(ISNUMBER(V99),V99,0))</f>
        <v/>
      </c>
      <c r="AG99" s="17">
        <f>IF(E99="금융","",IF(AND(ISNUMBER(P99),ISNUMBER(AF99),ISNUMBER(R99)),P99+AF99-R99,""))</f>
        <v/>
      </c>
      <c r="AH99" s="17">
        <f>IF(E99="금융","",IF(NOT(ISNUMBER(AG99)),"",IF(ISNUMBER(AA99),(AG99+AA99)/2,AG99)))</f>
        <v/>
      </c>
      <c r="AI99" s="19">
        <f>IF(AND(ISNUMBER(AE99),ISNUMBER(AH99),AH99&gt;0),AE99/AH99,"")</f>
        <v/>
      </c>
      <c r="AJ99" s="17">
        <f>IF(E99="금융","",IF(AND(ISNUMBER(P99),ISNUMBER(AF99)),P99+AF99,""))</f>
        <v/>
      </c>
      <c r="AK99" s="19">
        <f>IF(OR(NOT(ISNUMBER(AE99)),NOT(ISNUMBER(AJ99)),AJ99&lt;=0),"",IF(AND(ISNUMBER(G99),AJ99&lt;0.1*G99),"",AE99/AJ99))</f>
        <v/>
      </c>
      <c r="AL99" s="17">
        <f>IF(NOT(ISNUMBER(P99)),"",IF(ISNUMBER(Q99),(P99+Q99)/2,P99))</f>
        <v/>
      </c>
      <c r="AM99" s="19">
        <f>IF(AND(ISNUMBER(L99),ISNUMBER(AL99),AL99&gt;0),L99/AL99,"")</f>
        <v/>
      </c>
      <c r="AN99" s="19">
        <f>IF(AND(ISNUMBER(AM99),ISNUMBER({ROIC})),AM99-{ROIC},"")</f>
        <v/>
      </c>
      <c r="AO99" s="17">
        <f>IF(AND(ISNUMBER(AC99),ISNUMBER(M99)),AC99+M99,"")</f>
        <v/>
      </c>
      <c r="AP99" s="20">
        <f>IF(AND(ISNUMBER(AF99),ISNUMBER(R99),ISNUMBER(AO99),AO99&gt;0),(AF99-R99)/AO99,"")</f>
        <v/>
      </c>
      <c r="AQ99" s="20">
        <f>IF(AND(ISNUMBER(AC99),ISNUMBER(I99),I99&lt;&gt;0,AC99&gt;0),AC99/I99,"")</f>
        <v/>
      </c>
      <c r="AR99" s="17">
        <f>IF(AND(ISNUMBER(W99),ISNUMBER(Y99)),W99-IF(ISNUMBER(R99),R99,0)-(Y99-IF(ISNUMBER(T99),T99,0)),"")</f>
        <v/>
      </c>
      <c r="AS99" s="17">
        <f>IF(AND(ISNUMBER(X99),ISNUMBER(Z99)),X99-IF(ISNUMBER(S99),S99,0)-(Z99-IF(ISNUMBER(U99),U99,0)),"")</f>
        <v/>
      </c>
      <c r="AT99" s="17">
        <f>IF(AND(ISNUMBER(AR99),ISNUMBER(AS99)),AR99-AS99,"")</f>
        <v/>
      </c>
      <c r="AU99" s="17">
        <f>IF(E99="금융","",IF(AND(ISNUMBER(L99),ISNUMBER(M99),ISNUMBER(N99),ISNUMBER(AT99)),L99+M99-N99-AT99,IF(AND(ISNUMBER(O99),ISNUMBER(N99)),O99-N99,"")))</f>
        <v/>
      </c>
      <c r="AV99" s="8">
        <f>IF(E99="금융","금융업 - 정의되지 않음",IF(AND(ISNUMBER(L99),ISNUMBER(M99),ISNUMBER(N99),ISNUMBER(AT99)),"순이익+감가상각-설비투자-운전자본증감",IF(AND(ISNUMBER(O99),ISNUMBER(N99)),"영업현금흐름-설비투자","산출불가")))</f>
        <v/>
      </c>
      <c r="AW99" s="19">
        <f>IF(AND(ISNUMBER(AU99),ISNUMBER(G99),G99&lt;&gt;0),AU99/G99,"")</f>
        <v/>
      </c>
      <c r="AX99" s="19">
        <f>IF(AND(ISNUMBER(AC99),ISNUMBER(G99),G99&lt;&gt;0),AC99/G99,"")</f>
        <v/>
      </c>
    </row>
    <row r="100">
      <c r="A100" s="8" t="inlineStr">
        <is>
          <t>BRK-B</t>
        </is>
      </c>
      <c r="B100" s="8" t="inlineStr">
        <is>
          <t>BERKSHIRE HATHAWAY INC</t>
        </is>
      </c>
      <c r="C100" s="8" t="n">
        <v>2015</v>
      </c>
      <c r="D100" s="8" t="inlineStr">
        <is>
          <t>2015-12-31</t>
        </is>
      </c>
      <c r="E100" s="8" t="inlineStr">
        <is>
          <t>금융</t>
        </is>
      </c>
      <c r="F100" s="8" t="inlineStr">
        <is>
          <t>0001193125-18-057033</t>
        </is>
      </c>
      <c r="G100" s="15" t="n">
        <v>210.943</v>
      </c>
      <c r="H100" s="15" t="n">
        <v>34.946</v>
      </c>
      <c r="I100" s="15" t="n">
        <v>3.515</v>
      </c>
      <c r="J100" s="15" t="n">
        <v>10.532</v>
      </c>
      <c r="K100" s="15" t="n"/>
      <c r="L100" s="15" t="n">
        <v>24.083</v>
      </c>
      <c r="M100" s="15" t="n">
        <v>7.779</v>
      </c>
      <c r="N100" s="15" t="n">
        <v>16.082</v>
      </c>
      <c r="O100" s="15" t="n">
        <v>31.491</v>
      </c>
      <c r="P100" s="15" t="n">
        <v>255.55</v>
      </c>
      <c r="Q100" s="15" t="n">
        <v>240.17</v>
      </c>
      <c r="R100" s="15" t="n">
        <v>67.602</v>
      </c>
      <c r="S100" s="15" t="n"/>
      <c r="T100" s="15" t="n">
        <v>0</v>
      </c>
      <c r="U100" s="15" t="n">
        <v>0</v>
      </c>
      <c r="V100" s="15" t="n"/>
      <c r="W100" s="15" t="n"/>
      <c r="X100" s="15" t="n"/>
      <c r="Y100" s="15" t="n"/>
      <c r="Z100" s="15" t="n"/>
      <c r="AA100" s="15" t="n"/>
      <c r="AB100" s="16" t="n"/>
      <c r="AC100" s="17">
        <f>IF(AND(ISNUMBER(H100),ISNUMBER(I100)),H100+I100,IF(ISNUMBER(K100),K100,IF(ISNUMBER(H100),H100,"")))</f>
        <v/>
      </c>
      <c r="AD100" s="18">
        <f>IF(OR(NOT(ISNUMBER(J100)),NOT(ISNUMBER(H100)),H100&lt;=0),기준표!$B$8,MIN(MAX(J100/H100,기준표!$B$6),기준표!$B$7))</f>
        <v/>
      </c>
      <c r="AE100" s="17">
        <f>IF(ISNUMBER(AC100),AC100*(1-AD100),"")</f>
        <v/>
      </c>
      <c r="AF100" s="17">
        <f>IF(AND(NOT(ISNUMBER(T100)),NOT(ISNUMBER(V100))),"",IF(ISNUMBER(T100),T100,0)+IF(ISNUMBER(V100),V100,0))</f>
        <v/>
      </c>
      <c r="AG100" s="17">
        <f>IF(E100="금융","",IF(AND(ISNUMBER(P100),ISNUMBER(AF100),ISNUMBER(R100)),P100+AF100-R100,""))</f>
        <v/>
      </c>
      <c r="AH100" s="17">
        <f>IF(E100="금융","",IF(NOT(ISNUMBER(AG100)),"",IF(ISNUMBER(AA100),(AG100+AA100)/2,AG100)))</f>
        <v/>
      </c>
      <c r="AI100" s="19">
        <f>IF(AND(ISNUMBER(AE100),ISNUMBER(AH100),AH100&gt;0),AE100/AH100,"")</f>
        <v/>
      </c>
      <c r="AJ100" s="17">
        <f>IF(E100="금융","",IF(AND(ISNUMBER(P100),ISNUMBER(AF100)),P100+AF100,""))</f>
        <v/>
      </c>
      <c r="AK100" s="19">
        <f>IF(OR(NOT(ISNUMBER(AE100)),NOT(ISNUMBER(AJ100)),AJ100&lt;=0),"",IF(AND(ISNUMBER(G100),AJ100&lt;0.1*G100),"",AE100/AJ100))</f>
        <v/>
      </c>
      <c r="AL100" s="17">
        <f>IF(NOT(ISNUMBER(P100)),"",IF(ISNUMBER(Q100),(P100+Q100)/2,P100))</f>
        <v/>
      </c>
      <c r="AM100" s="19">
        <f>IF(AND(ISNUMBER(L100),ISNUMBER(AL100),AL100&gt;0),L100/AL100,"")</f>
        <v/>
      </c>
      <c r="AN100" s="19">
        <f>IF(AND(ISNUMBER(AM100),ISNUMBER({ROIC})),AM100-{ROIC},"")</f>
        <v/>
      </c>
      <c r="AO100" s="17">
        <f>IF(AND(ISNUMBER(AC100),ISNUMBER(M100)),AC100+M100,"")</f>
        <v/>
      </c>
      <c r="AP100" s="20">
        <f>IF(AND(ISNUMBER(AF100),ISNUMBER(R100),ISNUMBER(AO100),AO100&gt;0),(AF100-R100)/AO100,"")</f>
        <v/>
      </c>
      <c r="AQ100" s="20">
        <f>IF(AND(ISNUMBER(AC100),ISNUMBER(I100),I100&lt;&gt;0,AC100&gt;0),AC100/I100,"")</f>
        <v/>
      </c>
      <c r="AR100" s="17">
        <f>IF(AND(ISNUMBER(W100),ISNUMBER(Y100)),W100-IF(ISNUMBER(R100),R100,0)-(Y100-IF(ISNUMBER(T100),T100,0)),"")</f>
        <v/>
      </c>
      <c r="AS100" s="17">
        <f>IF(AND(ISNUMBER(X100),ISNUMBER(Z100)),X100-IF(ISNUMBER(S100),S100,0)-(Z100-IF(ISNUMBER(U100),U100,0)),"")</f>
        <v/>
      </c>
      <c r="AT100" s="17">
        <f>IF(AND(ISNUMBER(AR100),ISNUMBER(AS100)),AR100-AS100,"")</f>
        <v/>
      </c>
      <c r="AU100" s="17">
        <f>IF(E100="금융","",IF(AND(ISNUMBER(L100),ISNUMBER(M100),ISNUMBER(N100),ISNUMBER(AT100)),L100+M100-N100-AT100,IF(AND(ISNUMBER(O100),ISNUMBER(N100)),O100-N100,"")))</f>
        <v/>
      </c>
      <c r="AV100" s="8">
        <f>IF(E100="금융","금융업 - 정의되지 않음",IF(AND(ISNUMBER(L100),ISNUMBER(M100),ISNUMBER(N100),ISNUMBER(AT100)),"순이익+감가상각-설비투자-운전자본증감",IF(AND(ISNUMBER(O100),ISNUMBER(N100)),"영업현금흐름-설비투자","산출불가")))</f>
        <v/>
      </c>
      <c r="AW100" s="19">
        <f>IF(AND(ISNUMBER(AU100),ISNUMBER(G100),G100&lt;&gt;0),AU100/G100,"")</f>
        <v/>
      </c>
      <c r="AX100" s="19">
        <f>IF(AND(ISNUMBER(AC100),ISNUMBER(G100),G100&lt;&gt;0),AC100/G100,"")</f>
        <v/>
      </c>
    </row>
    <row r="101">
      <c r="A101" s="8" t="inlineStr">
        <is>
          <t>BRK-B</t>
        </is>
      </c>
      <c r="B101" s="8" t="inlineStr">
        <is>
          <t>BERKSHIRE HATHAWAY INC</t>
        </is>
      </c>
      <c r="C101" s="8" t="n">
        <v>2016</v>
      </c>
      <c r="D101" s="8" t="inlineStr">
        <is>
          <t>2016-12-31</t>
        </is>
      </c>
      <c r="E101" s="8" t="inlineStr">
        <is>
          <t>금융</t>
        </is>
      </c>
      <c r="F101" s="8" t="inlineStr">
        <is>
          <t>0001193125-19-048926</t>
        </is>
      </c>
      <c r="G101" s="15" t="n">
        <v>215.114</v>
      </c>
      <c r="H101" s="15" t="n">
        <v>33.667</v>
      </c>
      <c r="I101" s="15" t="n">
        <v>3.741</v>
      </c>
      <c r="J101" s="15" t="n">
        <v>9.24</v>
      </c>
      <c r="K101" s="15" t="n"/>
      <c r="L101" s="15" t="n">
        <v>24.074</v>
      </c>
      <c r="M101" s="15" t="n">
        <v>8.901</v>
      </c>
      <c r="N101" s="15" t="n">
        <v>12.954</v>
      </c>
      <c r="O101" s="15" t="n">
        <v>32.647</v>
      </c>
      <c r="P101" s="15" t="n">
        <v>282.07</v>
      </c>
      <c r="Q101" s="15" t="n">
        <v>255.55</v>
      </c>
      <c r="R101" s="15" t="n">
        <v>28.643</v>
      </c>
      <c r="S101" s="15" t="n">
        <v>67.602</v>
      </c>
      <c r="T101" s="15" t="n">
        <v>0</v>
      </c>
      <c r="U101" s="15" t="n">
        <v>0</v>
      </c>
      <c r="V101" s="15" t="n"/>
      <c r="W101" s="15" t="n"/>
      <c r="X101" s="15" t="n"/>
      <c r="Y101" s="15" t="n"/>
      <c r="Z101" s="15" t="n"/>
      <c r="AA101" s="15" t="n"/>
      <c r="AB101" s="16" t="n"/>
      <c r="AC101" s="17">
        <f>IF(AND(ISNUMBER(H101),ISNUMBER(I101)),H101+I101,IF(ISNUMBER(K101),K101,IF(ISNUMBER(H101),H101,"")))</f>
        <v/>
      </c>
      <c r="AD101" s="18">
        <f>IF(OR(NOT(ISNUMBER(J101)),NOT(ISNUMBER(H101)),H101&lt;=0),기준표!$B$8,MIN(MAX(J101/H101,기준표!$B$6),기준표!$B$7))</f>
        <v/>
      </c>
      <c r="AE101" s="17">
        <f>IF(ISNUMBER(AC101),AC101*(1-AD101),"")</f>
        <v/>
      </c>
      <c r="AF101" s="17">
        <f>IF(AND(NOT(ISNUMBER(T101)),NOT(ISNUMBER(V101))),"",IF(ISNUMBER(T101),T101,0)+IF(ISNUMBER(V101),V101,0))</f>
        <v/>
      </c>
      <c r="AG101" s="17">
        <f>IF(E101="금융","",IF(AND(ISNUMBER(P101),ISNUMBER(AF101),ISNUMBER(R101)),P101+AF101-R101,""))</f>
        <v/>
      </c>
      <c r="AH101" s="17">
        <f>IF(E101="금융","",IF(NOT(ISNUMBER(AG101)),"",IF(ISNUMBER(AA101),(AG101+AA101)/2,AG101)))</f>
        <v/>
      </c>
      <c r="AI101" s="19">
        <f>IF(AND(ISNUMBER(AE101),ISNUMBER(AH101),AH101&gt;0),AE101/AH101,"")</f>
        <v/>
      </c>
      <c r="AJ101" s="17">
        <f>IF(E101="금융","",IF(AND(ISNUMBER(P101),ISNUMBER(AF101)),P101+AF101,""))</f>
        <v/>
      </c>
      <c r="AK101" s="19">
        <f>IF(OR(NOT(ISNUMBER(AE101)),NOT(ISNUMBER(AJ101)),AJ101&lt;=0),"",IF(AND(ISNUMBER(G101),AJ101&lt;0.1*G101),"",AE101/AJ101))</f>
        <v/>
      </c>
      <c r="AL101" s="17">
        <f>IF(NOT(ISNUMBER(P101)),"",IF(ISNUMBER(Q101),(P101+Q101)/2,P101))</f>
        <v/>
      </c>
      <c r="AM101" s="19">
        <f>IF(AND(ISNUMBER(L101),ISNUMBER(AL101),AL101&gt;0),L101/AL101,"")</f>
        <v/>
      </c>
      <c r="AN101" s="19">
        <f>IF(AND(ISNUMBER(AM101),ISNUMBER({ROIC})),AM101-{ROIC},"")</f>
        <v/>
      </c>
      <c r="AO101" s="17">
        <f>IF(AND(ISNUMBER(AC101),ISNUMBER(M101)),AC101+M101,"")</f>
        <v/>
      </c>
      <c r="AP101" s="20">
        <f>IF(AND(ISNUMBER(AF101),ISNUMBER(R101),ISNUMBER(AO101),AO101&gt;0),(AF101-R101)/AO101,"")</f>
        <v/>
      </c>
      <c r="AQ101" s="20">
        <f>IF(AND(ISNUMBER(AC101),ISNUMBER(I101),I101&lt;&gt;0,AC101&gt;0),AC101/I101,"")</f>
        <v/>
      </c>
      <c r="AR101" s="17">
        <f>IF(AND(ISNUMBER(W101),ISNUMBER(Y101)),W101-IF(ISNUMBER(R101),R101,0)-(Y101-IF(ISNUMBER(T101),T101,0)),"")</f>
        <v/>
      </c>
      <c r="AS101" s="17">
        <f>IF(AND(ISNUMBER(X101),ISNUMBER(Z101)),X101-IF(ISNUMBER(S101),S101,0)-(Z101-IF(ISNUMBER(U101),U101,0)),"")</f>
        <v/>
      </c>
      <c r="AT101" s="17">
        <f>IF(AND(ISNUMBER(AR101),ISNUMBER(AS101)),AR101-AS101,"")</f>
        <v/>
      </c>
      <c r="AU101" s="17">
        <f>IF(E101="금융","",IF(AND(ISNUMBER(L101),ISNUMBER(M101),ISNUMBER(N101),ISNUMBER(AT101)),L101+M101-N101-AT101,IF(AND(ISNUMBER(O101),ISNUMBER(N101)),O101-N101,"")))</f>
        <v/>
      </c>
      <c r="AV101" s="8">
        <f>IF(E101="금융","금융업 - 정의되지 않음",IF(AND(ISNUMBER(L101),ISNUMBER(M101),ISNUMBER(N101),ISNUMBER(AT101)),"순이익+감가상각-설비투자-운전자본증감",IF(AND(ISNUMBER(O101),ISNUMBER(N101)),"영업현금흐름-설비투자","산출불가")))</f>
        <v/>
      </c>
      <c r="AW101" s="19">
        <f>IF(AND(ISNUMBER(AU101),ISNUMBER(G101),G101&lt;&gt;0),AU101/G101,"")</f>
        <v/>
      </c>
      <c r="AX101" s="19">
        <f>IF(AND(ISNUMBER(AC101),ISNUMBER(G101),G101&lt;&gt;0),AC101/G101,"")</f>
        <v/>
      </c>
    </row>
    <row r="102">
      <c r="A102" s="8" t="inlineStr">
        <is>
          <t>BRK-B</t>
        </is>
      </c>
      <c r="B102" s="8" t="inlineStr">
        <is>
          <t>BERKSHIRE HATHAWAY INC</t>
        </is>
      </c>
      <c r="C102" s="8" t="n">
        <v>2017</v>
      </c>
      <c r="D102" s="8" t="inlineStr">
        <is>
          <t>2017-12-31</t>
        </is>
      </c>
      <c r="E102" s="8" t="inlineStr">
        <is>
          <t>금융</t>
        </is>
      </c>
      <c r="F102" s="8" t="inlineStr">
        <is>
          <t>0001564590-20-005874</t>
        </is>
      </c>
      <c r="G102" s="15" t="n">
        <v>239.933</v>
      </c>
      <c r="H102" s="15" t="n">
        <v>23.838</v>
      </c>
      <c r="I102" s="15" t="n">
        <v>4.386</v>
      </c>
      <c r="J102" s="15" t="n">
        <v>-21.515</v>
      </c>
      <c r="K102" s="15" t="n"/>
      <c r="L102" s="15" t="n">
        <v>44.94</v>
      </c>
      <c r="M102" s="15" t="n">
        <v>9.188000000000001</v>
      </c>
      <c r="N102" s="15" t="n">
        <v>11.708</v>
      </c>
      <c r="O102" s="15" t="n">
        <v>45.728</v>
      </c>
      <c r="P102" s="15" t="n">
        <v>348.296</v>
      </c>
      <c r="Q102" s="15" t="n">
        <v>282.07</v>
      </c>
      <c r="R102" s="15" t="n">
        <v>32.212</v>
      </c>
      <c r="S102" s="15" t="n">
        <v>28.643</v>
      </c>
      <c r="T102" s="15" t="n">
        <v>0</v>
      </c>
      <c r="U102" s="15" t="n">
        <v>0</v>
      </c>
      <c r="V102" s="15" t="n"/>
      <c r="W102" s="15" t="n"/>
      <c r="X102" s="15" t="n"/>
      <c r="Y102" s="15" t="n"/>
      <c r="Z102" s="15" t="n"/>
      <c r="AA102" s="15" t="n"/>
      <c r="AB102" s="16" t="n"/>
      <c r="AC102" s="17">
        <f>IF(AND(ISNUMBER(H102),ISNUMBER(I102)),H102+I102,IF(ISNUMBER(K102),K102,IF(ISNUMBER(H102),H102,"")))</f>
        <v/>
      </c>
      <c r="AD102" s="18">
        <f>IF(OR(NOT(ISNUMBER(J102)),NOT(ISNUMBER(H102)),H102&lt;=0),기준표!$B$8,MIN(MAX(J102/H102,기준표!$B$6),기준표!$B$7))</f>
        <v/>
      </c>
      <c r="AE102" s="17">
        <f>IF(ISNUMBER(AC102),AC102*(1-AD102),"")</f>
        <v/>
      </c>
      <c r="AF102" s="17">
        <f>IF(AND(NOT(ISNUMBER(T102)),NOT(ISNUMBER(V102))),"",IF(ISNUMBER(T102),T102,0)+IF(ISNUMBER(V102),V102,0))</f>
        <v/>
      </c>
      <c r="AG102" s="17">
        <f>IF(E102="금융","",IF(AND(ISNUMBER(P102),ISNUMBER(AF102),ISNUMBER(R102)),P102+AF102-R102,""))</f>
        <v/>
      </c>
      <c r="AH102" s="17">
        <f>IF(E102="금융","",IF(NOT(ISNUMBER(AG102)),"",IF(ISNUMBER(AA102),(AG102+AA102)/2,AG102)))</f>
        <v/>
      </c>
      <c r="AI102" s="19">
        <f>IF(AND(ISNUMBER(AE102),ISNUMBER(AH102),AH102&gt;0),AE102/AH102,"")</f>
        <v/>
      </c>
      <c r="AJ102" s="17">
        <f>IF(E102="금융","",IF(AND(ISNUMBER(P102),ISNUMBER(AF102)),P102+AF102,""))</f>
        <v/>
      </c>
      <c r="AK102" s="19">
        <f>IF(OR(NOT(ISNUMBER(AE102)),NOT(ISNUMBER(AJ102)),AJ102&lt;=0),"",IF(AND(ISNUMBER(G102),AJ102&lt;0.1*G102),"",AE102/AJ102))</f>
        <v/>
      </c>
      <c r="AL102" s="17">
        <f>IF(NOT(ISNUMBER(P102)),"",IF(ISNUMBER(Q102),(P102+Q102)/2,P102))</f>
        <v/>
      </c>
      <c r="AM102" s="19">
        <f>IF(AND(ISNUMBER(L102),ISNUMBER(AL102),AL102&gt;0),L102/AL102,"")</f>
        <v/>
      </c>
      <c r="AN102" s="19">
        <f>IF(AND(ISNUMBER(AM102),ISNUMBER({ROIC})),AM102-{ROIC},"")</f>
        <v/>
      </c>
      <c r="AO102" s="17">
        <f>IF(AND(ISNUMBER(AC102),ISNUMBER(M102)),AC102+M102,"")</f>
        <v/>
      </c>
      <c r="AP102" s="20">
        <f>IF(AND(ISNUMBER(AF102),ISNUMBER(R102),ISNUMBER(AO102),AO102&gt;0),(AF102-R102)/AO102,"")</f>
        <v/>
      </c>
      <c r="AQ102" s="20">
        <f>IF(AND(ISNUMBER(AC102),ISNUMBER(I102),I102&lt;&gt;0,AC102&gt;0),AC102/I102,"")</f>
        <v/>
      </c>
      <c r="AR102" s="17">
        <f>IF(AND(ISNUMBER(W102),ISNUMBER(Y102)),W102-IF(ISNUMBER(R102),R102,0)-(Y102-IF(ISNUMBER(T102),T102,0)),"")</f>
        <v/>
      </c>
      <c r="AS102" s="17">
        <f>IF(AND(ISNUMBER(X102),ISNUMBER(Z102)),X102-IF(ISNUMBER(S102),S102,0)-(Z102-IF(ISNUMBER(U102),U102,0)),"")</f>
        <v/>
      </c>
      <c r="AT102" s="17">
        <f>IF(AND(ISNUMBER(AR102),ISNUMBER(AS102)),AR102-AS102,"")</f>
        <v/>
      </c>
      <c r="AU102" s="17">
        <f>IF(E102="금융","",IF(AND(ISNUMBER(L102),ISNUMBER(M102),ISNUMBER(N102),ISNUMBER(AT102)),L102+M102-N102-AT102,IF(AND(ISNUMBER(O102),ISNUMBER(N102)),O102-N102,"")))</f>
        <v/>
      </c>
      <c r="AV102" s="8">
        <f>IF(E102="금융","금융업 - 정의되지 않음",IF(AND(ISNUMBER(L102),ISNUMBER(M102),ISNUMBER(N102),ISNUMBER(AT102)),"순이익+감가상각-설비투자-운전자본증감",IF(AND(ISNUMBER(O102),ISNUMBER(N102)),"영업현금흐름-설비투자","산출불가")))</f>
        <v/>
      </c>
      <c r="AW102" s="19">
        <f>IF(AND(ISNUMBER(AU102),ISNUMBER(G102),G102&lt;&gt;0),AU102/G102,"")</f>
        <v/>
      </c>
      <c r="AX102" s="19">
        <f>IF(AND(ISNUMBER(AC102),ISNUMBER(G102),G102&lt;&gt;0),AC102/G102,"")</f>
        <v/>
      </c>
    </row>
    <row r="103">
      <c r="A103" s="8" t="inlineStr">
        <is>
          <t>BRK-B</t>
        </is>
      </c>
      <c r="B103" s="8" t="inlineStr">
        <is>
          <t>BERKSHIRE HATHAWAY INC</t>
        </is>
      </c>
      <c r="C103" s="8" t="n">
        <v>2018</v>
      </c>
      <c r="D103" s="8" t="inlineStr">
        <is>
          <t>2018-12-31</t>
        </is>
      </c>
      <c r="E103" s="8" t="inlineStr">
        <is>
          <t>금융</t>
        </is>
      </c>
      <c r="F103" s="8" t="inlineStr">
        <is>
          <t>0001564590-21-009611</t>
        </is>
      </c>
      <c r="G103" s="15" t="n">
        <v>247.837</v>
      </c>
      <c r="H103" s="15" t="n">
        <v>4.001</v>
      </c>
      <c r="I103" s="15" t="n">
        <v>3.853</v>
      </c>
      <c r="J103" s="15" t="n">
        <v>-0.321</v>
      </c>
      <c r="K103" s="15" t="n"/>
      <c r="L103" s="15" t="n">
        <v>4.021</v>
      </c>
      <c r="M103" s="15" t="n">
        <v>9.779</v>
      </c>
      <c r="N103" s="15" t="n">
        <v>14.537</v>
      </c>
      <c r="O103" s="15" t="n">
        <v>37.4</v>
      </c>
      <c r="P103" s="15" t="n">
        <v>348.703</v>
      </c>
      <c r="Q103" s="15" t="n">
        <v>348.296</v>
      </c>
      <c r="R103" s="15" t="n">
        <v>30.811</v>
      </c>
      <c r="S103" s="15" t="n">
        <v>32.212</v>
      </c>
      <c r="T103" s="15" t="n">
        <v>0</v>
      </c>
      <c r="U103" s="15" t="n">
        <v>0</v>
      </c>
      <c r="V103" s="15" t="n"/>
      <c r="W103" s="15" t="n"/>
      <c r="X103" s="15" t="n"/>
      <c r="Y103" s="15" t="n"/>
      <c r="Z103" s="15" t="n"/>
      <c r="AA103" s="15" t="n"/>
      <c r="AB103" s="16" t="n"/>
      <c r="AC103" s="17">
        <f>IF(AND(ISNUMBER(H103),ISNUMBER(I103)),H103+I103,IF(ISNUMBER(K103),K103,IF(ISNUMBER(H103),H103,"")))</f>
        <v/>
      </c>
      <c r="AD103" s="18">
        <f>IF(OR(NOT(ISNUMBER(J103)),NOT(ISNUMBER(H103)),H103&lt;=0),기준표!$B$8,MIN(MAX(J103/H103,기준표!$B$6),기준표!$B$7))</f>
        <v/>
      </c>
      <c r="AE103" s="17">
        <f>IF(ISNUMBER(AC103),AC103*(1-AD103),"")</f>
        <v/>
      </c>
      <c r="AF103" s="17">
        <f>IF(AND(NOT(ISNUMBER(T103)),NOT(ISNUMBER(V103))),"",IF(ISNUMBER(T103),T103,0)+IF(ISNUMBER(V103),V103,0))</f>
        <v/>
      </c>
      <c r="AG103" s="17">
        <f>IF(E103="금융","",IF(AND(ISNUMBER(P103),ISNUMBER(AF103),ISNUMBER(R103)),P103+AF103-R103,""))</f>
        <v/>
      </c>
      <c r="AH103" s="17">
        <f>IF(E103="금융","",IF(NOT(ISNUMBER(AG103)),"",IF(ISNUMBER(AA103),(AG103+AA103)/2,AG103)))</f>
        <v/>
      </c>
      <c r="AI103" s="19">
        <f>IF(AND(ISNUMBER(AE103),ISNUMBER(AH103),AH103&gt;0),AE103/AH103,"")</f>
        <v/>
      </c>
      <c r="AJ103" s="17">
        <f>IF(E103="금융","",IF(AND(ISNUMBER(P103),ISNUMBER(AF103)),P103+AF103,""))</f>
        <v/>
      </c>
      <c r="AK103" s="19">
        <f>IF(OR(NOT(ISNUMBER(AE103)),NOT(ISNUMBER(AJ103)),AJ103&lt;=0),"",IF(AND(ISNUMBER(G103),AJ103&lt;0.1*G103),"",AE103/AJ103))</f>
        <v/>
      </c>
      <c r="AL103" s="17">
        <f>IF(NOT(ISNUMBER(P103)),"",IF(ISNUMBER(Q103),(P103+Q103)/2,P103))</f>
        <v/>
      </c>
      <c r="AM103" s="19">
        <f>IF(AND(ISNUMBER(L103),ISNUMBER(AL103),AL103&gt;0),L103/AL103,"")</f>
        <v/>
      </c>
      <c r="AN103" s="19">
        <f>IF(AND(ISNUMBER(AM103),ISNUMBER({ROIC})),AM103-{ROIC},"")</f>
        <v/>
      </c>
      <c r="AO103" s="17">
        <f>IF(AND(ISNUMBER(AC103),ISNUMBER(M103)),AC103+M103,"")</f>
        <v/>
      </c>
      <c r="AP103" s="20">
        <f>IF(AND(ISNUMBER(AF103),ISNUMBER(R103),ISNUMBER(AO103),AO103&gt;0),(AF103-R103)/AO103,"")</f>
        <v/>
      </c>
      <c r="AQ103" s="20">
        <f>IF(AND(ISNUMBER(AC103),ISNUMBER(I103),I103&lt;&gt;0,AC103&gt;0),AC103/I103,"")</f>
        <v/>
      </c>
      <c r="AR103" s="17">
        <f>IF(AND(ISNUMBER(W103),ISNUMBER(Y103)),W103-IF(ISNUMBER(R103),R103,0)-(Y103-IF(ISNUMBER(T103),T103,0)),"")</f>
        <v/>
      </c>
      <c r="AS103" s="17">
        <f>IF(AND(ISNUMBER(X103),ISNUMBER(Z103)),X103-IF(ISNUMBER(S103),S103,0)-(Z103-IF(ISNUMBER(U103),U103,0)),"")</f>
        <v/>
      </c>
      <c r="AT103" s="17">
        <f>IF(AND(ISNUMBER(AR103),ISNUMBER(AS103)),AR103-AS103,"")</f>
        <v/>
      </c>
      <c r="AU103" s="17">
        <f>IF(E103="금융","",IF(AND(ISNUMBER(L103),ISNUMBER(M103),ISNUMBER(N103),ISNUMBER(AT103)),L103+M103-N103-AT103,IF(AND(ISNUMBER(O103),ISNUMBER(N103)),O103-N103,"")))</f>
        <v/>
      </c>
      <c r="AV103" s="8">
        <f>IF(E103="금융","금융업 - 정의되지 않음",IF(AND(ISNUMBER(L103),ISNUMBER(M103),ISNUMBER(N103),ISNUMBER(AT103)),"순이익+감가상각-설비투자-운전자본증감",IF(AND(ISNUMBER(O103),ISNUMBER(N103)),"영업현금흐름-설비투자","산출불가")))</f>
        <v/>
      </c>
      <c r="AW103" s="19">
        <f>IF(AND(ISNUMBER(AU103),ISNUMBER(G103),G103&lt;&gt;0),AU103/G103,"")</f>
        <v/>
      </c>
      <c r="AX103" s="19">
        <f>IF(AND(ISNUMBER(AC103),ISNUMBER(G103),G103&lt;&gt;0),AC103/G103,"")</f>
        <v/>
      </c>
    </row>
    <row r="104">
      <c r="A104" s="8" t="inlineStr">
        <is>
          <t>BRK-B</t>
        </is>
      </c>
      <c r="B104" s="8" t="inlineStr">
        <is>
          <t>BERKSHIRE HATHAWAY INC</t>
        </is>
      </c>
      <c r="C104" s="8" t="n">
        <v>2019</v>
      </c>
      <c r="D104" s="8" t="inlineStr">
        <is>
          <t>2019-12-31</t>
        </is>
      </c>
      <c r="E104" s="8" t="inlineStr">
        <is>
          <t>금융</t>
        </is>
      </c>
      <c r="F104" s="8" t="inlineStr">
        <is>
          <t>0001564590-22-007322</t>
        </is>
      </c>
      <c r="G104" s="15" t="n">
        <v>254.616</v>
      </c>
      <c r="H104" s="15" t="n">
        <v>102.696</v>
      </c>
      <c r="I104" s="15" t="n">
        <v>3.961</v>
      </c>
      <c r="J104" s="15" t="n">
        <v>20.904</v>
      </c>
      <c r="K104" s="15" t="n"/>
      <c r="L104" s="15" t="n">
        <v>81.417</v>
      </c>
      <c r="M104" s="15" t="n">
        <v>10.064</v>
      </c>
      <c r="N104" s="15" t="n">
        <v>15.979</v>
      </c>
      <c r="O104" s="15" t="n">
        <v>38.687</v>
      </c>
      <c r="P104" s="15" t="n">
        <v>424.791</v>
      </c>
      <c r="Q104" s="15" t="n">
        <v>348.703</v>
      </c>
      <c r="R104" s="15" t="n">
        <v>64.63200000000001</v>
      </c>
      <c r="S104" s="15" t="n">
        <v>30.811</v>
      </c>
      <c r="T104" s="15" t="n">
        <v>0</v>
      </c>
      <c r="U104" s="15" t="n">
        <v>0</v>
      </c>
      <c r="V104" s="15" t="n"/>
      <c r="W104" s="15" t="n"/>
      <c r="X104" s="15" t="n"/>
      <c r="Y104" s="15" t="n"/>
      <c r="Z104" s="15" t="n"/>
      <c r="AA104" s="15" t="n"/>
      <c r="AB104" s="16" t="n"/>
      <c r="AC104" s="17">
        <f>IF(AND(ISNUMBER(H104),ISNUMBER(I104)),H104+I104,IF(ISNUMBER(K104),K104,IF(ISNUMBER(H104),H104,"")))</f>
        <v/>
      </c>
      <c r="AD104" s="18">
        <f>IF(OR(NOT(ISNUMBER(J104)),NOT(ISNUMBER(H104)),H104&lt;=0),기준표!$B$8,MIN(MAX(J104/H104,기준표!$B$6),기준표!$B$7))</f>
        <v/>
      </c>
      <c r="AE104" s="17">
        <f>IF(ISNUMBER(AC104),AC104*(1-AD104),"")</f>
        <v/>
      </c>
      <c r="AF104" s="17">
        <f>IF(AND(NOT(ISNUMBER(T104)),NOT(ISNUMBER(V104))),"",IF(ISNUMBER(T104),T104,0)+IF(ISNUMBER(V104),V104,0))</f>
        <v/>
      </c>
      <c r="AG104" s="17">
        <f>IF(E104="금융","",IF(AND(ISNUMBER(P104),ISNUMBER(AF104),ISNUMBER(R104)),P104+AF104-R104,""))</f>
        <v/>
      </c>
      <c r="AH104" s="17">
        <f>IF(E104="금융","",IF(NOT(ISNUMBER(AG104)),"",IF(ISNUMBER(AA104),(AG104+AA104)/2,AG104)))</f>
        <v/>
      </c>
      <c r="AI104" s="19">
        <f>IF(AND(ISNUMBER(AE104),ISNUMBER(AH104),AH104&gt;0),AE104/AH104,"")</f>
        <v/>
      </c>
      <c r="AJ104" s="17">
        <f>IF(E104="금융","",IF(AND(ISNUMBER(P104),ISNUMBER(AF104)),P104+AF104,""))</f>
        <v/>
      </c>
      <c r="AK104" s="19">
        <f>IF(OR(NOT(ISNUMBER(AE104)),NOT(ISNUMBER(AJ104)),AJ104&lt;=0),"",IF(AND(ISNUMBER(G104),AJ104&lt;0.1*G104),"",AE104/AJ104))</f>
        <v/>
      </c>
      <c r="AL104" s="17">
        <f>IF(NOT(ISNUMBER(P104)),"",IF(ISNUMBER(Q104),(P104+Q104)/2,P104))</f>
        <v/>
      </c>
      <c r="AM104" s="19">
        <f>IF(AND(ISNUMBER(L104),ISNUMBER(AL104),AL104&gt;0),L104/AL104,"")</f>
        <v/>
      </c>
      <c r="AN104" s="19">
        <f>IF(AND(ISNUMBER(AM104),ISNUMBER({ROIC})),AM104-{ROIC},"")</f>
        <v/>
      </c>
      <c r="AO104" s="17">
        <f>IF(AND(ISNUMBER(AC104),ISNUMBER(M104)),AC104+M104,"")</f>
        <v/>
      </c>
      <c r="AP104" s="20">
        <f>IF(AND(ISNUMBER(AF104),ISNUMBER(R104),ISNUMBER(AO104),AO104&gt;0),(AF104-R104)/AO104,"")</f>
        <v/>
      </c>
      <c r="AQ104" s="20">
        <f>IF(AND(ISNUMBER(AC104),ISNUMBER(I104),I104&lt;&gt;0,AC104&gt;0),AC104/I104,"")</f>
        <v/>
      </c>
      <c r="AR104" s="17">
        <f>IF(AND(ISNUMBER(W104),ISNUMBER(Y104)),W104-IF(ISNUMBER(R104),R104,0)-(Y104-IF(ISNUMBER(T104),T104,0)),"")</f>
        <v/>
      </c>
      <c r="AS104" s="17">
        <f>IF(AND(ISNUMBER(X104),ISNUMBER(Z104)),X104-IF(ISNUMBER(S104),S104,0)-(Z104-IF(ISNUMBER(U104),U104,0)),"")</f>
        <v/>
      </c>
      <c r="AT104" s="17">
        <f>IF(AND(ISNUMBER(AR104),ISNUMBER(AS104)),AR104-AS104,"")</f>
        <v/>
      </c>
      <c r="AU104" s="17">
        <f>IF(E104="금융","",IF(AND(ISNUMBER(L104),ISNUMBER(M104),ISNUMBER(N104),ISNUMBER(AT104)),L104+M104-N104-AT104,IF(AND(ISNUMBER(O104),ISNUMBER(N104)),O104-N104,"")))</f>
        <v/>
      </c>
      <c r="AV104" s="8">
        <f>IF(E104="금융","금융업 - 정의되지 않음",IF(AND(ISNUMBER(L104),ISNUMBER(M104),ISNUMBER(N104),ISNUMBER(AT104)),"순이익+감가상각-설비투자-운전자본증감",IF(AND(ISNUMBER(O104),ISNUMBER(N104)),"영업현금흐름-설비투자","산출불가")))</f>
        <v/>
      </c>
      <c r="AW104" s="19">
        <f>IF(AND(ISNUMBER(AU104),ISNUMBER(G104),G104&lt;&gt;0),AU104/G104,"")</f>
        <v/>
      </c>
      <c r="AX104" s="19">
        <f>IF(AND(ISNUMBER(AC104),ISNUMBER(G104),G104&lt;&gt;0),AC104/G104,"")</f>
        <v/>
      </c>
    </row>
    <row r="105">
      <c r="A105" s="8" t="inlineStr">
        <is>
          <t>BRK-B</t>
        </is>
      </c>
      <c r="B105" s="8" t="inlineStr">
        <is>
          <t>BERKSHIRE HATHAWAY INC</t>
        </is>
      </c>
      <c r="C105" s="8" t="n">
        <v>2020</v>
      </c>
      <c r="D105" s="8" t="inlineStr">
        <is>
          <t>2020-12-31</t>
        </is>
      </c>
      <c r="E105" s="8" t="inlineStr">
        <is>
          <t>금융</t>
        </is>
      </c>
      <c r="F105" s="8" t="inlineStr">
        <is>
          <t>0000950170-23-004451</t>
        </is>
      </c>
      <c r="G105" s="15" t="n">
        <v>245.579</v>
      </c>
      <c r="H105" s="15" t="n">
        <v>55.693</v>
      </c>
      <c r="I105" s="15" t="n">
        <v>4.083</v>
      </c>
      <c r="J105" s="15" t="n">
        <v>12.44</v>
      </c>
      <c r="K105" s="15" t="n"/>
      <c r="L105" s="15" t="n">
        <v>42.521</v>
      </c>
      <c r="M105" s="15" t="n">
        <v>10.596</v>
      </c>
      <c r="N105" s="15" t="n">
        <v>13.012</v>
      </c>
      <c r="O105" s="15" t="n">
        <v>39.773</v>
      </c>
      <c r="P105" s="15" t="n">
        <v>436.736</v>
      </c>
      <c r="Q105" s="15" t="n">
        <v>424.791</v>
      </c>
      <c r="R105" s="15" t="n">
        <v>48.396</v>
      </c>
      <c r="S105" s="15" t="n">
        <v>64.63200000000001</v>
      </c>
      <c r="T105" s="15" t="n">
        <v>0</v>
      </c>
      <c r="U105" s="15" t="n">
        <v>0</v>
      </c>
      <c r="V105" s="15" t="n"/>
      <c r="W105" s="15" t="n"/>
      <c r="X105" s="15" t="n"/>
      <c r="Y105" s="15" t="n"/>
      <c r="Z105" s="15" t="n"/>
      <c r="AA105" s="15" t="n"/>
      <c r="AB105" s="16" t="n"/>
      <c r="AC105" s="17">
        <f>IF(AND(ISNUMBER(H105),ISNUMBER(I105)),H105+I105,IF(ISNUMBER(K105),K105,IF(ISNUMBER(H105),H105,"")))</f>
        <v/>
      </c>
      <c r="AD105" s="18">
        <f>IF(OR(NOT(ISNUMBER(J105)),NOT(ISNUMBER(H105)),H105&lt;=0),기준표!$B$8,MIN(MAX(J105/H105,기준표!$B$6),기준표!$B$7))</f>
        <v/>
      </c>
      <c r="AE105" s="17">
        <f>IF(ISNUMBER(AC105),AC105*(1-AD105),"")</f>
        <v/>
      </c>
      <c r="AF105" s="17">
        <f>IF(AND(NOT(ISNUMBER(T105)),NOT(ISNUMBER(V105))),"",IF(ISNUMBER(T105),T105,0)+IF(ISNUMBER(V105),V105,0))</f>
        <v/>
      </c>
      <c r="AG105" s="17">
        <f>IF(E105="금융","",IF(AND(ISNUMBER(P105),ISNUMBER(AF105),ISNUMBER(R105)),P105+AF105-R105,""))</f>
        <v/>
      </c>
      <c r="AH105" s="17">
        <f>IF(E105="금융","",IF(NOT(ISNUMBER(AG105)),"",IF(ISNUMBER(AA105),(AG105+AA105)/2,AG105)))</f>
        <v/>
      </c>
      <c r="AI105" s="19">
        <f>IF(AND(ISNUMBER(AE105),ISNUMBER(AH105),AH105&gt;0),AE105/AH105,"")</f>
        <v/>
      </c>
      <c r="AJ105" s="17">
        <f>IF(E105="금융","",IF(AND(ISNUMBER(P105),ISNUMBER(AF105)),P105+AF105,""))</f>
        <v/>
      </c>
      <c r="AK105" s="19">
        <f>IF(OR(NOT(ISNUMBER(AE105)),NOT(ISNUMBER(AJ105)),AJ105&lt;=0),"",IF(AND(ISNUMBER(G105),AJ105&lt;0.1*G105),"",AE105/AJ105))</f>
        <v/>
      </c>
      <c r="AL105" s="17">
        <f>IF(NOT(ISNUMBER(P105)),"",IF(ISNUMBER(Q105),(P105+Q105)/2,P105))</f>
        <v/>
      </c>
      <c r="AM105" s="19">
        <f>IF(AND(ISNUMBER(L105),ISNUMBER(AL105),AL105&gt;0),L105/AL105,"")</f>
        <v/>
      </c>
      <c r="AN105" s="19">
        <f>IF(AND(ISNUMBER(AM105),ISNUMBER({ROIC})),AM105-{ROIC},"")</f>
        <v/>
      </c>
      <c r="AO105" s="17">
        <f>IF(AND(ISNUMBER(AC105),ISNUMBER(M105)),AC105+M105,"")</f>
        <v/>
      </c>
      <c r="AP105" s="20">
        <f>IF(AND(ISNUMBER(AF105),ISNUMBER(R105),ISNUMBER(AO105),AO105&gt;0),(AF105-R105)/AO105,"")</f>
        <v/>
      </c>
      <c r="AQ105" s="20">
        <f>IF(AND(ISNUMBER(AC105),ISNUMBER(I105),I105&lt;&gt;0,AC105&gt;0),AC105/I105,"")</f>
        <v/>
      </c>
      <c r="AR105" s="17">
        <f>IF(AND(ISNUMBER(W105),ISNUMBER(Y105)),W105-IF(ISNUMBER(R105),R105,0)-(Y105-IF(ISNUMBER(T105),T105,0)),"")</f>
        <v/>
      </c>
      <c r="AS105" s="17">
        <f>IF(AND(ISNUMBER(X105),ISNUMBER(Z105)),X105-IF(ISNUMBER(S105),S105,0)-(Z105-IF(ISNUMBER(U105),U105,0)),"")</f>
        <v/>
      </c>
      <c r="AT105" s="17">
        <f>IF(AND(ISNUMBER(AR105),ISNUMBER(AS105)),AR105-AS105,"")</f>
        <v/>
      </c>
      <c r="AU105" s="17">
        <f>IF(E105="금융","",IF(AND(ISNUMBER(L105),ISNUMBER(M105),ISNUMBER(N105),ISNUMBER(AT105)),L105+M105-N105-AT105,IF(AND(ISNUMBER(O105),ISNUMBER(N105)),O105-N105,"")))</f>
        <v/>
      </c>
      <c r="AV105" s="8">
        <f>IF(E105="금융","금융업 - 정의되지 않음",IF(AND(ISNUMBER(L105),ISNUMBER(M105),ISNUMBER(N105),ISNUMBER(AT105)),"순이익+감가상각-설비투자-운전자본증감",IF(AND(ISNUMBER(O105),ISNUMBER(N105)),"영업현금흐름-설비투자","산출불가")))</f>
        <v/>
      </c>
      <c r="AW105" s="19">
        <f>IF(AND(ISNUMBER(AU105),ISNUMBER(G105),G105&lt;&gt;0),AU105/G105,"")</f>
        <v/>
      </c>
      <c r="AX105" s="19">
        <f>IF(AND(ISNUMBER(AC105),ISNUMBER(G105),G105&lt;&gt;0),AC105/G105,"")</f>
        <v/>
      </c>
    </row>
    <row r="106">
      <c r="A106" s="8" t="inlineStr">
        <is>
          <t>BRK-B</t>
        </is>
      </c>
      <c r="B106" s="8" t="inlineStr">
        <is>
          <t>BERKSHIRE HATHAWAY INC</t>
        </is>
      </c>
      <c r="C106" s="8" t="n">
        <v>2021</v>
      </c>
      <c r="D106" s="8" t="inlineStr">
        <is>
          <t>2021-12-31</t>
        </is>
      </c>
      <c r="E106" s="8" t="inlineStr">
        <is>
          <t>금융</t>
        </is>
      </c>
      <c r="F106" s="8" t="inlineStr">
        <is>
          <t>0000950170-24-019719</t>
        </is>
      </c>
      <c r="G106" s="15" t="n">
        <v>276.185</v>
      </c>
      <c r="H106" s="15" t="n">
        <v>111.861</v>
      </c>
      <c r="I106" s="15" t="n">
        <v>4.172</v>
      </c>
      <c r="J106" s="15" t="n">
        <v>20.912</v>
      </c>
      <c r="K106" s="15" t="n"/>
      <c r="L106" s="15" t="n">
        <v>89.937</v>
      </c>
      <c r="M106" s="15" t="n">
        <v>10.718</v>
      </c>
      <c r="N106" s="15" t="n">
        <v>13.276</v>
      </c>
      <c r="O106" s="15" t="n">
        <v>39.427</v>
      </c>
      <c r="P106" s="15" t="n">
        <v>506.199</v>
      </c>
      <c r="Q106" s="15" t="n">
        <v>436.736</v>
      </c>
      <c r="R106" s="15" t="n">
        <v>88.706</v>
      </c>
      <c r="S106" s="15" t="n">
        <v>48.396</v>
      </c>
      <c r="T106" s="15" t="n">
        <v>0</v>
      </c>
      <c r="U106" s="15" t="n">
        <v>0</v>
      </c>
      <c r="V106" s="15" t="n"/>
      <c r="W106" s="15" t="n"/>
      <c r="X106" s="15" t="n"/>
      <c r="Y106" s="15" t="n"/>
      <c r="Z106" s="15" t="n"/>
      <c r="AA106" s="15" t="n"/>
      <c r="AB106" s="16" t="n"/>
      <c r="AC106" s="17">
        <f>IF(AND(ISNUMBER(H106),ISNUMBER(I106)),H106+I106,IF(ISNUMBER(K106),K106,IF(ISNUMBER(H106),H106,"")))</f>
        <v/>
      </c>
      <c r="AD106" s="18">
        <f>IF(OR(NOT(ISNUMBER(J106)),NOT(ISNUMBER(H106)),H106&lt;=0),기준표!$B$8,MIN(MAX(J106/H106,기준표!$B$6),기준표!$B$7))</f>
        <v/>
      </c>
      <c r="AE106" s="17">
        <f>IF(ISNUMBER(AC106),AC106*(1-AD106),"")</f>
        <v/>
      </c>
      <c r="AF106" s="17">
        <f>IF(AND(NOT(ISNUMBER(T106)),NOT(ISNUMBER(V106))),"",IF(ISNUMBER(T106),T106,0)+IF(ISNUMBER(V106),V106,0))</f>
        <v/>
      </c>
      <c r="AG106" s="17">
        <f>IF(E106="금융","",IF(AND(ISNUMBER(P106),ISNUMBER(AF106),ISNUMBER(R106)),P106+AF106-R106,""))</f>
        <v/>
      </c>
      <c r="AH106" s="17">
        <f>IF(E106="금융","",IF(NOT(ISNUMBER(AG106)),"",IF(ISNUMBER(AA106),(AG106+AA106)/2,AG106)))</f>
        <v/>
      </c>
      <c r="AI106" s="19">
        <f>IF(AND(ISNUMBER(AE106),ISNUMBER(AH106),AH106&gt;0),AE106/AH106,"")</f>
        <v/>
      </c>
      <c r="AJ106" s="17">
        <f>IF(E106="금융","",IF(AND(ISNUMBER(P106),ISNUMBER(AF106)),P106+AF106,""))</f>
        <v/>
      </c>
      <c r="AK106" s="19">
        <f>IF(OR(NOT(ISNUMBER(AE106)),NOT(ISNUMBER(AJ106)),AJ106&lt;=0),"",IF(AND(ISNUMBER(G106),AJ106&lt;0.1*G106),"",AE106/AJ106))</f>
        <v/>
      </c>
      <c r="AL106" s="17">
        <f>IF(NOT(ISNUMBER(P106)),"",IF(ISNUMBER(Q106),(P106+Q106)/2,P106))</f>
        <v/>
      </c>
      <c r="AM106" s="19">
        <f>IF(AND(ISNUMBER(L106),ISNUMBER(AL106),AL106&gt;0),L106/AL106,"")</f>
        <v/>
      </c>
      <c r="AN106" s="19">
        <f>IF(AND(ISNUMBER(AM106),ISNUMBER({ROIC})),AM106-{ROIC},"")</f>
        <v/>
      </c>
      <c r="AO106" s="17">
        <f>IF(AND(ISNUMBER(AC106),ISNUMBER(M106)),AC106+M106,"")</f>
        <v/>
      </c>
      <c r="AP106" s="20">
        <f>IF(AND(ISNUMBER(AF106),ISNUMBER(R106),ISNUMBER(AO106),AO106&gt;0),(AF106-R106)/AO106,"")</f>
        <v/>
      </c>
      <c r="AQ106" s="20">
        <f>IF(AND(ISNUMBER(AC106),ISNUMBER(I106),I106&lt;&gt;0,AC106&gt;0),AC106/I106,"")</f>
        <v/>
      </c>
      <c r="AR106" s="17">
        <f>IF(AND(ISNUMBER(W106),ISNUMBER(Y106)),W106-IF(ISNUMBER(R106),R106,0)-(Y106-IF(ISNUMBER(T106),T106,0)),"")</f>
        <v/>
      </c>
      <c r="AS106" s="17">
        <f>IF(AND(ISNUMBER(X106),ISNUMBER(Z106)),X106-IF(ISNUMBER(S106),S106,0)-(Z106-IF(ISNUMBER(U106),U106,0)),"")</f>
        <v/>
      </c>
      <c r="AT106" s="17">
        <f>IF(AND(ISNUMBER(AR106),ISNUMBER(AS106)),AR106-AS106,"")</f>
        <v/>
      </c>
      <c r="AU106" s="17">
        <f>IF(E106="금융","",IF(AND(ISNUMBER(L106),ISNUMBER(M106),ISNUMBER(N106),ISNUMBER(AT106)),L106+M106-N106-AT106,IF(AND(ISNUMBER(O106),ISNUMBER(N106)),O106-N106,"")))</f>
        <v/>
      </c>
      <c r="AV106" s="8">
        <f>IF(E106="금융","금융업 - 정의되지 않음",IF(AND(ISNUMBER(L106),ISNUMBER(M106),ISNUMBER(N106),ISNUMBER(AT106)),"순이익+감가상각-설비투자-운전자본증감",IF(AND(ISNUMBER(O106),ISNUMBER(N106)),"영업현금흐름-설비투자","산출불가")))</f>
        <v/>
      </c>
      <c r="AW106" s="19">
        <f>IF(AND(ISNUMBER(AU106),ISNUMBER(G106),G106&lt;&gt;0),AU106/G106,"")</f>
        <v/>
      </c>
      <c r="AX106" s="19">
        <f>IF(AND(ISNUMBER(AC106),ISNUMBER(G106),G106&lt;&gt;0),AC106/G106,"")</f>
        <v/>
      </c>
    </row>
    <row r="107">
      <c r="A107" s="8" t="inlineStr">
        <is>
          <t>BRK-B</t>
        </is>
      </c>
      <c r="B107" s="8" t="inlineStr">
        <is>
          <t>BERKSHIRE HATHAWAY INC</t>
        </is>
      </c>
      <c r="C107" s="8" t="n">
        <v>2022</v>
      </c>
      <c r="D107" s="8" t="inlineStr">
        <is>
          <t>2022-12-31</t>
        </is>
      </c>
      <c r="E107" s="8" t="inlineStr">
        <is>
          <t>금융</t>
        </is>
      </c>
      <c r="F107" s="8" t="inlineStr">
        <is>
          <t>0000950170-25-025210</t>
        </is>
      </c>
      <c r="G107" s="15" t="n">
        <v>302.02</v>
      </c>
      <c r="H107" s="15" t="n">
        <v>-30.5</v>
      </c>
      <c r="I107" s="15" t="n">
        <v>4.352</v>
      </c>
      <c r="J107" s="15" t="n">
        <v>-8.502000000000001</v>
      </c>
      <c r="K107" s="15" t="n"/>
      <c r="L107" s="15" t="n">
        <v>-22.759</v>
      </c>
      <c r="M107" s="15" t="n">
        <v>10.899</v>
      </c>
      <c r="N107" s="15" t="n">
        <v>15.464</v>
      </c>
      <c r="O107" s="15" t="n">
        <v>37.35</v>
      </c>
      <c r="P107" s="15" t="n">
        <v>473.424</v>
      </c>
      <c r="Q107" s="15" t="n">
        <v>506.199</v>
      </c>
      <c r="R107" s="15" t="n">
        <v>36.399</v>
      </c>
      <c r="S107" s="15" t="n">
        <v>88.706</v>
      </c>
      <c r="T107" s="15" t="n">
        <v>0</v>
      </c>
      <c r="U107" s="15" t="n">
        <v>0</v>
      </c>
      <c r="V107" s="15" t="n"/>
      <c r="W107" s="15" t="n"/>
      <c r="X107" s="15" t="n"/>
      <c r="Y107" s="15" t="n"/>
      <c r="Z107" s="15" t="n"/>
      <c r="AA107" s="15" t="n"/>
      <c r="AB107" s="16" t="n"/>
      <c r="AC107" s="17">
        <f>IF(AND(ISNUMBER(H107),ISNUMBER(I107)),H107+I107,IF(ISNUMBER(K107),K107,IF(ISNUMBER(H107),H107,"")))</f>
        <v/>
      </c>
      <c r="AD107" s="18">
        <f>IF(OR(NOT(ISNUMBER(J107)),NOT(ISNUMBER(H107)),H107&lt;=0),기준표!$B$8,MIN(MAX(J107/H107,기준표!$B$6),기준표!$B$7))</f>
        <v/>
      </c>
      <c r="AE107" s="17">
        <f>IF(ISNUMBER(AC107),AC107*(1-AD107),"")</f>
        <v/>
      </c>
      <c r="AF107" s="17">
        <f>IF(AND(NOT(ISNUMBER(T107)),NOT(ISNUMBER(V107))),"",IF(ISNUMBER(T107),T107,0)+IF(ISNUMBER(V107),V107,0))</f>
        <v/>
      </c>
      <c r="AG107" s="17">
        <f>IF(E107="금융","",IF(AND(ISNUMBER(P107),ISNUMBER(AF107),ISNUMBER(R107)),P107+AF107-R107,""))</f>
        <v/>
      </c>
      <c r="AH107" s="17">
        <f>IF(E107="금융","",IF(NOT(ISNUMBER(AG107)),"",IF(ISNUMBER(AA107),(AG107+AA107)/2,AG107)))</f>
        <v/>
      </c>
      <c r="AI107" s="19">
        <f>IF(AND(ISNUMBER(AE107),ISNUMBER(AH107),AH107&gt;0),AE107/AH107,"")</f>
        <v/>
      </c>
      <c r="AJ107" s="17">
        <f>IF(E107="금융","",IF(AND(ISNUMBER(P107),ISNUMBER(AF107)),P107+AF107,""))</f>
        <v/>
      </c>
      <c r="AK107" s="19">
        <f>IF(OR(NOT(ISNUMBER(AE107)),NOT(ISNUMBER(AJ107)),AJ107&lt;=0),"",IF(AND(ISNUMBER(G107),AJ107&lt;0.1*G107),"",AE107/AJ107))</f>
        <v/>
      </c>
      <c r="AL107" s="17">
        <f>IF(NOT(ISNUMBER(P107)),"",IF(ISNUMBER(Q107),(P107+Q107)/2,P107))</f>
        <v/>
      </c>
      <c r="AM107" s="19">
        <f>IF(AND(ISNUMBER(L107),ISNUMBER(AL107),AL107&gt;0),L107/AL107,"")</f>
        <v/>
      </c>
      <c r="AN107" s="19">
        <f>IF(AND(ISNUMBER(AM107),ISNUMBER({ROIC})),AM107-{ROIC},"")</f>
        <v/>
      </c>
      <c r="AO107" s="17">
        <f>IF(AND(ISNUMBER(AC107),ISNUMBER(M107)),AC107+M107,"")</f>
        <v/>
      </c>
      <c r="AP107" s="20">
        <f>IF(AND(ISNUMBER(AF107),ISNUMBER(R107),ISNUMBER(AO107),AO107&gt;0),(AF107-R107)/AO107,"")</f>
        <v/>
      </c>
      <c r="AQ107" s="20">
        <f>IF(AND(ISNUMBER(AC107),ISNUMBER(I107),I107&lt;&gt;0,AC107&gt;0),AC107/I107,"")</f>
        <v/>
      </c>
      <c r="AR107" s="17">
        <f>IF(AND(ISNUMBER(W107),ISNUMBER(Y107)),W107-IF(ISNUMBER(R107),R107,0)-(Y107-IF(ISNUMBER(T107),T107,0)),"")</f>
        <v/>
      </c>
      <c r="AS107" s="17">
        <f>IF(AND(ISNUMBER(X107),ISNUMBER(Z107)),X107-IF(ISNUMBER(S107),S107,0)-(Z107-IF(ISNUMBER(U107),U107,0)),"")</f>
        <v/>
      </c>
      <c r="AT107" s="17">
        <f>IF(AND(ISNUMBER(AR107),ISNUMBER(AS107)),AR107-AS107,"")</f>
        <v/>
      </c>
      <c r="AU107" s="17">
        <f>IF(E107="금융","",IF(AND(ISNUMBER(L107),ISNUMBER(M107),ISNUMBER(N107),ISNUMBER(AT107)),L107+M107-N107-AT107,IF(AND(ISNUMBER(O107),ISNUMBER(N107)),O107-N107,"")))</f>
        <v/>
      </c>
      <c r="AV107" s="8">
        <f>IF(E107="금융","금융업 - 정의되지 않음",IF(AND(ISNUMBER(L107),ISNUMBER(M107),ISNUMBER(N107),ISNUMBER(AT107)),"순이익+감가상각-설비투자-운전자본증감",IF(AND(ISNUMBER(O107),ISNUMBER(N107)),"영업현금흐름-설비투자","산출불가")))</f>
        <v/>
      </c>
      <c r="AW107" s="19">
        <f>IF(AND(ISNUMBER(AU107),ISNUMBER(G107),G107&lt;&gt;0),AU107/G107,"")</f>
        <v/>
      </c>
      <c r="AX107" s="19">
        <f>IF(AND(ISNUMBER(AC107),ISNUMBER(G107),G107&lt;&gt;0),AC107/G107,"")</f>
        <v/>
      </c>
    </row>
    <row r="108">
      <c r="A108" s="8" t="inlineStr">
        <is>
          <t>BRK-B</t>
        </is>
      </c>
      <c r="B108" s="8" t="inlineStr">
        <is>
          <t>BERKSHIRE HATHAWAY INC</t>
        </is>
      </c>
      <c r="C108" s="8" t="n">
        <v>2023</v>
      </c>
      <c r="D108" s="8" t="inlineStr">
        <is>
          <t>2023-12-31</t>
        </is>
      </c>
      <c r="E108" s="8" t="inlineStr">
        <is>
          <t>금융</t>
        </is>
      </c>
      <c r="F108" s="8" t="inlineStr">
        <is>
          <t>0001193125-26-083899</t>
        </is>
      </c>
      <c r="G108" s="15" t="n">
        <v>364.482</v>
      </c>
      <c r="H108" s="15" t="n">
        <v>120.166</v>
      </c>
      <c r="I108" s="15" t="n">
        <v>5.003</v>
      </c>
      <c r="J108" s="15" t="n">
        <v>23.019</v>
      </c>
      <c r="K108" s="15" t="n"/>
      <c r="L108" s="15" t="n">
        <v>96.223</v>
      </c>
      <c r="M108" s="15" t="n">
        <v>12.486</v>
      </c>
      <c r="N108" s="15" t="n">
        <v>19.409</v>
      </c>
      <c r="O108" s="15" t="n">
        <v>49.196</v>
      </c>
      <c r="P108" s="15" t="n">
        <v>561.273</v>
      </c>
      <c r="Q108" s="15" t="n">
        <v>473.424</v>
      </c>
      <c r="R108" s="15" t="n">
        <v>38.643</v>
      </c>
      <c r="S108" s="15" t="n">
        <v>36.399</v>
      </c>
      <c r="T108" s="15" t="n">
        <v>0</v>
      </c>
      <c r="U108" s="15" t="n">
        <v>0</v>
      </c>
      <c r="V108" s="15" t="n"/>
      <c r="W108" s="15" t="n"/>
      <c r="X108" s="15" t="n"/>
      <c r="Y108" s="15" t="n"/>
      <c r="Z108" s="15" t="n"/>
      <c r="AA108" s="15" t="n"/>
      <c r="AB108" s="16" t="n"/>
      <c r="AC108" s="17">
        <f>IF(AND(ISNUMBER(H108),ISNUMBER(I108)),H108+I108,IF(ISNUMBER(K108),K108,IF(ISNUMBER(H108),H108,"")))</f>
        <v/>
      </c>
      <c r="AD108" s="18">
        <f>IF(OR(NOT(ISNUMBER(J108)),NOT(ISNUMBER(H108)),H108&lt;=0),기준표!$B$8,MIN(MAX(J108/H108,기준표!$B$6),기준표!$B$7))</f>
        <v/>
      </c>
      <c r="AE108" s="17">
        <f>IF(ISNUMBER(AC108),AC108*(1-AD108),"")</f>
        <v/>
      </c>
      <c r="AF108" s="17">
        <f>IF(AND(NOT(ISNUMBER(T108)),NOT(ISNUMBER(V108))),"",IF(ISNUMBER(T108),T108,0)+IF(ISNUMBER(V108),V108,0))</f>
        <v/>
      </c>
      <c r="AG108" s="17">
        <f>IF(E108="금융","",IF(AND(ISNUMBER(P108),ISNUMBER(AF108),ISNUMBER(R108)),P108+AF108-R108,""))</f>
        <v/>
      </c>
      <c r="AH108" s="17">
        <f>IF(E108="금융","",IF(NOT(ISNUMBER(AG108)),"",IF(ISNUMBER(AA108),(AG108+AA108)/2,AG108)))</f>
        <v/>
      </c>
      <c r="AI108" s="19">
        <f>IF(AND(ISNUMBER(AE108),ISNUMBER(AH108),AH108&gt;0),AE108/AH108,"")</f>
        <v/>
      </c>
      <c r="AJ108" s="17">
        <f>IF(E108="금융","",IF(AND(ISNUMBER(P108),ISNUMBER(AF108)),P108+AF108,""))</f>
        <v/>
      </c>
      <c r="AK108" s="19">
        <f>IF(OR(NOT(ISNUMBER(AE108)),NOT(ISNUMBER(AJ108)),AJ108&lt;=0),"",IF(AND(ISNUMBER(G108),AJ108&lt;0.1*G108),"",AE108/AJ108))</f>
        <v/>
      </c>
      <c r="AL108" s="17">
        <f>IF(NOT(ISNUMBER(P108)),"",IF(ISNUMBER(Q108),(P108+Q108)/2,P108))</f>
        <v/>
      </c>
      <c r="AM108" s="19">
        <f>IF(AND(ISNUMBER(L108),ISNUMBER(AL108),AL108&gt;0),L108/AL108,"")</f>
        <v/>
      </c>
      <c r="AN108" s="19">
        <f>IF(AND(ISNUMBER(AM108),ISNUMBER({ROIC})),AM108-{ROIC},"")</f>
        <v/>
      </c>
      <c r="AO108" s="17">
        <f>IF(AND(ISNUMBER(AC108),ISNUMBER(M108)),AC108+M108,"")</f>
        <v/>
      </c>
      <c r="AP108" s="20">
        <f>IF(AND(ISNUMBER(AF108),ISNUMBER(R108),ISNUMBER(AO108),AO108&gt;0),(AF108-R108)/AO108,"")</f>
        <v/>
      </c>
      <c r="AQ108" s="20">
        <f>IF(AND(ISNUMBER(AC108),ISNUMBER(I108),I108&lt;&gt;0,AC108&gt;0),AC108/I108,"")</f>
        <v/>
      </c>
      <c r="AR108" s="17">
        <f>IF(AND(ISNUMBER(W108),ISNUMBER(Y108)),W108-IF(ISNUMBER(R108),R108,0)-(Y108-IF(ISNUMBER(T108),T108,0)),"")</f>
        <v/>
      </c>
      <c r="AS108" s="17">
        <f>IF(AND(ISNUMBER(X108),ISNUMBER(Z108)),X108-IF(ISNUMBER(S108),S108,0)-(Z108-IF(ISNUMBER(U108),U108,0)),"")</f>
        <v/>
      </c>
      <c r="AT108" s="17">
        <f>IF(AND(ISNUMBER(AR108),ISNUMBER(AS108)),AR108-AS108,"")</f>
        <v/>
      </c>
      <c r="AU108" s="17">
        <f>IF(E108="금융","",IF(AND(ISNUMBER(L108),ISNUMBER(M108),ISNUMBER(N108),ISNUMBER(AT108)),L108+M108-N108-AT108,IF(AND(ISNUMBER(O108),ISNUMBER(N108)),O108-N108,"")))</f>
        <v/>
      </c>
      <c r="AV108" s="8">
        <f>IF(E108="금융","금융업 - 정의되지 않음",IF(AND(ISNUMBER(L108),ISNUMBER(M108),ISNUMBER(N108),ISNUMBER(AT108)),"순이익+감가상각-설비투자-운전자본증감",IF(AND(ISNUMBER(O108),ISNUMBER(N108)),"영업현금흐름-설비투자","산출불가")))</f>
        <v/>
      </c>
      <c r="AW108" s="19">
        <f>IF(AND(ISNUMBER(AU108),ISNUMBER(G108),G108&lt;&gt;0),AU108/G108,"")</f>
        <v/>
      </c>
      <c r="AX108" s="19">
        <f>IF(AND(ISNUMBER(AC108),ISNUMBER(G108),G108&lt;&gt;0),AC108/G108,"")</f>
        <v/>
      </c>
    </row>
    <row r="109">
      <c r="A109" s="8" t="inlineStr">
        <is>
          <t>BRK-B</t>
        </is>
      </c>
      <c r="B109" s="8" t="inlineStr">
        <is>
          <t>BERKSHIRE HATHAWAY INC</t>
        </is>
      </c>
      <c r="C109" s="8" t="n">
        <v>2024</v>
      </c>
      <c r="D109" s="8" t="inlineStr">
        <is>
          <t>2024-12-31</t>
        </is>
      </c>
      <c r="E109" s="8" t="inlineStr">
        <is>
          <t>금융</t>
        </is>
      </c>
      <c r="F109" s="8" t="inlineStr">
        <is>
          <t>0001193125-26-083899</t>
        </is>
      </c>
      <c r="G109" s="15" t="n">
        <v>371.433</v>
      </c>
      <c r="H109" s="15" t="n">
        <v>110.376</v>
      </c>
      <c r="I109" s="15" t="n">
        <v>5.2</v>
      </c>
      <c r="J109" s="15" t="n">
        <v>20.815</v>
      </c>
      <c r="K109" s="15" t="n"/>
      <c r="L109" s="15" t="n">
        <v>88.995</v>
      </c>
      <c r="M109" s="15" t="n">
        <v>12.855</v>
      </c>
      <c r="N109" s="15" t="n">
        <v>18.976</v>
      </c>
      <c r="O109" s="15" t="n">
        <v>30.592</v>
      </c>
      <c r="P109" s="15" t="n">
        <v>649.3680000000001</v>
      </c>
      <c r="Q109" s="15" t="n">
        <v>561.273</v>
      </c>
      <c r="R109" s="15" t="n">
        <v>48.376</v>
      </c>
      <c r="S109" s="15" t="n">
        <v>38.643</v>
      </c>
      <c r="T109" s="15" t="n">
        <v>0</v>
      </c>
      <c r="U109" s="15" t="n">
        <v>0</v>
      </c>
      <c r="V109" s="15" t="n"/>
      <c r="W109" s="15" t="n"/>
      <c r="X109" s="15" t="n"/>
      <c r="Y109" s="15" t="n"/>
      <c r="Z109" s="15" t="n"/>
      <c r="AA109" s="15" t="n"/>
      <c r="AB109" s="16" t="n"/>
      <c r="AC109" s="17">
        <f>IF(AND(ISNUMBER(H109),ISNUMBER(I109)),H109+I109,IF(ISNUMBER(K109),K109,IF(ISNUMBER(H109),H109,"")))</f>
        <v/>
      </c>
      <c r="AD109" s="18">
        <f>IF(OR(NOT(ISNUMBER(J109)),NOT(ISNUMBER(H109)),H109&lt;=0),기준표!$B$8,MIN(MAX(J109/H109,기준표!$B$6),기준표!$B$7))</f>
        <v/>
      </c>
      <c r="AE109" s="17">
        <f>IF(ISNUMBER(AC109),AC109*(1-AD109),"")</f>
        <v/>
      </c>
      <c r="AF109" s="17">
        <f>IF(AND(NOT(ISNUMBER(T109)),NOT(ISNUMBER(V109))),"",IF(ISNUMBER(T109),T109,0)+IF(ISNUMBER(V109),V109,0))</f>
        <v/>
      </c>
      <c r="AG109" s="17">
        <f>IF(E109="금융","",IF(AND(ISNUMBER(P109),ISNUMBER(AF109),ISNUMBER(R109)),P109+AF109-R109,""))</f>
        <v/>
      </c>
      <c r="AH109" s="17">
        <f>IF(E109="금융","",IF(NOT(ISNUMBER(AG109)),"",IF(ISNUMBER(AA109),(AG109+AA109)/2,AG109)))</f>
        <v/>
      </c>
      <c r="AI109" s="19">
        <f>IF(AND(ISNUMBER(AE109),ISNUMBER(AH109),AH109&gt;0),AE109/AH109,"")</f>
        <v/>
      </c>
      <c r="AJ109" s="17">
        <f>IF(E109="금융","",IF(AND(ISNUMBER(P109),ISNUMBER(AF109)),P109+AF109,""))</f>
        <v/>
      </c>
      <c r="AK109" s="19">
        <f>IF(OR(NOT(ISNUMBER(AE109)),NOT(ISNUMBER(AJ109)),AJ109&lt;=0),"",IF(AND(ISNUMBER(G109),AJ109&lt;0.1*G109),"",AE109/AJ109))</f>
        <v/>
      </c>
      <c r="AL109" s="17">
        <f>IF(NOT(ISNUMBER(P109)),"",IF(ISNUMBER(Q109),(P109+Q109)/2,P109))</f>
        <v/>
      </c>
      <c r="AM109" s="19">
        <f>IF(AND(ISNUMBER(L109),ISNUMBER(AL109),AL109&gt;0),L109/AL109,"")</f>
        <v/>
      </c>
      <c r="AN109" s="19">
        <f>IF(AND(ISNUMBER(AM109),ISNUMBER({ROIC})),AM109-{ROIC},"")</f>
        <v/>
      </c>
      <c r="AO109" s="17">
        <f>IF(AND(ISNUMBER(AC109),ISNUMBER(M109)),AC109+M109,"")</f>
        <v/>
      </c>
      <c r="AP109" s="20">
        <f>IF(AND(ISNUMBER(AF109),ISNUMBER(R109),ISNUMBER(AO109),AO109&gt;0),(AF109-R109)/AO109,"")</f>
        <v/>
      </c>
      <c r="AQ109" s="20">
        <f>IF(AND(ISNUMBER(AC109),ISNUMBER(I109),I109&lt;&gt;0,AC109&gt;0),AC109/I109,"")</f>
        <v/>
      </c>
      <c r="AR109" s="17">
        <f>IF(AND(ISNUMBER(W109),ISNUMBER(Y109)),W109-IF(ISNUMBER(R109),R109,0)-(Y109-IF(ISNUMBER(T109),T109,0)),"")</f>
        <v/>
      </c>
      <c r="AS109" s="17">
        <f>IF(AND(ISNUMBER(X109),ISNUMBER(Z109)),X109-IF(ISNUMBER(S109),S109,0)-(Z109-IF(ISNUMBER(U109),U109,0)),"")</f>
        <v/>
      </c>
      <c r="AT109" s="17">
        <f>IF(AND(ISNUMBER(AR109),ISNUMBER(AS109)),AR109-AS109,"")</f>
        <v/>
      </c>
      <c r="AU109" s="17">
        <f>IF(E109="금융","",IF(AND(ISNUMBER(L109),ISNUMBER(M109),ISNUMBER(N109),ISNUMBER(AT109)),L109+M109-N109-AT109,IF(AND(ISNUMBER(O109),ISNUMBER(N109)),O109-N109,"")))</f>
        <v/>
      </c>
      <c r="AV109" s="8">
        <f>IF(E109="금융","금융업 - 정의되지 않음",IF(AND(ISNUMBER(L109),ISNUMBER(M109),ISNUMBER(N109),ISNUMBER(AT109)),"순이익+감가상각-설비투자-운전자본증감",IF(AND(ISNUMBER(O109),ISNUMBER(N109)),"영업현금흐름-설비투자","산출불가")))</f>
        <v/>
      </c>
      <c r="AW109" s="19">
        <f>IF(AND(ISNUMBER(AU109),ISNUMBER(G109),G109&lt;&gt;0),AU109/G109,"")</f>
        <v/>
      </c>
      <c r="AX109" s="19">
        <f>IF(AND(ISNUMBER(AC109),ISNUMBER(G109),G109&lt;&gt;0),AC109/G109,"")</f>
        <v/>
      </c>
    </row>
    <row r="110">
      <c r="A110" s="8" t="inlineStr">
        <is>
          <t>BRK-B</t>
        </is>
      </c>
      <c r="B110" s="8" t="inlineStr">
        <is>
          <t>BERKSHIRE HATHAWAY INC</t>
        </is>
      </c>
      <c r="C110" s="8" t="n">
        <v>2025</v>
      </c>
      <c r="D110" s="8" t="inlineStr">
        <is>
          <t>2025-12-31</t>
        </is>
      </c>
      <c r="E110" s="8" t="inlineStr">
        <is>
          <t>금융</t>
        </is>
      </c>
      <c r="F110" s="8" t="inlineStr">
        <is>
          <t>0001193125-26-083899</t>
        </is>
      </c>
      <c r="G110" s="15" t="n">
        <v>371.444</v>
      </c>
      <c r="H110" s="15" t="n">
        <v>82.459</v>
      </c>
      <c r="I110" s="15" t="n">
        <v>5.069</v>
      </c>
      <c r="J110" s="15" t="n">
        <v>15.199</v>
      </c>
      <c r="K110" s="15" t="n"/>
      <c r="L110" s="15" t="n">
        <v>66.968</v>
      </c>
      <c r="M110" s="15" t="n">
        <v>13.476</v>
      </c>
      <c r="N110" s="15" t="n">
        <v>20.927</v>
      </c>
      <c r="O110" s="15" t="n">
        <v>45.969</v>
      </c>
      <c r="P110" s="15" t="n">
        <v>717.419</v>
      </c>
      <c r="Q110" s="15" t="n">
        <v>649.3680000000001</v>
      </c>
      <c r="R110" s="15" t="n">
        <v>52.569</v>
      </c>
      <c r="S110" s="15" t="n">
        <v>48.376</v>
      </c>
      <c r="T110" s="15" t="n">
        <v>0</v>
      </c>
      <c r="U110" s="15" t="n">
        <v>0</v>
      </c>
      <c r="V110" s="15" t="n"/>
      <c r="W110" s="15" t="n"/>
      <c r="X110" s="15" t="n"/>
      <c r="Y110" s="15" t="n"/>
      <c r="Z110" s="15" t="n"/>
      <c r="AA110" s="15" t="n"/>
      <c r="AB110" s="16" t="n"/>
      <c r="AC110" s="17">
        <f>IF(AND(ISNUMBER(H110),ISNUMBER(I110)),H110+I110,IF(ISNUMBER(K110),K110,IF(ISNUMBER(H110),H110,"")))</f>
        <v/>
      </c>
      <c r="AD110" s="18">
        <f>IF(OR(NOT(ISNUMBER(J110)),NOT(ISNUMBER(H110)),H110&lt;=0),기준표!$B$8,MIN(MAX(J110/H110,기준표!$B$6),기준표!$B$7))</f>
        <v/>
      </c>
      <c r="AE110" s="17">
        <f>IF(ISNUMBER(AC110),AC110*(1-AD110),"")</f>
        <v/>
      </c>
      <c r="AF110" s="17">
        <f>IF(AND(NOT(ISNUMBER(T110)),NOT(ISNUMBER(V110))),"",IF(ISNUMBER(T110),T110,0)+IF(ISNUMBER(V110),V110,0))</f>
        <v/>
      </c>
      <c r="AG110" s="17">
        <f>IF(E110="금융","",IF(AND(ISNUMBER(P110),ISNUMBER(AF110),ISNUMBER(R110)),P110+AF110-R110,""))</f>
        <v/>
      </c>
      <c r="AH110" s="17">
        <f>IF(E110="금융","",IF(NOT(ISNUMBER(AG110)),"",IF(ISNUMBER(AA110),(AG110+AA110)/2,AG110)))</f>
        <v/>
      </c>
      <c r="AI110" s="19">
        <f>IF(AND(ISNUMBER(AE110),ISNUMBER(AH110),AH110&gt;0),AE110/AH110,"")</f>
        <v/>
      </c>
      <c r="AJ110" s="17">
        <f>IF(E110="금융","",IF(AND(ISNUMBER(P110),ISNUMBER(AF110)),P110+AF110,""))</f>
        <v/>
      </c>
      <c r="AK110" s="19">
        <f>IF(OR(NOT(ISNUMBER(AE110)),NOT(ISNUMBER(AJ110)),AJ110&lt;=0),"",IF(AND(ISNUMBER(G110),AJ110&lt;0.1*G110),"",AE110/AJ110))</f>
        <v/>
      </c>
      <c r="AL110" s="17">
        <f>IF(NOT(ISNUMBER(P110)),"",IF(ISNUMBER(Q110),(P110+Q110)/2,P110))</f>
        <v/>
      </c>
      <c r="AM110" s="19">
        <f>IF(AND(ISNUMBER(L110),ISNUMBER(AL110),AL110&gt;0),L110/AL110,"")</f>
        <v/>
      </c>
      <c r="AN110" s="19">
        <f>IF(AND(ISNUMBER(AM110),ISNUMBER({ROIC})),AM110-{ROIC},"")</f>
        <v/>
      </c>
      <c r="AO110" s="17">
        <f>IF(AND(ISNUMBER(AC110),ISNUMBER(M110)),AC110+M110,"")</f>
        <v/>
      </c>
      <c r="AP110" s="20">
        <f>IF(AND(ISNUMBER(AF110),ISNUMBER(R110),ISNUMBER(AO110),AO110&gt;0),(AF110-R110)/AO110,"")</f>
        <v/>
      </c>
      <c r="AQ110" s="20">
        <f>IF(AND(ISNUMBER(AC110),ISNUMBER(I110),I110&lt;&gt;0,AC110&gt;0),AC110/I110,"")</f>
        <v/>
      </c>
      <c r="AR110" s="17">
        <f>IF(AND(ISNUMBER(W110),ISNUMBER(Y110)),W110-IF(ISNUMBER(R110),R110,0)-(Y110-IF(ISNUMBER(T110),T110,0)),"")</f>
        <v/>
      </c>
      <c r="AS110" s="17">
        <f>IF(AND(ISNUMBER(X110),ISNUMBER(Z110)),X110-IF(ISNUMBER(S110),S110,0)-(Z110-IF(ISNUMBER(U110),U110,0)),"")</f>
        <v/>
      </c>
      <c r="AT110" s="17">
        <f>IF(AND(ISNUMBER(AR110),ISNUMBER(AS110)),AR110-AS110,"")</f>
        <v/>
      </c>
      <c r="AU110" s="17">
        <f>IF(E110="금융","",IF(AND(ISNUMBER(L110),ISNUMBER(M110),ISNUMBER(N110),ISNUMBER(AT110)),L110+M110-N110-AT110,IF(AND(ISNUMBER(O110),ISNUMBER(N110)),O110-N110,"")))</f>
        <v/>
      </c>
      <c r="AV110" s="8">
        <f>IF(E110="금융","금융업 - 정의되지 않음",IF(AND(ISNUMBER(L110),ISNUMBER(M110),ISNUMBER(N110),ISNUMBER(AT110)),"순이익+감가상각-설비투자-운전자본증감",IF(AND(ISNUMBER(O110),ISNUMBER(N110)),"영업현금흐름-설비투자","산출불가")))</f>
        <v/>
      </c>
      <c r="AW110" s="19">
        <f>IF(AND(ISNUMBER(AU110),ISNUMBER(G110),G110&lt;&gt;0),AU110/G110,"")</f>
        <v/>
      </c>
      <c r="AX110" s="19">
        <f>IF(AND(ISNUMBER(AC110),ISNUMBER(G110),G110&lt;&gt;0),AC110/G110,"")</f>
        <v/>
      </c>
    </row>
    <row r="111">
      <c r="A111" s="8" t="inlineStr">
        <is>
          <t>LLY</t>
        </is>
      </c>
      <c r="B111" s="8" t="inlineStr">
        <is>
          <t>ELI LILLY &amp; Co</t>
        </is>
      </c>
      <c r="C111" s="8" t="n">
        <v>2014</v>
      </c>
      <c r="D111" s="8" t="inlineStr">
        <is>
          <t>2014-12-31</t>
        </is>
      </c>
      <c r="E111" s="8" t="inlineStr">
        <is>
          <t>일반</t>
        </is>
      </c>
      <c r="F111" s="8" t="inlineStr">
        <is>
          <t>0000059478-17-000098</t>
        </is>
      </c>
      <c r="G111" s="15" t="n">
        <v>19.6156</v>
      </c>
      <c r="H111" s="15" t="n">
        <v>3.0003</v>
      </c>
      <c r="I111" s="15" t="n"/>
      <c r="J111" s="15" t="n">
        <v>0.6098</v>
      </c>
      <c r="K111" s="15" t="n"/>
      <c r="L111" s="15" t="n">
        <v>2.3905</v>
      </c>
      <c r="M111" s="15" t="n">
        <v>1.379</v>
      </c>
      <c r="N111" s="15" t="n">
        <v>1.1626</v>
      </c>
      <c r="O111" s="15" t="n">
        <v>4.4584</v>
      </c>
      <c r="P111" s="15" t="n">
        <v>15.3732</v>
      </c>
      <c r="Q111" s="15" t="n"/>
      <c r="R111" s="15" t="n">
        <v>4.827</v>
      </c>
      <c r="S111" s="15" t="n"/>
      <c r="T111" s="15" t="n">
        <v>2.6887</v>
      </c>
      <c r="U111" s="15" t="n"/>
      <c r="V111" s="15" t="n">
        <v>5.3328</v>
      </c>
      <c r="W111" s="15" t="n">
        <v>11.9283</v>
      </c>
      <c r="X111" s="15" t="n"/>
      <c r="Y111" s="15" t="n">
        <v>9.741</v>
      </c>
      <c r="Z111" s="15" t="n"/>
      <c r="AA111" s="15" t="n"/>
      <c r="AB111" s="16" t="n">
        <v>1074.286</v>
      </c>
      <c r="AC111" s="17">
        <f>IF(AND(ISNUMBER(H111),ISNUMBER(I111)),H111+I111,IF(ISNUMBER(K111),K111,IF(ISNUMBER(H111),H111,"")))</f>
        <v/>
      </c>
      <c r="AD111" s="18">
        <f>IF(OR(NOT(ISNUMBER(J111)),NOT(ISNUMBER(H111)),H111&lt;=0),기준표!$B$8,MIN(MAX(J111/H111,기준표!$B$6),기준표!$B$7))</f>
        <v/>
      </c>
      <c r="AE111" s="17">
        <f>IF(ISNUMBER(AC111),AC111*(1-AD111),"")</f>
        <v/>
      </c>
      <c r="AF111" s="17">
        <f>IF(AND(NOT(ISNUMBER(T111)),NOT(ISNUMBER(V111))),"",IF(ISNUMBER(T111),T111,0)+IF(ISNUMBER(V111),V111,0))</f>
        <v/>
      </c>
      <c r="AG111" s="17">
        <f>IF(E111="금융","",IF(AND(ISNUMBER(P111),ISNUMBER(AF111),ISNUMBER(R111)),P111+AF111-R111,""))</f>
        <v/>
      </c>
      <c r="AH111" s="17">
        <f>IF(E111="금융","",IF(NOT(ISNUMBER(AG111)),"",IF(ISNUMBER(AA111),(AG111+AA111)/2,AG111)))</f>
        <v/>
      </c>
      <c r="AI111" s="19">
        <f>IF(AND(ISNUMBER(AE111),ISNUMBER(AH111),AH111&gt;0),AE111/AH111,"")</f>
        <v/>
      </c>
      <c r="AJ111" s="17">
        <f>IF(E111="금융","",IF(AND(ISNUMBER(P111),ISNUMBER(AF111)),P111+AF111,""))</f>
        <v/>
      </c>
      <c r="AK111" s="19">
        <f>IF(OR(NOT(ISNUMBER(AE111)),NOT(ISNUMBER(AJ111)),AJ111&lt;=0),"",IF(AND(ISNUMBER(G111),AJ111&lt;0.1*G111),"",AE111/AJ111))</f>
        <v/>
      </c>
      <c r="AL111" s="17">
        <f>IF(NOT(ISNUMBER(P111)),"",IF(ISNUMBER(Q111),(P111+Q111)/2,P111))</f>
        <v/>
      </c>
      <c r="AM111" s="19">
        <f>IF(AND(ISNUMBER(L111),ISNUMBER(AL111),AL111&gt;0),L111/AL111,"")</f>
        <v/>
      </c>
      <c r="AN111" s="19">
        <f>IF(AND(ISNUMBER(AM111),ISNUMBER({ROIC})),AM111-{ROIC},"")</f>
        <v/>
      </c>
      <c r="AO111" s="17">
        <f>IF(AND(ISNUMBER(AC111),ISNUMBER(M111)),AC111+M111,"")</f>
        <v/>
      </c>
      <c r="AP111" s="20">
        <f>IF(AND(ISNUMBER(AF111),ISNUMBER(R111),ISNUMBER(AO111),AO111&gt;0),(AF111-R111)/AO111,"")</f>
        <v/>
      </c>
      <c r="AQ111" s="20">
        <f>IF(AND(ISNUMBER(AC111),ISNUMBER(I111),I111&lt;&gt;0,AC111&gt;0),AC111/I111,"")</f>
        <v/>
      </c>
      <c r="AR111" s="17">
        <f>IF(AND(ISNUMBER(W111),ISNUMBER(Y111)),W111-IF(ISNUMBER(R111),R111,0)-(Y111-IF(ISNUMBER(T111),T111,0)),"")</f>
        <v/>
      </c>
      <c r="AS111" s="17">
        <f>IF(AND(ISNUMBER(X111),ISNUMBER(Z111)),X111-IF(ISNUMBER(S111),S111,0)-(Z111-IF(ISNUMBER(U111),U111,0)),"")</f>
        <v/>
      </c>
      <c r="AT111" s="17">
        <f>IF(AND(ISNUMBER(AR111),ISNUMBER(AS111)),AR111-AS111,"")</f>
        <v/>
      </c>
      <c r="AU111" s="17">
        <f>IF(E111="금융","",IF(AND(ISNUMBER(L111),ISNUMBER(M111),ISNUMBER(N111),ISNUMBER(AT111)),L111+M111-N111-AT111,IF(AND(ISNUMBER(O111),ISNUMBER(N111)),O111-N111,"")))</f>
        <v/>
      </c>
      <c r="AV111" s="8">
        <f>IF(E111="금융","금융업 - 정의되지 않음",IF(AND(ISNUMBER(L111),ISNUMBER(M111),ISNUMBER(N111),ISNUMBER(AT111)),"순이익+감가상각-설비투자-운전자본증감",IF(AND(ISNUMBER(O111),ISNUMBER(N111)),"영업현금흐름-설비투자","산출불가")))</f>
        <v/>
      </c>
      <c r="AW111" s="19">
        <f>IF(AND(ISNUMBER(AU111),ISNUMBER(G111),G111&lt;&gt;0),AU111/G111,"")</f>
        <v/>
      </c>
      <c r="AX111" s="19">
        <f>IF(AND(ISNUMBER(AC111),ISNUMBER(G111),G111&lt;&gt;0),AC111/G111,"")</f>
        <v/>
      </c>
    </row>
    <row r="112">
      <c r="A112" s="8" t="inlineStr">
        <is>
          <t>LLY</t>
        </is>
      </c>
      <c r="B112" s="8" t="inlineStr">
        <is>
          <t>ELI LILLY &amp; Co</t>
        </is>
      </c>
      <c r="C112" s="8" t="n">
        <v>2015</v>
      </c>
      <c r="D112" s="8" t="inlineStr">
        <is>
          <t>2015-12-31</t>
        </is>
      </c>
      <c r="E112" s="8" t="inlineStr">
        <is>
          <t>일반</t>
        </is>
      </c>
      <c r="F112" s="8" t="inlineStr">
        <is>
          <t>0000059478-18-000089</t>
        </is>
      </c>
      <c r="G112" s="15" t="n">
        <v>19.9587</v>
      </c>
      <c r="H112" s="15" t="n">
        <v>2.79</v>
      </c>
      <c r="I112" s="15" t="n"/>
      <c r="J112" s="15" t="n">
        <v>0.3816</v>
      </c>
      <c r="K112" s="15" t="n"/>
      <c r="L112" s="15" t="n">
        <v>2.4084</v>
      </c>
      <c r="M112" s="15" t="n">
        <v>1.4277</v>
      </c>
      <c r="N112" s="15" t="n">
        <v>1.0662</v>
      </c>
      <c r="O112" s="15" t="n">
        <v>2.9646</v>
      </c>
      <c r="P112" s="15" t="n">
        <v>14.5713</v>
      </c>
      <c r="Q112" s="15" t="n">
        <v>15.3732</v>
      </c>
      <c r="R112" s="15" t="n">
        <v>4.4518</v>
      </c>
      <c r="S112" s="15" t="n">
        <v>4.827</v>
      </c>
      <c r="T112" s="15" t="n">
        <v>0.0061</v>
      </c>
      <c r="U112" s="15" t="n">
        <v>2.6887</v>
      </c>
      <c r="V112" s="15" t="n">
        <v>7.9724</v>
      </c>
      <c r="W112" s="15" t="n">
        <v>12.5736</v>
      </c>
      <c r="X112" s="15" t="n">
        <v>11.9283</v>
      </c>
      <c r="Y112" s="15" t="n">
        <v>8.2296</v>
      </c>
      <c r="Z112" s="15" t="n">
        <v>9.741</v>
      </c>
      <c r="AA112" s="15" t="n">
        <v>18.5677</v>
      </c>
      <c r="AB112" s="16" t="n">
        <v>1065.72</v>
      </c>
      <c r="AC112" s="17">
        <f>IF(AND(ISNUMBER(H112),ISNUMBER(I112)),H112+I112,IF(ISNUMBER(K112),K112,IF(ISNUMBER(H112),H112,"")))</f>
        <v/>
      </c>
      <c r="AD112" s="18">
        <f>IF(OR(NOT(ISNUMBER(J112)),NOT(ISNUMBER(H112)),H112&lt;=0),기준표!$B$8,MIN(MAX(J112/H112,기준표!$B$6),기준표!$B$7))</f>
        <v/>
      </c>
      <c r="AE112" s="17">
        <f>IF(ISNUMBER(AC112),AC112*(1-AD112),"")</f>
        <v/>
      </c>
      <c r="AF112" s="17">
        <f>IF(AND(NOT(ISNUMBER(T112)),NOT(ISNUMBER(V112))),"",IF(ISNUMBER(T112),T112,0)+IF(ISNUMBER(V112),V112,0))</f>
        <v/>
      </c>
      <c r="AG112" s="17">
        <f>IF(E112="금융","",IF(AND(ISNUMBER(P112),ISNUMBER(AF112),ISNUMBER(R112)),P112+AF112-R112,""))</f>
        <v/>
      </c>
      <c r="AH112" s="17">
        <f>IF(E112="금융","",IF(NOT(ISNUMBER(AG112)),"",IF(ISNUMBER(AA112),(AG112+AA112)/2,AG112)))</f>
        <v/>
      </c>
      <c r="AI112" s="19">
        <f>IF(AND(ISNUMBER(AE112),ISNUMBER(AH112),AH112&gt;0),AE112/AH112,"")</f>
        <v/>
      </c>
      <c r="AJ112" s="17">
        <f>IF(E112="금융","",IF(AND(ISNUMBER(P112),ISNUMBER(AF112)),P112+AF112,""))</f>
        <v/>
      </c>
      <c r="AK112" s="19">
        <f>IF(OR(NOT(ISNUMBER(AE112)),NOT(ISNUMBER(AJ112)),AJ112&lt;=0),"",IF(AND(ISNUMBER(G112),AJ112&lt;0.1*G112),"",AE112/AJ112))</f>
        <v/>
      </c>
      <c r="AL112" s="17">
        <f>IF(NOT(ISNUMBER(P112)),"",IF(ISNUMBER(Q112),(P112+Q112)/2,P112))</f>
        <v/>
      </c>
      <c r="AM112" s="19">
        <f>IF(AND(ISNUMBER(L112),ISNUMBER(AL112),AL112&gt;0),L112/AL112,"")</f>
        <v/>
      </c>
      <c r="AN112" s="19">
        <f>IF(AND(ISNUMBER(AM112),ISNUMBER({ROIC})),AM112-{ROIC},"")</f>
        <v/>
      </c>
      <c r="AO112" s="17">
        <f>IF(AND(ISNUMBER(AC112),ISNUMBER(M112)),AC112+M112,"")</f>
        <v/>
      </c>
      <c r="AP112" s="20">
        <f>IF(AND(ISNUMBER(AF112),ISNUMBER(R112),ISNUMBER(AO112),AO112&gt;0),(AF112-R112)/AO112,"")</f>
        <v/>
      </c>
      <c r="AQ112" s="20">
        <f>IF(AND(ISNUMBER(AC112),ISNUMBER(I112),I112&lt;&gt;0,AC112&gt;0),AC112/I112,"")</f>
        <v/>
      </c>
      <c r="AR112" s="17">
        <f>IF(AND(ISNUMBER(W112),ISNUMBER(Y112)),W112-IF(ISNUMBER(R112),R112,0)-(Y112-IF(ISNUMBER(T112),T112,0)),"")</f>
        <v/>
      </c>
      <c r="AS112" s="17">
        <f>IF(AND(ISNUMBER(X112),ISNUMBER(Z112)),X112-IF(ISNUMBER(S112),S112,0)-(Z112-IF(ISNUMBER(U112),U112,0)),"")</f>
        <v/>
      </c>
      <c r="AT112" s="17">
        <f>IF(AND(ISNUMBER(AR112),ISNUMBER(AS112)),AR112-AS112,"")</f>
        <v/>
      </c>
      <c r="AU112" s="17">
        <f>IF(E112="금융","",IF(AND(ISNUMBER(L112),ISNUMBER(M112),ISNUMBER(N112),ISNUMBER(AT112)),L112+M112-N112-AT112,IF(AND(ISNUMBER(O112),ISNUMBER(N112)),O112-N112,"")))</f>
        <v/>
      </c>
      <c r="AV112" s="8">
        <f>IF(E112="금융","금융업 - 정의되지 않음",IF(AND(ISNUMBER(L112),ISNUMBER(M112),ISNUMBER(N112),ISNUMBER(AT112)),"순이익+감가상각-설비투자-운전자본증감",IF(AND(ISNUMBER(O112),ISNUMBER(N112)),"영업현금흐름-설비투자","산출불가")))</f>
        <v/>
      </c>
      <c r="AW112" s="19">
        <f>IF(AND(ISNUMBER(AU112),ISNUMBER(G112),G112&lt;&gt;0),AU112/G112,"")</f>
        <v/>
      </c>
      <c r="AX112" s="19">
        <f>IF(AND(ISNUMBER(AC112),ISNUMBER(G112),G112&lt;&gt;0),AC112/G112,"")</f>
        <v/>
      </c>
    </row>
    <row r="113">
      <c r="A113" s="8" t="inlineStr">
        <is>
          <t>LLY</t>
        </is>
      </c>
      <c r="B113" s="8" t="inlineStr">
        <is>
          <t>ELI LILLY &amp; Co</t>
        </is>
      </c>
      <c r="C113" s="8" t="n">
        <v>2016</v>
      </c>
      <c r="D113" s="8" t="inlineStr">
        <is>
          <t>2016-12-31</t>
        </is>
      </c>
      <c r="E113" s="8" t="inlineStr">
        <is>
          <t>일반</t>
        </is>
      </c>
      <c r="F113" s="8" t="inlineStr">
        <is>
          <t>0000059478-19-000082</t>
        </is>
      </c>
      <c r="G113" s="15" t="n">
        <v>21.2221</v>
      </c>
      <c r="H113" s="15" t="n">
        <v>3.374</v>
      </c>
      <c r="I113" s="15" t="n"/>
      <c r="J113" s="15" t="n">
        <v>0.6364</v>
      </c>
      <c r="K113" s="15" t="n"/>
      <c r="L113" s="15" t="n">
        <v>2.7376</v>
      </c>
      <c r="M113" s="15" t="n">
        <v>1.4966</v>
      </c>
      <c r="N113" s="15" t="n">
        <v>1.037</v>
      </c>
      <c r="O113" s="15" t="n">
        <v>4.851</v>
      </c>
      <c r="P113" s="15" t="n">
        <v>14.0077</v>
      </c>
      <c r="Q113" s="15" t="n">
        <v>14.5713</v>
      </c>
      <c r="R113" s="15" t="n">
        <v>6.0386</v>
      </c>
      <c r="S113" s="15" t="n">
        <v>4.4518</v>
      </c>
      <c r="T113" s="15" t="n">
        <v>1.9374</v>
      </c>
      <c r="U113" s="15" t="n">
        <v>0.0061</v>
      </c>
      <c r="V113" s="15" t="n">
        <v>8.367800000000001</v>
      </c>
      <c r="W113" s="15" t="n">
        <v>15.1014</v>
      </c>
      <c r="X113" s="15" t="n">
        <v>12.5736</v>
      </c>
      <c r="Y113" s="15" t="n">
        <v>10.9866</v>
      </c>
      <c r="Z113" s="15" t="n">
        <v>8.2296</v>
      </c>
      <c r="AA113" s="15" t="n">
        <v>18.098</v>
      </c>
      <c r="AB113" s="16" t="n">
        <v>1061.825</v>
      </c>
      <c r="AC113" s="17">
        <f>IF(AND(ISNUMBER(H113),ISNUMBER(I113)),H113+I113,IF(ISNUMBER(K113),K113,IF(ISNUMBER(H113),H113,"")))</f>
        <v/>
      </c>
      <c r="AD113" s="18">
        <f>IF(OR(NOT(ISNUMBER(J113)),NOT(ISNUMBER(H113)),H113&lt;=0),기준표!$B$8,MIN(MAX(J113/H113,기준표!$B$6),기준표!$B$7))</f>
        <v/>
      </c>
      <c r="AE113" s="17">
        <f>IF(ISNUMBER(AC113),AC113*(1-AD113),"")</f>
        <v/>
      </c>
      <c r="AF113" s="17">
        <f>IF(AND(NOT(ISNUMBER(T113)),NOT(ISNUMBER(V113))),"",IF(ISNUMBER(T113),T113,0)+IF(ISNUMBER(V113),V113,0))</f>
        <v/>
      </c>
      <c r="AG113" s="17">
        <f>IF(E113="금융","",IF(AND(ISNUMBER(P113),ISNUMBER(AF113),ISNUMBER(R113)),P113+AF113-R113,""))</f>
        <v/>
      </c>
      <c r="AH113" s="17">
        <f>IF(E113="금융","",IF(NOT(ISNUMBER(AG113)),"",IF(ISNUMBER(AA113),(AG113+AA113)/2,AG113)))</f>
        <v/>
      </c>
      <c r="AI113" s="19">
        <f>IF(AND(ISNUMBER(AE113),ISNUMBER(AH113),AH113&gt;0),AE113/AH113,"")</f>
        <v/>
      </c>
      <c r="AJ113" s="17">
        <f>IF(E113="금융","",IF(AND(ISNUMBER(P113),ISNUMBER(AF113)),P113+AF113,""))</f>
        <v/>
      </c>
      <c r="AK113" s="19">
        <f>IF(OR(NOT(ISNUMBER(AE113)),NOT(ISNUMBER(AJ113)),AJ113&lt;=0),"",IF(AND(ISNUMBER(G113),AJ113&lt;0.1*G113),"",AE113/AJ113))</f>
        <v/>
      </c>
      <c r="AL113" s="17">
        <f>IF(NOT(ISNUMBER(P113)),"",IF(ISNUMBER(Q113),(P113+Q113)/2,P113))</f>
        <v/>
      </c>
      <c r="AM113" s="19">
        <f>IF(AND(ISNUMBER(L113),ISNUMBER(AL113),AL113&gt;0),L113/AL113,"")</f>
        <v/>
      </c>
      <c r="AN113" s="19">
        <f>IF(AND(ISNUMBER(AM113),ISNUMBER({ROIC})),AM113-{ROIC},"")</f>
        <v/>
      </c>
      <c r="AO113" s="17">
        <f>IF(AND(ISNUMBER(AC113),ISNUMBER(M113)),AC113+M113,"")</f>
        <v/>
      </c>
      <c r="AP113" s="20">
        <f>IF(AND(ISNUMBER(AF113),ISNUMBER(R113),ISNUMBER(AO113),AO113&gt;0),(AF113-R113)/AO113,"")</f>
        <v/>
      </c>
      <c r="AQ113" s="20">
        <f>IF(AND(ISNUMBER(AC113),ISNUMBER(I113),I113&lt;&gt;0,AC113&gt;0),AC113/I113,"")</f>
        <v/>
      </c>
      <c r="AR113" s="17">
        <f>IF(AND(ISNUMBER(W113),ISNUMBER(Y113)),W113-IF(ISNUMBER(R113),R113,0)-(Y113-IF(ISNUMBER(T113),T113,0)),"")</f>
        <v/>
      </c>
      <c r="AS113" s="17">
        <f>IF(AND(ISNUMBER(X113),ISNUMBER(Z113)),X113-IF(ISNUMBER(S113),S113,0)-(Z113-IF(ISNUMBER(U113),U113,0)),"")</f>
        <v/>
      </c>
      <c r="AT113" s="17">
        <f>IF(AND(ISNUMBER(AR113),ISNUMBER(AS113)),AR113-AS113,"")</f>
        <v/>
      </c>
      <c r="AU113" s="17">
        <f>IF(E113="금융","",IF(AND(ISNUMBER(L113),ISNUMBER(M113),ISNUMBER(N113),ISNUMBER(AT113)),L113+M113-N113-AT113,IF(AND(ISNUMBER(O113),ISNUMBER(N113)),O113-N113,"")))</f>
        <v/>
      </c>
      <c r="AV113" s="8">
        <f>IF(E113="금융","금융업 - 정의되지 않음",IF(AND(ISNUMBER(L113),ISNUMBER(M113),ISNUMBER(N113),ISNUMBER(AT113)),"순이익+감가상각-설비투자-운전자본증감",IF(AND(ISNUMBER(O113),ISNUMBER(N113)),"영업현금흐름-설비투자","산출불가")))</f>
        <v/>
      </c>
      <c r="AW113" s="19">
        <f>IF(AND(ISNUMBER(AU113),ISNUMBER(G113),G113&lt;&gt;0),AU113/G113,"")</f>
        <v/>
      </c>
      <c r="AX113" s="19">
        <f>IF(AND(ISNUMBER(AC113),ISNUMBER(G113),G113&lt;&gt;0),AC113/G113,"")</f>
        <v/>
      </c>
    </row>
    <row r="114">
      <c r="A114" s="8" t="inlineStr">
        <is>
          <t>LLY</t>
        </is>
      </c>
      <c r="B114" s="8" t="inlineStr">
        <is>
          <t>ELI LILLY &amp; Co</t>
        </is>
      </c>
      <c r="C114" s="8" t="n">
        <v>2017</v>
      </c>
      <c r="D114" s="8" t="inlineStr">
        <is>
          <t>2017-12-31</t>
        </is>
      </c>
      <c r="E114" s="8" t="inlineStr">
        <is>
          <t>일반</t>
        </is>
      </c>
      <c r="F114" s="8" t="inlineStr">
        <is>
          <t>0000059478-20-000057</t>
        </is>
      </c>
      <c r="G114" s="15" t="n">
        <v>19.9738</v>
      </c>
      <c r="H114" s="15" t="n">
        <v>2.3048</v>
      </c>
      <c r="I114" s="15" t="n"/>
      <c r="J114" s="15" t="n">
        <v>2.3912</v>
      </c>
      <c r="K114" s="15" t="n"/>
      <c r="L114" s="15" t="n">
        <v>-0.2041</v>
      </c>
      <c r="M114" s="15" t="n">
        <v>1.5673</v>
      </c>
      <c r="N114" s="15" t="n">
        <v>1.0768</v>
      </c>
      <c r="O114" s="15" t="n">
        <v>5.6156</v>
      </c>
      <c r="P114" s="15" t="n">
        <v>11.5922</v>
      </c>
      <c r="Q114" s="15" t="n">
        <v>14.0077</v>
      </c>
      <c r="R114" s="15" t="n">
        <v>8.0341</v>
      </c>
      <c r="S114" s="15" t="n">
        <v>6.0386</v>
      </c>
      <c r="T114" s="15" t="n">
        <v>3.7066</v>
      </c>
      <c r="U114" s="15" t="n">
        <v>1.9374</v>
      </c>
      <c r="V114" s="15" t="n">
        <v>9.9405</v>
      </c>
      <c r="W114" s="15" t="n">
        <v>19.2021</v>
      </c>
      <c r="X114" s="15" t="n">
        <v>15.1014</v>
      </c>
      <c r="Y114" s="15" t="n">
        <v>14.5359</v>
      </c>
      <c r="Z114" s="15" t="n">
        <v>10.9866</v>
      </c>
      <c r="AA114" s="15" t="n">
        <v>18.2743</v>
      </c>
      <c r="AB114" s="16" t="n">
        <v>1052.023</v>
      </c>
      <c r="AC114" s="17">
        <f>IF(AND(ISNUMBER(H114),ISNUMBER(I114)),H114+I114,IF(ISNUMBER(K114),K114,IF(ISNUMBER(H114),H114,"")))</f>
        <v/>
      </c>
      <c r="AD114" s="18">
        <f>IF(OR(NOT(ISNUMBER(J114)),NOT(ISNUMBER(H114)),H114&lt;=0),기준표!$B$8,MIN(MAX(J114/H114,기준표!$B$6),기준표!$B$7))</f>
        <v/>
      </c>
      <c r="AE114" s="17">
        <f>IF(ISNUMBER(AC114),AC114*(1-AD114),"")</f>
        <v/>
      </c>
      <c r="AF114" s="17">
        <f>IF(AND(NOT(ISNUMBER(T114)),NOT(ISNUMBER(V114))),"",IF(ISNUMBER(T114),T114,0)+IF(ISNUMBER(V114),V114,0))</f>
        <v/>
      </c>
      <c r="AG114" s="17">
        <f>IF(E114="금융","",IF(AND(ISNUMBER(P114),ISNUMBER(AF114),ISNUMBER(R114)),P114+AF114-R114,""))</f>
        <v/>
      </c>
      <c r="AH114" s="17">
        <f>IF(E114="금융","",IF(NOT(ISNUMBER(AG114)),"",IF(ISNUMBER(AA114),(AG114+AA114)/2,AG114)))</f>
        <v/>
      </c>
      <c r="AI114" s="19">
        <f>IF(AND(ISNUMBER(AE114),ISNUMBER(AH114),AH114&gt;0),AE114/AH114,"")</f>
        <v/>
      </c>
      <c r="AJ114" s="17">
        <f>IF(E114="금융","",IF(AND(ISNUMBER(P114),ISNUMBER(AF114)),P114+AF114,""))</f>
        <v/>
      </c>
      <c r="AK114" s="19">
        <f>IF(OR(NOT(ISNUMBER(AE114)),NOT(ISNUMBER(AJ114)),AJ114&lt;=0),"",IF(AND(ISNUMBER(G114),AJ114&lt;0.1*G114),"",AE114/AJ114))</f>
        <v/>
      </c>
      <c r="AL114" s="17">
        <f>IF(NOT(ISNUMBER(P114)),"",IF(ISNUMBER(Q114),(P114+Q114)/2,P114))</f>
        <v/>
      </c>
      <c r="AM114" s="19">
        <f>IF(AND(ISNUMBER(L114),ISNUMBER(AL114),AL114&gt;0),L114/AL114,"")</f>
        <v/>
      </c>
      <c r="AN114" s="19">
        <f>IF(AND(ISNUMBER(AM114),ISNUMBER({ROIC})),AM114-{ROIC},"")</f>
        <v/>
      </c>
      <c r="AO114" s="17">
        <f>IF(AND(ISNUMBER(AC114),ISNUMBER(M114)),AC114+M114,"")</f>
        <v/>
      </c>
      <c r="AP114" s="20">
        <f>IF(AND(ISNUMBER(AF114),ISNUMBER(R114),ISNUMBER(AO114),AO114&gt;0),(AF114-R114)/AO114,"")</f>
        <v/>
      </c>
      <c r="AQ114" s="20">
        <f>IF(AND(ISNUMBER(AC114),ISNUMBER(I114),I114&lt;&gt;0,AC114&gt;0),AC114/I114,"")</f>
        <v/>
      </c>
      <c r="AR114" s="17">
        <f>IF(AND(ISNUMBER(W114),ISNUMBER(Y114)),W114-IF(ISNUMBER(R114),R114,0)-(Y114-IF(ISNUMBER(T114),T114,0)),"")</f>
        <v/>
      </c>
      <c r="AS114" s="17">
        <f>IF(AND(ISNUMBER(X114),ISNUMBER(Z114)),X114-IF(ISNUMBER(S114),S114,0)-(Z114-IF(ISNUMBER(U114),U114,0)),"")</f>
        <v/>
      </c>
      <c r="AT114" s="17">
        <f>IF(AND(ISNUMBER(AR114),ISNUMBER(AS114)),AR114-AS114,"")</f>
        <v/>
      </c>
      <c r="AU114" s="17">
        <f>IF(E114="금융","",IF(AND(ISNUMBER(L114),ISNUMBER(M114),ISNUMBER(N114),ISNUMBER(AT114)),L114+M114-N114-AT114,IF(AND(ISNUMBER(O114),ISNUMBER(N114)),O114-N114,"")))</f>
        <v/>
      </c>
      <c r="AV114" s="8">
        <f>IF(E114="금융","금융업 - 정의되지 않음",IF(AND(ISNUMBER(L114),ISNUMBER(M114),ISNUMBER(N114),ISNUMBER(AT114)),"순이익+감가상각-설비투자-운전자본증감",IF(AND(ISNUMBER(O114),ISNUMBER(N114)),"영업현금흐름-설비투자","산출불가")))</f>
        <v/>
      </c>
      <c r="AW114" s="19">
        <f>IF(AND(ISNUMBER(AU114),ISNUMBER(G114),G114&lt;&gt;0),AU114/G114,"")</f>
        <v/>
      </c>
      <c r="AX114" s="19">
        <f>IF(AND(ISNUMBER(AC114),ISNUMBER(G114),G114&lt;&gt;0),AC114/G114,"")</f>
        <v/>
      </c>
    </row>
    <row r="115">
      <c r="A115" s="8" t="inlineStr">
        <is>
          <t>LLY</t>
        </is>
      </c>
      <c r="B115" s="8" t="inlineStr">
        <is>
          <t>ELI LILLY &amp; Co</t>
        </is>
      </c>
      <c r="C115" s="8" t="n">
        <v>2018</v>
      </c>
      <c r="D115" s="8" t="inlineStr">
        <is>
          <t>2018-12-31</t>
        </is>
      </c>
      <c r="E115" s="8" t="inlineStr">
        <is>
          <t>일반</t>
        </is>
      </c>
      <c r="F115" s="8" t="inlineStr">
        <is>
          <t>0000059478-21-000083</t>
        </is>
      </c>
      <c r="G115" s="15" t="n">
        <v>21.4933</v>
      </c>
      <c r="H115" s="15" t="n">
        <v>3.6801</v>
      </c>
      <c r="I115" s="15" t="n"/>
      <c r="J115" s="15" t="n">
        <v>0.5295</v>
      </c>
      <c r="K115" s="15" t="n"/>
      <c r="L115" s="15" t="n">
        <v>3.232</v>
      </c>
      <c r="M115" s="15" t="n">
        <v>1.609</v>
      </c>
      <c r="N115" s="15" t="n">
        <v>1.2106</v>
      </c>
      <c r="O115" s="15" t="n">
        <v>5.5245</v>
      </c>
      <c r="P115" s="15" t="n">
        <v>9.8287</v>
      </c>
      <c r="Q115" s="15" t="n">
        <v>11.5922</v>
      </c>
      <c r="R115" s="15" t="n">
        <v>7.4089</v>
      </c>
      <c r="S115" s="15" t="n">
        <v>8.0341</v>
      </c>
      <c r="T115" s="15" t="n">
        <v>1.1022</v>
      </c>
      <c r="U115" s="15" t="n">
        <v>3.7066</v>
      </c>
      <c r="V115" s="15" t="n">
        <v>9.196400000000001</v>
      </c>
      <c r="W115" s="15" t="n">
        <v>20.5496</v>
      </c>
      <c r="X115" s="15" t="n">
        <v>19.2021</v>
      </c>
      <c r="Y115" s="15" t="n">
        <v>11.8881</v>
      </c>
      <c r="Z115" s="15" t="n">
        <v>14.5359</v>
      </c>
      <c r="AA115" s="15" t="n">
        <v>17.2052</v>
      </c>
      <c r="AB115" s="16" t="n">
        <v>1033.667</v>
      </c>
      <c r="AC115" s="17">
        <f>IF(AND(ISNUMBER(H115),ISNUMBER(I115)),H115+I115,IF(ISNUMBER(K115),K115,IF(ISNUMBER(H115),H115,"")))</f>
        <v/>
      </c>
      <c r="AD115" s="18">
        <f>IF(OR(NOT(ISNUMBER(J115)),NOT(ISNUMBER(H115)),H115&lt;=0),기준표!$B$8,MIN(MAX(J115/H115,기준표!$B$6),기준표!$B$7))</f>
        <v/>
      </c>
      <c r="AE115" s="17">
        <f>IF(ISNUMBER(AC115),AC115*(1-AD115),"")</f>
        <v/>
      </c>
      <c r="AF115" s="17">
        <f>IF(AND(NOT(ISNUMBER(T115)),NOT(ISNUMBER(V115))),"",IF(ISNUMBER(T115),T115,0)+IF(ISNUMBER(V115),V115,0))</f>
        <v/>
      </c>
      <c r="AG115" s="17">
        <f>IF(E115="금융","",IF(AND(ISNUMBER(P115),ISNUMBER(AF115),ISNUMBER(R115)),P115+AF115-R115,""))</f>
        <v/>
      </c>
      <c r="AH115" s="17">
        <f>IF(E115="금융","",IF(NOT(ISNUMBER(AG115)),"",IF(ISNUMBER(AA115),(AG115+AA115)/2,AG115)))</f>
        <v/>
      </c>
      <c r="AI115" s="19">
        <f>IF(AND(ISNUMBER(AE115),ISNUMBER(AH115),AH115&gt;0),AE115/AH115,"")</f>
        <v/>
      </c>
      <c r="AJ115" s="17">
        <f>IF(E115="금융","",IF(AND(ISNUMBER(P115),ISNUMBER(AF115)),P115+AF115,""))</f>
        <v/>
      </c>
      <c r="AK115" s="19">
        <f>IF(OR(NOT(ISNUMBER(AE115)),NOT(ISNUMBER(AJ115)),AJ115&lt;=0),"",IF(AND(ISNUMBER(G115),AJ115&lt;0.1*G115),"",AE115/AJ115))</f>
        <v/>
      </c>
      <c r="AL115" s="17">
        <f>IF(NOT(ISNUMBER(P115)),"",IF(ISNUMBER(Q115),(P115+Q115)/2,P115))</f>
        <v/>
      </c>
      <c r="AM115" s="19">
        <f>IF(AND(ISNUMBER(L115),ISNUMBER(AL115),AL115&gt;0),L115/AL115,"")</f>
        <v/>
      </c>
      <c r="AN115" s="19">
        <f>IF(AND(ISNUMBER(AM115),ISNUMBER({ROIC})),AM115-{ROIC},"")</f>
        <v/>
      </c>
      <c r="AO115" s="17">
        <f>IF(AND(ISNUMBER(AC115),ISNUMBER(M115)),AC115+M115,"")</f>
        <v/>
      </c>
      <c r="AP115" s="20">
        <f>IF(AND(ISNUMBER(AF115),ISNUMBER(R115),ISNUMBER(AO115),AO115&gt;0),(AF115-R115)/AO115,"")</f>
        <v/>
      </c>
      <c r="AQ115" s="20">
        <f>IF(AND(ISNUMBER(AC115),ISNUMBER(I115),I115&lt;&gt;0,AC115&gt;0),AC115/I115,"")</f>
        <v/>
      </c>
      <c r="AR115" s="17">
        <f>IF(AND(ISNUMBER(W115),ISNUMBER(Y115)),W115-IF(ISNUMBER(R115),R115,0)-(Y115-IF(ISNUMBER(T115),T115,0)),"")</f>
        <v/>
      </c>
      <c r="AS115" s="17">
        <f>IF(AND(ISNUMBER(X115),ISNUMBER(Z115)),X115-IF(ISNUMBER(S115),S115,0)-(Z115-IF(ISNUMBER(U115),U115,0)),"")</f>
        <v/>
      </c>
      <c r="AT115" s="17">
        <f>IF(AND(ISNUMBER(AR115),ISNUMBER(AS115)),AR115-AS115,"")</f>
        <v/>
      </c>
      <c r="AU115" s="17">
        <f>IF(E115="금융","",IF(AND(ISNUMBER(L115),ISNUMBER(M115),ISNUMBER(N115),ISNUMBER(AT115)),L115+M115-N115-AT115,IF(AND(ISNUMBER(O115),ISNUMBER(N115)),O115-N115,"")))</f>
        <v/>
      </c>
      <c r="AV115" s="8">
        <f>IF(E115="금융","금융업 - 정의되지 않음",IF(AND(ISNUMBER(L115),ISNUMBER(M115),ISNUMBER(N115),ISNUMBER(AT115)),"순이익+감가상각-설비투자-운전자본증감",IF(AND(ISNUMBER(O115),ISNUMBER(N115)),"영업현금흐름-설비투자","산출불가")))</f>
        <v/>
      </c>
      <c r="AW115" s="19">
        <f>IF(AND(ISNUMBER(AU115),ISNUMBER(G115),G115&lt;&gt;0),AU115/G115,"")</f>
        <v/>
      </c>
      <c r="AX115" s="19">
        <f>IF(AND(ISNUMBER(AC115),ISNUMBER(G115),G115&lt;&gt;0),AC115/G115,"")</f>
        <v/>
      </c>
    </row>
    <row r="116">
      <c r="A116" s="8" t="inlineStr">
        <is>
          <t>LLY</t>
        </is>
      </c>
      <c r="B116" s="8" t="inlineStr">
        <is>
          <t>ELI LILLY &amp; Co</t>
        </is>
      </c>
      <c r="C116" s="8" t="n">
        <v>2019</v>
      </c>
      <c r="D116" s="8" t="inlineStr">
        <is>
          <t>2019-12-31</t>
        </is>
      </c>
      <c r="E116" s="8" t="inlineStr">
        <is>
          <t>일반</t>
        </is>
      </c>
      <c r="F116" s="8" t="inlineStr">
        <is>
          <t>0000059478-22-000068</t>
        </is>
      </c>
      <c r="G116" s="15" t="n">
        <v>22.3195</v>
      </c>
      <c r="H116" s="15" t="n">
        <v>5.2659</v>
      </c>
      <c r="I116" s="15" t="n"/>
      <c r="J116" s="15" t="n">
        <v>0.628</v>
      </c>
      <c r="K116" s="15" t="n"/>
      <c r="L116" s="15" t="n">
        <v>8.3184</v>
      </c>
      <c r="M116" s="15" t="n">
        <v>1.2326</v>
      </c>
      <c r="N116" s="15" t="n">
        <v>1.0339</v>
      </c>
      <c r="O116" s="15" t="n">
        <v>4.8366</v>
      </c>
      <c r="P116" s="15" t="n">
        <v>2.6069</v>
      </c>
      <c r="Q116" s="15" t="n">
        <v>9.8287</v>
      </c>
      <c r="R116" s="15" t="n">
        <v>2.4385</v>
      </c>
      <c r="S116" s="15" t="n">
        <v>7.4089</v>
      </c>
      <c r="T116" s="15" t="n">
        <v>1.4993</v>
      </c>
      <c r="U116" s="15" t="n">
        <v>1.1022</v>
      </c>
      <c r="V116" s="15" t="n">
        <v>13.8179</v>
      </c>
      <c r="W116" s="15" t="n">
        <v>13.7096</v>
      </c>
      <c r="X116" s="15" t="n">
        <v>20.5496</v>
      </c>
      <c r="Y116" s="15" t="n">
        <v>11.7752</v>
      </c>
      <c r="Z116" s="15" t="n">
        <v>11.8881</v>
      </c>
      <c r="AA116" s="15" t="n">
        <v>12.7184</v>
      </c>
      <c r="AB116" s="16" t="n">
        <v>935.684</v>
      </c>
      <c r="AC116" s="17">
        <f>IF(AND(ISNUMBER(H116),ISNUMBER(I116)),H116+I116,IF(ISNUMBER(K116),K116,IF(ISNUMBER(H116),H116,"")))</f>
        <v/>
      </c>
      <c r="AD116" s="18">
        <f>IF(OR(NOT(ISNUMBER(J116)),NOT(ISNUMBER(H116)),H116&lt;=0),기준표!$B$8,MIN(MAX(J116/H116,기준표!$B$6),기준표!$B$7))</f>
        <v/>
      </c>
      <c r="AE116" s="17">
        <f>IF(ISNUMBER(AC116),AC116*(1-AD116),"")</f>
        <v/>
      </c>
      <c r="AF116" s="17">
        <f>IF(AND(NOT(ISNUMBER(T116)),NOT(ISNUMBER(V116))),"",IF(ISNUMBER(T116),T116,0)+IF(ISNUMBER(V116),V116,0))</f>
        <v/>
      </c>
      <c r="AG116" s="17">
        <f>IF(E116="금융","",IF(AND(ISNUMBER(P116),ISNUMBER(AF116),ISNUMBER(R116)),P116+AF116-R116,""))</f>
        <v/>
      </c>
      <c r="AH116" s="17">
        <f>IF(E116="금융","",IF(NOT(ISNUMBER(AG116)),"",IF(ISNUMBER(AA116),(AG116+AA116)/2,AG116)))</f>
        <v/>
      </c>
      <c r="AI116" s="19">
        <f>IF(AND(ISNUMBER(AE116),ISNUMBER(AH116),AH116&gt;0),AE116/AH116,"")</f>
        <v/>
      </c>
      <c r="AJ116" s="17">
        <f>IF(E116="금융","",IF(AND(ISNUMBER(P116),ISNUMBER(AF116)),P116+AF116,""))</f>
        <v/>
      </c>
      <c r="AK116" s="19">
        <f>IF(OR(NOT(ISNUMBER(AE116)),NOT(ISNUMBER(AJ116)),AJ116&lt;=0),"",IF(AND(ISNUMBER(G116),AJ116&lt;0.1*G116),"",AE116/AJ116))</f>
        <v/>
      </c>
      <c r="AL116" s="17">
        <f>IF(NOT(ISNUMBER(P116)),"",IF(ISNUMBER(Q116),(P116+Q116)/2,P116))</f>
        <v/>
      </c>
      <c r="AM116" s="19">
        <f>IF(AND(ISNUMBER(L116),ISNUMBER(AL116),AL116&gt;0),L116/AL116,"")</f>
        <v/>
      </c>
      <c r="AN116" s="19">
        <f>IF(AND(ISNUMBER(AM116),ISNUMBER({ROIC})),AM116-{ROIC},"")</f>
        <v/>
      </c>
      <c r="AO116" s="17">
        <f>IF(AND(ISNUMBER(AC116),ISNUMBER(M116)),AC116+M116,"")</f>
        <v/>
      </c>
      <c r="AP116" s="20">
        <f>IF(AND(ISNUMBER(AF116),ISNUMBER(R116),ISNUMBER(AO116),AO116&gt;0),(AF116-R116)/AO116,"")</f>
        <v/>
      </c>
      <c r="AQ116" s="20">
        <f>IF(AND(ISNUMBER(AC116),ISNUMBER(I116),I116&lt;&gt;0,AC116&gt;0),AC116/I116,"")</f>
        <v/>
      </c>
      <c r="AR116" s="17">
        <f>IF(AND(ISNUMBER(W116),ISNUMBER(Y116)),W116-IF(ISNUMBER(R116),R116,0)-(Y116-IF(ISNUMBER(T116),T116,0)),"")</f>
        <v/>
      </c>
      <c r="AS116" s="17">
        <f>IF(AND(ISNUMBER(X116),ISNUMBER(Z116)),X116-IF(ISNUMBER(S116),S116,0)-(Z116-IF(ISNUMBER(U116),U116,0)),"")</f>
        <v/>
      </c>
      <c r="AT116" s="17">
        <f>IF(AND(ISNUMBER(AR116),ISNUMBER(AS116)),AR116-AS116,"")</f>
        <v/>
      </c>
      <c r="AU116" s="17">
        <f>IF(E116="금융","",IF(AND(ISNUMBER(L116),ISNUMBER(M116),ISNUMBER(N116),ISNUMBER(AT116)),L116+M116-N116-AT116,IF(AND(ISNUMBER(O116),ISNUMBER(N116)),O116-N116,"")))</f>
        <v/>
      </c>
      <c r="AV116" s="8">
        <f>IF(E116="금융","금융업 - 정의되지 않음",IF(AND(ISNUMBER(L116),ISNUMBER(M116),ISNUMBER(N116),ISNUMBER(AT116)),"순이익+감가상각-설비투자-운전자본증감",IF(AND(ISNUMBER(O116),ISNUMBER(N116)),"영업현금흐름-설비투자","산출불가")))</f>
        <v/>
      </c>
      <c r="AW116" s="19">
        <f>IF(AND(ISNUMBER(AU116),ISNUMBER(G116),G116&lt;&gt;0),AU116/G116,"")</f>
        <v/>
      </c>
      <c r="AX116" s="19">
        <f>IF(AND(ISNUMBER(AC116),ISNUMBER(G116),G116&lt;&gt;0),AC116/G116,"")</f>
        <v/>
      </c>
    </row>
    <row r="117">
      <c r="A117" s="8" t="inlineStr">
        <is>
          <t>LLY</t>
        </is>
      </c>
      <c r="B117" s="8" t="inlineStr">
        <is>
          <t>ELI LILLY &amp; Co</t>
        </is>
      </c>
      <c r="C117" s="8" t="n">
        <v>2020</v>
      </c>
      <c r="D117" s="8" t="inlineStr">
        <is>
          <t>2020-12-31</t>
        </is>
      </c>
      <c r="E117" s="8" t="inlineStr">
        <is>
          <t>일반</t>
        </is>
      </c>
      <c r="F117" s="8" t="inlineStr">
        <is>
          <t>0000059478-23-000082</t>
        </is>
      </c>
      <c r="G117" s="15" t="n">
        <v>24.5398</v>
      </c>
      <c r="H117" s="15" t="n">
        <v>7.2299</v>
      </c>
      <c r="I117" s="15" t="n"/>
      <c r="J117" s="15" t="n">
        <v>1.0362</v>
      </c>
      <c r="K117" s="15" t="n"/>
      <c r="L117" s="15" t="n">
        <v>6.1937</v>
      </c>
      <c r="M117" s="15" t="n">
        <v>1.3239</v>
      </c>
      <c r="N117" s="15" t="n">
        <v>1.3879</v>
      </c>
      <c r="O117" s="15" t="n">
        <v>6.4996</v>
      </c>
      <c r="P117" s="15" t="n">
        <v>5.6416</v>
      </c>
      <c r="Q117" s="15" t="n">
        <v>2.6069</v>
      </c>
      <c r="R117" s="15" t="n">
        <v>3.6813</v>
      </c>
      <c r="S117" s="15" t="n">
        <v>2.4385</v>
      </c>
      <c r="T117" s="15" t="n">
        <v>0.008699999999999999</v>
      </c>
      <c r="U117" s="15" t="n">
        <v>1.4993</v>
      </c>
      <c r="V117" s="15" t="n">
        <v>16.5866</v>
      </c>
      <c r="W117" s="15" t="n">
        <v>17.4621</v>
      </c>
      <c r="X117" s="15" t="n">
        <v>13.7096</v>
      </c>
      <c r="Y117" s="15" t="n">
        <v>12.4816</v>
      </c>
      <c r="Z117" s="15" t="n">
        <v>11.7752</v>
      </c>
      <c r="AA117" s="15" t="n">
        <v>15.4856</v>
      </c>
      <c r="AB117" s="16" t="n">
        <v>912.505</v>
      </c>
      <c r="AC117" s="17">
        <f>IF(AND(ISNUMBER(H117),ISNUMBER(I117)),H117+I117,IF(ISNUMBER(K117),K117,IF(ISNUMBER(H117),H117,"")))</f>
        <v/>
      </c>
      <c r="AD117" s="18">
        <f>IF(OR(NOT(ISNUMBER(J117)),NOT(ISNUMBER(H117)),H117&lt;=0),기준표!$B$8,MIN(MAX(J117/H117,기준표!$B$6),기준표!$B$7))</f>
        <v/>
      </c>
      <c r="AE117" s="17">
        <f>IF(ISNUMBER(AC117),AC117*(1-AD117),"")</f>
        <v/>
      </c>
      <c r="AF117" s="17">
        <f>IF(AND(NOT(ISNUMBER(T117)),NOT(ISNUMBER(V117))),"",IF(ISNUMBER(T117),T117,0)+IF(ISNUMBER(V117),V117,0))</f>
        <v/>
      </c>
      <c r="AG117" s="17">
        <f>IF(E117="금융","",IF(AND(ISNUMBER(P117),ISNUMBER(AF117),ISNUMBER(R117)),P117+AF117-R117,""))</f>
        <v/>
      </c>
      <c r="AH117" s="17">
        <f>IF(E117="금융","",IF(NOT(ISNUMBER(AG117)),"",IF(ISNUMBER(AA117),(AG117+AA117)/2,AG117)))</f>
        <v/>
      </c>
      <c r="AI117" s="19">
        <f>IF(AND(ISNUMBER(AE117),ISNUMBER(AH117),AH117&gt;0),AE117/AH117,"")</f>
        <v/>
      </c>
      <c r="AJ117" s="17">
        <f>IF(E117="금융","",IF(AND(ISNUMBER(P117),ISNUMBER(AF117)),P117+AF117,""))</f>
        <v/>
      </c>
      <c r="AK117" s="19">
        <f>IF(OR(NOT(ISNUMBER(AE117)),NOT(ISNUMBER(AJ117)),AJ117&lt;=0),"",IF(AND(ISNUMBER(G117),AJ117&lt;0.1*G117),"",AE117/AJ117))</f>
        <v/>
      </c>
      <c r="AL117" s="17">
        <f>IF(NOT(ISNUMBER(P117)),"",IF(ISNUMBER(Q117),(P117+Q117)/2,P117))</f>
        <v/>
      </c>
      <c r="AM117" s="19">
        <f>IF(AND(ISNUMBER(L117),ISNUMBER(AL117),AL117&gt;0),L117/AL117,"")</f>
        <v/>
      </c>
      <c r="AN117" s="19">
        <f>IF(AND(ISNUMBER(AM117),ISNUMBER({ROIC})),AM117-{ROIC},"")</f>
        <v/>
      </c>
      <c r="AO117" s="17">
        <f>IF(AND(ISNUMBER(AC117),ISNUMBER(M117)),AC117+M117,"")</f>
        <v/>
      </c>
      <c r="AP117" s="20">
        <f>IF(AND(ISNUMBER(AF117),ISNUMBER(R117),ISNUMBER(AO117),AO117&gt;0),(AF117-R117)/AO117,"")</f>
        <v/>
      </c>
      <c r="AQ117" s="20">
        <f>IF(AND(ISNUMBER(AC117),ISNUMBER(I117),I117&lt;&gt;0,AC117&gt;0),AC117/I117,"")</f>
        <v/>
      </c>
      <c r="AR117" s="17">
        <f>IF(AND(ISNUMBER(W117),ISNUMBER(Y117)),W117-IF(ISNUMBER(R117),R117,0)-(Y117-IF(ISNUMBER(T117),T117,0)),"")</f>
        <v/>
      </c>
      <c r="AS117" s="17">
        <f>IF(AND(ISNUMBER(X117),ISNUMBER(Z117)),X117-IF(ISNUMBER(S117),S117,0)-(Z117-IF(ISNUMBER(U117),U117,0)),"")</f>
        <v/>
      </c>
      <c r="AT117" s="17">
        <f>IF(AND(ISNUMBER(AR117),ISNUMBER(AS117)),AR117-AS117,"")</f>
        <v/>
      </c>
      <c r="AU117" s="17">
        <f>IF(E117="금융","",IF(AND(ISNUMBER(L117),ISNUMBER(M117),ISNUMBER(N117),ISNUMBER(AT117)),L117+M117-N117-AT117,IF(AND(ISNUMBER(O117),ISNUMBER(N117)),O117-N117,"")))</f>
        <v/>
      </c>
      <c r="AV117" s="8">
        <f>IF(E117="금융","금융업 - 정의되지 않음",IF(AND(ISNUMBER(L117),ISNUMBER(M117),ISNUMBER(N117),ISNUMBER(AT117)),"순이익+감가상각-설비투자-운전자본증감",IF(AND(ISNUMBER(O117),ISNUMBER(N117)),"영업현금흐름-설비투자","산출불가")))</f>
        <v/>
      </c>
      <c r="AW117" s="19">
        <f>IF(AND(ISNUMBER(AU117),ISNUMBER(G117),G117&lt;&gt;0),AU117/G117,"")</f>
        <v/>
      </c>
      <c r="AX117" s="19">
        <f>IF(AND(ISNUMBER(AC117),ISNUMBER(G117),G117&lt;&gt;0),AC117/G117,"")</f>
        <v/>
      </c>
    </row>
    <row r="118">
      <c r="A118" s="8" t="inlineStr">
        <is>
          <t>LLY</t>
        </is>
      </c>
      <c r="B118" s="8" t="inlineStr">
        <is>
          <t>ELI LILLY &amp; Co</t>
        </is>
      </c>
      <c r="C118" s="8" t="n">
        <v>2021</v>
      </c>
      <c r="D118" s="8" t="inlineStr">
        <is>
          <t>2021-12-31</t>
        </is>
      </c>
      <c r="E118" s="8" t="inlineStr">
        <is>
          <t>일반</t>
        </is>
      </c>
      <c r="F118" s="8" t="inlineStr">
        <is>
          <t>0000059478-24-000065</t>
        </is>
      </c>
      <c r="G118" s="15" t="n">
        <v>28.3184</v>
      </c>
      <c r="H118" s="15" t="n">
        <v>6.1555</v>
      </c>
      <c r="I118" s="15" t="n"/>
      <c r="J118" s="15" t="n">
        <v>0.5738</v>
      </c>
      <c r="K118" s="15" t="n"/>
      <c r="L118" s="15" t="n">
        <v>5.5817</v>
      </c>
      <c r="M118" s="15" t="n">
        <v>1.5476</v>
      </c>
      <c r="N118" s="15" t="n">
        <v>1.3098</v>
      </c>
      <c r="O118" s="15" t="n">
        <v>7.3659</v>
      </c>
      <c r="P118" s="15" t="n">
        <v>8.979200000000001</v>
      </c>
      <c r="Q118" s="15" t="n">
        <v>5.6416</v>
      </c>
      <c r="R118" s="15" t="n">
        <v>3.9086</v>
      </c>
      <c r="S118" s="15" t="n">
        <v>3.6813</v>
      </c>
      <c r="T118" s="15" t="n">
        <v>1.5383</v>
      </c>
      <c r="U118" s="15" t="n">
        <v>0.008699999999999999</v>
      </c>
      <c r="V118" s="15" t="n">
        <v>15.3464</v>
      </c>
      <c r="W118" s="15" t="n">
        <v>18.4524</v>
      </c>
      <c r="X118" s="15" t="n">
        <v>17.4621</v>
      </c>
      <c r="Y118" s="15" t="n">
        <v>15.0527</v>
      </c>
      <c r="Z118" s="15" t="n">
        <v>12.4816</v>
      </c>
      <c r="AA118" s="15" t="n">
        <v>18.5556</v>
      </c>
      <c r="AB118" s="16" t="n">
        <v>911.681</v>
      </c>
      <c r="AC118" s="17">
        <f>IF(AND(ISNUMBER(H118),ISNUMBER(I118)),H118+I118,IF(ISNUMBER(K118),K118,IF(ISNUMBER(H118),H118,"")))</f>
        <v/>
      </c>
      <c r="AD118" s="18">
        <f>IF(OR(NOT(ISNUMBER(J118)),NOT(ISNUMBER(H118)),H118&lt;=0),기준표!$B$8,MIN(MAX(J118/H118,기준표!$B$6),기준표!$B$7))</f>
        <v/>
      </c>
      <c r="AE118" s="17">
        <f>IF(ISNUMBER(AC118),AC118*(1-AD118),"")</f>
        <v/>
      </c>
      <c r="AF118" s="17">
        <f>IF(AND(NOT(ISNUMBER(T118)),NOT(ISNUMBER(V118))),"",IF(ISNUMBER(T118),T118,0)+IF(ISNUMBER(V118),V118,0))</f>
        <v/>
      </c>
      <c r="AG118" s="17">
        <f>IF(E118="금융","",IF(AND(ISNUMBER(P118),ISNUMBER(AF118),ISNUMBER(R118)),P118+AF118-R118,""))</f>
        <v/>
      </c>
      <c r="AH118" s="17">
        <f>IF(E118="금융","",IF(NOT(ISNUMBER(AG118)),"",IF(ISNUMBER(AA118),(AG118+AA118)/2,AG118)))</f>
        <v/>
      </c>
      <c r="AI118" s="19">
        <f>IF(AND(ISNUMBER(AE118),ISNUMBER(AH118),AH118&gt;0),AE118/AH118,"")</f>
        <v/>
      </c>
      <c r="AJ118" s="17">
        <f>IF(E118="금융","",IF(AND(ISNUMBER(P118),ISNUMBER(AF118)),P118+AF118,""))</f>
        <v/>
      </c>
      <c r="AK118" s="19">
        <f>IF(OR(NOT(ISNUMBER(AE118)),NOT(ISNUMBER(AJ118)),AJ118&lt;=0),"",IF(AND(ISNUMBER(G118),AJ118&lt;0.1*G118),"",AE118/AJ118))</f>
        <v/>
      </c>
      <c r="AL118" s="17">
        <f>IF(NOT(ISNUMBER(P118)),"",IF(ISNUMBER(Q118),(P118+Q118)/2,P118))</f>
        <v/>
      </c>
      <c r="AM118" s="19">
        <f>IF(AND(ISNUMBER(L118),ISNUMBER(AL118),AL118&gt;0),L118/AL118,"")</f>
        <v/>
      </c>
      <c r="AN118" s="19">
        <f>IF(AND(ISNUMBER(AM118),ISNUMBER({ROIC})),AM118-{ROIC},"")</f>
        <v/>
      </c>
      <c r="AO118" s="17">
        <f>IF(AND(ISNUMBER(AC118),ISNUMBER(M118)),AC118+M118,"")</f>
        <v/>
      </c>
      <c r="AP118" s="20">
        <f>IF(AND(ISNUMBER(AF118),ISNUMBER(R118),ISNUMBER(AO118),AO118&gt;0),(AF118-R118)/AO118,"")</f>
        <v/>
      </c>
      <c r="AQ118" s="20">
        <f>IF(AND(ISNUMBER(AC118),ISNUMBER(I118),I118&lt;&gt;0,AC118&gt;0),AC118/I118,"")</f>
        <v/>
      </c>
      <c r="AR118" s="17">
        <f>IF(AND(ISNUMBER(W118),ISNUMBER(Y118)),W118-IF(ISNUMBER(R118),R118,0)-(Y118-IF(ISNUMBER(T118),T118,0)),"")</f>
        <v/>
      </c>
      <c r="AS118" s="17">
        <f>IF(AND(ISNUMBER(X118),ISNUMBER(Z118)),X118-IF(ISNUMBER(S118),S118,0)-(Z118-IF(ISNUMBER(U118),U118,0)),"")</f>
        <v/>
      </c>
      <c r="AT118" s="17">
        <f>IF(AND(ISNUMBER(AR118),ISNUMBER(AS118)),AR118-AS118,"")</f>
        <v/>
      </c>
      <c r="AU118" s="17">
        <f>IF(E118="금융","",IF(AND(ISNUMBER(L118),ISNUMBER(M118),ISNUMBER(N118),ISNUMBER(AT118)),L118+M118-N118-AT118,IF(AND(ISNUMBER(O118),ISNUMBER(N118)),O118-N118,"")))</f>
        <v/>
      </c>
      <c r="AV118" s="8">
        <f>IF(E118="금융","금융업 - 정의되지 않음",IF(AND(ISNUMBER(L118),ISNUMBER(M118),ISNUMBER(N118),ISNUMBER(AT118)),"순이익+감가상각-설비투자-운전자본증감",IF(AND(ISNUMBER(O118),ISNUMBER(N118)),"영업현금흐름-설비투자","산출불가")))</f>
        <v/>
      </c>
      <c r="AW118" s="19">
        <f>IF(AND(ISNUMBER(AU118),ISNUMBER(G118),G118&lt;&gt;0),AU118/G118,"")</f>
        <v/>
      </c>
      <c r="AX118" s="19">
        <f>IF(AND(ISNUMBER(AC118),ISNUMBER(G118),G118&lt;&gt;0),AC118/G118,"")</f>
        <v/>
      </c>
    </row>
    <row r="119">
      <c r="A119" s="8" t="inlineStr">
        <is>
          <t>LLY</t>
        </is>
      </c>
      <c r="B119" s="8" t="inlineStr">
        <is>
          <t>ELI LILLY &amp; Co</t>
        </is>
      </c>
      <c r="C119" s="8" t="n">
        <v>2022</v>
      </c>
      <c r="D119" s="8" t="inlineStr">
        <is>
          <t>2022-12-31</t>
        </is>
      </c>
      <c r="E119" s="8" t="inlineStr">
        <is>
          <t>일반</t>
        </is>
      </c>
      <c r="F119" s="8" t="inlineStr">
        <is>
          <t>0000059478-25-000067</t>
        </is>
      </c>
      <c r="G119" s="15" t="n">
        <v>28.5414</v>
      </c>
      <c r="H119" s="15" t="n">
        <v>6.8064</v>
      </c>
      <c r="I119" s="15" t="n">
        <v>0.3316</v>
      </c>
      <c r="J119" s="15" t="n">
        <v>0.5616</v>
      </c>
      <c r="K119" s="15" t="n"/>
      <c r="L119" s="15" t="n">
        <v>6.2448</v>
      </c>
      <c r="M119" s="15" t="n">
        <v>1.5225</v>
      </c>
      <c r="N119" s="15" t="n">
        <v>1.8543</v>
      </c>
      <c r="O119" s="15" t="n">
        <v>7.5857</v>
      </c>
      <c r="P119" s="15" t="n">
        <v>10.6498</v>
      </c>
      <c r="Q119" s="15" t="n">
        <v>8.979200000000001</v>
      </c>
      <c r="R119" s="15" t="n">
        <v>2.2118</v>
      </c>
      <c r="S119" s="15" t="n">
        <v>3.9086</v>
      </c>
      <c r="T119" s="15" t="n">
        <v>1.5011</v>
      </c>
      <c r="U119" s="15" t="n">
        <v>1.5383</v>
      </c>
      <c r="V119" s="15" t="n">
        <v>14.7375</v>
      </c>
      <c r="W119" s="15" t="n">
        <v>18.0345</v>
      </c>
      <c r="X119" s="15" t="n">
        <v>18.4524</v>
      </c>
      <c r="Y119" s="15" t="n">
        <v>17.1382</v>
      </c>
      <c r="Z119" s="15" t="n">
        <v>15.0527</v>
      </c>
      <c r="AA119" s="15" t="n">
        <v>21.9553</v>
      </c>
      <c r="AB119" s="16" t="n">
        <v>904.619</v>
      </c>
      <c r="AC119" s="17">
        <f>IF(AND(ISNUMBER(H119),ISNUMBER(I119)),H119+I119,IF(ISNUMBER(K119),K119,IF(ISNUMBER(H119),H119,"")))</f>
        <v/>
      </c>
      <c r="AD119" s="18">
        <f>IF(OR(NOT(ISNUMBER(J119)),NOT(ISNUMBER(H119)),H119&lt;=0),기준표!$B$8,MIN(MAX(J119/H119,기준표!$B$6),기준표!$B$7))</f>
        <v/>
      </c>
      <c r="AE119" s="17">
        <f>IF(ISNUMBER(AC119),AC119*(1-AD119),"")</f>
        <v/>
      </c>
      <c r="AF119" s="17">
        <f>IF(AND(NOT(ISNUMBER(T119)),NOT(ISNUMBER(V119))),"",IF(ISNUMBER(T119),T119,0)+IF(ISNUMBER(V119),V119,0))</f>
        <v/>
      </c>
      <c r="AG119" s="17">
        <f>IF(E119="금융","",IF(AND(ISNUMBER(P119),ISNUMBER(AF119),ISNUMBER(R119)),P119+AF119-R119,""))</f>
        <v/>
      </c>
      <c r="AH119" s="17">
        <f>IF(E119="금융","",IF(NOT(ISNUMBER(AG119)),"",IF(ISNUMBER(AA119),(AG119+AA119)/2,AG119)))</f>
        <v/>
      </c>
      <c r="AI119" s="19">
        <f>IF(AND(ISNUMBER(AE119),ISNUMBER(AH119),AH119&gt;0),AE119/AH119,"")</f>
        <v/>
      </c>
      <c r="AJ119" s="17">
        <f>IF(E119="금융","",IF(AND(ISNUMBER(P119),ISNUMBER(AF119)),P119+AF119,""))</f>
        <v/>
      </c>
      <c r="AK119" s="19">
        <f>IF(OR(NOT(ISNUMBER(AE119)),NOT(ISNUMBER(AJ119)),AJ119&lt;=0),"",IF(AND(ISNUMBER(G119),AJ119&lt;0.1*G119),"",AE119/AJ119))</f>
        <v/>
      </c>
      <c r="AL119" s="17">
        <f>IF(NOT(ISNUMBER(P119)),"",IF(ISNUMBER(Q119),(P119+Q119)/2,P119))</f>
        <v/>
      </c>
      <c r="AM119" s="19">
        <f>IF(AND(ISNUMBER(L119),ISNUMBER(AL119),AL119&gt;0),L119/AL119,"")</f>
        <v/>
      </c>
      <c r="AN119" s="19">
        <f>IF(AND(ISNUMBER(AM119),ISNUMBER({ROIC})),AM119-{ROIC},"")</f>
        <v/>
      </c>
      <c r="AO119" s="17">
        <f>IF(AND(ISNUMBER(AC119),ISNUMBER(M119)),AC119+M119,"")</f>
        <v/>
      </c>
      <c r="AP119" s="20">
        <f>IF(AND(ISNUMBER(AF119),ISNUMBER(R119),ISNUMBER(AO119),AO119&gt;0),(AF119-R119)/AO119,"")</f>
        <v/>
      </c>
      <c r="AQ119" s="20">
        <f>IF(AND(ISNUMBER(AC119),ISNUMBER(I119),I119&lt;&gt;0,AC119&gt;0),AC119/I119,"")</f>
        <v/>
      </c>
      <c r="AR119" s="17">
        <f>IF(AND(ISNUMBER(W119),ISNUMBER(Y119)),W119-IF(ISNUMBER(R119),R119,0)-(Y119-IF(ISNUMBER(T119),T119,0)),"")</f>
        <v/>
      </c>
      <c r="AS119" s="17">
        <f>IF(AND(ISNUMBER(X119),ISNUMBER(Z119)),X119-IF(ISNUMBER(S119),S119,0)-(Z119-IF(ISNUMBER(U119),U119,0)),"")</f>
        <v/>
      </c>
      <c r="AT119" s="17">
        <f>IF(AND(ISNUMBER(AR119),ISNUMBER(AS119)),AR119-AS119,"")</f>
        <v/>
      </c>
      <c r="AU119" s="17">
        <f>IF(E119="금융","",IF(AND(ISNUMBER(L119),ISNUMBER(M119),ISNUMBER(N119),ISNUMBER(AT119)),L119+M119-N119-AT119,IF(AND(ISNUMBER(O119),ISNUMBER(N119)),O119-N119,"")))</f>
        <v/>
      </c>
      <c r="AV119" s="8">
        <f>IF(E119="금융","금융업 - 정의되지 않음",IF(AND(ISNUMBER(L119),ISNUMBER(M119),ISNUMBER(N119),ISNUMBER(AT119)),"순이익+감가상각-설비투자-운전자본증감",IF(AND(ISNUMBER(O119),ISNUMBER(N119)),"영업현금흐름-설비투자","산출불가")))</f>
        <v/>
      </c>
      <c r="AW119" s="19">
        <f>IF(AND(ISNUMBER(AU119),ISNUMBER(G119),G119&lt;&gt;0),AU119/G119,"")</f>
        <v/>
      </c>
      <c r="AX119" s="19">
        <f>IF(AND(ISNUMBER(AC119),ISNUMBER(G119),G119&lt;&gt;0),AC119/G119,"")</f>
        <v/>
      </c>
    </row>
    <row r="120">
      <c r="A120" s="8" t="inlineStr">
        <is>
          <t>LLY</t>
        </is>
      </c>
      <c r="B120" s="8" t="inlineStr">
        <is>
          <t>ELI LILLY &amp; Co</t>
        </is>
      </c>
      <c r="C120" s="8" t="n">
        <v>2023</v>
      </c>
      <c r="D120" s="8" t="inlineStr">
        <is>
          <t>2023-12-31</t>
        </is>
      </c>
      <c r="E120" s="8" t="inlineStr">
        <is>
          <t>일반</t>
        </is>
      </c>
      <c r="F120" s="8" t="inlineStr">
        <is>
          <t>0000059478-26-000013</t>
        </is>
      </c>
      <c r="G120" s="15" t="n">
        <v>34.124</v>
      </c>
      <c r="H120" s="15" t="n">
        <v>6.554</v>
      </c>
      <c r="I120" s="15" t="n">
        <v>0.486</v>
      </c>
      <c r="J120" s="15" t="n">
        <v>1.314</v>
      </c>
      <c r="K120" s="15" t="n"/>
      <c r="L120" s="15" t="n">
        <v>5.24</v>
      </c>
      <c r="M120" s="15" t="n">
        <v>1.527</v>
      </c>
      <c r="N120" s="15" t="n">
        <v>3.448</v>
      </c>
      <c r="O120" s="15" t="n">
        <v>4.24</v>
      </c>
      <c r="P120" s="15" t="n">
        <v>10.7719</v>
      </c>
      <c r="Q120" s="15" t="n">
        <v>10.6498</v>
      </c>
      <c r="R120" s="15" t="n">
        <v>2.9277</v>
      </c>
      <c r="S120" s="15" t="n">
        <v>2.2118</v>
      </c>
      <c r="T120" s="15" t="n">
        <v>6.9045</v>
      </c>
      <c r="U120" s="15" t="n">
        <v>1.5011</v>
      </c>
      <c r="V120" s="15" t="n">
        <v>18.3208</v>
      </c>
      <c r="W120" s="15" t="n">
        <v>25.727</v>
      </c>
      <c r="X120" s="15" t="n">
        <v>18.0345</v>
      </c>
      <c r="Y120" s="15" t="n">
        <v>27.2932</v>
      </c>
      <c r="Z120" s="15" t="n">
        <v>17.1382</v>
      </c>
      <c r="AA120" s="15" t="n">
        <v>24.6766</v>
      </c>
      <c r="AB120" s="16" t="n">
        <v>903.3</v>
      </c>
      <c r="AC120" s="17">
        <f>IF(AND(ISNUMBER(H120),ISNUMBER(I120)),H120+I120,IF(ISNUMBER(K120),K120,IF(ISNUMBER(H120),H120,"")))</f>
        <v/>
      </c>
      <c r="AD120" s="18">
        <f>IF(OR(NOT(ISNUMBER(J120)),NOT(ISNUMBER(H120)),H120&lt;=0),기준표!$B$8,MIN(MAX(J120/H120,기준표!$B$6),기준표!$B$7))</f>
        <v/>
      </c>
      <c r="AE120" s="17">
        <f>IF(ISNUMBER(AC120),AC120*(1-AD120),"")</f>
        <v/>
      </c>
      <c r="AF120" s="17">
        <f>IF(AND(NOT(ISNUMBER(T120)),NOT(ISNUMBER(V120))),"",IF(ISNUMBER(T120),T120,0)+IF(ISNUMBER(V120),V120,0))</f>
        <v/>
      </c>
      <c r="AG120" s="17">
        <f>IF(E120="금융","",IF(AND(ISNUMBER(P120),ISNUMBER(AF120),ISNUMBER(R120)),P120+AF120-R120,""))</f>
        <v/>
      </c>
      <c r="AH120" s="17">
        <f>IF(E120="금융","",IF(NOT(ISNUMBER(AG120)),"",IF(ISNUMBER(AA120),(AG120+AA120)/2,AG120)))</f>
        <v/>
      </c>
      <c r="AI120" s="19">
        <f>IF(AND(ISNUMBER(AE120),ISNUMBER(AH120),AH120&gt;0),AE120/AH120,"")</f>
        <v/>
      </c>
      <c r="AJ120" s="17">
        <f>IF(E120="금융","",IF(AND(ISNUMBER(P120),ISNUMBER(AF120)),P120+AF120,""))</f>
        <v/>
      </c>
      <c r="AK120" s="19">
        <f>IF(OR(NOT(ISNUMBER(AE120)),NOT(ISNUMBER(AJ120)),AJ120&lt;=0),"",IF(AND(ISNUMBER(G120),AJ120&lt;0.1*G120),"",AE120/AJ120))</f>
        <v/>
      </c>
      <c r="AL120" s="17">
        <f>IF(NOT(ISNUMBER(P120)),"",IF(ISNUMBER(Q120),(P120+Q120)/2,P120))</f>
        <v/>
      </c>
      <c r="AM120" s="19">
        <f>IF(AND(ISNUMBER(L120),ISNUMBER(AL120),AL120&gt;0),L120/AL120,"")</f>
        <v/>
      </c>
      <c r="AN120" s="19">
        <f>IF(AND(ISNUMBER(AM120),ISNUMBER({ROIC})),AM120-{ROIC},"")</f>
        <v/>
      </c>
      <c r="AO120" s="17">
        <f>IF(AND(ISNUMBER(AC120),ISNUMBER(M120)),AC120+M120,"")</f>
        <v/>
      </c>
      <c r="AP120" s="20">
        <f>IF(AND(ISNUMBER(AF120),ISNUMBER(R120),ISNUMBER(AO120),AO120&gt;0),(AF120-R120)/AO120,"")</f>
        <v/>
      </c>
      <c r="AQ120" s="20">
        <f>IF(AND(ISNUMBER(AC120),ISNUMBER(I120),I120&lt;&gt;0,AC120&gt;0),AC120/I120,"")</f>
        <v/>
      </c>
      <c r="AR120" s="17">
        <f>IF(AND(ISNUMBER(W120),ISNUMBER(Y120)),W120-IF(ISNUMBER(R120),R120,0)-(Y120-IF(ISNUMBER(T120),T120,0)),"")</f>
        <v/>
      </c>
      <c r="AS120" s="17">
        <f>IF(AND(ISNUMBER(X120),ISNUMBER(Z120)),X120-IF(ISNUMBER(S120),S120,0)-(Z120-IF(ISNUMBER(U120),U120,0)),"")</f>
        <v/>
      </c>
      <c r="AT120" s="17">
        <f>IF(AND(ISNUMBER(AR120),ISNUMBER(AS120)),AR120-AS120,"")</f>
        <v/>
      </c>
      <c r="AU120" s="17">
        <f>IF(E120="금융","",IF(AND(ISNUMBER(L120),ISNUMBER(M120),ISNUMBER(N120),ISNUMBER(AT120)),L120+M120-N120-AT120,IF(AND(ISNUMBER(O120),ISNUMBER(N120)),O120-N120,"")))</f>
        <v/>
      </c>
      <c r="AV120" s="8">
        <f>IF(E120="금융","금융업 - 정의되지 않음",IF(AND(ISNUMBER(L120),ISNUMBER(M120),ISNUMBER(N120),ISNUMBER(AT120)),"순이익+감가상각-설비투자-운전자본증감",IF(AND(ISNUMBER(O120),ISNUMBER(N120)),"영업현금흐름-설비투자","산출불가")))</f>
        <v/>
      </c>
      <c r="AW120" s="19">
        <f>IF(AND(ISNUMBER(AU120),ISNUMBER(G120),G120&lt;&gt;0),AU120/G120,"")</f>
        <v/>
      </c>
      <c r="AX120" s="19">
        <f>IF(AND(ISNUMBER(AC120),ISNUMBER(G120),G120&lt;&gt;0),AC120/G120,"")</f>
        <v/>
      </c>
    </row>
    <row r="121">
      <c r="A121" s="8" t="inlineStr">
        <is>
          <t>LLY</t>
        </is>
      </c>
      <c r="B121" s="8" t="inlineStr">
        <is>
          <t>ELI LILLY &amp; Co</t>
        </is>
      </c>
      <c r="C121" s="8" t="n">
        <v>2024</v>
      </c>
      <c r="D121" s="8" t="inlineStr">
        <is>
          <t>2024-12-31</t>
        </is>
      </c>
      <c r="E121" s="8" t="inlineStr">
        <is>
          <t>일반</t>
        </is>
      </c>
      <c r="F121" s="8" t="inlineStr">
        <is>
          <t>0000059478-26-000013</t>
        </is>
      </c>
      <c r="G121" s="15" t="n">
        <v>45.043</v>
      </c>
      <c r="H121" s="15" t="n">
        <v>12.68</v>
      </c>
      <c r="I121" s="15" t="n">
        <v>0.781</v>
      </c>
      <c r="J121" s="15" t="n">
        <v>2.09</v>
      </c>
      <c r="K121" s="15" t="n"/>
      <c r="L121" s="15" t="n">
        <v>10.59</v>
      </c>
      <c r="M121" s="15" t="n">
        <v>1.767</v>
      </c>
      <c r="N121" s="15" t="n">
        <v>5.058</v>
      </c>
      <c r="O121" s="15" t="n">
        <v>8.818</v>
      </c>
      <c r="P121" s="15" t="n">
        <v>14.272</v>
      </c>
      <c r="Q121" s="15" t="n">
        <v>10.7719</v>
      </c>
      <c r="R121" s="15" t="n">
        <v>3.4228</v>
      </c>
      <c r="S121" s="15" t="n">
        <v>2.9277</v>
      </c>
      <c r="T121" s="15" t="n">
        <v>5.117</v>
      </c>
      <c r="U121" s="15" t="n">
        <v>6.9045</v>
      </c>
      <c r="V121" s="15" t="n">
        <v>28.527</v>
      </c>
      <c r="W121" s="15" t="n">
        <v>32.74</v>
      </c>
      <c r="X121" s="15" t="n">
        <v>25.727</v>
      </c>
      <c r="Y121" s="15" t="n">
        <v>28.376</v>
      </c>
      <c r="Z121" s="15" t="n">
        <v>27.2932</v>
      </c>
      <c r="AA121" s="15" t="n">
        <v>33.0695</v>
      </c>
      <c r="AB121" s="16" t="n">
        <v>904.1</v>
      </c>
      <c r="AC121" s="17">
        <f>IF(AND(ISNUMBER(H121),ISNUMBER(I121)),H121+I121,IF(ISNUMBER(K121),K121,IF(ISNUMBER(H121),H121,"")))</f>
        <v/>
      </c>
      <c r="AD121" s="18">
        <f>IF(OR(NOT(ISNUMBER(J121)),NOT(ISNUMBER(H121)),H121&lt;=0),기준표!$B$8,MIN(MAX(J121/H121,기준표!$B$6),기준표!$B$7))</f>
        <v/>
      </c>
      <c r="AE121" s="17">
        <f>IF(ISNUMBER(AC121),AC121*(1-AD121),"")</f>
        <v/>
      </c>
      <c r="AF121" s="17">
        <f>IF(AND(NOT(ISNUMBER(T121)),NOT(ISNUMBER(V121))),"",IF(ISNUMBER(T121),T121,0)+IF(ISNUMBER(V121),V121,0))</f>
        <v/>
      </c>
      <c r="AG121" s="17">
        <f>IF(E121="금융","",IF(AND(ISNUMBER(P121),ISNUMBER(AF121),ISNUMBER(R121)),P121+AF121-R121,""))</f>
        <v/>
      </c>
      <c r="AH121" s="17">
        <f>IF(E121="금융","",IF(NOT(ISNUMBER(AG121)),"",IF(ISNUMBER(AA121),(AG121+AA121)/2,AG121)))</f>
        <v/>
      </c>
      <c r="AI121" s="19">
        <f>IF(AND(ISNUMBER(AE121),ISNUMBER(AH121),AH121&gt;0),AE121/AH121,"")</f>
        <v/>
      </c>
      <c r="AJ121" s="17">
        <f>IF(E121="금융","",IF(AND(ISNUMBER(P121),ISNUMBER(AF121)),P121+AF121,""))</f>
        <v/>
      </c>
      <c r="AK121" s="19">
        <f>IF(OR(NOT(ISNUMBER(AE121)),NOT(ISNUMBER(AJ121)),AJ121&lt;=0),"",IF(AND(ISNUMBER(G121),AJ121&lt;0.1*G121),"",AE121/AJ121))</f>
        <v/>
      </c>
      <c r="AL121" s="17">
        <f>IF(NOT(ISNUMBER(P121)),"",IF(ISNUMBER(Q121),(P121+Q121)/2,P121))</f>
        <v/>
      </c>
      <c r="AM121" s="19">
        <f>IF(AND(ISNUMBER(L121),ISNUMBER(AL121),AL121&gt;0),L121/AL121,"")</f>
        <v/>
      </c>
      <c r="AN121" s="19">
        <f>IF(AND(ISNUMBER(AM121),ISNUMBER({ROIC})),AM121-{ROIC},"")</f>
        <v/>
      </c>
      <c r="AO121" s="17">
        <f>IF(AND(ISNUMBER(AC121),ISNUMBER(M121)),AC121+M121,"")</f>
        <v/>
      </c>
      <c r="AP121" s="20">
        <f>IF(AND(ISNUMBER(AF121),ISNUMBER(R121),ISNUMBER(AO121),AO121&gt;0),(AF121-R121)/AO121,"")</f>
        <v/>
      </c>
      <c r="AQ121" s="20">
        <f>IF(AND(ISNUMBER(AC121),ISNUMBER(I121),I121&lt;&gt;0,AC121&gt;0),AC121/I121,"")</f>
        <v/>
      </c>
      <c r="AR121" s="17">
        <f>IF(AND(ISNUMBER(W121),ISNUMBER(Y121)),W121-IF(ISNUMBER(R121),R121,0)-(Y121-IF(ISNUMBER(T121),T121,0)),"")</f>
        <v/>
      </c>
      <c r="AS121" s="17">
        <f>IF(AND(ISNUMBER(X121),ISNUMBER(Z121)),X121-IF(ISNUMBER(S121),S121,0)-(Z121-IF(ISNUMBER(U121),U121,0)),"")</f>
        <v/>
      </c>
      <c r="AT121" s="17">
        <f>IF(AND(ISNUMBER(AR121),ISNUMBER(AS121)),AR121-AS121,"")</f>
        <v/>
      </c>
      <c r="AU121" s="17">
        <f>IF(E121="금융","",IF(AND(ISNUMBER(L121),ISNUMBER(M121),ISNUMBER(N121),ISNUMBER(AT121)),L121+M121-N121-AT121,IF(AND(ISNUMBER(O121),ISNUMBER(N121)),O121-N121,"")))</f>
        <v/>
      </c>
      <c r="AV121" s="8">
        <f>IF(E121="금융","금융업 - 정의되지 않음",IF(AND(ISNUMBER(L121),ISNUMBER(M121),ISNUMBER(N121),ISNUMBER(AT121)),"순이익+감가상각-설비투자-운전자본증감",IF(AND(ISNUMBER(O121),ISNUMBER(N121)),"영업현금흐름-설비투자","산출불가")))</f>
        <v/>
      </c>
      <c r="AW121" s="19">
        <f>IF(AND(ISNUMBER(AU121),ISNUMBER(G121),G121&lt;&gt;0),AU121/G121,"")</f>
        <v/>
      </c>
      <c r="AX121" s="19">
        <f>IF(AND(ISNUMBER(AC121),ISNUMBER(G121),G121&lt;&gt;0),AC121/G121,"")</f>
        <v/>
      </c>
    </row>
    <row r="122">
      <c r="A122" s="8" t="inlineStr">
        <is>
          <t>LLY</t>
        </is>
      </c>
      <c r="B122" s="8" t="inlineStr">
        <is>
          <t>ELI LILLY &amp; Co</t>
        </is>
      </c>
      <c r="C122" s="8" t="n">
        <v>2025</v>
      </c>
      <c r="D122" s="8" t="inlineStr">
        <is>
          <t>2025-12-31</t>
        </is>
      </c>
      <c r="E122" s="8" t="inlineStr">
        <is>
          <t>일반</t>
        </is>
      </c>
      <c r="F122" s="8" t="inlineStr">
        <is>
          <t>0000059478-26-000013</t>
        </is>
      </c>
      <c r="G122" s="15" t="n">
        <v>65.179</v>
      </c>
      <c r="H122" s="15" t="n">
        <v>25.731</v>
      </c>
      <c r="I122" s="15" t="n">
        <v>0.895</v>
      </c>
      <c r="J122" s="15" t="n">
        <v>5.091</v>
      </c>
      <c r="K122" s="15" t="n"/>
      <c r="L122" s="15" t="n">
        <v>20.64</v>
      </c>
      <c r="M122" s="15" t="n">
        <v>1.997</v>
      </c>
      <c r="N122" s="15" t="n">
        <v>7.841</v>
      </c>
      <c r="O122" s="15" t="n">
        <v>16.813</v>
      </c>
      <c r="P122" s="15" t="n">
        <v>26.535</v>
      </c>
      <c r="Q122" s="15" t="n">
        <v>14.272</v>
      </c>
      <c r="R122" s="15" t="n">
        <v>7.268</v>
      </c>
      <c r="S122" s="15" t="n">
        <v>3.4228</v>
      </c>
      <c r="T122" s="15" t="n">
        <v>1.635</v>
      </c>
      <c r="U122" s="15" t="n">
        <v>5.117</v>
      </c>
      <c r="V122" s="15" t="n">
        <v>40.868</v>
      </c>
      <c r="W122" s="15" t="n">
        <v>55.629</v>
      </c>
      <c r="X122" s="15" t="n">
        <v>32.74</v>
      </c>
      <c r="Y122" s="15" t="n">
        <v>35.228</v>
      </c>
      <c r="Z122" s="15" t="n">
        <v>28.376</v>
      </c>
      <c r="AA122" s="15" t="n">
        <v>44.4932</v>
      </c>
      <c r="AB122" s="16" t="n">
        <v>899.3</v>
      </c>
      <c r="AC122" s="17">
        <f>IF(AND(ISNUMBER(H122),ISNUMBER(I122)),H122+I122,IF(ISNUMBER(K122),K122,IF(ISNUMBER(H122),H122,"")))</f>
        <v/>
      </c>
      <c r="AD122" s="18">
        <f>IF(OR(NOT(ISNUMBER(J122)),NOT(ISNUMBER(H122)),H122&lt;=0),기준표!$B$8,MIN(MAX(J122/H122,기준표!$B$6),기준표!$B$7))</f>
        <v/>
      </c>
      <c r="AE122" s="17">
        <f>IF(ISNUMBER(AC122),AC122*(1-AD122),"")</f>
        <v/>
      </c>
      <c r="AF122" s="17">
        <f>IF(AND(NOT(ISNUMBER(T122)),NOT(ISNUMBER(V122))),"",IF(ISNUMBER(T122),T122,0)+IF(ISNUMBER(V122),V122,0))</f>
        <v/>
      </c>
      <c r="AG122" s="17">
        <f>IF(E122="금융","",IF(AND(ISNUMBER(P122),ISNUMBER(AF122),ISNUMBER(R122)),P122+AF122-R122,""))</f>
        <v/>
      </c>
      <c r="AH122" s="17">
        <f>IF(E122="금융","",IF(NOT(ISNUMBER(AG122)),"",IF(ISNUMBER(AA122),(AG122+AA122)/2,AG122)))</f>
        <v/>
      </c>
      <c r="AI122" s="19">
        <f>IF(AND(ISNUMBER(AE122),ISNUMBER(AH122),AH122&gt;0),AE122/AH122,"")</f>
        <v/>
      </c>
      <c r="AJ122" s="17">
        <f>IF(E122="금융","",IF(AND(ISNUMBER(P122),ISNUMBER(AF122)),P122+AF122,""))</f>
        <v/>
      </c>
      <c r="AK122" s="19">
        <f>IF(OR(NOT(ISNUMBER(AE122)),NOT(ISNUMBER(AJ122)),AJ122&lt;=0),"",IF(AND(ISNUMBER(G122),AJ122&lt;0.1*G122),"",AE122/AJ122))</f>
        <v/>
      </c>
      <c r="AL122" s="17">
        <f>IF(NOT(ISNUMBER(P122)),"",IF(ISNUMBER(Q122),(P122+Q122)/2,P122))</f>
        <v/>
      </c>
      <c r="AM122" s="19">
        <f>IF(AND(ISNUMBER(L122),ISNUMBER(AL122),AL122&gt;0),L122/AL122,"")</f>
        <v/>
      </c>
      <c r="AN122" s="19">
        <f>IF(AND(ISNUMBER(AM122),ISNUMBER({ROIC})),AM122-{ROIC},"")</f>
        <v/>
      </c>
      <c r="AO122" s="17">
        <f>IF(AND(ISNUMBER(AC122),ISNUMBER(M122)),AC122+M122,"")</f>
        <v/>
      </c>
      <c r="AP122" s="20">
        <f>IF(AND(ISNUMBER(AF122),ISNUMBER(R122),ISNUMBER(AO122),AO122&gt;0),(AF122-R122)/AO122,"")</f>
        <v/>
      </c>
      <c r="AQ122" s="20">
        <f>IF(AND(ISNUMBER(AC122),ISNUMBER(I122),I122&lt;&gt;0,AC122&gt;0),AC122/I122,"")</f>
        <v/>
      </c>
      <c r="AR122" s="17">
        <f>IF(AND(ISNUMBER(W122),ISNUMBER(Y122)),W122-IF(ISNUMBER(R122),R122,0)-(Y122-IF(ISNUMBER(T122),T122,0)),"")</f>
        <v/>
      </c>
      <c r="AS122" s="17">
        <f>IF(AND(ISNUMBER(X122),ISNUMBER(Z122)),X122-IF(ISNUMBER(S122),S122,0)-(Z122-IF(ISNUMBER(U122),U122,0)),"")</f>
        <v/>
      </c>
      <c r="AT122" s="17">
        <f>IF(AND(ISNUMBER(AR122),ISNUMBER(AS122)),AR122-AS122,"")</f>
        <v/>
      </c>
      <c r="AU122" s="17">
        <f>IF(E122="금융","",IF(AND(ISNUMBER(L122),ISNUMBER(M122),ISNUMBER(N122),ISNUMBER(AT122)),L122+M122-N122-AT122,IF(AND(ISNUMBER(O122),ISNUMBER(N122)),O122-N122,"")))</f>
        <v/>
      </c>
      <c r="AV122" s="8">
        <f>IF(E122="금융","금융업 - 정의되지 않음",IF(AND(ISNUMBER(L122),ISNUMBER(M122),ISNUMBER(N122),ISNUMBER(AT122)),"순이익+감가상각-설비투자-운전자본증감",IF(AND(ISNUMBER(O122),ISNUMBER(N122)),"영업현금흐름-설비투자","산출불가")))</f>
        <v/>
      </c>
      <c r="AW122" s="19">
        <f>IF(AND(ISNUMBER(AU122),ISNUMBER(G122),G122&lt;&gt;0),AU122/G122,"")</f>
        <v/>
      </c>
      <c r="AX122" s="19">
        <f>IF(AND(ISNUMBER(AC122),ISNUMBER(G122),G122&lt;&gt;0),AC122/G122,"")</f>
        <v/>
      </c>
    </row>
    <row r="123">
      <c r="A123" s="8" t="inlineStr">
        <is>
          <t>MU</t>
        </is>
      </c>
      <c r="B123" s="8" t="inlineStr">
        <is>
          <t>MICRON TECHNOLOGY INC</t>
        </is>
      </c>
      <c r="C123" s="8" t="n">
        <v>2014</v>
      </c>
      <c r="D123" s="8" t="inlineStr">
        <is>
          <t>2014-08-28</t>
        </is>
      </c>
      <c r="E123" s="8" t="inlineStr">
        <is>
          <t>일반</t>
        </is>
      </c>
      <c r="F123" s="8" t="inlineStr">
        <is>
          <t>0000723125-16-000269</t>
        </is>
      </c>
      <c r="G123" s="15" t="n"/>
      <c r="H123" s="15" t="n">
        <v>2.733</v>
      </c>
      <c r="I123" s="15" t="n"/>
      <c r="J123" s="15" t="n">
        <v>0.128</v>
      </c>
      <c r="K123" s="15" t="n">
        <v>3.087</v>
      </c>
      <c r="L123" s="15" t="n">
        <v>3.045</v>
      </c>
      <c r="M123" s="15" t="n">
        <v>2.27</v>
      </c>
      <c r="N123" s="15" t="n">
        <v>3.107</v>
      </c>
      <c r="O123" s="15" t="n">
        <v>5.699</v>
      </c>
      <c r="P123" s="15" t="n">
        <v>10.76</v>
      </c>
      <c r="Q123" s="15" t="n"/>
      <c r="R123" s="15" t="n">
        <v>4.15</v>
      </c>
      <c r="S123" s="15" t="n"/>
      <c r="T123" s="15" t="n">
        <v>1.618</v>
      </c>
      <c r="U123" s="15" t="n"/>
      <c r="V123" s="15" t="n">
        <v>4.893</v>
      </c>
      <c r="W123" s="15" t="n">
        <v>10.245</v>
      </c>
      <c r="X123" s="15" t="n"/>
      <c r="Y123" s="15" t="n">
        <v>4.791</v>
      </c>
      <c r="Z123" s="15" t="n"/>
      <c r="AA123" s="15" t="n"/>
      <c r="AB123" s="16" t="n">
        <v>1073</v>
      </c>
      <c r="AC123" s="17">
        <f>IF(AND(ISNUMBER(H123),ISNUMBER(I123)),H123+I123,IF(ISNUMBER(K123),K123,IF(ISNUMBER(H123),H123,"")))</f>
        <v/>
      </c>
      <c r="AD123" s="18">
        <f>IF(OR(NOT(ISNUMBER(J123)),NOT(ISNUMBER(H123)),H123&lt;=0),기준표!$B$8,MIN(MAX(J123/H123,기준표!$B$6),기준표!$B$7))</f>
        <v/>
      </c>
      <c r="AE123" s="17">
        <f>IF(ISNUMBER(AC123),AC123*(1-AD123),"")</f>
        <v/>
      </c>
      <c r="AF123" s="17">
        <f>IF(AND(NOT(ISNUMBER(T123)),NOT(ISNUMBER(V123))),"",IF(ISNUMBER(T123),T123,0)+IF(ISNUMBER(V123),V123,0))</f>
        <v/>
      </c>
      <c r="AG123" s="17">
        <f>IF(E123="금융","",IF(AND(ISNUMBER(P123),ISNUMBER(AF123),ISNUMBER(R123)),P123+AF123-R123,""))</f>
        <v/>
      </c>
      <c r="AH123" s="17">
        <f>IF(E123="금융","",IF(NOT(ISNUMBER(AG123)),"",IF(ISNUMBER(AA123),(AG123+AA123)/2,AG123)))</f>
        <v/>
      </c>
      <c r="AI123" s="19">
        <f>IF(AND(ISNUMBER(AE123),ISNUMBER(AH123),AH123&gt;0),AE123/AH123,"")</f>
        <v/>
      </c>
      <c r="AJ123" s="17">
        <f>IF(E123="금융","",IF(AND(ISNUMBER(P123),ISNUMBER(AF123)),P123+AF123,""))</f>
        <v/>
      </c>
      <c r="AK123" s="19">
        <f>IF(OR(NOT(ISNUMBER(AE123)),NOT(ISNUMBER(AJ123)),AJ123&lt;=0),"",IF(AND(ISNUMBER(G123),AJ123&lt;0.1*G123),"",AE123/AJ123))</f>
        <v/>
      </c>
      <c r="AL123" s="17">
        <f>IF(NOT(ISNUMBER(P123)),"",IF(ISNUMBER(Q123),(P123+Q123)/2,P123))</f>
        <v/>
      </c>
      <c r="AM123" s="19">
        <f>IF(AND(ISNUMBER(L123),ISNUMBER(AL123),AL123&gt;0),L123/AL123,"")</f>
        <v/>
      </c>
      <c r="AN123" s="19">
        <f>IF(AND(ISNUMBER(AM123),ISNUMBER({ROIC})),AM123-{ROIC},"")</f>
        <v/>
      </c>
      <c r="AO123" s="17">
        <f>IF(AND(ISNUMBER(AC123),ISNUMBER(M123)),AC123+M123,"")</f>
        <v/>
      </c>
      <c r="AP123" s="20">
        <f>IF(AND(ISNUMBER(AF123),ISNUMBER(R123),ISNUMBER(AO123),AO123&gt;0),(AF123-R123)/AO123,"")</f>
        <v/>
      </c>
      <c r="AQ123" s="20">
        <f>IF(AND(ISNUMBER(AC123),ISNUMBER(I123),I123&lt;&gt;0,AC123&gt;0),AC123/I123,"")</f>
        <v/>
      </c>
      <c r="AR123" s="17">
        <f>IF(AND(ISNUMBER(W123),ISNUMBER(Y123)),W123-IF(ISNUMBER(R123),R123,0)-(Y123-IF(ISNUMBER(T123),T123,0)),"")</f>
        <v/>
      </c>
      <c r="AS123" s="17">
        <f>IF(AND(ISNUMBER(X123),ISNUMBER(Z123)),X123-IF(ISNUMBER(S123),S123,0)-(Z123-IF(ISNUMBER(U123),U123,0)),"")</f>
        <v/>
      </c>
      <c r="AT123" s="17">
        <f>IF(AND(ISNUMBER(AR123),ISNUMBER(AS123)),AR123-AS123,"")</f>
        <v/>
      </c>
      <c r="AU123" s="17">
        <f>IF(E123="금융","",IF(AND(ISNUMBER(L123),ISNUMBER(M123),ISNUMBER(N123),ISNUMBER(AT123)),L123+M123-N123-AT123,IF(AND(ISNUMBER(O123),ISNUMBER(N123)),O123-N123,"")))</f>
        <v/>
      </c>
      <c r="AV123" s="8">
        <f>IF(E123="금융","금융업 - 정의되지 않음",IF(AND(ISNUMBER(L123),ISNUMBER(M123),ISNUMBER(N123),ISNUMBER(AT123)),"순이익+감가상각-설비투자-운전자본증감",IF(AND(ISNUMBER(O123),ISNUMBER(N123)),"영업현금흐름-설비투자","산출불가")))</f>
        <v/>
      </c>
      <c r="AW123" s="19">
        <f>IF(AND(ISNUMBER(AU123),ISNUMBER(G123),G123&lt;&gt;0),AU123/G123,"")</f>
        <v/>
      </c>
      <c r="AX123" s="19">
        <f>IF(AND(ISNUMBER(AC123),ISNUMBER(G123),G123&lt;&gt;0),AC123/G123,"")</f>
        <v/>
      </c>
    </row>
    <row r="124">
      <c r="A124" s="8" t="inlineStr">
        <is>
          <t>MU</t>
        </is>
      </c>
      <c r="B124" s="8" t="inlineStr">
        <is>
          <t>MICRON TECHNOLOGY INC</t>
        </is>
      </c>
      <c r="C124" s="8" t="n">
        <v>2015</v>
      </c>
      <c r="D124" s="8" t="inlineStr">
        <is>
          <t>2015-09-03</t>
        </is>
      </c>
      <c r="E124" s="8" t="inlineStr">
        <is>
          <t>일반</t>
        </is>
      </c>
      <c r="F124" s="8" t="inlineStr">
        <is>
          <t>0000723125-17-000131</t>
        </is>
      </c>
      <c r="G124" s="15" t="n"/>
      <c r="H124" s="15" t="n">
        <v>2.609</v>
      </c>
      <c r="I124" s="15" t="n"/>
      <c r="J124" s="15" t="n">
        <v>0.157</v>
      </c>
      <c r="K124" s="15" t="n">
        <v>2.998</v>
      </c>
      <c r="L124" s="15" t="n">
        <v>2.899</v>
      </c>
      <c r="M124" s="15" t="n">
        <v>2.805</v>
      </c>
      <c r="N124" s="15" t="n">
        <v>4.021</v>
      </c>
      <c r="O124" s="15" t="n">
        <v>5.208</v>
      </c>
      <c r="P124" s="15" t="n">
        <v>12.302</v>
      </c>
      <c r="Q124" s="15" t="n">
        <v>10.76</v>
      </c>
      <c r="R124" s="15" t="n">
        <v>2.287</v>
      </c>
      <c r="S124" s="15" t="n">
        <v>4.15</v>
      </c>
      <c r="T124" s="15" t="n">
        <v>1.089</v>
      </c>
      <c r="U124" s="15" t="n">
        <v>1.618</v>
      </c>
      <c r="V124" s="15" t="n">
        <v>6.252</v>
      </c>
      <c r="W124" s="15" t="n">
        <v>8.596</v>
      </c>
      <c r="X124" s="15" t="n">
        <v>10.245</v>
      </c>
      <c r="Y124" s="15" t="n">
        <v>3.905</v>
      </c>
      <c r="Z124" s="15" t="n">
        <v>4.791</v>
      </c>
      <c r="AA124" s="15" t="n">
        <v>13.121</v>
      </c>
      <c r="AB124" s="16" t="n">
        <v>1084</v>
      </c>
      <c r="AC124" s="17">
        <f>IF(AND(ISNUMBER(H124),ISNUMBER(I124)),H124+I124,IF(ISNUMBER(K124),K124,IF(ISNUMBER(H124),H124,"")))</f>
        <v/>
      </c>
      <c r="AD124" s="18">
        <f>IF(OR(NOT(ISNUMBER(J124)),NOT(ISNUMBER(H124)),H124&lt;=0),기준표!$B$8,MIN(MAX(J124/H124,기준표!$B$6),기준표!$B$7))</f>
        <v/>
      </c>
      <c r="AE124" s="17">
        <f>IF(ISNUMBER(AC124),AC124*(1-AD124),"")</f>
        <v/>
      </c>
      <c r="AF124" s="17">
        <f>IF(AND(NOT(ISNUMBER(T124)),NOT(ISNUMBER(V124))),"",IF(ISNUMBER(T124),T124,0)+IF(ISNUMBER(V124),V124,0))</f>
        <v/>
      </c>
      <c r="AG124" s="17">
        <f>IF(E124="금융","",IF(AND(ISNUMBER(P124),ISNUMBER(AF124),ISNUMBER(R124)),P124+AF124-R124,""))</f>
        <v/>
      </c>
      <c r="AH124" s="17">
        <f>IF(E124="금융","",IF(NOT(ISNUMBER(AG124)),"",IF(ISNUMBER(AA124),(AG124+AA124)/2,AG124)))</f>
        <v/>
      </c>
      <c r="AI124" s="19">
        <f>IF(AND(ISNUMBER(AE124),ISNUMBER(AH124),AH124&gt;0),AE124/AH124,"")</f>
        <v/>
      </c>
      <c r="AJ124" s="17">
        <f>IF(E124="금융","",IF(AND(ISNUMBER(P124),ISNUMBER(AF124)),P124+AF124,""))</f>
        <v/>
      </c>
      <c r="AK124" s="19">
        <f>IF(OR(NOT(ISNUMBER(AE124)),NOT(ISNUMBER(AJ124)),AJ124&lt;=0),"",IF(AND(ISNUMBER(G124),AJ124&lt;0.1*G124),"",AE124/AJ124))</f>
        <v/>
      </c>
      <c r="AL124" s="17">
        <f>IF(NOT(ISNUMBER(P124)),"",IF(ISNUMBER(Q124),(P124+Q124)/2,P124))</f>
        <v/>
      </c>
      <c r="AM124" s="19">
        <f>IF(AND(ISNUMBER(L124),ISNUMBER(AL124),AL124&gt;0),L124/AL124,"")</f>
        <v/>
      </c>
      <c r="AN124" s="19">
        <f>IF(AND(ISNUMBER(AM124),ISNUMBER({ROIC})),AM124-{ROIC},"")</f>
        <v/>
      </c>
      <c r="AO124" s="17">
        <f>IF(AND(ISNUMBER(AC124),ISNUMBER(M124)),AC124+M124,"")</f>
        <v/>
      </c>
      <c r="AP124" s="20">
        <f>IF(AND(ISNUMBER(AF124),ISNUMBER(R124),ISNUMBER(AO124),AO124&gt;0),(AF124-R124)/AO124,"")</f>
        <v/>
      </c>
      <c r="AQ124" s="20">
        <f>IF(AND(ISNUMBER(AC124),ISNUMBER(I124),I124&lt;&gt;0,AC124&gt;0),AC124/I124,"")</f>
        <v/>
      </c>
      <c r="AR124" s="17">
        <f>IF(AND(ISNUMBER(W124),ISNUMBER(Y124)),W124-IF(ISNUMBER(R124),R124,0)-(Y124-IF(ISNUMBER(T124),T124,0)),"")</f>
        <v/>
      </c>
      <c r="AS124" s="17">
        <f>IF(AND(ISNUMBER(X124),ISNUMBER(Z124)),X124-IF(ISNUMBER(S124),S124,0)-(Z124-IF(ISNUMBER(U124),U124,0)),"")</f>
        <v/>
      </c>
      <c r="AT124" s="17">
        <f>IF(AND(ISNUMBER(AR124),ISNUMBER(AS124)),AR124-AS124,"")</f>
        <v/>
      </c>
      <c r="AU124" s="17">
        <f>IF(E124="금융","",IF(AND(ISNUMBER(L124),ISNUMBER(M124),ISNUMBER(N124),ISNUMBER(AT124)),L124+M124-N124-AT124,IF(AND(ISNUMBER(O124),ISNUMBER(N124)),O124-N124,"")))</f>
        <v/>
      </c>
      <c r="AV124" s="8">
        <f>IF(E124="금융","금융업 - 정의되지 않음",IF(AND(ISNUMBER(L124),ISNUMBER(M124),ISNUMBER(N124),ISNUMBER(AT124)),"순이익+감가상각-설비투자-운전자본증감",IF(AND(ISNUMBER(O124),ISNUMBER(N124)),"영업현금흐름-설비투자","산출불가")))</f>
        <v/>
      </c>
      <c r="AW124" s="19">
        <f>IF(AND(ISNUMBER(AU124),ISNUMBER(G124),G124&lt;&gt;0),AU124/G124,"")</f>
        <v/>
      </c>
      <c r="AX124" s="19">
        <f>IF(AND(ISNUMBER(AC124),ISNUMBER(G124),G124&lt;&gt;0),AC124/G124,"")</f>
        <v/>
      </c>
    </row>
    <row r="125">
      <c r="A125" s="8" t="inlineStr">
        <is>
          <t>MU</t>
        </is>
      </c>
      <c r="B125" s="8" t="inlineStr">
        <is>
          <t>MICRON TECHNOLOGY INC</t>
        </is>
      </c>
      <c r="C125" s="8" t="n">
        <v>2016</v>
      </c>
      <c r="D125" s="8" t="inlineStr">
        <is>
          <t>2016-09-01</t>
        </is>
      </c>
      <c r="E125" s="8" t="inlineStr">
        <is>
          <t>일반</t>
        </is>
      </c>
      <c r="F125" s="8" t="inlineStr">
        <is>
          <t>0000723125-18-000092</t>
        </is>
      </c>
      <c r="G125" s="15" t="n"/>
      <c r="H125" s="15" t="n">
        <v>-0.281</v>
      </c>
      <c r="I125" s="15" t="n"/>
      <c r="J125" s="15" t="n">
        <v>0.019</v>
      </c>
      <c r="K125" s="15" t="n">
        <v>0.168</v>
      </c>
      <c r="L125" s="15" t="n">
        <v>-0.276</v>
      </c>
      <c r="M125" s="15" t="n">
        <v>2.98</v>
      </c>
      <c r="N125" s="15" t="n">
        <v>5.817</v>
      </c>
      <c r="O125" s="15" t="n">
        <v>3.168</v>
      </c>
      <c r="P125" s="15" t="n">
        <v>12.08</v>
      </c>
      <c r="Q125" s="15" t="n">
        <v>12.302</v>
      </c>
      <c r="R125" s="15" t="n">
        <v>4.14</v>
      </c>
      <c r="S125" s="15" t="n">
        <v>2.287</v>
      </c>
      <c r="T125" s="15" t="n">
        <v>0.756</v>
      </c>
      <c r="U125" s="15" t="n">
        <v>1.089</v>
      </c>
      <c r="V125" s="15" t="n">
        <v>9.154</v>
      </c>
      <c r="W125" s="15" t="n">
        <v>9.494999999999999</v>
      </c>
      <c r="X125" s="15" t="n">
        <v>8.596</v>
      </c>
      <c r="Y125" s="15" t="n">
        <v>4.835</v>
      </c>
      <c r="Z125" s="15" t="n">
        <v>3.905</v>
      </c>
      <c r="AA125" s="15" t="n">
        <v>17.356</v>
      </c>
      <c r="AB125" s="16" t="n">
        <v>1040</v>
      </c>
      <c r="AC125" s="17">
        <f>IF(AND(ISNUMBER(H125),ISNUMBER(I125)),H125+I125,IF(ISNUMBER(K125),K125,IF(ISNUMBER(H125),H125,"")))</f>
        <v/>
      </c>
      <c r="AD125" s="18">
        <f>IF(OR(NOT(ISNUMBER(J125)),NOT(ISNUMBER(H125)),H125&lt;=0),기준표!$B$8,MIN(MAX(J125/H125,기준표!$B$6),기준표!$B$7))</f>
        <v/>
      </c>
      <c r="AE125" s="17">
        <f>IF(ISNUMBER(AC125),AC125*(1-AD125),"")</f>
        <v/>
      </c>
      <c r="AF125" s="17">
        <f>IF(AND(NOT(ISNUMBER(T125)),NOT(ISNUMBER(V125))),"",IF(ISNUMBER(T125),T125,0)+IF(ISNUMBER(V125),V125,0))</f>
        <v/>
      </c>
      <c r="AG125" s="17">
        <f>IF(E125="금융","",IF(AND(ISNUMBER(P125),ISNUMBER(AF125),ISNUMBER(R125)),P125+AF125-R125,""))</f>
        <v/>
      </c>
      <c r="AH125" s="17">
        <f>IF(E125="금융","",IF(NOT(ISNUMBER(AG125)),"",IF(ISNUMBER(AA125),(AG125+AA125)/2,AG125)))</f>
        <v/>
      </c>
      <c r="AI125" s="19">
        <f>IF(AND(ISNUMBER(AE125),ISNUMBER(AH125),AH125&gt;0),AE125/AH125,"")</f>
        <v/>
      </c>
      <c r="AJ125" s="17">
        <f>IF(E125="금융","",IF(AND(ISNUMBER(P125),ISNUMBER(AF125)),P125+AF125,""))</f>
        <v/>
      </c>
      <c r="AK125" s="19">
        <f>IF(OR(NOT(ISNUMBER(AE125)),NOT(ISNUMBER(AJ125)),AJ125&lt;=0),"",IF(AND(ISNUMBER(G125),AJ125&lt;0.1*G125),"",AE125/AJ125))</f>
        <v/>
      </c>
      <c r="AL125" s="17">
        <f>IF(NOT(ISNUMBER(P125)),"",IF(ISNUMBER(Q125),(P125+Q125)/2,P125))</f>
        <v/>
      </c>
      <c r="AM125" s="19">
        <f>IF(AND(ISNUMBER(L125),ISNUMBER(AL125),AL125&gt;0),L125/AL125,"")</f>
        <v/>
      </c>
      <c r="AN125" s="19">
        <f>IF(AND(ISNUMBER(AM125),ISNUMBER({ROIC})),AM125-{ROIC},"")</f>
        <v/>
      </c>
      <c r="AO125" s="17">
        <f>IF(AND(ISNUMBER(AC125),ISNUMBER(M125)),AC125+M125,"")</f>
        <v/>
      </c>
      <c r="AP125" s="20">
        <f>IF(AND(ISNUMBER(AF125),ISNUMBER(R125),ISNUMBER(AO125),AO125&gt;0),(AF125-R125)/AO125,"")</f>
        <v/>
      </c>
      <c r="AQ125" s="20">
        <f>IF(AND(ISNUMBER(AC125),ISNUMBER(I125),I125&lt;&gt;0,AC125&gt;0),AC125/I125,"")</f>
        <v/>
      </c>
      <c r="AR125" s="17">
        <f>IF(AND(ISNUMBER(W125),ISNUMBER(Y125)),W125-IF(ISNUMBER(R125),R125,0)-(Y125-IF(ISNUMBER(T125),T125,0)),"")</f>
        <v/>
      </c>
      <c r="AS125" s="17">
        <f>IF(AND(ISNUMBER(X125),ISNUMBER(Z125)),X125-IF(ISNUMBER(S125),S125,0)-(Z125-IF(ISNUMBER(U125),U125,0)),"")</f>
        <v/>
      </c>
      <c r="AT125" s="17">
        <f>IF(AND(ISNUMBER(AR125),ISNUMBER(AS125)),AR125-AS125,"")</f>
        <v/>
      </c>
      <c r="AU125" s="17">
        <f>IF(E125="금융","",IF(AND(ISNUMBER(L125),ISNUMBER(M125),ISNUMBER(N125),ISNUMBER(AT125)),L125+M125-N125-AT125,IF(AND(ISNUMBER(O125),ISNUMBER(N125)),O125-N125,"")))</f>
        <v/>
      </c>
      <c r="AV125" s="8">
        <f>IF(E125="금융","금융업 - 정의되지 않음",IF(AND(ISNUMBER(L125),ISNUMBER(M125),ISNUMBER(N125),ISNUMBER(AT125)),"순이익+감가상각-설비투자-운전자본증감",IF(AND(ISNUMBER(O125),ISNUMBER(N125)),"영업현금흐름-설비투자","산출불가")))</f>
        <v/>
      </c>
      <c r="AW125" s="19">
        <f>IF(AND(ISNUMBER(AU125),ISNUMBER(G125),G125&lt;&gt;0),AU125/G125,"")</f>
        <v/>
      </c>
      <c r="AX125" s="19">
        <f>IF(AND(ISNUMBER(AC125),ISNUMBER(G125),G125&lt;&gt;0),AC125/G125,"")</f>
        <v/>
      </c>
    </row>
    <row r="126">
      <c r="A126" s="8" t="inlineStr">
        <is>
          <t>MU</t>
        </is>
      </c>
      <c r="B126" s="8" t="inlineStr">
        <is>
          <t>MICRON TECHNOLOGY INC</t>
        </is>
      </c>
      <c r="C126" s="8" t="n">
        <v>2017</v>
      </c>
      <c r="D126" s="8" t="inlineStr">
        <is>
          <t>2017-08-31</t>
        </is>
      </c>
      <c r="E126" s="8" t="inlineStr">
        <is>
          <t>일반</t>
        </is>
      </c>
      <c r="F126" s="8" t="inlineStr">
        <is>
          <t>0000723125-19-000094</t>
        </is>
      </c>
      <c r="G126" s="15" t="n">
        <v>20.322</v>
      </c>
      <c r="H126" s="15" t="n">
        <v>5.196</v>
      </c>
      <c r="I126" s="15" t="n"/>
      <c r="J126" s="15" t="n">
        <v>0.114</v>
      </c>
      <c r="K126" s="15" t="n">
        <v>5.868</v>
      </c>
      <c r="L126" s="15" t="n">
        <v>5.089</v>
      </c>
      <c r="M126" s="15" t="n">
        <v>3.861</v>
      </c>
      <c r="N126" s="15" t="n">
        <v>4.734</v>
      </c>
      <c r="O126" s="15" t="n">
        <v>8.153</v>
      </c>
      <c r="P126" s="15" t="n">
        <v>18.621</v>
      </c>
      <c r="Q126" s="15" t="n">
        <v>12.08</v>
      </c>
      <c r="R126" s="15" t="n">
        <v>5.109</v>
      </c>
      <c r="S126" s="15" t="n">
        <v>4.14</v>
      </c>
      <c r="T126" s="15" t="n">
        <v>1.262</v>
      </c>
      <c r="U126" s="15" t="n">
        <v>0.756</v>
      </c>
      <c r="V126" s="15" t="n">
        <v>9.872</v>
      </c>
      <c r="W126" s="15" t="n">
        <v>12.457</v>
      </c>
      <c r="X126" s="15" t="n">
        <v>9.494999999999999</v>
      </c>
      <c r="Y126" s="15" t="n">
        <v>5.334</v>
      </c>
      <c r="Z126" s="15" t="n">
        <v>4.835</v>
      </c>
      <c r="AA126" s="15" t="n">
        <v>17.85</v>
      </c>
      <c r="AB126" s="16" t="n">
        <v>1112</v>
      </c>
      <c r="AC126" s="17">
        <f>IF(AND(ISNUMBER(H126),ISNUMBER(I126)),H126+I126,IF(ISNUMBER(K126),K126,IF(ISNUMBER(H126),H126,"")))</f>
        <v/>
      </c>
      <c r="AD126" s="18">
        <f>IF(OR(NOT(ISNUMBER(J126)),NOT(ISNUMBER(H126)),H126&lt;=0),기준표!$B$8,MIN(MAX(J126/H126,기준표!$B$6),기준표!$B$7))</f>
        <v/>
      </c>
      <c r="AE126" s="17">
        <f>IF(ISNUMBER(AC126),AC126*(1-AD126),"")</f>
        <v/>
      </c>
      <c r="AF126" s="17">
        <f>IF(AND(NOT(ISNUMBER(T126)),NOT(ISNUMBER(V126))),"",IF(ISNUMBER(T126),T126,0)+IF(ISNUMBER(V126),V126,0))</f>
        <v/>
      </c>
      <c r="AG126" s="17">
        <f>IF(E126="금융","",IF(AND(ISNUMBER(P126),ISNUMBER(AF126),ISNUMBER(R126)),P126+AF126-R126,""))</f>
        <v/>
      </c>
      <c r="AH126" s="17">
        <f>IF(E126="금융","",IF(NOT(ISNUMBER(AG126)),"",IF(ISNUMBER(AA126),(AG126+AA126)/2,AG126)))</f>
        <v/>
      </c>
      <c r="AI126" s="19">
        <f>IF(AND(ISNUMBER(AE126),ISNUMBER(AH126),AH126&gt;0),AE126/AH126,"")</f>
        <v/>
      </c>
      <c r="AJ126" s="17">
        <f>IF(E126="금융","",IF(AND(ISNUMBER(P126),ISNUMBER(AF126)),P126+AF126,""))</f>
        <v/>
      </c>
      <c r="AK126" s="19">
        <f>IF(OR(NOT(ISNUMBER(AE126)),NOT(ISNUMBER(AJ126)),AJ126&lt;=0),"",IF(AND(ISNUMBER(G126),AJ126&lt;0.1*G126),"",AE126/AJ126))</f>
        <v/>
      </c>
      <c r="AL126" s="17">
        <f>IF(NOT(ISNUMBER(P126)),"",IF(ISNUMBER(Q126),(P126+Q126)/2,P126))</f>
        <v/>
      </c>
      <c r="AM126" s="19">
        <f>IF(AND(ISNUMBER(L126),ISNUMBER(AL126),AL126&gt;0),L126/AL126,"")</f>
        <v/>
      </c>
      <c r="AN126" s="19">
        <f>IF(AND(ISNUMBER(AM126),ISNUMBER({ROIC})),AM126-{ROIC},"")</f>
        <v/>
      </c>
      <c r="AO126" s="17">
        <f>IF(AND(ISNUMBER(AC126),ISNUMBER(M126)),AC126+M126,"")</f>
        <v/>
      </c>
      <c r="AP126" s="20">
        <f>IF(AND(ISNUMBER(AF126),ISNUMBER(R126),ISNUMBER(AO126),AO126&gt;0),(AF126-R126)/AO126,"")</f>
        <v/>
      </c>
      <c r="AQ126" s="20">
        <f>IF(AND(ISNUMBER(AC126),ISNUMBER(I126),I126&lt;&gt;0,AC126&gt;0),AC126/I126,"")</f>
        <v/>
      </c>
      <c r="AR126" s="17">
        <f>IF(AND(ISNUMBER(W126),ISNUMBER(Y126)),W126-IF(ISNUMBER(R126),R126,0)-(Y126-IF(ISNUMBER(T126),T126,0)),"")</f>
        <v/>
      </c>
      <c r="AS126" s="17">
        <f>IF(AND(ISNUMBER(X126),ISNUMBER(Z126)),X126-IF(ISNUMBER(S126),S126,0)-(Z126-IF(ISNUMBER(U126),U126,0)),"")</f>
        <v/>
      </c>
      <c r="AT126" s="17">
        <f>IF(AND(ISNUMBER(AR126),ISNUMBER(AS126)),AR126-AS126,"")</f>
        <v/>
      </c>
      <c r="AU126" s="17">
        <f>IF(E126="금융","",IF(AND(ISNUMBER(L126),ISNUMBER(M126),ISNUMBER(N126),ISNUMBER(AT126)),L126+M126-N126-AT126,IF(AND(ISNUMBER(O126),ISNUMBER(N126)),O126-N126,"")))</f>
        <v/>
      </c>
      <c r="AV126" s="8">
        <f>IF(E126="금융","금융업 - 정의되지 않음",IF(AND(ISNUMBER(L126),ISNUMBER(M126),ISNUMBER(N126),ISNUMBER(AT126)),"순이익+감가상각-설비투자-운전자본증감",IF(AND(ISNUMBER(O126),ISNUMBER(N126)),"영업현금흐름-설비투자","산출불가")))</f>
        <v/>
      </c>
      <c r="AW126" s="19">
        <f>IF(AND(ISNUMBER(AU126),ISNUMBER(G126),G126&lt;&gt;0),AU126/G126,"")</f>
        <v/>
      </c>
      <c r="AX126" s="19">
        <f>IF(AND(ISNUMBER(AC126),ISNUMBER(G126),G126&lt;&gt;0),AC126/G126,"")</f>
        <v/>
      </c>
    </row>
    <row r="127">
      <c r="A127" s="8" t="inlineStr">
        <is>
          <t>MU</t>
        </is>
      </c>
      <c r="B127" s="8" t="inlineStr">
        <is>
          <t>MICRON TECHNOLOGY INC</t>
        </is>
      </c>
      <c r="C127" s="8" t="n">
        <v>2018</v>
      </c>
      <c r="D127" s="8" t="inlineStr">
        <is>
          <t>2018-08-30</t>
        </is>
      </c>
      <c r="E127" s="8" t="inlineStr">
        <is>
          <t>일반</t>
        </is>
      </c>
      <c r="F127" s="8" t="inlineStr">
        <is>
          <t>0000723125-20-000082</t>
        </is>
      </c>
      <c r="G127" s="15" t="n">
        <v>30.391</v>
      </c>
      <c r="H127" s="15" t="n">
        <v>14.307</v>
      </c>
      <c r="I127" s="15" t="n"/>
      <c r="J127" s="15" t="n">
        <v>0.168</v>
      </c>
      <c r="K127" s="15" t="n">
        <v>14.994</v>
      </c>
      <c r="L127" s="15" t="n">
        <v>14.135</v>
      </c>
      <c r="M127" s="15" t="n">
        <v>4.759</v>
      </c>
      <c r="N127" s="15" t="n">
        <v>8.879</v>
      </c>
      <c r="O127" s="15" t="n">
        <v>17.4</v>
      </c>
      <c r="P127" s="15" t="n">
        <v>32.294</v>
      </c>
      <c r="Q127" s="15" t="n">
        <v>18.621</v>
      </c>
      <c r="R127" s="15" t="n">
        <v>6.802</v>
      </c>
      <c r="S127" s="15" t="n">
        <v>5.109</v>
      </c>
      <c r="T127" s="15" t="n">
        <v>0.859</v>
      </c>
      <c r="U127" s="15" t="n">
        <v>1.262</v>
      </c>
      <c r="V127" s="15" t="n">
        <v>3.777</v>
      </c>
      <c r="W127" s="15" t="n">
        <v>16.039</v>
      </c>
      <c r="X127" s="15" t="n">
        <v>12.457</v>
      </c>
      <c r="Y127" s="15" t="n">
        <v>5.754</v>
      </c>
      <c r="Z127" s="15" t="n">
        <v>5.334</v>
      </c>
      <c r="AA127" s="15" t="n">
        <v>24.646</v>
      </c>
      <c r="AB127" s="16" t="n">
        <v>1161</v>
      </c>
      <c r="AC127" s="17">
        <f>IF(AND(ISNUMBER(H127),ISNUMBER(I127)),H127+I127,IF(ISNUMBER(K127),K127,IF(ISNUMBER(H127),H127,"")))</f>
        <v/>
      </c>
      <c r="AD127" s="18">
        <f>IF(OR(NOT(ISNUMBER(J127)),NOT(ISNUMBER(H127)),H127&lt;=0),기준표!$B$8,MIN(MAX(J127/H127,기준표!$B$6),기준표!$B$7))</f>
        <v/>
      </c>
      <c r="AE127" s="17">
        <f>IF(ISNUMBER(AC127),AC127*(1-AD127),"")</f>
        <v/>
      </c>
      <c r="AF127" s="17">
        <f>IF(AND(NOT(ISNUMBER(T127)),NOT(ISNUMBER(V127))),"",IF(ISNUMBER(T127),T127,0)+IF(ISNUMBER(V127),V127,0))</f>
        <v/>
      </c>
      <c r="AG127" s="17">
        <f>IF(E127="금융","",IF(AND(ISNUMBER(P127),ISNUMBER(AF127),ISNUMBER(R127)),P127+AF127-R127,""))</f>
        <v/>
      </c>
      <c r="AH127" s="17">
        <f>IF(E127="금융","",IF(NOT(ISNUMBER(AG127)),"",IF(ISNUMBER(AA127),(AG127+AA127)/2,AG127)))</f>
        <v/>
      </c>
      <c r="AI127" s="19">
        <f>IF(AND(ISNUMBER(AE127),ISNUMBER(AH127),AH127&gt;0),AE127/AH127,"")</f>
        <v/>
      </c>
      <c r="AJ127" s="17">
        <f>IF(E127="금융","",IF(AND(ISNUMBER(P127),ISNUMBER(AF127)),P127+AF127,""))</f>
        <v/>
      </c>
      <c r="AK127" s="19">
        <f>IF(OR(NOT(ISNUMBER(AE127)),NOT(ISNUMBER(AJ127)),AJ127&lt;=0),"",IF(AND(ISNUMBER(G127),AJ127&lt;0.1*G127),"",AE127/AJ127))</f>
        <v/>
      </c>
      <c r="AL127" s="17">
        <f>IF(NOT(ISNUMBER(P127)),"",IF(ISNUMBER(Q127),(P127+Q127)/2,P127))</f>
        <v/>
      </c>
      <c r="AM127" s="19">
        <f>IF(AND(ISNUMBER(L127),ISNUMBER(AL127),AL127&gt;0),L127/AL127,"")</f>
        <v/>
      </c>
      <c r="AN127" s="19">
        <f>IF(AND(ISNUMBER(AM127),ISNUMBER({ROIC})),AM127-{ROIC},"")</f>
        <v/>
      </c>
      <c r="AO127" s="17">
        <f>IF(AND(ISNUMBER(AC127),ISNUMBER(M127)),AC127+M127,"")</f>
        <v/>
      </c>
      <c r="AP127" s="20">
        <f>IF(AND(ISNUMBER(AF127),ISNUMBER(R127),ISNUMBER(AO127),AO127&gt;0),(AF127-R127)/AO127,"")</f>
        <v/>
      </c>
      <c r="AQ127" s="20">
        <f>IF(AND(ISNUMBER(AC127),ISNUMBER(I127),I127&lt;&gt;0,AC127&gt;0),AC127/I127,"")</f>
        <v/>
      </c>
      <c r="AR127" s="17">
        <f>IF(AND(ISNUMBER(W127),ISNUMBER(Y127)),W127-IF(ISNUMBER(R127),R127,0)-(Y127-IF(ISNUMBER(T127),T127,0)),"")</f>
        <v/>
      </c>
      <c r="AS127" s="17">
        <f>IF(AND(ISNUMBER(X127),ISNUMBER(Z127)),X127-IF(ISNUMBER(S127),S127,0)-(Z127-IF(ISNUMBER(U127),U127,0)),"")</f>
        <v/>
      </c>
      <c r="AT127" s="17">
        <f>IF(AND(ISNUMBER(AR127),ISNUMBER(AS127)),AR127-AS127,"")</f>
        <v/>
      </c>
      <c r="AU127" s="17">
        <f>IF(E127="금융","",IF(AND(ISNUMBER(L127),ISNUMBER(M127),ISNUMBER(N127),ISNUMBER(AT127)),L127+M127-N127-AT127,IF(AND(ISNUMBER(O127),ISNUMBER(N127)),O127-N127,"")))</f>
        <v/>
      </c>
      <c r="AV127" s="8">
        <f>IF(E127="금융","금융업 - 정의되지 않음",IF(AND(ISNUMBER(L127),ISNUMBER(M127),ISNUMBER(N127),ISNUMBER(AT127)),"순이익+감가상각-설비투자-운전자본증감",IF(AND(ISNUMBER(O127),ISNUMBER(N127)),"영업현금흐름-설비투자","산출불가")))</f>
        <v/>
      </c>
      <c r="AW127" s="19">
        <f>IF(AND(ISNUMBER(AU127),ISNUMBER(G127),G127&lt;&gt;0),AU127/G127,"")</f>
        <v/>
      </c>
      <c r="AX127" s="19">
        <f>IF(AND(ISNUMBER(AC127),ISNUMBER(G127),G127&lt;&gt;0),AC127/G127,"")</f>
        <v/>
      </c>
    </row>
    <row r="128">
      <c r="A128" s="8" t="inlineStr">
        <is>
          <t>MU</t>
        </is>
      </c>
      <c r="B128" s="8" t="inlineStr">
        <is>
          <t>MICRON TECHNOLOGY INC</t>
        </is>
      </c>
      <c r="C128" s="8" t="n">
        <v>2019</v>
      </c>
      <c r="D128" s="8" t="inlineStr">
        <is>
          <t>2019-08-29</t>
        </is>
      </c>
      <c r="E128" s="8" t="inlineStr">
        <is>
          <t>일반</t>
        </is>
      </c>
      <c r="F128" s="8" t="inlineStr">
        <is>
          <t>0000723125-21-000065</t>
        </is>
      </c>
      <c r="G128" s="15" t="n">
        <v>23.406</v>
      </c>
      <c r="H128" s="15" t="n">
        <v>7.048</v>
      </c>
      <c r="I128" s="15" t="n"/>
      <c r="J128" s="15" t="n">
        <v>0.6929999999999999</v>
      </c>
      <c r="K128" s="15" t="n">
        <v>7.376</v>
      </c>
      <c r="L128" s="15" t="n">
        <v>6.313</v>
      </c>
      <c r="M128" s="15" t="n">
        <v>5.424</v>
      </c>
      <c r="N128" s="15" t="n">
        <v>9.779999999999999</v>
      </c>
      <c r="O128" s="15" t="n">
        <v>13.189</v>
      </c>
      <c r="P128" s="15" t="n">
        <v>35.881</v>
      </c>
      <c r="Q128" s="15" t="n">
        <v>32.294</v>
      </c>
      <c r="R128" s="15" t="n">
        <v>7.955</v>
      </c>
      <c r="S128" s="15" t="n">
        <v>6.802</v>
      </c>
      <c r="T128" s="15" t="n">
        <v>1.31</v>
      </c>
      <c r="U128" s="15" t="n">
        <v>0.859</v>
      </c>
      <c r="V128" s="15" t="n">
        <v>4.541</v>
      </c>
      <c r="W128" s="15" t="n">
        <v>16.503</v>
      </c>
      <c r="X128" s="15" t="n">
        <v>16.039</v>
      </c>
      <c r="Y128" s="15" t="n">
        <v>6.39</v>
      </c>
      <c r="Z128" s="15" t="n">
        <v>5.754</v>
      </c>
      <c r="AA128" s="15" t="n">
        <v>30.128</v>
      </c>
      <c r="AB128" s="16" t="n">
        <v>1106</v>
      </c>
      <c r="AC128" s="17">
        <f>IF(AND(ISNUMBER(H128),ISNUMBER(I128)),H128+I128,IF(ISNUMBER(K128),K128,IF(ISNUMBER(H128),H128,"")))</f>
        <v/>
      </c>
      <c r="AD128" s="18">
        <f>IF(OR(NOT(ISNUMBER(J128)),NOT(ISNUMBER(H128)),H128&lt;=0),기준표!$B$8,MIN(MAX(J128/H128,기준표!$B$6),기준표!$B$7))</f>
        <v/>
      </c>
      <c r="AE128" s="17">
        <f>IF(ISNUMBER(AC128),AC128*(1-AD128),"")</f>
        <v/>
      </c>
      <c r="AF128" s="17">
        <f>IF(AND(NOT(ISNUMBER(T128)),NOT(ISNUMBER(V128))),"",IF(ISNUMBER(T128),T128,0)+IF(ISNUMBER(V128),V128,0))</f>
        <v/>
      </c>
      <c r="AG128" s="17">
        <f>IF(E128="금융","",IF(AND(ISNUMBER(P128),ISNUMBER(AF128),ISNUMBER(R128)),P128+AF128-R128,""))</f>
        <v/>
      </c>
      <c r="AH128" s="17">
        <f>IF(E128="금융","",IF(NOT(ISNUMBER(AG128)),"",IF(ISNUMBER(AA128),(AG128+AA128)/2,AG128)))</f>
        <v/>
      </c>
      <c r="AI128" s="19">
        <f>IF(AND(ISNUMBER(AE128),ISNUMBER(AH128),AH128&gt;0),AE128/AH128,"")</f>
        <v/>
      </c>
      <c r="AJ128" s="17">
        <f>IF(E128="금융","",IF(AND(ISNUMBER(P128),ISNUMBER(AF128)),P128+AF128,""))</f>
        <v/>
      </c>
      <c r="AK128" s="19">
        <f>IF(OR(NOT(ISNUMBER(AE128)),NOT(ISNUMBER(AJ128)),AJ128&lt;=0),"",IF(AND(ISNUMBER(G128),AJ128&lt;0.1*G128),"",AE128/AJ128))</f>
        <v/>
      </c>
      <c r="AL128" s="17">
        <f>IF(NOT(ISNUMBER(P128)),"",IF(ISNUMBER(Q128),(P128+Q128)/2,P128))</f>
        <v/>
      </c>
      <c r="AM128" s="19">
        <f>IF(AND(ISNUMBER(L128),ISNUMBER(AL128),AL128&gt;0),L128/AL128,"")</f>
        <v/>
      </c>
      <c r="AN128" s="19">
        <f>IF(AND(ISNUMBER(AM128),ISNUMBER({ROIC})),AM128-{ROIC},"")</f>
        <v/>
      </c>
      <c r="AO128" s="17">
        <f>IF(AND(ISNUMBER(AC128),ISNUMBER(M128)),AC128+M128,"")</f>
        <v/>
      </c>
      <c r="AP128" s="20">
        <f>IF(AND(ISNUMBER(AF128),ISNUMBER(R128),ISNUMBER(AO128),AO128&gt;0),(AF128-R128)/AO128,"")</f>
        <v/>
      </c>
      <c r="AQ128" s="20">
        <f>IF(AND(ISNUMBER(AC128),ISNUMBER(I128),I128&lt;&gt;0,AC128&gt;0),AC128/I128,"")</f>
        <v/>
      </c>
      <c r="AR128" s="17">
        <f>IF(AND(ISNUMBER(W128),ISNUMBER(Y128)),W128-IF(ISNUMBER(R128),R128,0)-(Y128-IF(ISNUMBER(T128),T128,0)),"")</f>
        <v/>
      </c>
      <c r="AS128" s="17">
        <f>IF(AND(ISNUMBER(X128),ISNUMBER(Z128)),X128-IF(ISNUMBER(S128),S128,0)-(Z128-IF(ISNUMBER(U128),U128,0)),"")</f>
        <v/>
      </c>
      <c r="AT128" s="17">
        <f>IF(AND(ISNUMBER(AR128),ISNUMBER(AS128)),AR128-AS128,"")</f>
        <v/>
      </c>
      <c r="AU128" s="17">
        <f>IF(E128="금융","",IF(AND(ISNUMBER(L128),ISNUMBER(M128),ISNUMBER(N128),ISNUMBER(AT128)),L128+M128-N128-AT128,IF(AND(ISNUMBER(O128),ISNUMBER(N128)),O128-N128,"")))</f>
        <v/>
      </c>
      <c r="AV128" s="8">
        <f>IF(E128="금융","금융업 - 정의되지 않음",IF(AND(ISNUMBER(L128),ISNUMBER(M128),ISNUMBER(N128),ISNUMBER(AT128)),"순이익+감가상각-설비투자-운전자본증감",IF(AND(ISNUMBER(O128),ISNUMBER(N128)),"영업현금흐름-설비투자","산출불가")))</f>
        <v/>
      </c>
      <c r="AW128" s="19">
        <f>IF(AND(ISNUMBER(AU128),ISNUMBER(G128),G128&lt;&gt;0),AU128/G128,"")</f>
        <v/>
      </c>
      <c r="AX128" s="19">
        <f>IF(AND(ISNUMBER(AC128),ISNUMBER(G128),G128&lt;&gt;0),AC128/G128,"")</f>
        <v/>
      </c>
    </row>
    <row r="129">
      <c r="A129" s="8" t="inlineStr">
        <is>
          <t>MU</t>
        </is>
      </c>
      <c r="B129" s="8" t="inlineStr">
        <is>
          <t>MICRON TECHNOLOGY INC</t>
        </is>
      </c>
      <c r="C129" s="8" t="n">
        <v>2020</v>
      </c>
      <c r="D129" s="8" t="inlineStr">
        <is>
          <t>2020-09-03</t>
        </is>
      </c>
      <c r="E129" s="8" t="inlineStr">
        <is>
          <t>일반</t>
        </is>
      </c>
      <c r="F129" s="8" t="inlineStr">
        <is>
          <t>0000723125-22-000048</t>
        </is>
      </c>
      <c r="G129" s="15" t="n">
        <v>21.435</v>
      </c>
      <c r="H129" s="15" t="n">
        <v>2.983</v>
      </c>
      <c r="I129" s="15" t="n"/>
      <c r="J129" s="15" t="n">
        <v>0.28</v>
      </c>
      <c r="K129" s="15" t="n">
        <v>3.003</v>
      </c>
      <c r="L129" s="15" t="n">
        <v>2.687</v>
      </c>
      <c r="M129" s="15" t="n">
        <v>5.65</v>
      </c>
      <c r="N129" s="15" t="n">
        <v>8.223000000000001</v>
      </c>
      <c r="O129" s="15" t="n">
        <v>8.305999999999999</v>
      </c>
      <c r="P129" s="15" t="n">
        <v>38.996</v>
      </c>
      <c r="Q129" s="15" t="n">
        <v>35.881</v>
      </c>
      <c r="R129" s="15" t="n">
        <v>8.141999999999999</v>
      </c>
      <c r="S129" s="15" t="n">
        <v>7.955</v>
      </c>
      <c r="T129" s="15" t="n">
        <v>0.27</v>
      </c>
      <c r="U129" s="15" t="n">
        <v>1.31</v>
      </c>
      <c r="V129" s="15" t="n">
        <v>6.373</v>
      </c>
      <c r="W129" s="15" t="n">
        <v>17.965</v>
      </c>
      <c r="X129" s="15" t="n">
        <v>16.503</v>
      </c>
      <c r="Y129" s="15" t="n">
        <v>6.635</v>
      </c>
      <c r="Z129" s="15" t="n">
        <v>6.39</v>
      </c>
      <c r="AA129" s="15" t="n">
        <v>33.777</v>
      </c>
      <c r="AB129" s="16" t="n">
        <v>1113</v>
      </c>
      <c r="AC129" s="17">
        <f>IF(AND(ISNUMBER(H129),ISNUMBER(I129)),H129+I129,IF(ISNUMBER(K129),K129,IF(ISNUMBER(H129),H129,"")))</f>
        <v/>
      </c>
      <c r="AD129" s="18">
        <f>IF(OR(NOT(ISNUMBER(J129)),NOT(ISNUMBER(H129)),H129&lt;=0),기준표!$B$8,MIN(MAX(J129/H129,기준표!$B$6),기준표!$B$7))</f>
        <v/>
      </c>
      <c r="AE129" s="17">
        <f>IF(ISNUMBER(AC129),AC129*(1-AD129),"")</f>
        <v/>
      </c>
      <c r="AF129" s="17">
        <f>IF(AND(NOT(ISNUMBER(T129)),NOT(ISNUMBER(V129))),"",IF(ISNUMBER(T129),T129,0)+IF(ISNUMBER(V129),V129,0))</f>
        <v/>
      </c>
      <c r="AG129" s="17">
        <f>IF(E129="금융","",IF(AND(ISNUMBER(P129),ISNUMBER(AF129),ISNUMBER(R129)),P129+AF129-R129,""))</f>
        <v/>
      </c>
      <c r="AH129" s="17">
        <f>IF(E129="금융","",IF(NOT(ISNUMBER(AG129)),"",IF(ISNUMBER(AA129),(AG129+AA129)/2,AG129)))</f>
        <v/>
      </c>
      <c r="AI129" s="19">
        <f>IF(AND(ISNUMBER(AE129),ISNUMBER(AH129),AH129&gt;0),AE129/AH129,"")</f>
        <v/>
      </c>
      <c r="AJ129" s="17">
        <f>IF(E129="금융","",IF(AND(ISNUMBER(P129),ISNUMBER(AF129)),P129+AF129,""))</f>
        <v/>
      </c>
      <c r="AK129" s="19">
        <f>IF(OR(NOT(ISNUMBER(AE129)),NOT(ISNUMBER(AJ129)),AJ129&lt;=0),"",IF(AND(ISNUMBER(G129),AJ129&lt;0.1*G129),"",AE129/AJ129))</f>
        <v/>
      </c>
      <c r="AL129" s="17">
        <f>IF(NOT(ISNUMBER(P129)),"",IF(ISNUMBER(Q129),(P129+Q129)/2,P129))</f>
        <v/>
      </c>
      <c r="AM129" s="19">
        <f>IF(AND(ISNUMBER(L129),ISNUMBER(AL129),AL129&gt;0),L129/AL129,"")</f>
        <v/>
      </c>
      <c r="AN129" s="19">
        <f>IF(AND(ISNUMBER(AM129),ISNUMBER({ROIC})),AM129-{ROIC},"")</f>
        <v/>
      </c>
      <c r="AO129" s="17">
        <f>IF(AND(ISNUMBER(AC129),ISNUMBER(M129)),AC129+M129,"")</f>
        <v/>
      </c>
      <c r="AP129" s="20">
        <f>IF(AND(ISNUMBER(AF129),ISNUMBER(R129),ISNUMBER(AO129),AO129&gt;0),(AF129-R129)/AO129,"")</f>
        <v/>
      </c>
      <c r="AQ129" s="20">
        <f>IF(AND(ISNUMBER(AC129),ISNUMBER(I129),I129&lt;&gt;0,AC129&gt;0),AC129/I129,"")</f>
        <v/>
      </c>
      <c r="AR129" s="17">
        <f>IF(AND(ISNUMBER(W129),ISNUMBER(Y129)),W129-IF(ISNUMBER(R129),R129,0)-(Y129-IF(ISNUMBER(T129),T129,0)),"")</f>
        <v/>
      </c>
      <c r="AS129" s="17">
        <f>IF(AND(ISNUMBER(X129),ISNUMBER(Z129)),X129-IF(ISNUMBER(S129),S129,0)-(Z129-IF(ISNUMBER(U129),U129,0)),"")</f>
        <v/>
      </c>
      <c r="AT129" s="17">
        <f>IF(AND(ISNUMBER(AR129),ISNUMBER(AS129)),AR129-AS129,"")</f>
        <v/>
      </c>
      <c r="AU129" s="17">
        <f>IF(E129="금융","",IF(AND(ISNUMBER(L129),ISNUMBER(M129),ISNUMBER(N129),ISNUMBER(AT129)),L129+M129-N129-AT129,IF(AND(ISNUMBER(O129),ISNUMBER(N129)),O129-N129,"")))</f>
        <v/>
      </c>
      <c r="AV129" s="8">
        <f>IF(E129="금융","금융업 - 정의되지 않음",IF(AND(ISNUMBER(L129),ISNUMBER(M129),ISNUMBER(N129),ISNUMBER(AT129)),"순이익+감가상각-설비투자-운전자본증감",IF(AND(ISNUMBER(O129),ISNUMBER(N129)),"영업현금흐름-설비투자","산출불가")))</f>
        <v/>
      </c>
      <c r="AW129" s="19">
        <f>IF(AND(ISNUMBER(AU129),ISNUMBER(G129),G129&lt;&gt;0),AU129/G129,"")</f>
        <v/>
      </c>
      <c r="AX129" s="19">
        <f>IF(AND(ISNUMBER(AC129),ISNUMBER(G129),G129&lt;&gt;0),AC129/G129,"")</f>
        <v/>
      </c>
    </row>
    <row r="130">
      <c r="A130" s="8" t="inlineStr">
        <is>
          <t>MU</t>
        </is>
      </c>
      <c r="B130" s="8" t="inlineStr">
        <is>
          <t>MICRON TECHNOLOGY INC</t>
        </is>
      </c>
      <c r="C130" s="8" t="n">
        <v>2021</v>
      </c>
      <c r="D130" s="8" t="inlineStr">
        <is>
          <t>2021-09-02</t>
        </is>
      </c>
      <c r="E130" s="8" t="inlineStr">
        <is>
          <t>일반</t>
        </is>
      </c>
      <c r="F130" s="8" t="inlineStr">
        <is>
          <t>0000723125-23-000054</t>
        </is>
      </c>
      <c r="G130" s="15" t="n">
        <v>27.705</v>
      </c>
      <c r="H130" s="15" t="n">
        <v>6.218</v>
      </c>
      <c r="I130" s="15" t="n"/>
      <c r="J130" s="15" t="n">
        <v>0.394</v>
      </c>
      <c r="K130" s="15" t="n">
        <v>6.283</v>
      </c>
      <c r="L130" s="15" t="n">
        <v>5.861</v>
      </c>
      <c r="M130" s="15" t="n">
        <v>6.214</v>
      </c>
      <c r="N130" s="15" t="n">
        <v>10.03</v>
      </c>
      <c r="O130" s="15" t="n">
        <v>12.468</v>
      </c>
      <c r="P130" s="15" t="n">
        <v>43.933</v>
      </c>
      <c r="Q130" s="15" t="n">
        <v>38.996</v>
      </c>
      <c r="R130" s="15" t="n">
        <v>8.632999999999999</v>
      </c>
      <c r="S130" s="15" t="n">
        <v>8.141999999999999</v>
      </c>
      <c r="T130" s="15" t="n">
        <v>0.155</v>
      </c>
      <c r="U130" s="15" t="n">
        <v>0.27</v>
      </c>
      <c r="V130" s="15" t="n">
        <v>6.621</v>
      </c>
      <c r="W130" s="15" t="n">
        <v>19.907</v>
      </c>
      <c r="X130" s="15" t="n">
        <v>17.965</v>
      </c>
      <c r="Y130" s="15" t="n">
        <v>6.424</v>
      </c>
      <c r="Z130" s="15" t="n">
        <v>6.635</v>
      </c>
      <c r="AA130" s="15" t="n">
        <v>37.497</v>
      </c>
      <c r="AB130" s="16" t="n">
        <v>1119</v>
      </c>
      <c r="AC130" s="17">
        <f>IF(AND(ISNUMBER(H130),ISNUMBER(I130)),H130+I130,IF(ISNUMBER(K130),K130,IF(ISNUMBER(H130),H130,"")))</f>
        <v/>
      </c>
      <c r="AD130" s="18">
        <f>IF(OR(NOT(ISNUMBER(J130)),NOT(ISNUMBER(H130)),H130&lt;=0),기준표!$B$8,MIN(MAX(J130/H130,기준표!$B$6),기준표!$B$7))</f>
        <v/>
      </c>
      <c r="AE130" s="17">
        <f>IF(ISNUMBER(AC130),AC130*(1-AD130),"")</f>
        <v/>
      </c>
      <c r="AF130" s="17">
        <f>IF(AND(NOT(ISNUMBER(T130)),NOT(ISNUMBER(V130))),"",IF(ISNUMBER(T130),T130,0)+IF(ISNUMBER(V130),V130,0))</f>
        <v/>
      </c>
      <c r="AG130" s="17">
        <f>IF(E130="금융","",IF(AND(ISNUMBER(P130),ISNUMBER(AF130),ISNUMBER(R130)),P130+AF130-R130,""))</f>
        <v/>
      </c>
      <c r="AH130" s="17">
        <f>IF(E130="금융","",IF(NOT(ISNUMBER(AG130)),"",IF(ISNUMBER(AA130),(AG130+AA130)/2,AG130)))</f>
        <v/>
      </c>
      <c r="AI130" s="19">
        <f>IF(AND(ISNUMBER(AE130),ISNUMBER(AH130),AH130&gt;0),AE130/AH130,"")</f>
        <v/>
      </c>
      <c r="AJ130" s="17">
        <f>IF(E130="금융","",IF(AND(ISNUMBER(P130),ISNUMBER(AF130)),P130+AF130,""))</f>
        <v/>
      </c>
      <c r="AK130" s="19">
        <f>IF(OR(NOT(ISNUMBER(AE130)),NOT(ISNUMBER(AJ130)),AJ130&lt;=0),"",IF(AND(ISNUMBER(G130),AJ130&lt;0.1*G130),"",AE130/AJ130))</f>
        <v/>
      </c>
      <c r="AL130" s="17">
        <f>IF(NOT(ISNUMBER(P130)),"",IF(ISNUMBER(Q130),(P130+Q130)/2,P130))</f>
        <v/>
      </c>
      <c r="AM130" s="19">
        <f>IF(AND(ISNUMBER(L130),ISNUMBER(AL130),AL130&gt;0),L130/AL130,"")</f>
        <v/>
      </c>
      <c r="AN130" s="19">
        <f>IF(AND(ISNUMBER(AM130),ISNUMBER({ROIC})),AM130-{ROIC},"")</f>
        <v/>
      </c>
      <c r="AO130" s="17">
        <f>IF(AND(ISNUMBER(AC130),ISNUMBER(M130)),AC130+M130,"")</f>
        <v/>
      </c>
      <c r="AP130" s="20">
        <f>IF(AND(ISNUMBER(AF130),ISNUMBER(R130),ISNUMBER(AO130),AO130&gt;0),(AF130-R130)/AO130,"")</f>
        <v/>
      </c>
      <c r="AQ130" s="20">
        <f>IF(AND(ISNUMBER(AC130),ISNUMBER(I130),I130&lt;&gt;0,AC130&gt;0),AC130/I130,"")</f>
        <v/>
      </c>
      <c r="AR130" s="17">
        <f>IF(AND(ISNUMBER(W130),ISNUMBER(Y130)),W130-IF(ISNUMBER(R130),R130,0)-(Y130-IF(ISNUMBER(T130),T130,0)),"")</f>
        <v/>
      </c>
      <c r="AS130" s="17">
        <f>IF(AND(ISNUMBER(X130),ISNUMBER(Z130)),X130-IF(ISNUMBER(S130),S130,0)-(Z130-IF(ISNUMBER(U130),U130,0)),"")</f>
        <v/>
      </c>
      <c r="AT130" s="17">
        <f>IF(AND(ISNUMBER(AR130),ISNUMBER(AS130)),AR130-AS130,"")</f>
        <v/>
      </c>
      <c r="AU130" s="17">
        <f>IF(E130="금융","",IF(AND(ISNUMBER(L130),ISNUMBER(M130),ISNUMBER(N130),ISNUMBER(AT130)),L130+M130-N130-AT130,IF(AND(ISNUMBER(O130),ISNUMBER(N130)),O130-N130,"")))</f>
        <v/>
      </c>
      <c r="AV130" s="8">
        <f>IF(E130="금융","금융업 - 정의되지 않음",IF(AND(ISNUMBER(L130),ISNUMBER(M130),ISNUMBER(N130),ISNUMBER(AT130)),"순이익+감가상각-설비투자-운전자본증감",IF(AND(ISNUMBER(O130),ISNUMBER(N130)),"영업현금흐름-설비투자","산출불가")))</f>
        <v/>
      </c>
      <c r="AW130" s="19">
        <f>IF(AND(ISNUMBER(AU130),ISNUMBER(G130),G130&lt;&gt;0),AU130/G130,"")</f>
        <v/>
      </c>
      <c r="AX130" s="19">
        <f>IF(AND(ISNUMBER(AC130),ISNUMBER(G130),G130&lt;&gt;0),AC130/G130,"")</f>
        <v/>
      </c>
    </row>
    <row r="131">
      <c r="A131" s="8" t="inlineStr">
        <is>
          <t>MU</t>
        </is>
      </c>
      <c r="B131" s="8" t="inlineStr">
        <is>
          <t>MICRON TECHNOLOGY INC</t>
        </is>
      </c>
      <c r="C131" s="8" t="n">
        <v>2022</v>
      </c>
      <c r="D131" s="8" t="inlineStr">
        <is>
          <t>2022-09-01</t>
        </is>
      </c>
      <c r="E131" s="8" t="inlineStr">
        <is>
          <t>일반</t>
        </is>
      </c>
      <c r="F131" s="8" t="inlineStr">
        <is>
          <t>0000723125-24-000027</t>
        </is>
      </c>
      <c r="G131" s="15" t="n">
        <v>30.758</v>
      </c>
      <c r="H131" s="15" t="n">
        <v>9.571</v>
      </c>
      <c r="I131" s="15" t="n">
        <v>0.189</v>
      </c>
      <c r="J131" s="15" t="n">
        <v>0.888</v>
      </c>
      <c r="K131" s="15" t="n">
        <v>9.702</v>
      </c>
      <c r="L131" s="15" t="n">
        <v>8.686999999999999</v>
      </c>
      <c r="M131" s="15" t="n">
        <v>7.116</v>
      </c>
      <c r="N131" s="15" t="n">
        <v>12.067</v>
      </c>
      <c r="O131" s="15" t="n">
        <v>15.181</v>
      </c>
      <c r="P131" s="15" t="n">
        <v>49.907</v>
      </c>
      <c r="Q131" s="15" t="n">
        <v>43.933</v>
      </c>
      <c r="R131" s="15" t="n">
        <v>9.331</v>
      </c>
      <c r="S131" s="15" t="n">
        <v>8.632999999999999</v>
      </c>
      <c r="T131" s="15" t="n">
        <v>0.103</v>
      </c>
      <c r="U131" s="15" t="n">
        <v>0.155</v>
      </c>
      <c r="V131" s="15" t="n">
        <v>6.803</v>
      </c>
      <c r="W131" s="15" t="n">
        <v>21.781</v>
      </c>
      <c r="X131" s="15" t="n">
        <v>19.907</v>
      </c>
      <c r="Y131" s="15" t="n">
        <v>7.539</v>
      </c>
      <c r="Z131" s="15" t="n">
        <v>6.424</v>
      </c>
      <c r="AA131" s="15" t="n">
        <v>42.076</v>
      </c>
      <c r="AB131" s="16" t="n">
        <v>1094</v>
      </c>
      <c r="AC131" s="17">
        <f>IF(AND(ISNUMBER(H131),ISNUMBER(I131)),H131+I131,IF(ISNUMBER(K131),K131,IF(ISNUMBER(H131),H131,"")))</f>
        <v/>
      </c>
      <c r="AD131" s="18">
        <f>IF(OR(NOT(ISNUMBER(J131)),NOT(ISNUMBER(H131)),H131&lt;=0),기준표!$B$8,MIN(MAX(J131/H131,기준표!$B$6),기준표!$B$7))</f>
        <v/>
      </c>
      <c r="AE131" s="17">
        <f>IF(ISNUMBER(AC131),AC131*(1-AD131),"")</f>
        <v/>
      </c>
      <c r="AF131" s="17">
        <f>IF(AND(NOT(ISNUMBER(T131)),NOT(ISNUMBER(V131))),"",IF(ISNUMBER(T131),T131,0)+IF(ISNUMBER(V131),V131,0))</f>
        <v/>
      </c>
      <c r="AG131" s="17">
        <f>IF(E131="금융","",IF(AND(ISNUMBER(P131),ISNUMBER(AF131),ISNUMBER(R131)),P131+AF131-R131,""))</f>
        <v/>
      </c>
      <c r="AH131" s="17">
        <f>IF(E131="금융","",IF(NOT(ISNUMBER(AG131)),"",IF(ISNUMBER(AA131),(AG131+AA131)/2,AG131)))</f>
        <v/>
      </c>
      <c r="AI131" s="19">
        <f>IF(AND(ISNUMBER(AE131),ISNUMBER(AH131),AH131&gt;0),AE131/AH131,"")</f>
        <v/>
      </c>
      <c r="AJ131" s="17">
        <f>IF(E131="금융","",IF(AND(ISNUMBER(P131),ISNUMBER(AF131)),P131+AF131,""))</f>
        <v/>
      </c>
      <c r="AK131" s="19">
        <f>IF(OR(NOT(ISNUMBER(AE131)),NOT(ISNUMBER(AJ131)),AJ131&lt;=0),"",IF(AND(ISNUMBER(G131),AJ131&lt;0.1*G131),"",AE131/AJ131))</f>
        <v/>
      </c>
      <c r="AL131" s="17">
        <f>IF(NOT(ISNUMBER(P131)),"",IF(ISNUMBER(Q131),(P131+Q131)/2,P131))</f>
        <v/>
      </c>
      <c r="AM131" s="19">
        <f>IF(AND(ISNUMBER(L131),ISNUMBER(AL131),AL131&gt;0),L131/AL131,"")</f>
        <v/>
      </c>
      <c r="AN131" s="19">
        <f>IF(AND(ISNUMBER(AM131),ISNUMBER({ROIC})),AM131-{ROIC},"")</f>
        <v/>
      </c>
      <c r="AO131" s="17">
        <f>IF(AND(ISNUMBER(AC131),ISNUMBER(M131)),AC131+M131,"")</f>
        <v/>
      </c>
      <c r="AP131" s="20">
        <f>IF(AND(ISNUMBER(AF131),ISNUMBER(R131),ISNUMBER(AO131),AO131&gt;0),(AF131-R131)/AO131,"")</f>
        <v/>
      </c>
      <c r="AQ131" s="20">
        <f>IF(AND(ISNUMBER(AC131),ISNUMBER(I131),I131&lt;&gt;0,AC131&gt;0),AC131/I131,"")</f>
        <v/>
      </c>
      <c r="AR131" s="17">
        <f>IF(AND(ISNUMBER(W131),ISNUMBER(Y131)),W131-IF(ISNUMBER(R131),R131,0)-(Y131-IF(ISNUMBER(T131),T131,0)),"")</f>
        <v/>
      </c>
      <c r="AS131" s="17">
        <f>IF(AND(ISNUMBER(X131),ISNUMBER(Z131)),X131-IF(ISNUMBER(S131),S131,0)-(Z131-IF(ISNUMBER(U131),U131,0)),"")</f>
        <v/>
      </c>
      <c r="AT131" s="17">
        <f>IF(AND(ISNUMBER(AR131),ISNUMBER(AS131)),AR131-AS131,"")</f>
        <v/>
      </c>
      <c r="AU131" s="17">
        <f>IF(E131="금융","",IF(AND(ISNUMBER(L131),ISNUMBER(M131),ISNUMBER(N131),ISNUMBER(AT131)),L131+M131-N131-AT131,IF(AND(ISNUMBER(O131),ISNUMBER(N131)),O131-N131,"")))</f>
        <v/>
      </c>
      <c r="AV131" s="8">
        <f>IF(E131="금융","금융업 - 정의되지 않음",IF(AND(ISNUMBER(L131),ISNUMBER(M131),ISNUMBER(N131),ISNUMBER(AT131)),"순이익+감가상각-설비투자-운전자본증감",IF(AND(ISNUMBER(O131),ISNUMBER(N131)),"영업현금흐름-설비투자","산출불가")))</f>
        <v/>
      </c>
      <c r="AW131" s="19">
        <f>IF(AND(ISNUMBER(AU131),ISNUMBER(G131),G131&lt;&gt;0),AU131/G131,"")</f>
        <v/>
      </c>
      <c r="AX131" s="19">
        <f>IF(AND(ISNUMBER(AC131),ISNUMBER(G131),G131&lt;&gt;0),AC131/G131,"")</f>
        <v/>
      </c>
    </row>
    <row r="132">
      <c r="A132" s="8" t="inlineStr">
        <is>
          <t>MU</t>
        </is>
      </c>
      <c r="B132" s="8" t="inlineStr">
        <is>
          <t>MICRON TECHNOLOGY INC</t>
        </is>
      </c>
      <c r="C132" s="8" t="n">
        <v>2023</v>
      </c>
      <c r="D132" s="8" t="inlineStr">
        <is>
          <t>2023-08-31</t>
        </is>
      </c>
      <c r="E132" s="8" t="inlineStr">
        <is>
          <t>일반</t>
        </is>
      </c>
      <c r="F132" s="8" t="inlineStr">
        <is>
          <t>0000723125-25-000028</t>
        </is>
      </c>
      <c r="G132" s="15" t="n">
        <v>15.54</v>
      </c>
      <c r="H132" s="15" t="n">
        <v>-5.658</v>
      </c>
      <c r="I132" s="15" t="n">
        <v>0.388</v>
      </c>
      <c r="J132" s="15" t="n">
        <v>0.177</v>
      </c>
      <c r="K132" s="15" t="n">
        <v>-5.745</v>
      </c>
      <c r="L132" s="15" t="n">
        <v>-5.833</v>
      </c>
      <c r="M132" s="15" t="n">
        <v>7.756</v>
      </c>
      <c r="N132" s="15" t="n">
        <v>7.676</v>
      </c>
      <c r="O132" s="15" t="n">
        <v>1.559</v>
      </c>
      <c r="P132" s="15" t="n">
        <v>44.12</v>
      </c>
      <c r="Q132" s="15" t="n">
        <v>49.907</v>
      </c>
      <c r="R132" s="15" t="n">
        <v>9.593999999999999</v>
      </c>
      <c r="S132" s="15" t="n">
        <v>9.331</v>
      </c>
      <c r="T132" s="15" t="n">
        <v>0.278</v>
      </c>
      <c r="U132" s="15" t="n">
        <v>0.103</v>
      </c>
      <c r="V132" s="15" t="n">
        <v>13.052</v>
      </c>
      <c r="W132" s="15" t="n">
        <v>21.244</v>
      </c>
      <c r="X132" s="15" t="n">
        <v>21.781</v>
      </c>
      <c r="Y132" s="15" t="n">
        <v>4.765</v>
      </c>
      <c r="Z132" s="15" t="n">
        <v>7.539</v>
      </c>
      <c r="AA132" s="15" t="n">
        <v>47.482</v>
      </c>
      <c r="AB132" s="16" t="n">
        <v>1098</v>
      </c>
      <c r="AC132" s="17">
        <f>IF(AND(ISNUMBER(H132),ISNUMBER(I132)),H132+I132,IF(ISNUMBER(K132),K132,IF(ISNUMBER(H132),H132,"")))</f>
        <v/>
      </c>
      <c r="AD132" s="18">
        <f>IF(OR(NOT(ISNUMBER(J132)),NOT(ISNUMBER(H132)),H132&lt;=0),기준표!$B$8,MIN(MAX(J132/H132,기준표!$B$6),기준표!$B$7))</f>
        <v/>
      </c>
      <c r="AE132" s="17">
        <f>IF(ISNUMBER(AC132),AC132*(1-AD132),"")</f>
        <v/>
      </c>
      <c r="AF132" s="17">
        <f>IF(AND(NOT(ISNUMBER(T132)),NOT(ISNUMBER(V132))),"",IF(ISNUMBER(T132),T132,0)+IF(ISNUMBER(V132),V132,0))</f>
        <v/>
      </c>
      <c r="AG132" s="17">
        <f>IF(E132="금융","",IF(AND(ISNUMBER(P132),ISNUMBER(AF132),ISNUMBER(R132)),P132+AF132-R132,""))</f>
        <v/>
      </c>
      <c r="AH132" s="17">
        <f>IF(E132="금융","",IF(NOT(ISNUMBER(AG132)),"",IF(ISNUMBER(AA132),(AG132+AA132)/2,AG132)))</f>
        <v/>
      </c>
      <c r="AI132" s="19">
        <f>IF(AND(ISNUMBER(AE132),ISNUMBER(AH132),AH132&gt;0),AE132/AH132,"")</f>
        <v/>
      </c>
      <c r="AJ132" s="17">
        <f>IF(E132="금융","",IF(AND(ISNUMBER(P132),ISNUMBER(AF132)),P132+AF132,""))</f>
        <v/>
      </c>
      <c r="AK132" s="19">
        <f>IF(OR(NOT(ISNUMBER(AE132)),NOT(ISNUMBER(AJ132)),AJ132&lt;=0),"",IF(AND(ISNUMBER(G132),AJ132&lt;0.1*G132),"",AE132/AJ132))</f>
        <v/>
      </c>
      <c r="AL132" s="17">
        <f>IF(NOT(ISNUMBER(P132)),"",IF(ISNUMBER(Q132),(P132+Q132)/2,P132))</f>
        <v/>
      </c>
      <c r="AM132" s="19">
        <f>IF(AND(ISNUMBER(L132),ISNUMBER(AL132),AL132&gt;0),L132/AL132,"")</f>
        <v/>
      </c>
      <c r="AN132" s="19">
        <f>IF(AND(ISNUMBER(AM132),ISNUMBER({ROIC})),AM132-{ROIC},"")</f>
        <v/>
      </c>
      <c r="AO132" s="17">
        <f>IF(AND(ISNUMBER(AC132),ISNUMBER(M132)),AC132+M132,"")</f>
        <v/>
      </c>
      <c r="AP132" s="20">
        <f>IF(AND(ISNUMBER(AF132),ISNUMBER(R132),ISNUMBER(AO132),AO132&gt;0),(AF132-R132)/AO132,"")</f>
        <v/>
      </c>
      <c r="AQ132" s="20">
        <f>IF(AND(ISNUMBER(AC132),ISNUMBER(I132),I132&lt;&gt;0,AC132&gt;0),AC132/I132,"")</f>
        <v/>
      </c>
      <c r="AR132" s="17">
        <f>IF(AND(ISNUMBER(W132),ISNUMBER(Y132)),W132-IF(ISNUMBER(R132),R132,0)-(Y132-IF(ISNUMBER(T132),T132,0)),"")</f>
        <v/>
      </c>
      <c r="AS132" s="17">
        <f>IF(AND(ISNUMBER(X132),ISNUMBER(Z132)),X132-IF(ISNUMBER(S132),S132,0)-(Z132-IF(ISNUMBER(U132),U132,0)),"")</f>
        <v/>
      </c>
      <c r="AT132" s="17">
        <f>IF(AND(ISNUMBER(AR132),ISNUMBER(AS132)),AR132-AS132,"")</f>
        <v/>
      </c>
      <c r="AU132" s="17">
        <f>IF(E132="금융","",IF(AND(ISNUMBER(L132),ISNUMBER(M132),ISNUMBER(N132),ISNUMBER(AT132)),L132+M132-N132-AT132,IF(AND(ISNUMBER(O132),ISNUMBER(N132)),O132-N132,"")))</f>
        <v/>
      </c>
      <c r="AV132" s="8">
        <f>IF(E132="금융","금융업 - 정의되지 않음",IF(AND(ISNUMBER(L132),ISNUMBER(M132),ISNUMBER(N132),ISNUMBER(AT132)),"순이익+감가상각-설비투자-운전자본증감",IF(AND(ISNUMBER(O132),ISNUMBER(N132)),"영업현금흐름-설비투자","산출불가")))</f>
        <v/>
      </c>
      <c r="AW132" s="19">
        <f>IF(AND(ISNUMBER(AU132),ISNUMBER(G132),G132&lt;&gt;0),AU132/G132,"")</f>
        <v/>
      </c>
      <c r="AX132" s="19">
        <f>IF(AND(ISNUMBER(AC132),ISNUMBER(G132),G132&lt;&gt;0),AC132/G132,"")</f>
        <v/>
      </c>
    </row>
    <row r="133">
      <c r="A133" s="8" t="inlineStr">
        <is>
          <t>MU</t>
        </is>
      </c>
      <c r="B133" s="8" t="inlineStr">
        <is>
          <t>MICRON TECHNOLOGY INC</t>
        </is>
      </c>
      <c r="C133" s="8" t="n">
        <v>2024</v>
      </c>
      <c r="D133" s="8" t="inlineStr">
        <is>
          <t>2024-08-29</t>
        </is>
      </c>
      <c r="E133" s="8" t="inlineStr">
        <is>
          <t>일반</t>
        </is>
      </c>
      <c r="F133" s="8" t="inlineStr">
        <is>
          <t>0000723125-25-000028</t>
        </is>
      </c>
      <c r="G133" s="15" t="n">
        <v>25.111</v>
      </c>
      <c r="H133" s="15" t="n">
        <v>1.24</v>
      </c>
      <c r="I133" s="15" t="n">
        <v>0.5620000000000001</v>
      </c>
      <c r="J133" s="15" t="n">
        <v>0.451</v>
      </c>
      <c r="K133" s="15" t="n">
        <v>1.304</v>
      </c>
      <c r="L133" s="15" t="n">
        <v>0.778</v>
      </c>
      <c r="M133" s="15" t="n">
        <v>7.78</v>
      </c>
      <c r="N133" s="15" t="n">
        <v>8.385999999999999</v>
      </c>
      <c r="O133" s="15" t="n">
        <v>8.507</v>
      </c>
      <c r="P133" s="15" t="n">
        <v>45.131</v>
      </c>
      <c r="Q133" s="15" t="n">
        <v>44.12</v>
      </c>
      <c r="R133" s="15" t="n">
        <v>8.106</v>
      </c>
      <c r="S133" s="15" t="n">
        <v>9.593999999999999</v>
      </c>
      <c r="T133" s="15" t="n">
        <v>0.431</v>
      </c>
      <c r="U133" s="15" t="n">
        <v>0.278</v>
      </c>
      <c r="V133" s="15" t="n">
        <v>12.966</v>
      </c>
      <c r="W133" s="15" t="n">
        <v>24.372</v>
      </c>
      <c r="X133" s="15" t="n">
        <v>21.244</v>
      </c>
      <c r="Y133" s="15" t="n">
        <v>9.247999999999999</v>
      </c>
      <c r="Z133" s="15" t="n">
        <v>4.765</v>
      </c>
      <c r="AA133" s="15" t="n">
        <v>47.856</v>
      </c>
      <c r="AB133" s="16" t="n">
        <v>1109</v>
      </c>
      <c r="AC133" s="17">
        <f>IF(AND(ISNUMBER(H133),ISNUMBER(I133)),H133+I133,IF(ISNUMBER(K133),K133,IF(ISNUMBER(H133),H133,"")))</f>
        <v/>
      </c>
      <c r="AD133" s="18">
        <f>IF(OR(NOT(ISNUMBER(J133)),NOT(ISNUMBER(H133)),H133&lt;=0),기준표!$B$8,MIN(MAX(J133/H133,기준표!$B$6),기준표!$B$7))</f>
        <v/>
      </c>
      <c r="AE133" s="17">
        <f>IF(ISNUMBER(AC133),AC133*(1-AD133),"")</f>
        <v/>
      </c>
      <c r="AF133" s="17">
        <f>IF(AND(NOT(ISNUMBER(T133)),NOT(ISNUMBER(V133))),"",IF(ISNUMBER(T133),T133,0)+IF(ISNUMBER(V133),V133,0))</f>
        <v/>
      </c>
      <c r="AG133" s="17">
        <f>IF(E133="금융","",IF(AND(ISNUMBER(P133),ISNUMBER(AF133),ISNUMBER(R133)),P133+AF133-R133,""))</f>
        <v/>
      </c>
      <c r="AH133" s="17">
        <f>IF(E133="금융","",IF(NOT(ISNUMBER(AG133)),"",IF(ISNUMBER(AA133),(AG133+AA133)/2,AG133)))</f>
        <v/>
      </c>
      <c r="AI133" s="19">
        <f>IF(AND(ISNUMBER(AE133),ISNUMBER(AH133),AH133&gt;0),AE133/AH133,"")</f>
        <v/>
      </c>
      <c r="AJ133" s="17">
        <f>IF(E133="금융","",IF(AND(ISNUMBER(P133),ISNUMBER(AF133)),P133+AF133,""))</f>
        <v/>
      </c>
      <c r="AK133" s="19">
        <f>IF(OR(NOT(ISNUMBER(AE133)),NOT(ISNUMBER(AJ133)),AJ133&lt;=0),"",IF(AND(ISNUMBER(G133),AJ133&lt;0.1*G133),"",AE133/AJ133))</f>
        <v/>
      </c>
      <c r="AL133" s="17">
        <f>IF(NOT(ISNUMBER(P133)),"",IF(ISNUMBER(Q133),(P133+Q133)/2,P133))</f>
        <v/>
      </c>
      <c r="AM133" s="19">
        <f>IF(AND(ISNUMBER(L133),ISNUMBER(AL133),AL133&gt;0),L133/AL133,"")</f>
        <v/>
      </c>
      <c r="AN133" s="19">
        <f>IF(AND(ISNUMBER(AM133),ISNUMBER({ROIC})),AM133-{ROIC},"")</f>
        <v/>
      </c>
      <c r="AO133" s="17">
        <f>IF(AND(ISNUMBER(AC133),ISNUMBER(M133)),AC133+M133,"")</f>
        <v/>
      </c>
      <c r="AP133" s="20">
        <f>IF(AND(ISNUMBER(AF133),ISNUMBER(R133),ISNUMBER(AO133),AO133&gt;0),(AF133-R133)/AO133,"")</f>
        <v/>
      </c>
      <c r="AQ133" s="20">
        <f>IF(AND(ISNUMBER(AC133),ISNUMBER(I133),I133&lt;&gt;0,AC133&gt;0),AC133/I133,"")</f>
        <v/>
      </c>
      <c r="AR133" s="17">
        <f>IF(AND(ISNUMBER(W133),ISNUMBER(Y133)),W133-IF(ISNUMBER(R133),R133,0)-(Y133-IF(ISNUMBER(T133),T133,0)),"")</f>
        <v/>
      </c>
      <c r="AS133" s="17">
        <f>IF(AND(ISNUMBER(X133),ISNUMBER(Z133)),X133-IF(ISNUMBER(S133),S133,0)-(Z133-IF(ISNUMBER(U133),U133,0)),"")</f>
        <v/>
      </c>
      <c r="AT133" s="17">
        <f>IF(AND(ISNUMBER(AR133),ISNUMBER(AS133)),AR133-AS133,"")</f>
        <v/>
      </c>
      <c r="AU133" s="17">
        <f>IF(E133="금융","",IF(AND(ISNUMBER(L133),ISNUMBER(M133),ISNUMBER(N133),ISNUMBER(AT133)),L133+M133-N133-AT133,IF(AND(ISNUMBER(O133),ISNUMBER(N133)),O133-N133,"")))</f>
        <v/>
      </c>
      <c r="AV133" s="8">
        <f>IF(E133="금융","금융업 - 정의되지 않음",IF(AND(ISNUMBER(L133),ISNUMBER(M133),ISNUMBER(N133),ISNUMBER(AT133)),"순이익+감가상각-설비투자-운전자본증감",IF(AND(ISNUMBER(O133),ISNUMBER(N133)),"영업현금흐름-설비투자","산출불가")))</f>
        <v/>
      </c>
      <c r="AW133" s="19">
        <f>IF(AND(ISNUMBER(AU133),ISNUMBER(G133),G133&lt;&gt;0),AU133/G133,"")</f>
        <v/>
      </c>
      <c r="AX133" s="19">
        <f>IF(AND(ISNUMBER(AC133),ISNUMBER(G133),G133&lt;&gt;0),AC133/G133,"")</f>
        <v/>
      </c>
    </row>
    <row r="134">
      <c r="A134" s="8" t="inlineStr">
        <is>
          <t>MU</t>
        </is>
      </c>
      <c r="B134" s="8" t="inlineStr">
        <is>
          <t>MICRON TECHNOLOGY INC</t>
        </is>
      </c>
      <c r="C134" s="8" t="n">
        <v>2025</v>
      </c>
      <c r="D134" s="8" t="inlineStr">
        <is>
          <t>2025-08-28</t>
        </is>
      </c>
      <c r="E134" s="8" t="inlineStr">
        <is>
          <t>일반</t>
        </is>
      </c>
      <c r="F134" s="8" t="inlineStr">
        <is>
          <t>0000723125-25-000028</t>
        </is>
      </c>
      <c r="G134" s="15" t="n">
        <v>37.378</v>
      </c>
      <c r="H134" s="15" t="n">
        <v>9.654</v>
      </c>
      <c r="I134" s="15" t="n">
        <v>0.477</v>
      </c>
      <c r="J134" s="15" t="n">
        <v>1.124</v>
      </c>
      <c r="K134" s="15" t="n">
        <v>9.77</v>
      </c>
      <c r="L134" s="15" t="n">
        <v>8.539</v>
      </c>
      <c r="M134" s="15" t="n">
        <v>8.352</v>
      </c>
      <c r="N134" s="15" t="n">
        <v>15.857</v>
      </c>
      <c r="O134" s="15" t="n">
        <v>17.525</v>
      </c>
      <c r="P134" s="15" t="n">
        <v>54.165</v>
      </c>
      <c r="Q134" s="15" t="n">
        <v>45.131</v>
      </c>
      <c r="R134" s="15" t="n">
        <v>10.307</v>
      </c>
      <c r="S134" s="15" t="n">
        <v>8.106</v>
      </c>
      <c r="T134" s="15" t="n">
        <v>0.5600000000000001</v>
      </c>
      <c r="U134" s="15" t="n">
        <v>0.431</v>
      </c>
      <c r="V134" s="15" t="n">
        <v>14.017</v>
      </c>
      <c r="W134" s="15" t="n">
        <v>28.841</v>
      </c>
      <c r="X134" s="15" t="n">
        <v>24.372</v>
      </c>
      <c r="Y134" s="15" t="n">
        <v>11.454</v>
      </c>
      <c r="Z134" s="15" t="n">
        <v>9.247999999999999</v>
      </c>
      <c r="AA134" s="15" t="n">
        <v>50.422</v>
      </c>
      <c r="AB134" s="16" t="n">
        <v>1122</v>
      </c>
      <c r="AC134" s="17">
        <f>IF(AND(ISNUMBER(H134),ISNUMBER(I134)),H134+I134,IF(ISNUMBER(K134),K134,IF(ISNUMBER(H134),H134,"")))</f>
        <v/>
      </c>
      <c r="AD134" s="18">
        <f>IF(OR(NOT(ISNUMBER(J134)),NOT(ISNUMBER(H134)),H134&lt;=0),기준표!$B$8,MIN(MAX(J134/H134,기준표!$B$6),기준표!$B$7))</f>
        <v/>
      </c>
      <c r="AE134" s="17">
        <f>IF(ISNUMBER(AC134),AC134*(1-AD134),"")</f>
        <v/>
      </c>
      <c r="AF134" s="17">
        <f>IF(AND(NOT(ISNUMBER(T134)),NOT(ISNUMBER(V134))),"",IF(ISNUMBER(T134),T134,0)+IF(ISNUMBER(V134),V134,0))</f>
        <v/>
      </c>
      <c r="AG134" s="17">
        <f>IF(E134="금융","",IF(AND(ISNUMBER(P134),ISNUMBER(AF134),ISNUMBER(R134)),P134+AF134-R134,""))</f>
        <v/>
      </c>
      <c r="AH134" s="17">
        <f>IF(E134="금융","",IF(NOT(ISNUMBER(AG134)),"",IF(ISNUMBER(AA134),(AG134+AA134)/2,AG134)))</f>
        <v/>
      </c>
      <c r="AI134" s="19">
        <f>IF(AND(ISNUMBER(AE134),ISNUMBER(AH134),AH134&gt;0),AE134/AH134,"")</f>
        <v/>
      </c>
      <c r="AJ134" s="17">
        <f>IF(E134="금융","",IF(AND(ISNUMBER(P134),ISNUMBER(AF134)),P134+AF134,""))</f>
        <v/>
      </c>
      <c r="AK134" s="19">
        <f>IF(OR(NOT(ISNUMBER(AE134)),NOT(ISNUMBER(AJ134)),AJ134&lt;=0),"",IF(AND(ISNUMBER(G134),AJ134&lt;0.1*G134),"",AE134/AJ134))</f>
        <v/>
      </c>
      <c r="AL134" s="17">
        <f>IF(NOT(ISNUMBER(P134)),"",IF(ISNUMBER(Q134),(P134+Q134)/2,P134))</f>
        <v/>
      </c>
      <c r="AM134" s="19">
        <f>IF(AND(ISNUMBER(L134),ISNUMBER(AL134),AL134&gt;0),L134/AL134,"")</f>
        <v/>
      </c>
      <c r="AN134" s="19">
        <f>IF(AND(ISNUMBER(AM134),ISNUMBER({ROIC})),AM134-{ROIC},"")</f>
        <v/>
      </c>
      <c r="AO134" s="17">
        <f>IF(AND(ISNUMBER(AC134),ISNUMBER(M134)),AC134+M134,"")</f>
        <v/>
      </c>
      <c r="AP134" s="20">
        <f>IF(AND(ISNUMBER(AF134),ISNUMBER(R134),ISNUMBER(AO134),AO134&gt;0),(AF134-R134)/AO134,"")</f>
        <v/>
      </c>
      <c r="AQ134" s="20">
        <f>IF(AND(ISNUMBER(AC134),ISNUMBER(I134),I134&lt;&gt;0,AC134&gt;0),AC134/I134,"")</f>
        <v/>
      </c>
      <c r="AR134" s="17">
        <f>IF(AND(ISNUMBER(W134),ISNUMBER(Y134)),W134-IF(ISNUMBER(R134),R134,0)-(Y134-IF(ISNUMBER(T134),T134,0)),"")</f>
        <v/>
      </c>
      <c r="AS134" s="17">
        <f>IF(AND(ISNUMBER(X134),ISNUMBER(Z134)),X134-IF(ISNUMBER(S134),S134,0)-(Z134-IF(ISNUMBER(U134),U134,0)),"")</f>
        <v/>
      </c>
      <c r="AT134" s="17">
        <f>IF(AND(ISNUMBER(AR134),ISNUMBER(AS134)),AR134-AS134,"")</f>
        <v/>
      </c>
      <c r="AU134" s="17">
        <f>IF(E134="금융","",IF(AND(ISNUMBER(L134),ISNUMBER(M134),ISNUMBER(N134),ISNUMBER(AT134)),L134+M134-N134-AT134,IF(AND(ISNUMBER(O134),ISNUMBER(N134)),O134-N134,"")))</f>
        <v/>
      </c>
      <c r="AV134" s="8">
        <f>IF(E134="금융","금융업 - 정의되지 않음",IF(AND(ISNUMBER(L134),ISNUMBER(M134),ISNUMBER(N134),ISNUMBER(AT134)),"순이익+감가상각-설비투자-운전자본증감",IF(AND(ISNUMBER(O134),ISNUMBER(N134)),"영업현금흐름-설비투자","산출불가")))</f>
        <v/>
      </c>
      <c r="AW134" s="19">
        <f>IF(AND(ISNUMBER(AU134),ISNUMBER(G134),G134&lt;&gt;0),AU134/G134,"")</f>
        <v/>
      </c>
      <c r="AX134" s="19">
        <f>IF(AND(ISNUMBER(AC134),ISNUMBER(G134),G134&lt;&gt;0),AC134/G134,"")</f>
        <v/>
      </c>
    </row>
    <row r="135">
      <c r="A135" s="8" t="inlineStr">
        <is>
          <t>JPM</t>
        </is>
      </c>
      <c r="B135" s="8" t="inlineStr">
        <is>
          <t>JPMORGAN CHASE &amp; CO</t>
        </is>
      </c>
      <c r="C135" s="8" t="n">
        <v>2014</v>
      </c>
      <c r="D135" s="8" t="inlineStr">
        <is>
          <t>2014-12-31</t>
        </is>
      </c>
      <c r="E135" s="8" t="inlineStr">
        <is>
          <t>금융</t>
        </is>
      </c>
      <c r="F135" s="8" t="inlineStr">
        <is>
          <t>0000019617-17-000314</t>
        </is>
      </c>
      <c r="G135" s="15" t="n">
        <v>95.11199999999999</v>
      </c>
      <c r="H135" s="15" t="n">
        <v>30.699</v>
      </c>
      <c r="I135" s="15" t="n">
        <v>43.634</v>
      </c>
      <c r="J135" s="15" t="n">
        <v>8.954000000000001</v>
      </c>
      <c r="K135" s="15" t="n"/>
      <c r="L135" s="15" t="n">
        <v>21.745</v>
      </c>
      <c r="M135" s="15" t="n">
        <v>4.759</v>
      </c>
      <c r="N135" s="15" t="n"/>
      <c r="O135" s="15" t="n">
        <v>36.593</v>
      </c>
      <c r="P135" s="15" t="n">
        <v>231.727</v>
      </c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6" t="n">
        <v>3714.8</v>
      </c>
      <c r="AC135" s="17">
        <f>IF(AND(ISNUMBER(H135),ISNUMBER(I135)),H135+I135,IF(ISNUMBER(K135),K135,IF(ISNUMBER(H135),H135,"")))</f>
        <v/>
      </c>
      <c r="AD135" s="18">
        <f>IF(OR(NOT(ISNUMBER(J135)),NOT(ISNUMBER(H135)),H135&lt;=0),기준표!$B$8,MIN(MAX(J135/H135,기준표!$B$6),기준표!$B$7))</f>
        <v/>
      </c>
      <c r="AE135" s="17">
        <f>IF(ISNUMBER(AC135),AC135*(1-AD135),"")</f>
        <v/>
      </c>
      <c r="AF135" s="17">
        <f>IF(AND(NOT(ISNUMBER(T135)),NOT(ISNUMBER(V135))),"",IF(ISNUMBER(T135),T135,0)+IF(ISNUMBER(V135),V135,0))</f>
        <v/>
      </c>
      <c r="AG135" s="17">
        <f>IF(E135="금융","",IF(AND(ISNUMBER(P135),ISNUMBER(AF135),ISNUMBER(R135)),P135+AF135-R135,""))</f>
        <v/>
      </c>
      <c r="AH135" s="17">
        <f>IF(E135="금융","",IF(NOT(ISNUMBER(AG135)),"",IF(ISNUMBER(AA135),(AG135+AA135)/2,AG135)))</f>
        <v/>
      </c>
      <c r="AI135" s="19">
        <f>IF(AND(ISNUMBER(AE135),ISNUMBER(AH135),AH135&gt;0),AE135/AH135,"")</f>
        <v/>
      </c>
      <c r="AJ135" s="17">
        <f>IF(E135="금융","",IF(AND(ISNUMBER(P135),ISNUMBER(AF135)),P135+AF135,""))</f>
        <v/>
      </c>
      <c r="AK135" s="19">
        <f>IF(OR(NOT(ISNUMBER(AE135)),NOT(ISNUMBER(AJ135)),AJ135&lt;=0),"",IF(AND(ISNUMBER(G135),AJ135&lt;0.1*G135),"",AE135/AJ135))</f>
        <v/>
      </c>
      <c r="AL135" s="17">
        <f>IF(NOT(ISNUMBER(P135)),"",IF(ISNUMBER(Q135),(P135+Q135)/2,P135))</f>
        <v/>
      </c>
      <c r="AM135" s="19">
        <f>IF(AND(ISNUMBER(L135),ISNUMBER(AL135),AL135&gt;0),L135/AL135,"")</f>
        <v/>
      </c>
      <c r="AN135" s="19">
        <f>IF(AND(ISNUMBER(AM135),ISNUMBER({ROIC})),AM135-{ROIC},"")</f>
        <v/>
      </c>
      <c r="AO135" s="17">
        <f>IF(AND(ISNUMBER(AC135),ISNUMBER(M135)),AC135+M135,"")</f>
        <v/>
      </c>
      <c r="AP135" s="20">
        <f>IF(AND(ISNUMBER(AF135),ISNUMBER(R135),ISNUMBER(AO135),AO135&gt;0),(AF135-R135)/AO135,"")</f>
        <v/>
      </c>
      <c r="AQ135" s="20">
        <f>IF(AND(ISNUMBER(AC135),ISNUMBER(I135),I135&lt;&gt;0,AC135&gt;0),AC135/I135,"")</f>
        <v/>
      </c>
      <c r="AR135" s="17">
        <f>IF(AND(ISNUMBER(W135),ISNUMBER(Y135)),W135-IF(ISNUMBER(R135),R135,0)-(Y135-IF(ISNUMBER(T135),T135,0)),"")</f>
        <v/>
      </c>
      <c r="AS135" s="17">
        <f>IF(AND(ISNUMBER(X135),ISNUMBER(Z135)),X135-IF(ISNUMBER(S135),S135,0)-(Z135-IF(ISNUMBER(U135),U135,0)),"")</f>
        <v/>
      </c>
      <c r="AT135" s="17">
        <f>IF(AND(ISNUMBER(AR135),ISNUMBER(AS135)),AR135-AS135,"")</f>
        <v/>
      </c>
      <c r="AU135" s="17">
        <f>IF(E135="금융","",IF(AND(ISNUMBER(L135),ISNUMBER(M135),ISNUMBER(N135),ISNUMBER(AT135)),L135+M135-N135-AT135,IF(AND(ISNUMBER(O135),ISNUMBER(N135)),O135-N135,"")))</f>
        <v/>
      </c>
      <c r="AV135" s="8">
        <f>IF(E135="금융","금융업 - 정의되지 않음",IF(AND(ISNUMBER(L135),ISNUMBER(M135),ISNUMBER(N135),ISNUMBER(AT135)),"순이익+감가상각-설비투자-운전자본증감",IF(AND(ISNUMBER(O135),ISNUMBER(N135)),"영업현금흐름-설비투자","산출불가")))</f>
        <v/>
      </c>
      <c r="AW135" s="19">
        <f>IF(AND(ISNUMBER(AU135),ISNUMBER(G135),G135&lt;&gt;0),AU135/G135,"")</f>
        <v/>
      </c>
      <c r="AX135" s="19">
        <f>IF(AND(ISNUMBER(AC135),ISNUMBER(G135),G135&lt;&gt;0),AC135/G135,"")</f>
        <v/>
      </c>
    </row>
    <row r="136">
      <c r="A136" s="8" t="inlineStr">
        <is>
          <t>JPM</t>
        </is>
      </c>
      <c r="B136" s="8" t="inlineStr">
        <is>
          <t>JPMORGAN CHASE &amp; CO</t>
        </is>
      </c>
      <c r="C136" s="8" t="n">
        <v>2015</v>
      </c>
      <c r="D136" s="8" t="inlineStr">
        <is>
          <t>2015-12-31</t>
        </is>
      </c>
      <c r="E136" s="8" t="inlineStr">
        <is>
          <t>금융</t>
        </is>
      </c>
      <c r="F136" s="8" t="inlineStr">
        <is>
          <t>0000019617-18-000057</t>
        </is>
      </c>
      <c r="G136" s="15" t="n">
        <v>93.54300000000001</v>
      </c>
      <c r="H136" s="15" t="n">
        <v>30.702</v>
      </c>
      <c r="I136" s="15" t="n">
        <v>43.51</v>
      </c>
      <c r="J136" s="15" t="n">
        <v>6.26</v>
      </c>
      <c r="K136" s="15" t="n"/>
      <c r="L136" s="15" t="n">
        <v>24.442</v>
      </c>
      <c r="M136" s="15" t="n">
        <v>4.94</v>
      </c>
      <c r="N136" s="15" t="n"/>
      <c r="O136" s="15" t="n">
        <v>73.46599999999999</v>
      </c>
      <c r="P136" s="15" t="n">
        <v>247.573</v>
      </c>
      <c r="Q136" s="15" t="n">
        <v>231.727</v>
      </c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6" t="n">
        <v>3663.5</v>
      </c>
      <c r="AC136" s="17">
        <f>IF(AND(ISNUMBER(H136),ISNUMBER(I136)),H136+I136,IF(ISNUMBER(K136),K136,IF(ISNUMBER(H136),H136,"")))</f>
        <v/>
      </c>
      <c r="AD136" s="18">
        <f>IF(OR(NOT(ISNUMBER(J136)),NOT(ISNUMBER(H136)),H136&lt;=0),기준표!$B$8,MIN(MAX(J136/H136,기준표!$B$6),기준표!$B$7))</f>
        <v/>
      </c>
      <c r="AE136" s="17">
        <f>IF(ISNUMBER(AC136),AC136*(1-AD136),"")</f>
        <v/>
      </c>
      <c r="AF136" s="17">
        <f>IF(AND(NOT(ISNUMBER(T136)),NOT(ISNUMBER(V136))),"",IF(ISNUMBER(T136),T136,0)+IF(ISNUMBER(V136),V136,0))</f>
        <v/>
      </c>
      <c r="AG136" s="17">
        <f>IF(E136="금융","",IF(AND(ISNUMBER(P136),ISNUMBER(AF136),ISNUMBER(R136)),P136+AF136-R136,""))</f>
        <v/>
      </c>
      <c r="AH136" s="17">
        <f>IF(E136="금융","",IF(NOT(ISNUMBER(AG136)),"",IF(ISNUMBER(AA136),(AG136+AA136)/2,AG136)))</f>
        <v/>
      </c>
      <c r="AI136" s="19">
        <f>IF(AND(ISNUMBER(AE136),ISNUMBER(AH136),AH136&gt;0),AE136/AH136,"")</f>
        <v/>
      </c>
      <c r="AJ136" s="17">
        <f>IF(E136="금융","",IF(AND(ISNUMBER(P136),ISNUMBER(AF136)),P136+AF136,""))</f>
        <v/>
      </c>
      <c r="AK136" s="19">
        <f>IF(OR(NOT(ISNUMBER(AE136)),NOT(ISNUMBER(AJ136)),AJ136&lt;=0),"",IF(AND(ISNUMBER(G136),AJ136&lt;0.1*G136),"",AE136/AJ136))</f>
        <v/>
      </c>
      <c r="AL136" s="17">
        <f>IF(NOT(ISNUMBER(P136)),"",IF(ISNUMBER(Q136),(P136+Q136)/2,P136))</f>
        <v/>
      </c>
      <c r="AM136" s="19">
        <f>IF(AND(ISNUMBER(L136),ISNUMBER(AL136),AL136&gt;0),L136/AL136,"")</f>
        <v/>
      </c>
      <c r="AN136" s="19">
        <f>IF(AND(ISNUMBER(AM136),ISNUMBER({ROIC})),AM136-{ROIC},"")</f>
        <v/>
      </c>
      <c r="AO136" s="17">
        <f>IF(AND(ISNUMBER(AC136),ISNUMBER(M136)),AC136+M136,"")</f>
        <v/>
      </c>
      <c r="AP136" s="20">
        <f>IF(AND(ISNUMBER(AF136),ISNUMBER(R136),ISNUMBER(AO136),AO136&gt;0),(AF136-R136)/AO136,"")</f>
        <v/>
      </c>
      <c r="AQ136" s="20">
        <f>IF(AND(ISNUMBER(AC136),ISNUMBER(I136),I136&lt;&gt;0,AC136&gt;0),AC136/I136,"")</f>
        <v/>
      </c>
      <c r="AR136" s="17">
        <f>IF(AND(ISNUMBER(W136),ISNUMBER(Y136)),W136-IF(ISNUMBER(R136),R136,0)-(Y136-IF(ISNUMBER(T136),T136,0)),"")</f>
        <v/>
      </c>
      <c r="AS136" s="17">
        <f>IF(AND(ISNUMBER(X136),ISNUMBER(Z136)),X136-IF(ISNUMBER(S136),S136,0)-(Z136-IF(ISNUMBER(U136),U136,0)),"")</f>
        <v/>
      </c>
      <c r="AT136" s="17">
        <f>IF(AND(ISNUMBER(AR136),ISNUMBER(AS136)),AR136-AS136,"")</f>
        <v/>
      </c>
      <c r="AU136" s="17">
        <f>IF(E136="금융","",IF(AND(ISNUMBER(L136),ISNUMBER(M136),ISNUMBER(N136),ISNUMBER(AT136)),L136+M136-N136-AT136,IF(AND(ISNUMBER(O136),ISNUMBER(N136)),O136-N136,"")))</f>
        <v/>
      </c>
      <c r="AV136" s="8">
        <f>IF(E136="금융","금융업 - 정의되지 않음",IF(AND(ISNUMBER(L136),ISNUMBER(M136),ISNUMBER(N136),ISNUMBER(AT136)),"순이익+감가상각-설비투자-운전자본증감",IF(AND(ISNUMBER(O136),ISNUMBER(N136)),"영업현금흐름-설비투자","산출불가")))</f>
        <v/>
      </c>
      <c r="AW136" s="19">
        <f>IF(AND(ISNUMBER(AU136),ISNUMBER(G136),G136&lt;&gt;0),AU136/G136,"")</f>
        <v/>
      </c>
      <c r="AX136" s="19">
        <f>IF(AND(ISNUMBER(AC136),ISNUMBER(G136),G136&lt;&gt;0),AC136/G136,"")</f>
        <v/>
      </c>
    </row>
    <row r="137">
      <c r="A137" s="8" t="inlineStr">
        <is>
          <t>JPM</t>
        </is>
      </c>
      <c r="B137" s="8" t="inlineStr">
        <is>
          <t>JPMORGAN CHASE &amp; CO</t>
        </is>
      </c>
      <c r="C137" s="8" t="n">
        <v>2016</v>
      </c>
      <c r="D137" s="8" t="inlineStr">
        <is>
          <t>2016-12-31</t>
        </is>
      </c>
      <c r="E137" s="8" t="inlineStr">
        <is>
          <t>금융</t>
        </is>
      </c>
      <c r="F137" s="8" t="inlineStr">
        <is>
          <t>0000019617-19-000054</t>
        </is>
      </c>
      <c r="G137" s="15" t="n">
        <v>96.569</v>
      </c>
      <c r="H137" s="15" t="n">
        <v>34.536</v>
      </c>
      <c r="I137" s="15" t="n">
        <v>46.083</v>
      </c>
      <c r="J137" s="15" t="n">
        <v>9.803000000000001</v>
      </c>
      <c r="K137" s="15" t="n"/>
      <c r="L137" s="15" t="n">
        <v>24.733</v>
      </c>
      <c r="M137" s="15" t="n">
        <v>5.478</v>
      </c>
      <c r="N137" s="15" t="n"/>
      <c r="O137" s="15" t="n">
        <v>21.884</v>
      </c>
      <c r="P137" s="15" t="n">
        <v>254.19</v>
      </c>
      <c r="Q137" s="15" t="n">
        <v>247.573</v>
      </c>
      <c r="R137" s="15" t="n">
        <v>391.154</v>
      </c>
      <c r="S137" s="15" t="n"/>
      <c r="T137" s="15" t="n">
        <v>34.443</v>
      </c>
      <c r="U137" s="15" t="n"/>
      <c r="V137" s="15" t="n"/>
      <c r="W137" s="15" t="n"/>
      <c r="X137" s="15" t="n"/>
      <c r="Y137" s="15" t="n"/>
      <c r="Z137" s="15" t="n"/>
      <c r="AA137" s="15" t="n"/>
      <c r="AB137" s="16" t="n">
        <v>3561.2</v>
      </c>
      <c r="AC137" s="17">
        <f>IF(AND(ISNUMBER(H137),ISNUMBER(I137)),H137+I137,IF(ISNUMBER(K137),K137,IF(ISNUMBER(H137),H137,"")))</f>
        <v/>
      </c>
      <c r="AD137" s="18">
        <f>IF(OR(NOT(ISNUMBER(J137)),NOT(ISNUMBER(H137)),H137&lt;=0),기준표!$B$8,MIN(MAX(J137/H137,기준표!$B$6),기준표!$B$7))</f>
        <v/>
      </c>
      <c r="AE137" s="17">
        <f>IF(ISNUMBER(AC137),AC137*(1-AD137),"")</f>
        <v/>
      </c>
      <c r="AF137" s="17">
        <f>IF(AND(NOT(ISNUMBER(T137)),NOT(ISNUMBER(V137))),"",IF(ISNUMBER(T137),T137,0)+IF(ISNUMBER(V137),V137,0))</f>
        <v/>
      </c>
      <c r="AG137" s="17">
        <f>IF(E137="금융","",IF(AND(ISNUMBER(P137),ISNUMBER(AF137),ISNUMBER(R137)),P137+AF137-R137,""))</f>
        <v/>
      </c>
      <c r="AH137" s="17">
        <f>IF(E137="금융","",IF(NOT(ISNUMBER(AG137)),"",IF(ISNUMBER(AA137),(AG137+AA137)/2,AG137)))</f>
        <v/>
      </c>
      <c r="AI137" s="19">
        <f>IF(AND(ISNUMBER(AE137),ISNUMBER(AH137),AH137&gt;0),AE137/AH137,"")</f>
        <v/>
      </c>
      <c r="AJ137" s="17">
        <f>IF(E137="금융","",IF(AND(ISNUMBER(P137),ISNUMBER(AF137)),P137+AF137,""))</f>
        <v/>
      </c>
      <c r="AK137" s="19">
        <f>IF(OR(NOT(ISNUMBER(AE137)),NOT(ISNUMBER(AJ137)),AJ137&lt;=0),"",IF(AND(ISNUMBER(G137),AJ137&lt;0.1*G137),"",AE137/AJ137))</f>
        <v/>
      </c>
      <c r="AL137" s="17">
        <f>IF(NOT(ISNUMBER(P137)),"",IF(ISNUMBER(Q137),(P137+Q137)/2,P137))</f>
        <v/>
      </c>
      <c r="AM137" s="19">
        <f>IF(AND(ISNUMBER(L137),ISNUMBER(AL137),AL137&gt;0),L137/AL137,"")</f>
        <v/>
      </c>
      <c r="AN137" s="19">
        <f>IF(AND(ISNUMBER(AM137),ISNUMBER({ROIC})),AM137-{ROIC},"")</f>
        <v/>
      </c>
      <c r="AO137" s="17">
        <f>IF(AND(ISNUMBER(AC137),ISNUMBER(M137)),AC137+M137,"")</f>
        <v/>
      </c>
      <c r="AP137" s="20">
        <f>IF(AND(ISNUMBER(AF137),ISNUMBER(R137),ISNUMBER(AO137),AO137&gt;0),(AF137-R137)/AO137,"")</f>
        <v/>
      </c>
      <c r="AQ137" s="20">
        <f>IF(AND(ISNUMBER(AC137),ISNUMBER(I137),I137&lt;&gt;0,AC137&gt;0),AC137/I137,"")</f>
        <v/>
      </c>
      <c r="AR137" s="17">
        <f>IF(AND(ISNUMBER(W137),ISNUMBER(Y137)),W137-IF(ISNUMBER(R137),R137,0)-(Y137-IF(ISNUMBER(T137),T137,0)),"")</f>
        <v/>
      </c>
      <c r="AS137" s="17">
        <f>IF(AND(ISNUMBER(X137),ISNUMBER(Z137)),X137-IF(ISNUMBER(S137),S137,0)-(Z137-IF(ISNUMBER(U137),U137,0)),"")</f>
        <v/>
      </c>
      <c r="AT137" s="17">
        <f>IF(AND(ISNUMBER(AR137),ISNUMBER(AS137)),AR137-AS137,"")</f>
        <v/>
      </c>
      <c r="AU137" s="17">
        <f>IF(E137="금융","",IF(AND(ISNUMBER(L137),ISNUMBER(M137),ISNUMBER(N137),ISNUMBER(AT137)),L137+M137-N137-AT137,IF(AND(ISNUMBER(O137),ISNUMBER(N137)),O137-N137,"")))</f>
        <v/>
      </c>
      <c r="AV137" s="8">
        <f>IF(E137="금융","금융업 - 정의되지 않음",IF(AND(ISNUMBER(L137),ISNUMBER(M137),ISNUMBER(N137),ISNUMBER(AT137)),"순이익+감가상각-설비투자-운전자본증감",IF(AND(ISNUMBER(O137),ISNUMBER(N137)),"영업현금흐름-설비투자","산출불가")))</f>
        <v/>
      </c>
      <c r="AW137" s="19">
        <f>IF(AND(ISNUMBER(AU137),ISNUMBER(G137),G137&lt;&gt;0),AU137/G137,"")</f>
        <v/>
      </c>
      <c r="AX137" s="19">
        <f>IF(AND(ISNUMBER(AC137),ISNUMBER(G137),G137&lt;&gt;0),AC137/G137,"")</f>
        <v/>
      </c>
    </row>
    <row r="138">
      <c r="A138" s="8" t="inlineStr">
        <is>
          <t>JPM</t>
        </is>
      </c>
      <c r="B138" s="8" t="inlineStr">
        <is>
          <t>JPMORGAN CHASE &amp; CO</t>
        </is>
      </c>
      <c r="C138" s="8" t="n">
        <v>2017</v>
      </c>
      <c r="D138" s="8" t="inlineStr">
        <is>
          <t>2017-12-31</t>
        </is>
      </c>
      <c r="E138" s="8" t="inlineStr">
        <is>
          <t>금융</t>
        </is>
      </c>
      <c r="F138" s="8" t="inlineStr">
        <is>
          <t>0000019617-20-000257</t>
        </is>
      </c>
      <c r="G138" s="15" t="n">
        <v>100.705</v>
      </c>
      <c r="H138" s="15" t="n">
        <v>35.9</v>
      </c>
      <c r="I138" s="15" t="n">
        <v>50.097</v>
      </c>
      <c r="J138" s="15" t="n">
        <v>11.459</v>
      </c>
      <c r="K138" s="15" t="n"/>
      <c r="L138" s="15" t="n">
        <v>24.441</v>
      </c>
      <c r="M138" s="15" t="n">
        <v>6.179</v>
      </c>
      <c r="N138" s="15" t="n"/>
      <c r="O138" s="15" t="n">
        <v>-10.827</v>
      </c>
      <c r="P138" s="15" t="n">
        <v>255.693</v>
      </c>
      <c r="Q138" s="15" t="n">
        <v>254.19</v>
      </c>
      <c r="R138" s="15" t="n">
        <v>431.304</v>
      </c>
      <c r="S138" s="15" t="n">
        <v>391.154</v>
      </c>
      <c r="T138" s="15" t="n">
        <v>51.802</v>
      </c>
      <c r="U138" s="15" t="n">
        <v>34.443</v>
      </c>
      <c r="V138" s="15" t="n"/>
      <c r="W138" s="15" t="n"/>
      <c r="X138" s="15" t="n"/>
      <c r="Y138" s="15" t="n"/>
      <c r="Z138" s="15" t="n"/>
      <c r="AA138" s="15" t="n"/>
      <c r="AB138" s="16" t="n">
        <v>3425.3</v>
      </c>
      <c r="AC138" s="17">
        <f>IF(AND(ISNUMBER(H138),ISNUMBER(I138)),H138+I138,IF(ISNUMBER(K138),K138,IF(ISNUMBER(H138),H138,"")))</f>
        <v/>
      </c>
      <c r="AD138" s="18">
        <f>IF(OR(NOT(ISNUMBER(J138)),NOT(ISNUMBER(H138)),H138&lt;=0),기준표!$B$8,MIN(MAX(J138/H138,기준표!$B$6),기준표!$B$7))</f>
        <v/>
      </c>
      <c r="AE138" s="17">
        <f>IF(ISNUMBER(AC138),AC138*(1-AD138),"")</f>
        <v/>
      </c>
      <c r="AF138" s="17">
        <f>IF(AND(NOT(ISNUMBER(T138)),NOT(ISNUMBER(V138))),"",IF(ISNUMBER(T138),T138,0)+IF(ISNUMBER(V138),V138,0))</f>
        <v/>
      </c>
      <c r="AG138" s="17">
        <f>IF(E138="금융","",IF(AND(ISNUMBER(P138),ISNUMBER(AF138),ISNUMBER(R138)),P138+AF138-R138,""))</f>
        <v/>
      </c>
      <c r="AH138" s="17">
        <f>IF(E138="금융","",IF(NOT(ISNUMBER(AG138)),"",IF(ISNUMBER(AA138),(AG138+AA138)/2,AG138)))</f>
        <v/>
      </c>
      <c r="AI138" s="19">
        <f>IF(AND(ISNUMBER(AE138),ISNUMBER(AH138),AH138&gt;0),AE138/AH138,"")</f>
        <v/>
      </c>
      <c r="AJ138" s="17">
        <f>IF(E138="금융","",IF(AND(ISNUMBER(P138),ISNUMBER(AF138)),P138+AF138,""))</f>
        <v/>
      </c>
      <c r="AK138" s="19">
        <f>IF(OR(NOT(ISNUMBER(AE138)),NOT(ISNUMBER(AJ138)),AJ138&lt;=0),"",IF(AND(ISNUMBER(G138),AJ138&lt;0.1*G138),"",AE138/AJ138))</f>
        <v/>
      </c>
      <c r="AL138" s="17">
        <f>IF(NOT(ISNUMBER(P138)),"",IF(ISNUMBER(Q138),(P138+Q138)/2,P138))</f>
        <v/>
      </c>
      <c r="AM138" s="19">
        <f>IF(AND(ISNUMBER(L138),ISNUMBER(AL138),AL138&gt;0),L138/AL138,"")</f>
        <v/>
      </c>
      <c r="AN138" s="19">
        <f>IF(AND(ISNUMBER(AM138),ISNUMBER({ROIC})),AM138-{ROIC},"")</f>
        <v/>
      </c>
      <c r="AO138" s="17">
        <f>IF(AND(ISNUMBER(AC138),ISNUMBER(M138)),AC138+M138,"")</f>
        <v/>
      </c>
      <c r="AP138" s="20">
        <f>IF(AND(ISNUMBER(AF138),ISNUMBER(R138),ISNUMBER(AO138),AO138&gt;0),(AF138-R138)/AO138,"")</f>
        <v/>
      </c>
      <c r="AQ138" s="20">
        <f>IF(AND(ISNUMBER(AC138),ISNUMBER(I138),I138&lt;&gt;0,AC138&gt;0),AC138/I138,"")</f>
        <v/>
      </c>
      <c r="AR138" s="17">
        <f>IF(AND(ISNUMBER(W138),ISNUMBER(Y138)),W138-IF(ISNUMBER(R138),R138,0)-(Y138-IF(ISNUMBER(T138),T138,0)),"")</f>
        <v/>
      </c>
      <c r="AS138" s="17">
        <f>IF(AND(ISNUMBER(X138),ISNUMBER(Z138)),X138-IF(ISNUMBER(S138),S138,0)-(Z138-IF(ISNUMBER(U138),U138,0)),"")</f>
        <v/>
      </c>
      <c r="AT138" s="17">
        <f>IF(AND(ISNUMBER(AR138),ISNUMBER(AS138)),AR138-AS138,"")</f>
        <v/>
      </c>
      <c r="AU138" s="17">
        <f>IF(E138="금융","",IF(AND(ISNUMBER(L138),ISNUMBER(M138),ISNUMBER(N138),ISNUMBER(AT138)),L138+M138-N138-AT138,IF(AND(ISNUMBER(O138),ISNUMBER(N138)),O138-N138,"")))</f>
        <v/>
      </c>
      <c r="AV138" s="8">
        <f>IF(E138="금융","금융업 - 정의되지 않음",IF(AND(ISNUMBER(L138),ISNUMBER(M138),ISNUMBER(N138),ISNUMBER(AT138)),"순이익+감가상각-설비투자-운전자본증감",IF(AND(ISNUMBER(O138),ISNUMBER(N138)),"영업현금흐름-설비투자","산출불가")))</f>
        <v/>
      </c>
      <c r="AW138" s="19">
        <f>IF(AND(ISNUMBER(AU138),ISNUMBER(G138),G138&lt;&gt;0),AU138/G138,"")</f>
        <v/>
      </c>
      <c r="AX138" s="19">
        <f>IF(AND(ISNUMBER(AC138),ISNUMBER(G138),G138&lt;&gt;0),AC138/G138,"")</f>
        <v/>
      </c>
    </row>
    <row r="139">
      <c r="A139" s="8" t="inlineStr">
        <is>
          <t>JPM</t>
        </is>
      </c>
      <c r="B139" s="8" t="inlineStr">
        <is>
          <t>JPMORGAN CHASE &amp; CO</t>
        </is>
      </c>
      <c r="C139" s="8" t="n">
        <v>2018</v>
      </c>
      <c r="D139" s="8" t="inlineStr">
        <is>
          <t>2018-12-31</t>
        </is>
      </c>
      <c r="E139" s="8" t="inlineStr">
        <is>
          <t>금융</t>
        </is>
      </c>
      <c r="F139" s="8" t="inlineStr">
        <is>
          <t>0000019617-21-000236</t>
        </is>
      </c>
      <c r="G139" s="15" t="n">
        <v>108.783</v>
      </c>
      <c r="H139" s="15" t="n">
        <v>40.764</v>
      </c>
      <c r="I139" s="15" t="n">
        <v>55.059</v>
      </c>
      <c r="J139" s="15" t="n">
        <v>8.289999999999999</v>
      </c>
      <c r="K139" s="15" t="n"/>
      <c r="L139" s="15" t="n">
        <v>32.474</v>
      </c>
      <c r="M139" s="15" t="n">
        <v>7.791</v>
      </c>
      <c r="N139" s="15" t="n"/>
      <c r="O139" s="15" t="n">
        <v>15.614</v>
      </c>
      <c r="P139" s="15" t="n">
        <v>256.515</v>
      </c>
      <c r="Q139" s="15" t="n">
        <v>255.693</v>
      </c>
      <c r="R139" s="15" t="n">
        <v>278.793</v>
      </c>
      <c r="S139" s="15" t="n">
        <v>431.304</v>
      </c>
      <c r="T139" s="15" t="n">
        <v>69.276</v>
      </c>
      <c r="U139" s="15" t="n">
        <v>51.802</v>
      </c>
      <c r="V139" s="15" t="n"/>
      <c r="W139" s="15" t="n"/>
      <c r="X139" s="15" t="n"/>
      <c r="Y139" s="15" t="n"/>
      <c r="Z139" s="15" t="n"/>
      <c r="AA139" s="15" t="n"/>
      <c r="AB139" s="16" t="n">
        <v>3275.8</v>
      </c>
      <c r="AC139" s="17">
        <f>IF(AND(ISNUMBER(H139),ISNUMBER(I139)),H139+I139,IF(ISNUMBER(K139),K139,IF(ISNUMBER(H139),H139,"")))</f>
        <v/>
      </c>
      <c r="AD139" s="18">
        <f>IF(OR(NOT(ISNUMBER(J139)),NOT(ISNUMBER(H139)),H139&lt;=0),기준표!$B$8,MIN(MAX(J139/H139,기준표!$B$6),기준표!$B$7))</f>
        <v/>
      </c>
      <c r="AE139" s="17">
        <f>IF(ISNUMBER(AC139),AC139*(1-AD139),"")</f>
        <v/>
      </c>
      <c r="AF139" s="17">
        <f>IF(AND(NOT(ISNUMBER(T139)),NOT(ISNUMBER(V139))),"",IF(ISNUMBER(T139),T139,0)+IF(ISNUMBER(V139),V139,0))</f>
        <v/>
      </c>
      <c r="AG139" s="17">
        <f>IF(E139="금융","",IF(AND(ISNUMBER(P139),ISNUMBER(AF139),ISNUMBER(R139)),P139+AF139-R139,""))</f>
        <v/>
      </c>
      <c r="AH139" s="17">
        <f>IF(E139="금융","",IF(NOT(ISNUMBER(AG139)),"",IF(ISNUMBER(AA139),(AG139+AA139)/2,AG139)))</f>
        <v/>
      </c>
      <c r="AI139" s="19">
        <f>IF(AND(ISNUMBER(AE139),ISNUMBER(AH139),AH139&gt;0),AE139/AH139,"")</f>
        <v/>
      </c>
      <c r="AJ139" s="17">
        <f>IF(E139="금융","",IF(AND(ISNUMBER(P139),ISNUMBER(AF139)),P139+AF139,""))</f>
        <v/>
      </c>
      <c r="AK139" s="19">
        <f>IF(OR(NOT(ISNUMBER(AE139)),NOT(ISNUMBER(AJ139)),AJ139&lt;=0),"",IF(AND(ISNUMBER(G139),AJ139&lt;0.1*G139),"",AE139/AJ139))</f>
        <v/>
      </c>
      <c r="AL139" s="17">
        <f>IF(NOT(ISNUMBER(P139)),"",IF(ISNUMBER(Q139),(P139+Q139)/2,P139))</f>
        <v/>
      </c>
      <c r="AM139" s="19">
        <f>IF(AND(ISNUMBER(L139),ISNUMBER(AL139),AL139&gt;0),L139/AL139,"")</f>
        <v/>
      </c>
      <c r="AN139" s="19">
        <f>IF(AND(ISNUMBER(AM139),ISNUMBER({ROIC})),AM139-{ROIC},"")</f>
        <v/>
      </c>
      <c r="AO139" s="17">
        <f>IF(AND(ISNUMBER(AC139),ISNUMBER(M139)),AC139+M139,"")</f>
        <v/>
      </c>
      <c r="AP139" s="20">
        <f>IF(AND(ISNUMBER(AF139),ISNUMBER(R139),ISNUMBER(AO139),AO139&gt;0),(AF139-R139)/AO139,"")</f>
        <v/>
      </c>
      <c r="AQ139" s="20">
        <f>IF(AND(ISNUMBER(AC139),ISNUMBER(I139),I139&lt;&gt;0,AC139&gt;0),AC139/I139,"")</f>
        <v/>
      </c>
      <c r="AR139" s="17">
        <f>IF(AND(ISNUMBER(W139),ISNUMBER(Y139)),W139-IF(ISNUMBER(R139),R139,0)-(Y139-IF(ISNUMBER(T139),T139,0)),"")</f>
        <v/>
      </c>
      <c r="AS139" s="17">
        <f>IF(AND(ISNUMBER(X139),ISNUMBER(Z139)),X139-IF(ISNUMBER(S139),S139,0)-(Z139-IF(ISNUMBER(U139),U139,0)),"")</f>
        <v/>
      </c>
      <c r="AT139" s="17">
        <f>IF(AND(ISNUMBER(AR139),ISNUMBER(AS139)),AR139-AS139,"")</f>
        <v/>
      </c>
      <c r="AU139" s="17">
        <f>IF(E139="금융","",IF(AND(ISNUMBER(L139),ISNUMBER(M139),ISNUMBER(N139),ISNUMBER(AT139)),L139+M139-N139-AT139,IF(AND(ISNUMBER(O139),ISNUMBER(N139)),O139-N139,"")))</f>
        <v/>
      </c>
      <c r="AV139" s="8">
        <f>IF(E139="금융","금융업 - 정의되지 않음",IF(AND(ISNUMBER(L139),ISNUMBER(M139),ISNUMBER(N139),ISNUMBER(AT139)),"순이익+감가상각-설비투자-운전자본증감",IF(AND(ISNUMBER(O139),ISNUMBER(N139)),"영업현금흐름-설비투자","산출불가")))</f>
        <v/>
      </c>
      <c r="AW139" s="19">
        <f>IF(AND(ISNUMBER(AU139),ISNUMBER(G139),G139&lt;&gt;0),AU139/G139,"")</f>
        <v/>
      </c>
      <c r="AX139" s="19">
        <f>IF(AND(ISNUMBER(AC139),ISNUMBER(G139),G139&lt;&gt;0),AC139/G139,"")</f>
        <v/>
      </c>
    </row>
    <row r="140">
      <c r="A140" s="8" t="inlineStr">
        <is>
          <t>JPM</t>
        </is>
      </c>
      <c r="B140" s="8" t="inlineStr">
        <is>
          <t>JPMORGAN CHASE &amp; CO</t>
        </is>
      </c>
      <c r="C140" s="8" t="n">
        <v>2019</v>
      </c>
      <c r="D140" s="8" t="inlineStr">
        <is>
          <t>2019-12-31</t>
        </is>
      </c>
      <c r="E140" s="8" t="inlineStr">
        <is>
          <t>금융</t>
        </is>
      </c>
      <c r="F140" s="8" t="inlineStr">
        <is>
          <t>0000019617-22-000272</t>
        </is>
      </c>
      <c r="G140" s="15" t="n">
        <v>115.72</v>
      </c>
      <c r="H140" s="15" t="n">
        <v>44.866</v>
      </c>
      <c r="I140" s="15" t="n">
        <v>57.245</v>
      </c>
      <c r="J140" s="15" t="n">
        <v>8.435</v>
      </c>
      <c r="K140" s="15" t="n"/>
      <c r="L140" s="15" t="n">
        <v>36.431</v>
      </c>
      <c r="M140" s="15" t="n">
        <v>8.368</v>
      </c>
      <c r="N140" s="15" t="n"/>
      <c r="O140" s="15" t="n">
        <v>4.092</v>
      </c>
      <c r="P140" s="15" t="n">
        <v>261.33</v>
      </c>
      <c r="Q140" s="15" t="n">
        <v>256.515</v>
      </c>
      <c r="R140" s="15" t="n">
        <v>263.631</v>
      </c>
      <c r="S140" s="15" t="n">
        <v>278.793</v>
      </c>
      <c r="T140" s="15" t="n">
        <v>40.92</v>
      </c>
      <c r="U140" s="15" t="n">
        <v>69.276</v>
      </c>
      <c r="V140" s="15" t="n"/>
      <c r="W140" s="15" t="n"/>
      <c r="X140" s="15" t="n"/>
      <c r="Y140" s="15" t="n"/>
      <c r="Z140" s="15" t="n"/>
      <c r="AA140" s="15" t="n"/>
      <c r="AB140" s="16" t="n">
        <v>3084</v>
      </c>
      <c r="AC140" s="17">
        <f>IF(AND(ISNUMBER(H140),ISNUMBER(I140)),H140+I140,IF(ISNUMBER(K140),K140,IF(ISNUMBER(H140),H140,"")))</f>
        <v/>
      </c>
      <c r="AD140" s="18">
        <f>IF(OR(NOT(ISNUMBER(J140)),NOT(ISNUMBER(H140)),H140&lt;=0),기준표!$B$8,MIN(MAX(J140/H140,기준표!$B$6),기준표!$B$7))</f>
        <v/>
      </c>
      <c r="AE140" s="17">
        <f>IF(ISNUMBER(AC140),AC140*(1-AD140),"")</f>
        <v/>
      </c>
      <c r="AF140" s="17">
        <f>IF(AND(NOT(ISNUMBER(T140)),NOT(ISNUMBER(V140))),"",IF(ISNUMBER(T140),T140,0)+IF(ISNUMBER(V140),V140,0))</f>
        <v/>
      </c>
      <c r="AG140" s="17">
        <f>IF(E140="금융","",IF(AND(ISNUMBER(P140),ISNUMBER(AF140),ISNUMBER(R140)),P140+AF140-R140,""))</f>
        <v/>
      </c>
      <c r="AH140" s="17">
        <f>IF(E140="금융","",IF(NOT(ISNUMBER(AG140)),"",IF(ISNUMBER(AA140),(AG140+AA140)/2,AG140)))</f>
        <v/>
      </c>
      <c r="AI140" s="19">
        <f>IF(AND(ISNUMBER(AE140),ISNUMBER(AH140),AH140&gt;0),AE140/AH140,"")</f>
        <v/>
      </c>
      <c r="AJ140" s="17">
        <f>IF(E140="금융","",IF(AND(ISNUMBER(P140),ISNUMBER(AF140)),P140+AF140,""))</f>
        <v/>
      </c>
      <c r="AK140" s="19">
        <f>IF(OR(NOT(ISNUMBER(AE140)),NOT(ISNUMBER(AJ140)),AJ140&lt;=0),"",IF(AND(ISNUMBER(G140),AJ140&lt;0.1*G140),"",AE140/AJ140))</f>
        <v/>
      </c>
      <c r="AL140" s="17">
        <f>IF(NOT(ISNUMBER(P140)),"",IF(ISNUMBER(Q140),(P140+Q140)/2,P140))</f>
        <v/>
      </c>
      <c r="AM140" s="19">
        <f>IF(AND(ISNUMBER(L140),ISNUMBER(AL140),AL140&gt;0),L140/AL140,"")</f>
        <v/>
      </c>
      <c r="AN140" s="19">
        <f>IF(AND(ISNUMBER(AM140),ISNUMBER({ROIC})),AM140-{ROIC},"")</f>
        <v/>
      </c>
      <c r="AO140" s="17">
        <f>IF(AND(ISNUMBER(AC140),ISNUMBER(M140)),AC140+M140,"")</f>
        <v/>
      </c>
      <c r="AP140" s="20">
        <f>IF(AND(ISNUMBER(AF140),ISNUMBER(R140),ISNUMBER(AO140),AO140&gt;0),(AF140-R140)/AO140,"")</f>
        <v/>
      </c>
      <c r="AQ140" s="20">
        <f>IF(AND(ISNUMBER(AC140),ISNUMBER(I140),I140&lt;&gt;0,AC140&gt;0),AC140/I140,"")</f>
        <v/>
      </c>
      <c r="AR140" s="17">
        <f>IF(AND(ISNUMBER(W140),ISNUMBER(Y140)),W140-IF(ISNUMBER(R140),R140,0)-(Y140-IF(ISNUMBER(T140),T140,0)),"")</f>
        <v/>
      </c>
      <c r="AS140" s="17">
        <f>IF(AND(ISNUMBER(X140),ISNUMBER(Z140)),X140-IF(ISNUMBER(S140),S140,0)-(Z140-IF(ISNUMBER(U140),U140,0)),"")</f>
        <v/>
      </c>
      <c r="AT140" s="17">
        <f>IF(AND(ISNUMBER(AR140),ISNUMBER(AS140)),AR140-AS140,"")</f>
        <v/>
      </c>
      <c r="AU140" s="17">
        <f>IF(E140="금융","",IF(AND(ISNUMBER(L140),ISNUMBER(M140),ISNUMBER(N140),ISNUMBER(AT140)),L140+M140-N140-AT140,IF(AND(ISNUMBER(O140),ISNUMBER(N140)),O140-N140,"")))</f>
        <v/>
      </c>
      <c r="AV140" s="8">
        <f>IF(E140="금융","금융업 - 정의되지 않음",IF(AND(ISNUMBER(L140),ISNUMBER(M140),ISNUMBER(N140),ISNUMBER(AT140)),"순이익+감가상각-설비투자-운전자본증감",IF(AND(ISNUMBER(O140),ISNUMBER(N140)),"영업현금흐름-설비투자","산출불가")))</f>
        <v/>
      </c>
      <c r="AW140" s="19">
        <f>IF(AND(ISNUMBER(AU140),ISNUMBER(G140),G140&lt;&gt;0),AU140/G140,"")</f>
        <v/>
      </c>
      <c r="AX140" s="19">
        <f>IF(AND(ISNUMBER(AC140),ISNUMBER(G140),G140&lt;&gt;0),AC140/G140,"")</f>
        <v/>
      </c>
    </row>
    <row r="141">
      <c r="A141" s="8" t="inlineStr">
        <is>
          <t>JPM</t>
        </is>
      </c>
      <c r="B141" s="8" t="inlineStr">
        <is>
          <t>JPMORGAN CHASE &amp; CO</t>
        </is>
      </c>
      <c r="C141" s="8" t="n">
        <v>2020</v>
      </c>
      <c r="D141" s="8" t="inlineStr">
        <is>
          <t>2020-12-31</t>
        </is>
      </c>
      <c r="E141" s="8" t="inlineStr">
        <is>
          <t>금융</t>
        </is>
      </c>
      <c r="F141" s="8" t="inlineStr">
        <is>
          <t>0000019617-23-000231</t>
        </is>
      </c>
      <c r="G141" s="15" t="n">
        <v>119.951</v>
      </c>
      <c r="H141" s="15" t="n">
        <v>35.815</v>
      </c>
      <c r="I141" s="15" t="n">
        <v>54.563</v>
      </c>
      <c r="J141" s="15" t="n">
        <v>6.684</v>
      </c>
      <c r="K141" s="15" t="n"/>
      <c r="L141" s="15" t="n">
        <v>29.131</v>
      </c>
      <c r="M141" s="15" t="n">
        <v>8.614000000000001</v>
      </c>
      <c r="N141" s="15" t="n"/>
      <c r="O141" s="15" t="n">
        <v>-79.91</v>
      </c>
      <c r="P141" s="15" t="n">
        <v>279.354</v>
      </c>
      <c r="Q141" s="15" t="n">
        <v>261.33</v>
      </c>
      <c r="R141" s="15" t="n">
        <v>527.609</v>
      </c>
      <c r="S141" s="15" t="n">
        <v>263.631</v>
      </c>
      <c r="T141" s="15" t="n">
        <v>45.208</v>
      </c>
      <c r="U141" s="15" t="n">
        <v>40.92</v>
      </c>
      <c r="V141" s="15" t="n"/>
      <c r="W141" s="15" t="n"/>
      <c r="X141" s="15" t="n"/>
      <c r="Y141" s="15" t="n"/>
      <c r="Z141" s="15" t="n"/>
      <c r="AA141" s="15" t="n"/>
      <c r="AB141" s="16" t="n">
        <v>3049.4</v>
      </c>
      <c r="AC141" s="17">
        <f>IF(AND(ISNUMBER(H141),ISNUMBER(I141)),H141+I141,IF(ISNUMBER(K141),K141,IF(ISNUMBER(H141),H141,"")))</f>
        <v/>
      </c>
      <c r="AD141" s="18">
        <f>IF(OR(NOT(ISNUMBER(J141)),NOT(ISNUMBER(H141)),H141&lt;=0),기준표!$B$8,MIN(MAX(J141/H141,기준표!$B$6),기준표!$B$7))</f>
        <v/>
      </c>
      <c r="AE141" s="17">
        <f>IF(ISNUMBER(AC141),AC141*(1-AD141),"")</f>
        <v/>
      </c>
      <c r="AF141" s="17">
        <f>IF(AND(NOT(ISNUMBER(T141)),NOT(ISNUMBER(V141))),"",IF(ISNUMBER(T141),T141,0)+IF(ISNUMBER(V141),V141,0))</f>
        <v/>
      </c>
      <c r="AG141" s="17">
        <f>IF(E141="금융","",IF(AND(ISNUMBER(P141),ISNUMBER(AF141),ISNUMBER(R141)),P141+AF141-R141,""))</f>
        <v/>
      </c>
      <c r="AH141" s="17">
        <f>IF(E141="금융","",IF(NOT(ISNUMBER(AG141)),"",IF(ISNUMBER(AA141),(AG141+AA141)/2,AG141)))</f>
        <v/>
      </c>
      <c r="AI141" s="19">
        <f>IF(AND(ISNUMBER(AE141),ISNUMBER(AH141),AH141&gt;0),AE141/AH141,"")</f>
        <v/>
      </c>
      <c r="AJ141" s="17">
        <f>IF(E141="금융","",IF(AND(ISNUMBER(P141),ISNUMBER(AF141)),P141+AF141,""))</f>
        <v/>
      </c>
      <c r="AK141" s="19">
        <f>IF(OR(NOT(ISNUMBER(AE141)),NOT(ISNUMBER(AJ141)),AJ141&lt;=0),"",IF(AND(ISNUMBER(G141),AJ141&lt;0.1*G141),"",AE141/AJ141))</f>
        <v/>
      </c>
      <c r="AL141" s="17">
        <f>IF(NOT(ISNUMBER(P141)),"",IF(ISNUMBER(Q141),(P141+Q141)/2,P141))</f>
        <v/>
      </c>
      <c r="AM141" s="19">
        <f>IF(AND(ISNUMBER(L141),ISNUMBER(AL141),AL141&gt;0),L141/AL141,"")</f>
        <v/>
      </c>
      <c r="AN141" s="19">
        <f>IF(AND(ISNUMBER(AM141),ISNUMBER({ROIC})),AM141-{ROIC},"")</f>
        <v/>
      </c>
      <c r="AO141" s="17">
        <f>IF(AND(ISNUMBER(AC141),ISNUMBER(M141)),AC141+M141,"")</f>
        <v/>
      </c>
      <c r="AP141" s="20">
        <f>IF(AND(ISNUMBER(AF141),ISNUMBER(R141),ISNUMBER(AO141),AO141&gt;0),(AF141-R141)/AO141,"")</f>
        <v/>
      </c>
      <c r="AQ141" s="20">
        <f>IF(AND(ISNUMBER(AC141),ISNUMBER(I141),I141&lt;&gt;0,AC141&gt;0),AC141/I141,"")</f>
        <v/>
      </c>
      <c r="AR141" s="17">
        <f>IF(AND(ISNUMBER(W141),ISNUMBER(Y141)),W141-IF(ISNUMBER(R141),R141,0)-(Y141-IF(ISNUMBER(T141),T141,0)),"")</f>
        <v/>
      </c>
      <c r="AS141" s="17">
        <f>IF(AND(ISNUMBER(X141),ISNUMBER(Z141)),X141-IF(ISNUMBER(S141),S141,0)-(Z141-IF(ISNUMBER(U141),U141,0)),"")</f>
        <v/>
      </c>
      <c r="AT141" s="17">
        <f>IF(AND(ISNUMBER(AR141),ISNUMBER(AS141)),AR141-AS141,"")</f>
        <v/>
      </c>
      <c r="AU141" s="17">
        <f>IF(E141="금융","",IF(AND(ISNUMBER(L141),ISNUMBER(M141),ISNUMBER(N141),ISNUMBER(AT141)),L141+M141-N141-AT141,IF(AND(ISNUMBER(O141),ISNUMBER(N141)),O141-N141,"")))</f>
        <v/>
      </c>
      <c r="AV141" s="8">
        <f>IF(E141="금융","금융업 - 정의되지 않음",IF(AND(ISNUMBER(L141),ISNUMBER(M141),ISNUMBER(N141),ISNUMBER(AT141)),"순이익+감가상각-설비투자-운전자본증감",IF(AND(ISNUMBER(O141),ISNUMBER(N141)),"영업현금흐름-설비투자","산출불가")))</f>
        <v/>
      </c>
      <c r="AW141" s="19">
        <f>IF(AND(ISNUMBER(AU141),ISNUMBER(G141),G141&lt;&gt;0),AU141/G141,"")</f>
        <v/>
      </c>
      <c r="AX141" s="19">
        <f>IF(AND(ISNUMBER(AC141),ISNUMBER(G141),G141&lt;&gt;0),AC141/G141,"")</f>
        <v/>
      </c>
    </row>
    <row r="142">
      <c r="A142" s="8" t="inlineStr">
        <is>
          <t>JPM</t>
        </is>
      </c>
      <c r="B142" s="8" t="inlineStr">
        <is>
          <t>JPMORGAN CHASE &amp; CO</t>
        </is>
      </c>
      <c r="C142" s="8" t="n">
        <v>2021</v>
      </c>
      <c r="D142" s="8" t="inlineStr">
        <is>
          <t>2021-12-31</t>
        </is>
      </c>
      <c r="E142" s="8" t="inlineStr">
        <is>
          <t>금융</t>
        </is>
      </c>
      <c r="F142" s="8" t="inlineStr">
        <is>
          <t>0000019617-24-000225</t>
        </is>
      </c>
      <c r="G142" s="15" t="n">
        <v>121.649</v>
      </c>
      <c r="H142" s="15" t="n">
        <v>59.562</v>
      </c>
      <c r="I142" s="15" t="n">
        <v>52.311</v>
      </c>
      <c r="J142" s="15" t="n">
        <v>11.228</v>
      </c>
      <c r="K142" s="15" t="n"/>
      <c r="L142" s="15" t="n">
        <v>48.334</v>
      </c>
      <c r="M142" s="15" t="n">
        <v>7.932</v>
      </c>
      <c r="N142" s="15" t="n"/>
      <c r="O142" s="15" t="n">
        <v>78.084</v>
      </c>
      <c r="P142" s="15" t="n">
        <v>294.127</v>
      </c>
      <c r="Q142" s="15" t="n">
        <v>279.354</v>
      </c>
      <c r="R142" s="15" t="n">
        <v>740.8339999999999</v>
      </c>
      <c r="S142" s="15" t="n">
        <v>527.609</v>
      </c>
      <c r="T142" s="15" t="n">
        <v>53.594</v>
      </c>
      <c r="U142" s="15" t="n">
        <v>45.208</v>
      </c>
      <c r="V142" s="15" t="n"/>
      <c r="W142" s="15" t="n"/>
      <c r="X142" s="15" t="n"/>
      <c r="Y142" s="15" t="n"/>
      <c r="Z142" s="15" t="n"/>
      <c r="AA142" s="15" t="n"/>
      <c r="AB142" s="16" t="n">
        <v>2944.1</v>
      </c>
      <c r="AC142" s="17">
        <f>IF(AND(ISNUMBER(H142),ISNUMBER(I142)),H142+I142,IF(ISNUMBER(K142),K142,IF(ISNUMBER(H142),H142,"")))</f>
        <v/>
      </c>
      <c r="AD142" s="18">
        <f>IF(OR(NOT(ISNUMBER(J142)),NOT(ISNUMBER(H142)),H142&lt;=0),기준표!$B$8,MIN(MAX(J142/H142,기준표!$B$6),기준표!$B$7))</f>
        <v/>
      </c>
      <c r="AE142" s="17">
        <f>IF(ISNUMBER(AC142),AC142*(1-AD142),"")</f>
        <v/>
      </c>
      <c r="AF142" s="17">
        <f>IF(AND(NOT(ISNUMBER(T142)),NOT(ISNUMBER(V142))),"",IF(ISNUMBER(T142),T142,0)+IF(ISNUMBER(V142),V142,0))</f>
        <v/>
      </c>
      <c r="AG142" s="17">
        <f>IF(E142="금융","",IF(AND(ISNUMBER(P142),ISNUMBER(AF142),ISNUMBER(R142)),P142+AF142-R142,""))</f>
        <v/>
      </c>
      <c r="AH142" s="17">
        <f>IF(E142="금융","",IF(NOT(ISNUMBER(AG142)),"",IF(ISNUMBER(AA142),(AG142+AA142)/2,AG142)))</f>
        <v/>
      </c>
      <c r="AI142" s="19">
        <f>IF(AND(ISNUMBER(AE142),ISNUMBER(AH142),AH142&gt;0),AE142/AH142,"")</f>
        <v/>
      </c>
      <c r="AJ142" s="17">
        <f>IF(E142="금융","",IF(AND(ISNUMBER(P142),ISNUMBER(AF142)),P142+AF142,""))</f>
        <v/>
      </c>
      <c r="AK142" s="19">
        <f>IF(OR(NOT(ISNUMBER(AE142)),NOT(ISNUMBER(AJ142)),AJ142&lt;=0),"",IF(AND(ISNUMBER(G142),AJ142&lt;0.1*G142),"",AE142/AJ142))</f>
        <v/>
      </c>
      <c r="AL142" s="17">
        <f>IF(NOT(ISNUMBER(P142)),"",IF(ISNUMBER(Q142),(P142+Q142)/2,P142))</f>
        <v/>
      </c>
      <c r="AM142" s="19">
        <f>IF(AND(ISNUMBER(L142),ISNUMBER(AL142),AL142&gt;0),L142/AL142,"")</f>
        <v/>
      </c>
      <c r="AN142" s="19">
        <f>IF(AND(ISNUMBER(AM142),ISNUMBER({ROIC})),AM142-{ROIC},"")</f>
        <v/>
      </c>
      <c r="AO142" s="17">
        <f>IF(AND(ISNUMBER(AC142),ISNUMBER(M142)),AC142+M142,"")</f>
        <v/>
      </c>
      <c r="AP142" s="20">
        <f>IF(AND(ISNUMBER(AF142),ISNUMBER(R142),ISNUMBER(AO142),AO142&gt;0),(AF142-R142)/AO142,"")</f>
        <v/>
      </c>
      <c r="AQ142" s="20">
        <f>IF(AND(ISNUMBER(AC142),ISNUMBER(I142),I142&lt;&gt;0,AC142&gt;0),AC142/I142,"")</f>
        <v/>
      </c>
      <c r="AR142" s="17">
        <f>IF(AND(ISNUMBER(W142),ISNUMBER(Y142)),W142-IF(ISNUMBER(R142),R142,0)-(Y142-IF(ISNUMBER(T142),T142,0)),"")</f>
        <v/>
      </c>
      <c r="AS142" s="17">
        <f>IF(AND(ISNUMBER(X142),ISNUMBER(Z142)),X142-IF(ISNUMBER(S142),S142,0)-(Z142-IF(ISNUMBER(U142),U142,0)),"")</f>
        <v/>
      </c>
      <c r="AT142" s="17">
        <f>IF(AND(ISNUMBER(AR142),ISNUMBER(AS142)),AR142-AS142,"")</f>
        <v/>
      </c>
      <c r="AU142" s="17">
        <f>IF(E142="금융","",IF(AND(ISNUMBER(L142),ISNUMBER(M142),ISNUMBER(N142),ISNUMBER(AT142)),L142+M142-N142-AT142,IF(AND(ISNUMBER(O142),ISNUMBER(N142)),O142-N142,"")))</f>
        <v/>
      </c>
      <c r="AV142" s="8">
        <f>IF(E142="금융","금융업 - 정의되지 않음",IF(AND(ISNUMBER(L142),ISNUMBER(M142),ISNUMBER(N142),ISNUMBER(AT142)),"순이익+감가상각-설비투자-운전자본증감",IF(AND(ISNUMBER(O142),ISNUMBER(N142)),"영업현금흐름-설비투자","산출불가")))</f>
        <v/>
      </c>
      <c r="AW142" s="19">
        <f>IF(AND(ISNUMBER(AU142),ISNUMBER(G142),G142&lt;&gt;0),AU142/G142,"")</f>
        <v/>
      </c>
      <c r="AX142" s="19">
        <f>IF(AND(ISNUMBER(AC142),ISNUMBER(G142),G142&lt;&gt;0),AC142/G142,"")</f>
        <v/>
      </c>
    </row>
    <row r="143">
      <c r="A143" s="8" t="inlineStr">
        <is>
          <t>JPM</t>
        </is>
      </c>
      <c r="B143" s="8" t="inlineStr">
        <is>
          <t>JPMORGAN CHASE &amp; CO</t>
        </is>
      </c>
      <c r="C143" s="8" t="n">
        <v>2022</v>
      </c>
      <c r="D143" s="8" t="inlineStr">
        <is>
          <t>2022-12-31</t>
        </is>
      </c>
      <c r="E143" s="8" t="inlineStr">
        <is>
          <t>금융</t>
        </is>
      </c>
      <c r="F143" s="8" t="inlineStr">
        <is>
          <t>0000019617-25-000270</t>
        </is>
      </c>
      <c r="G143" s="15" t="n">
        <v>128.695</v>
      </c>
      <c r="H143" s="15" t="n">
        <v>46.166</v>
      </c>
      <c r="I143" s="15" t="n">
        <v>66.70999999999999</v>
      </c>
      <c r="J143" s="15" t="n">
        <v>8.49</v>
      </c>
      <c r="K143" s="15" t="n"/>
      <c r="L143" s="15" t="n">
        <v>37.676</v>
      </c>
      <c r="M143" s="15" t="n">
        <v>7.051</v>
      </c>
      <c r="N143" s="15" t="n"/>
      <c r="O143" s="15" t="n">
        <v>107.119</v>
      </c>
      <c r="P143" s="15" t="n">
        <v>292.332</v>
      </c>
      <c r="Q143" s="15" t="n">
        <v>294.127</v>
      </c>
      <c r="R143" s="15" t="n">
        <v>567.234</v>
      </c>
      <c r="S143" s="15" t="n">
        <v>740.8339999999999</v>
      </c>
      <c r="T143" s="15" t="n">
        <v>44.027</v>
      </c>
      <c r="U143" s="15" t="n">
        <v>53.594</v>
      </c>
      <c r="V143" s="15" t="n"/>
      <c r="W143" s="15" t="n"/>
      <c r="X143" s="15" t="n"/>
      <c r="Y143" s="15" t="n"/>
      <c r="Z143" s="15" t="n"/>
      <c r="AA143" s="15" t="n"/>
      <c r="AB143" s="16" t="n">
        <v>2934.2</v>
      </c>
      <c r="AC143" s="17">
        <f>IF(AND(ISNUMBER(H143),ISNUMBER(I143)),H143+I143,IF(ISNUMBER(K143),K143,IF(ISNUMBER(H143),H143,"")))</f>
        <v/>
      </c>
      <c r="AD143" s="18">
        <f>IF(OR(NOT(ISNUMBER(J143)),NOT(ISNUMBER(H143)),H143&lt;=0),기준표!$B$8,MIN(MAX(J143/H143,기준표!$B$6),기준표!$B$7))</f>
        <v/>
      </c>
      <c r="AE143" s="17">
        <f>IF(ISNUMBER(AC143),AC143*(1-AD143),"")</f>
        <v/>
      </c>
      <c r="AF143" s="17">
        <f>IF(AND(NOT(ISNUMBER(T143)),NOT(ISNUMBER(V143))),"",IF(ISNUMBER(T143),T143,0)+IF(ISNUMBER(V143),V143,0))</f>
        <v/>
      </c>
      <c r="AG143" s="17">
        <f>IF(E143="금융","",IF(AND(ISNUMBER(P143),ISNUMBER(AF143),ISNUMBER(R143)),P143+AF143-R143,""))</f>
        <v/>
      </c>
      <c r="AH143" s="17">
        <f>IF(E143="금융","",IF(NOT(ISNUMBER(AG143)),"",IF(ISNUMBER(AA143),(AG143+AA143)/2,AG143)))</f>
        <v/>
      </c>
      <c r="AI143" s="19">
        <f>IF(AND(ISNUMBER(AE143),ISNUMBER(AH143),AH143&gt;0),AE143/AH143,"")</f>
        <v/>
      </c>
      <c r="AJ143" s="17">
        <f>IF(E143="금융","",IF(AND(ISNUMBER(P143),ISNUMBER(AF143)),P143+AF143,""))</f>
        <v/>
      </c>
      <c r="AK143" s="19">
        <f>IF(OR(NOT(ISNUMBER(AE143)),NOT(ISNUMBER(AJ143)),AJ143&lt;=0),"",IF(AND(ISNUMBER(G143),AJ143&lt;0.1*G143),"",AE143/AJ143))</f>
        <v/>
      </c>
      <c r="AL143" s="17">
        <f>IF(NOT(ISNUMBER(P143)),"",IF(ISNUMBER(Q143),(P143+Q143)/2,P143))</f>
        <v/>
      </c>
      <c r="AM143" s="19">
        <f>IF(AND(ISNUMBER(L143),ISNUMBER(AL143),AL143&gt;0),L143/AL143,"")</f>
        <v/>
      </c>
      <c r="AN143" s="19">
        <f>IF(AND(ISNUMBER(AM143),ISNUMBER({ROIC})),AM143-{ROIC},"")</f>
        <v/>
      </c>
      <c r="AO143" s="17">
        <f>IF(AND(ISNUMBER(AC143),ISNUMBER(M143)),AC143+M143,"")</f>
        <v/>
      </c>
      <c r="AP143" s="20">
        <f>IF(AND(ISNUMBER(AF143),ISNUMBER(R143),ISNUMBER(AO143),AO143&gt;0),(AF143-R143)/AO143,"")</f>
        <v/>
      </c>
      <c r="AQ143" s="20">
        <f>IF(AND(ISNUMBER(AC143),ISNUMBER(I143),I143&lt;&gt;0,AC143&gt;0),AC143/I143,"")</f>
        <v/>
      </c>
      <c r="AR143" s="17">
        <f>IF(AND(ISNUMBER(W143),ISNUMBER(Y143)),W143-IF(ISNUMBER(R143),R143,0)-(Y143-IF(ISNUMBER(T143),T143,0)),"")</f>
        <v/>
      </c>
      <c r="AS143" s="17">
        <f>IF(AND(ISNUMBER(X143),ISNUMBER(Z143)),X143-IF(ISNUMBER(S143),S143,0)-(Z143-IF(ISNUMBER(U143),U143,0)),"")</f>
        <v/>
      </c>
      <c r="AT143" s="17">
        <f>IF(AND(ISNUMBER(AR143),ISNUMBER(AS143)),AR143-AS143,"")</f>
        <v/>
      </c>
      <c r="AU143" s="17">
        <f>IF(E143="금융","",IF(AND(ISNUMBER(L143),ISNUMBER(M143),ISNUMBER(N143),ISNUMBER(AT143)),L143+M143-N143-AT143,IF(AND(ISNUMBER(O143),ISNUMBER(N143)),O143-N143,"")))</f>
        <v/>
      </c>
      <c r="AV143" s="8">
        <f>IF(E143="금융","금융업 - 정의되지 않음",IF(AND(ISNUMBER(L143),ISNUMBER(M143),ISNUMBER(N143),ISNUMBER(AT143)),"순이익+감가상각-설비투자-운전자본증감",IF(AND(ISNUMBER(O143),ISNUMBER(N143)),"영업현금흐름-설비투자","산출불가")))</f>
        <v/>
      </c>
      <c r="AW143" s="19">
        <f>IF(AND(ISNUMBER(AU143),ISNUMBER(G143),G143&lt;&gt;0),AU143/G143,"")</f>
        <v/>
      </c>
      <c r="AX143" s="19">
        <f>IF(AND(ISNUMBER(AC143),ISNUMBER(G143),G143&lt;&gt;0),AC143/G143,"")</f>
        <v/>
      </c>
    </row>
    <row r="144">
      <c r="A144" s="8" t="inlineStr">
        <is>
          <t>JPM</t>
        </is>
      </c>
      <c r="B144" s="8" t="inlineStr">
        <is>
          <t>JPMORGAN CHASE &amp; CO</t>
        </is>
      </c>
      <c r="C144" s="8" t="n">
        <v>2023</v>
      </c>
      <c r="D144" s="8" t="inlineStr">
        <is>
          <t>2023-12-31</t>
        </is>
      </c>
      <c r="E144" s="8" t="inlineStr">
        <is>
          <t>금융</t>
        </is>
      </c>
      <c r="F144" s="8" t="inlineStr">
        <is>
          <t>0001628280-26-008131</t>
        </is>
      </c>
      <c r="G144" s="15" t="n">
        <v>158.104</v>
      </c>
      <c r="H144" s="15" t="n">
        <v>61.612</v>
      </c>
      <c r="I144" s="15" t="n">
        <v>89.267</v>
      </c>
      <c r="J144" s="15" t="n">
        <v>12.06</v>
      </c>
      <c r="K144" s="15" t="n"/>
      <c r="L144" s="15" t="n">
        <v>49.552</v>
      </c>
      <c r="M144" s="15" t="n">
        <v>7.512</v>
      </c>
      <c r="N144" s="15" t="n"/>
      <c r="O144" s="15" t="n">
        <v>12.974</v>
      </c>
      <c r="P144" s="15" t="n">
        <v>327.878</v>
      </c>
      <c r="Q144" s="15" t="n">
        <v>292.332</v>
      </c>
      <c r="R144" s="15" t="n">
        <v>624.151</v>
      </c>
      <c r="S144" s="15" t="n">
        <v>567.234</v>
      </c>
      <c r="T144" s="15" t="n">
        <v>44.712</v>
      </c>
      <c r="U144" s="15" t="n">
        <v>44.027</v>
      </c>
      <c r="V144" s="15" t="n"/>
      <c r="W144" s="15" t="n"/>
      <c r="X144" s="15" t="n"/>
      <c r="Y144" s="15" t="n"/>
      <c r="Z144" s="15" t="n"/>
      <c r="AA144" s="15" t="n"/>
      <c r="AB144" s="16" t="n">
        <v>2876.6</v>
      </c>
      <c r="AC144" s="17">
        <f>IF(AND(ISNUMBER(H144),ISNUMBER(I144)),H144+I144,IF(ISNUMBER(K144),K144,IF(ISNUMBER(H144),H144,"")))</f>
        <v/>
      </c>
      <c r="AD144" s="18">
        <f>IF(OR(NOT(ISNUMBER(J144)),NOT(ISNUMBER(H144)),H144&lt;=0),기준표!$B$8,MIN(MAX(J144/H144,기준표!$B$6),기준표!$B$7))</f>
        <v/>
      </c>
      <c r="AE144" s="17">
        <f>IF(ISNUMBER(AC144),AC144*(1-AD144),"")</f>
        <v/>
      </c>
      <c r="AF144" s="17">
        <f>IF(AND(NOT(ISNUMBER(T144)),NOT(ISNUMBER(V144))),"",IF(ISNUMBER(T144),T144,0)+IF(ISNUMBER(V144),V144,0))</f>
        <v/>
      </c>
      <c r="AG144" s="17">
        <f>IF(E144="금융","",IF(AND(ISNUMBER(P144),ISNUMBER(AF144),ISNUMBER(R144)),P144+AF144-R144,""))</f>
        <v/>
      </c>
      <c r="AH144" s="17">
        <f>IF(E144="금융","",IF(NOT(ISNUMBER(AG144)),"",IF(ISNUMBER(AA144),(AG144+AA144)/2,AG144)))</f>
        <v/>
      </c>
      <c r="AI144" s="19">
        <f>IF(AND(ISNUMBER(AE144),ISNUMBER(AH144),AH144&gt;0),AE144/AH144,"")</f>
        <v/>
      </c>
      <c r="AJ144" s="17">
        <f>IF(E144="금융","",IF(AND(ISNUMBER(P144),ISNUMBER(AF144)),P144+AF144,""))</f>
        <v/>
      </c>
      <c r="AK144" s="19">
        <f>IF(OR(NOT(ISNUMBER(AE144)),NOT(ISNUMBER(AJ144)),AJ144&lt;=0),"",IF(AND(ISNUMBER(G144),AJ144&lt;0.1*G144),"",AE144/AJ144))</f>
        <v/>
      </c>
      <c r="AL144" s="17">
        <f>IF(NOT(ISNUMBER(P144)),"",IF(ISNUMBER(Q144),(P144+Q144)/2,P144))</f>
        <v/>
      </c>
      <c r="AM144" s="19">
        <f>IF(AND(ISNUMBER(L144),ISNUMBER(AL144),AL144&gt;0),L144/AL144,"")</f>
        <v/>
      </c>
      <c r="AN144" s="19">
        <f>IF(AND(ISNUMBER(AM144),ISNUMBER({ROIC})),AM144-{ROIC},"")</f>
        <v/>
      </c>
      <c r="AO144" s="17">
        <f>IF(AND(ISNUMBER(AC144),ISNUMBER(M144)),AC144+M144,"")</f>
        <v/>
      </c>
      <c r="AP144" s="20">
        <f>IF(AND(ISNUMBER(AF144),ISNUMBER(R144),ISNUMBER(AO144),AO144&gt;0),(AF144-R144)/AO144,"")</f>
        <v/>
      </c>
      <c r="AQ144" s="20">
        <f>IF(AND(ISNUMBER(AC144),ISNUMBER(I144),I144&lt;&gt;0,AC144&gt;0),AC144/I144,"")</f>
        <v/>
      </c>
      <c r="AR144" s="17">
        <f>IF(AND(ISNUMBER(W144),ISNUMBER(Y144)),W144-IF(ISNUMBER(R144),R144,0)-(Y144-IF(ISNUMBER(T144),T144,0)),"")</f>
        <v/>
      </c>
      <c r="AS144" s="17">
        <f>IF(AND(ISNUMBER(X144),ISNUMBER(Z144)),X144-IF(ISNUMBER(S144),S144,0)-(Z144-IF(ISNUMBER(U144),U144,0)),"")</f>
        <v/>
      </c>
      <c r="AT144" s="17">
        <f>IF(AND(ISNUMBER(AR144),ISNUMBER(AS144)),AR144-AS144,"")</f>
        <v/>
      </c>
      <c r="AU144" s="17">
        <f>IF(E144="금융","",IF(AND(ISNUMBER(L144),ISNUMBER(M144),ISNUMBER(N144),ISNUMBER(AT144)),L144+M144-N144-AT144,IF(AND(ISNUMBER(O144),ISNUMBER(N144)),O144-N144,"")))</f>
        <v/>
      </c>
      <c r="AV144" s="8">
        <f>IF(E144="금융","금융업 - 정의되지 않음",IF(AND(ISNUMBER(L144),ISNUMBER(M144),ISNUMBER(N144),ISNUMBER(AT144)),"순이익+감가상각-설비투자-운전자본증감",IF(AND(ISNUMBER(O144),ISNUMBER(N144)),"영업현금흐름-설비투자","산출불가")))</f>
        <v/>
      </c>
      <c r="AW144" s="19">
        <f>IF(AND(ISNUMBER(AU144),ISNUMBER(G144),G144&lt;&gt;0),AU144/G144,"")</f>
        <v/>
      </c>
      <c r="AX144" s="19">
        <f>IF(AND(ISNUMBER(AC144),ISNUMBER(G144),G144&lt;&gt;0),AC144/G144,"")</f>
        <v/>
      </c>
    </row>
    <row r="145">
      <c r="A145" s="8" t="inlineStr">
        <is>
          <t>JPM</t>
        </is>
      </c>
      <c r="B145" s="8" t="inlineStr">
        <is>
          <t>JPMORGAN CHASE &amp; CO</t>
        </is>
      </c>
      <c r="C145" s="8" t="n">
        <v>2024</v>
      </c>
      <c r="D145" s="8" t="inlineStr">
        <is>
          <t>2024-12-31</t>
        </is>
      </c>
      <c r="E145" s="8" t="inlineStr">
        <is>
          <t>금융</t>
        </is>
      </c>
      <c r="F145" s="8" t="inlineStr">
        <is>
          <t>0001628280-26-008131</t>
        </is>
      </c>
      <c r="G145" s="15" t="n">
        <v>177.556</v>
      </c>
      <c r="H145" s="15" t="n">
        <v>75.081</v>
      </c>
      <c r="I145" s="15" t="n">
        <v>92.583</v>
      </c>
      <c r="J145" s="15" t="n">
        <v>16.61</v>
      </c>
      <c r="K145" s="15" t="n"/>
      <c r="L145" s="15" t="n">
        <v>58.471</v>
      </c>
      <c r="M145" s="15" t="n">
        <v>7.938</v>
      </c>
      <c r="N145" s="15" t="n"/>
      <c r="O145" s="15" t="n">
        <v>-42.012</v>
      </c>
      <c r="P145" s="15" t="n">
        <v>344.758</v>
      </c>
      <c r="Q145" s="15" t="n">
        <v>327.878</v>
      </c>
      <c r="R145" s="15" t="n">
        <v>469.317</v>
      </c>
      <c r="S145" s="15" t="n">
        <v>624.151</v>
      </c>
      <c r="T145" s="15" t="n">
        <v>52.893</v>
      </c>
      <c r="U145" s="15" t="n">
        <v>44.712</v>
      </c>
      <c r="V145" s="15" t="n"/>
      <c r="W145" s="15" t="n"/>
      <c r="X145" s="15" t="n"/>
      <c r="Y145" s="15" t="n"/>
      <c r="Z145" s="15" t="n"/>
      <c r="AA145" s="15" t="n"/>
      <c r="AB145" s="16" t="n">
        <v>2797.6</v>
      </c>
      <c r="AC145" s="17">
        <f>IF(AND(ISNUMBER(H145),ISNUMBER(I145)),H145+I145,IF(ISNUMBER(K145),K145,IF(ISNUMBER(H145),H145,"")))</f>
        <v/>
      </c>
      <c r="AD145" s="18">
        <f>IF(OR(NOT(ISNUMBER(J145)),NOT(ISNUMBER(H145)),H145&lt;=0),기준표!$B$8,MIN(MAX(J145/H145,기준표!$B$6),기준표!$B$7))</f>
        <v/>
      </c>
      <c r="AE145" s="17">
        <f>IF(ISNUMBER(AC145),AC145*(1-AD145),"")</f>
        <v/>
      </c>
      <c r="AF145" s="17">
        <f>IF(AND(NOT(ISNUMBER(T145)),NOT(ISNUMBER(V145))),"",IF(ISNUMBER(T145),T145,0)+IF(ISNUMBER(V145),V145,0))</f>
        <v/>
      </c>
      <c r="AG145" s="17">
        <f>IF(E145="금융","",IF(AND(ISNUMBER(P145),ISNUMBER(AF145),ISNUMBER(R145)),P145+AF145-R145,""))</f>
        <v/>
      </c>
      <c r="AH145" s="17">
        <f>IF(E145="금융","",IF(NOT(ISNUMBER(AG145)),"",IF(ISNUMBER(AA145),(AG145+AA145)/2,AG145)))</f>
        <v/>
      </c>
      <c r="AI145" s="19">
        <f>IF(AND(ISNUMBER(AE145),ISNUMBER(AH145),AH145&gt;0),AE145/AH145,"")</f>
        <v/>
      </c>
      <c r="AJ145" s="17">
        <f>IF(E145="금융","",IF(AND(ISNUMBER(P145),ISNUMBER(AF145)),P145+AF145,""))</f>
        <v/>
      </c>
      <c r="AK145" s="19">
        <f>IF(OR(NOT(ISNUMBER(AE145)),NOT(ISNUMBER(AJ145)),AJ145&lt;=0),"",IF(AND(ISNUMBER(G145),AJ145&lt;0.1*G145),"",AE145/AJ145))</f>
        <v/>
      </c>
      <c r="AL145" s="17">
        <f>IF(NOT(ISNUMBER(P145)),"",IF(ISNUMBER(Q145),(P145+Q145)/2,P145))</f>
        <v/>
      </c>
      <c r="AM145" s="19">
        <f>IF(AND(ISNUMBER(L145),ISNUMBER(AL145),AL145&gt;0),L145/AL145,"")</f>
        <v/>
      </c>
      <c r="AN145" s="19">
        <f>IF(AND(ISNUMBER(AM145),ISNUMBER({ROIC})),AM145-{ROIC},"")</f>
        <v/>
      </c>
      <c r="AO145" s="17">
        <f>IF(AND(ISNUMBER(AC145),ISNUMBER(M145)),AC145+M145,"")</f>
        <v/>
      </c>
      <c r="AP145" s="20">
        <f>IF(AND(ISNUMBER(AF145),ISNUMBER(R145),ISNUMBER(AO145),AO145&gt;0),(AF145-R145)/AO145,"")</f>
        <v/>
      </c>
      <c r="AQ145" s="20">
        <f>IF(AND(ISNUMBER(AC145),ISNUMBER(I145),I145&lt;&gt;0,AC145&gt;0),AC145/I145,"")</f>
        <v/>
      </c>
      <c r="AR145" s="17">
        <f>IF(AND(ISNUMBER(W145),ISNUMBER(Y145)),W145-IF(ISNUMBER(R145),R145,0)-(Y145-IF(ISNUMBER(T145),T145,0)),"")</f>
        <v/>
      </c>
      <c r="AS145" s="17">
        <f>IF(AND(ISNUMBER(X145),ISNUMBER(Z145)),X145-IF(ISNUMBER(S145),S145,0)-(Z145-IF(ISNUMBER(U145),U145,0)),"")</f>
        <v/>
      </c>
      <c r="AT145" s="17">
        <f>IF(AND(ISNUMBER(AR145),ISNUMBER(AS145)),AR145-AS145,"")</f>
        <v/>
      </c>
      <c r="AU145" s="17">
        <f>IF(E145="금융","",IF(AND(ISNUMBER(L145),ISNUMBER(M145),ISNUMBER(N145),ISNUMBER(AT145)),L145+M145-N145-AT145,IF(AND(ISNUMBER(O145),ISNUMBER(N145)),O145-N145,"")))</f>
        <v/>
      </c>
      <c r="AV145" s="8">
        <f>IF(E145="금융","금융업 - 정의되지 않음",IF(AND(ISNUMBER(L145),ISNUMBER(M145),ISNUMBER(N145),ISNUMBER(AT145)),"순이익+감가상각-설비투자-운전자본증감",IF(AND(ISNUMBER(O145),ISNUMBER(N145)),"영업현금흐름-설비투자","산출불가")))</f>
        <v/>
      </c>
      <c r="AW145" s="19">
        <f>IF(AND(ISNUMBER(AU145),ISNUMBER(G145),G145&lt;&gt;0),AU145/G145,"")</f>
        <v/>
      </c>
      <c r="AX145" s="19">
        <f>IF(AND(ISNUMBER(AC145),ISNUMBER(G145),G145&lt;&gt;0),AC145/G145,"")</f>
        <v/>
      </c>
    </row>
    <row r="146">
      <c r="A146" s="8" t="inlineStr">
        <is>
          <t>JPM</t>
        </is>
      </c>
      <c r="B146" s="8" t="inlineStr">
        <is>
          <t>JPMORGAN CHASE &amp; CO</t>
        </is>
      </c>
      <c r="C146" s="8" t="n">
        <v>2025</v>
      </c>
      <c r="D146" s="8" t="inlineStr">
        <is>
          <t>2025-12-31</t>
        </is>
      </c>
      <c r="E146" s="8" t="inlineStr">
        <is>
          <t>금융</t>
        </is>
      </c>
      <c r="F146" s="8" t="inlineStr">
        <is>
          <t>0001628280-26-008131</t>
        </is>
      </c>
      <c r="G146" s="15" t="n">
        <v>182.447</v>
      </c>
      <c r="H146" s="15" t="n">
        <v>72.595</v>
      </c>
      <c r="I146" s="15" t="n">
        <v>95.443</v>
      </c>
      <c r="J146" s="15" t="n">
        <v>15.547</v>
      </c>
      <c r="K146" s="15" t="n"/>
      <c r="L146" s="15" t="n">
        <v>57.048</v>
      </c>
      <c r="M146" s="15" t="n">
        <v>8.821</v>
      </c>
      <c r="N146" s="15" t="n"/>
      <c r="O146" s="15" t="n">
        <v>-147.782</v>
      </c>
      <c r="P146" s="15" t="n">
        <v>362.438</v>
      </c>
      <c r="Q146" s="15" t="n">
        <v>344.758</v>
      </c>
      <c r="R146" s="15" t="n">
        <v>343.338</v>
      </c>
      <c r="S146" s="15" t="n">
        <v>469.317</v>
      </c>
      <c r="T146" s="15" t="n">
        <v>64.776</v>
      </c>
      <c r="U146" s="15" t="n">
        <v>52.893</v>
      </c>
      <c r="V146" s="15" t="n"/>
      <c r="W146" s="15" t="n"/>
      <c r="X146" s="15" t="n"/>
      <c r="Y146" s="15" t="n"/>
      <c r="Z146" s="15" t="n"/>
      <c r="AA146" s="15" t="n"/>
      <c r="AB146" s="16" t="n">
        <v>2696.2</v>
      </c>
      <c r="AC146" s="17">
        <f>IF(AND(ISNUMBER(H146),ISNUMBER(I146)),H146+I146,IF(ISNUMBER(K146),K146,IF(ISNUMBER(H146),H146,"")))</f>
        <v/>
      </c>
      <c r="AD146" s="18">
        <f>IF(OR(NOT(ISNUMBER(J146)),NOT(ISNUMBER(H146)),H146&lt;=0),기준표!$B$8,MIN(MAX(J146/H146,기준표!$B$6),기준표!$B$7))</f>
        <v/>
      </c>
      <c r="AE146" s="17">
        <f>IF(ISNUMBER(AC146),AC146*(1-AD146),"")</f>
        <v/>
      </c>
      <c r="AF146" s="17">
        <f>IF(AND(NOT(ISNUMBER(T146)),NOT(ISNUMBER(V146))),"",IF(ISNUMBER(T146),T146,0)+IF(ISNUMBER(V146),V146,0))</f>
        <v/>
      </c>
      <c r="AG146" s="17">
        <f>IF(E146="금융","",IF(AND(ISNUMBER(P146),ISNUMBER(AF146),ISNUMBER(R146)),P146+AF146-R146,""))</f>
        <v/>
      </c>
      <c r="AH146" s="17">
        <f>IF(E146="금융","",IF(NOT(ISNUMBER(AG146)),"",IF(ISNUMBER(AA146),(AG146+AA146)/2,AG146)))</f>
        <v/>
      </c>
      <c r="AI146" s="19">
        <f>IF(AND(ISNUMBER(AE146),ISNUMBER(AH146),AH146&gt;0),AE146/AH146,"")</f>
        <v/>
      </c>
      <c r="AJ146" s="17">
        <f>IF(E146="금융","",IF(AND(ISNUMBER(P146),ISNUMBER(AF146)),P146+AF146,""))</f>
        <v/>
      </c>
      <c r="AK146" s="19">
        <f>IF(OR(NOT(ISNUMBER(AE146)),NOT(ISNUMBER(AJ146)),AJ146&lt;=0),"",IF(AND(ISNUMBER(G146),AJ146&lt;0.1*G146),"",AE146/AJ146))</f>
        <v/>
      </c>
      <c r="AL146" s="17">
        <f>IF(NOT(ISNUMBER(P146)),"",IF(ISNUMBER(Q146),(P146+Q146)/2,P146))</f>
        <v/>
      </c>
      <c r="AM146" s="19">
        <f>IF(AND(ISNUMBER(L146),ISNUMBER(AL146),AL146&gt;0),L146/AL146,"")</f>
        <v/>
      </c>
      <c r="AN146" s="19">
        <f>IF(AND(ISNUMBER(AM146),ISNUMBER({ROIC})),AM146-{ROIC},"")</f>
        <v/>
      </c>
      <c r="AO146" s="17">
        <f>IF(AND(ISNUMBER(AC146),ISNUMBER(M146)),AC146+M146,"")</f>
        <v/>
      </c>
      <c r="AP146" s="20">
        <f>IF(AND(ISNUMBER(AF146),ISNUMBER(R146),ISNUMBER(AO146),AO146&gt;0),(AF146-R146)/AO146,"")</f>
        <v/>
      </c>
      <c r="AQ146" s="20">
        <f>IF(AND(ISNUMBER(AC146),ISNUMBER(I146),I146&lt;&gt;0,AC146&gt;0),AC146/I146,"")</f>
        <v/>
      </c>
      <c r="AR146" s="17">
        <f>IF(AND(ISNUMBER(W146),ISNUMBER(Y146)),W146-IF(ISNUMBER(R146),R146,0)-(Y146-IF(ISNUMBER(T146),T146,0)),"")</f>
        <v/>
      </c>
      <c r="AS146" s="17">
        <f>IF(AND(ISNUMBER(X146),ISNUMBER(Z146)),X146-IF(ISNUMBER(S146),S146,0)-(Z146-IF(ISNUMBER(U146),U146,0)),"")</f>
        <v/>
      </c>
      <c r="AT146" s="17">
        <f>IF(AND(ISNUMBER(AR146),ISNUMBER(AS146)),AR146-AS146,"")</f>
        <v/>
      </c>
      <c r="AU146" s="17">
        <f>IF(E146="금융","",IF(AND(ISNUMBER(L146),ISNUMBER(M146),ISNUMBER(N146),ISNUMBER(AT146)),L146+M146-N146-AT146,IF(AND(ISNUMBER(O146),ISNUMBER(N146)),O146-N146,"")))</f>
        <v/>
      </c>
      <c r="AV146" s="8">
        <f>IF(E146="금융","금융업 - 정의되지 않음",IF(AND(ISNUMBER(L146),ISNUMBER(M146),ISNUMBER(N146),ISNUMBER(AT146)),"순이익+감가상각-설비투자-운전자본증감",IF(AND(ISNUMBER(O146),ISNUMBER(N146)),"영업현금흐름-설비투자","산출불가")))</f>
        <v/>
      </c>
      <c r="AW146" s="19">
        <f>IF(AND(ISNUMBER(AU146),ISNUMBER(G146),G146&lt;&gt;0),AU146/G146,"")</f>
        <v/>
      </c>
      <c r="AX146" s="19">
        <f>IF(AND(ISNUMBER(AC146),ISNUMBER(G146),G146&lt;&gt;0),AC146/G146,"")</f>
        <v/>
      </c>
    </row>
    <row r="147">
      <c r="A147" s="8" t="inlineStr">
        <is>
          <t>WMT</t>
        </is>
      </c>
      <c r="B147" s="8" t="inlineStr">
        <is>
          <t>Walmart Inc.</t>
        </is>
      </c>
      <c r="C147" s="8" t="n">
        <v>2014</v>
      </c>
      <c r="D147" s="8" t="inlineStr">
        <is>
          <t>2015-01-31</t>
        </is>
      </c>
      <c r="E147" s="8" t="inlineStr">
        <is>
          <t>일반</t>
        </is>
      </c>
      <c r="F147" s="8" t="inlineStr">
        <is>
          <t>0000104169-17-000021</t>
        </is>
      </c>
      <c r="G147" s="15" t="n"/>
      <c r="H147" s="15" t="n"/>
      <c r="I147" s="15" t="n">
        <v>2.161</v>
      </c>
      <c r="J147" s="15" t="n">
        <v>7.985</v>
      </c>
      <c r="K147" s="15" t="n">
        <v>27.147</v>
      </c>
      <c r="L147" s="15" t="n">
        <v>16.363</v>
      </c>
      <c r="M147" s="15" t="n"/>
      <c r="N147" s="15" t="n">
        <v>12.174</v>
      </c>
      <c r="O147" s="15" t="n">
        <v>28.564</v>
      </c>
      <c r="P147" s="15" t="n">
        <v>81.39400000000001</v>
      </c>
      <c r="Q147" s="15" t="n"/>
      <c r="R147" s="15" t="n">
        <v>9.135</v>
      </c>
      <c r="S147" s="15" t="n"/>
      <c r="T147" s="15" t="n">
        <v>1.592</v>
      </c>
      <c r="U147" s="15" t="n"/>
      <c r="V147" s="15" t="n">
        <v>40.889</v>
      </c>
      <c r="W147" s="15" t="n">
        <v>63.278</v>
      </c>
      <c r="X147" s="15" t="n"/>
      <c r="Y147" s="15" t="n">
        <v>65.253</v>
      </c>
      <c r="Z147" s="15" t="n"/>
      <c r="AA147" s="15" t="n"/>
      <c r="AB147" s="16" t="n">
        <v>9729</v>
      </c>
      <c r="AC147" s="17">
        <f>IF(AND(ISNUMBER(H147),ISNUMBER(I147)),H147+I147,IF(ISNUMBER(K147),K147,IF(ISNUMBER(H147),H147,"")))</f>
        <v/>
      </c>
      <c r="AD147" s="18">
        <f>IF(OR(NOT(ISNUMBER(J147)),NOT(ISNUMBER(H147)),H147&lt;=0),기준표!$B$8,MIN(MAX(J147/H147,기준표!$B$6),기준표!$B$7))</f>
        <v/>
      </c>
      <c r="AE147" s="17">
        <f>IF(ISNUMBER(AC147),AC147*(1-AD147),"")</f>
        <v/>
      </c>
      <c r="AF147" s="17">
        <f>IF(AND(NOT(ISNUMBER(T147)),NOT(ISNUMBER(V147))),"",IF(ISNUMBER(T147),T147,0)+IF(ISNUMBER(V147),V147,0))</f>
        <v/>
      </c>
      <c r="AG147" s="17">
        <f>IF(E147="금융","",IF(AND(ISNUMBER(P147),ISNUMBER(AF147),ISNUMBER(R147)),P147+AF147-R147,""))</f>
        <v/>
      </c>
      <c r="AH147" s="17">
        <f>IF(E147="금융","",IF(NOT(ISNUMBER(AG147)),"",IF(ISNUMBER(AA147),(AG147+AA147)/2,AG147)))</f>
        <v/>
      </c>
      <c r="AI147" s="19">
        <f>IF(AND(ISNUMBER(AE147),ISNUMBER(AH147),AH147&gt;0),AE147/AH147,"")</f>
        <v/>
      </c>
      <c r="AJ147" s="17">
        <f>IF(E147="금융","",IF(AND(ISNUMBER(P147),ISNUMBER(AF147)),P147+AF147,""))</f>
        <v/>
      </c>
      <c r="AK147" s="19">
        <f>IF(OR(NOT(ISNUMBER(AE147)),NOT(ISNUMBER(AJ147)),AJ147&lt;=0),"",IF(AND(ISNUMBER(G147),AJ147&lt;0.1*G147),"",AE147/AJ147))</f>
        <v/>
      </c>
      <c r="AL147" s="17">
        <f>IF(NOT(ISNUMBER(P147)),"",IF(ISNUMBER(Q147),(P147+Q147)/2,P147))</f>
        <v/>
      </c>
      <c r="AM147" s="19">
        <f>IF(AND(ISNUMBER(L147),ISNUMBER(AL147),AL147&gt;0),L147/AL147,"")</f>
        <v/>
      </c>
      <c r="AN147" s="19">
        <f>IF(AND(ISNUMBER(AM147),ISNUMBER({ROIC})),AM147-{ROIC},"")</f>
        <v/>
      </c>
      <c r="AO147" s="17">
        <f>IF(AND(ISNUMBER(AC147),ISNUMBER(M147)),AC147+M147,"")</f>
        <v/>
      </c>
      <c r="AP147" s="20">
        <f>IF(AND(ISNUMBER(AF147),ISNUMBER(R147),ISNUMBER(AO147),AO147&gt;0),(AF147-R147)/AO147,"")</f>
        <v/>
      </c>
      <c r="AQ147" s="20">
        <f>IF(AND(ISNUMBER(AC147),ISNUMBER(I147),I147&lt;&gt;0,AC147&gt;0),AC147/I147,"")</f>
        <v/>
      </c>
      <c r="AR147" s="17">
        <f>IF(AND(ISNUMBER(W147),ISNUMBER(Y147)),W147-IF(ISNUMBER(R147),R147,0)-(Y147-IF(ISNUMBER(T147),T147,0)),"")</f>
        <v/>
      </c>
      <c r="AS147" s="17">
        <f>IF(AND(ISNUMBER(X147),ISNUMBER(Z147)),X147-IF(ISNUMBER(S147),S147,0)-(Z147-IF(ISNUMBER(U147),U147,0)),"")</f>
        <v/>
      </c>
      <c r="AT147" s="17">
        <f>IF(AND(ISNUMBER(AR147),ISNUMBER(AS147)),AR147-AS147,"")</f>
        <v/>
      </c>
      <c r="AU147" s="17">
        <f>IF(E147="금융","",IF(AND(ISNUMBER(L147),ISNUMBER(M147),ISNUMBER(N147),ISNUMBER(AT147)),L147+M147-N147-AT147,IF(AND(ISNUMBER(O147),ISNUMBER(N147)),O147-N147,"")))</f>
        <v/>
      </c>
      <c r="AV147" s="8">
        <f>IF(E147="금융","금융업 - 정의되지 않음",IF(AND(ISNUMBER(L147),ISNUMBER(M147),ISNUMBER(N147),ISNUMBER(AT147)),"순이익+감가상각-설비투자-운전자본증감",IF(AND(ISNUMBER(O147),ISNUMBER(N147)),"영업현금흐름-설비투자","산출불가")))</f>
        <v/>
      </c>
      <c r="AW147" s="19">
        <f>IF(AND(ISNUMBER(AU147),ISNUMBER(G147),G147&lt;&gt;0),AU147/G147,"")</f>
        <v/>
      </c>
      <c r="AX147" s="19">
        <f>IF(AND(ISNUMBER(AC147),ISNUMBER(G147),G147&lt;&gt;0),AC147/G147,"")</f>
        <v/>
      </c>
    </row>
    <row r="148">
      <c r="A148" s="8" t="inlineStr">
        <is>
          <t>WMT</t>
        </is>
      </c>
      <c r="B148" s="8" t="inlineStr">
        <is>
          <t>Walmart Inc.</t>
        </is>
      </c>
      <c r="C148" s="8" t="n">
        <v>2015</v>
      </c>
      <c r="D148" s="8" t="inlineStr">
        <is>
          <t>2016-01-31</t>
        </is>
      </c>
      <c r="E148" s="8" t="inlineStr">
        <is>
          <t>일반</t>
        </is>
      </c>
      <c r="F148" s="8" t="inlineStr">
        <is>
          <t>0000104169-18-000028</t>
        </is>
      </c>
      <c r="G148" s="15" t="n"/>
      <c r="H148" s="15" t="n"/>
      <c r="I148" s="15" t="n">
        <v>2.027</v>
      </c>
      <c r="J148" s="15" t="n">
        <v>6.558</v>
      </c>
      <c r="K148" s="15" t="n">
        <v>24.105</v>
      </c>
      <c r="L148" s="15" t="n">
        <v>14.694</v>
      </c>
      <c r="M148" s="15" t="n"/>
      <c r="N148" s="15" t="n">
        <v>11.477</v>
      </c>
      <c r="O148" s="15" t="n">
        <v>27.552</v>
      </c>
      <c r="P148" s="15" t="n">
        <v>80.54600000000001</v>
      </c>
      <c r="Q148" s="15" t="n">
        <v>81.39400000000001</v>
      </c>
      <c r="R148" s="15" t="n">
        <v>8.705</v>
      </c>
      <c r="S148" s="15" t="n">
        <v>9.135</v>
      </c>
      <c r="T148" s="15" t="n">
        <v>2.708</v>
      </c>
      <c r="U148" s="15" t="n">
        <v>1.592</v>
      </c>
      <c r="V148" s="15" t="n">
        <v>38.214</v>
      </c>
      <c r="W148" s="15" t="n">
        <v>60.239</v>
      </c>
      <c r="X148" s="15" t="n">
        <v>63.278</v>
      </c>
      <c r="Y148" s="15" t="n">
        <v>64.619</v>
      </c>
      <c r="Z148" s="15" t="n">
        <v>65.253</v>
      </c>
      <c r="AA148" s="15" t="n">
        <v>114.74</v>
      </c>
      <c r="AB148" s="16" t="n">
        <v>9651</v>
      </c>
      <c r="AC148" s="17">
        <f>IF(AND(ISNUMBER(H148),ISNUMBER(I148)),H148+I148,IF(ISNUMBER(K148),K148,IF(ISNUMBER(H148),H148,"")))</f>
        <v/>
      </c>
      <c r="AD148" s="18">
        <f>IF(OR(NOT(ISNUMBER(J148)),NOT(ISNUMBER(H148)),H148&lt;=0),기준표!$B$8,MIN(MAX(J148/H148,기준표!$B$6),기준표!$B$7))</f>
        <v/>
      </c>
      <c r="AE148" s="17">
        <f>IF(ISNUMBER(AC148),AC148*(1-AD148),"")</f>
        <v/>
      </c>
      <c r="AF148" s="17">
        <f>IF(AND(NOT(ISNUMBER(T148)),NOT(ISNUMBER(V148))),"",IF(ISNUMBER(T148),T148,0)+IF(ISNUMBER(V148),V148,0))</f>
        <v/>
      </c>
      <c r="AG148" s="17">
        <f>IF(E148="금융","",IF(AND(ISNUMBER(P148),ISNUMBER(AF148),ISNUMBER(R148)),P148+AF148-R148,""))</f>
        <v/>
      </c>
      <c r="AH148" s="17">
        <f>IF(E148="금융","",IF(NOT(ISNUMBER(AG148)),"",IF(ISNUMBER(AA148),(AG148+AA148)/2,AG148)))</f>
        <v/>
      </c>
      <c r="AI148" s="19">
        <f>IF(AND(ISNUMBER(AE148),ISNUMBER(AH148),AH148&gt;0),AE148/AH148,"")</f>
        <v/>
      </c>
      <c r="AJ148" s="17">
        <f>IF(E148="금융","",IF(AND(ISNUMBER(P148),ISNUMBER(AF148)),P148+AF148,""))</f>
        <v/>
      </c>
      <c r="AK148" s="19">
        <f>IF(OR(NOT(ISNUMBER(AE148)),NOT(ISNUMBER(AJ148)),AJ148&lt;=0),"",IF(AND(ISNUMBER(G148),AJ148&lt;0.1*G148),"",AE148/AJ148))</f>
        <v/>
      </c>
      <c r="AL148" s="17">
        <f>IF(NOT(ISNUMBER(P148)),"",IF(ISNUMBER(Q148),(P148+Q148)/2,P148))</f>
        <v/>
      </c>
      <c r="AM148" s="19">
        <f>IF(AND(ISNUMBER(L148),ISNUMBER(AL148),AL148&gt;0),L148/AL148,"")</f>
        <v/>
      </c>
      <c r="AN148" s="19">
        <f>IF(AND(ISNUMBER(AM148),ISNUMBER({ROIC})),AM148-{ROIC},"")</f>
        <v/>
      </c>
      <c r="AO148" s="17">
        <f>IF(AND(ISNUMBER(AC148),ISNUMBER(M148)),AC148+M148,"")</f>
        <v/>
      </c>
      <c r="AP148" s="20">
        <f>IF(AND(ISNUMBER(AF148),ISNUMBER(R148),ISNUMBER(AO148),AO148&gt;0),(AF148-R148)/AO148,"")</f>
        <v/>
      </c>
      <c r="AQ148" s="20">
        <f>IF(AND(ISNUMBER(AC148),ISNUMBER(I148),I148&lt;&gt;0,AC148&gt;0),AC148/I148,"")</f>
        <v/>
      </c>
      <c r="AR148" s="17">
        <f>IF(AND(ISNUMBER(W148),ISNUMBER(Y148)),W148-IF(ISNUMBER(R148),R148,0)-(Y148-IF(ISNUMBER(T148),T148,0)),"")</f>
        <v/>
      </c>
      <c r="AS148" s="17">
        <f>IF(AND(ISNUMBER(X148),ISNUMBER(Z148)),X148-IF(ISNUMBER(S148),S148,0)-(Z148-IF(ISNUMBER(U148),U148,0)),"")</f>
        <v/>
      </c>
      <c r="AT148" s="17">
        <f>IF(AND(ISNUMBER(AR148),ISNUMBER(AS148)),AR148-AS148,"")</f>
        <v/>
      </c>
      <c r="AU148" s="17">
        <f>IF(E148="금융","",IF(AND(ISNUMBER(L148),ISNUMBER(M148),ISNUMBER(N148),ISNUMBER(AT148)),L148+M148-N148-AT148,IF(AND(ISNUMBER(O148),ISNUMBER(N148)),O148-N148,"")))</f>
        <v/>
      </c>
      <c r="AV148" s="8">
        <f>IF(E148="금융","금융업 - 정의되지 않음",IF(AND(ISNUMBER(L148),ISNUMBER(M148),ISNUMBER(N148),ISNUMBER(AT148)),"순이익+감가상각-설비투자-운전자본증감",IF(AND(ISNUMBER(O148),ISNUMBER(N148)),"영업현금흐름-설비투자","산출불가")))</f>
        <v/>
      </c>
      <c r="AW148" s="19">
        <f>IF(AND(ISNUMBER(AU148),ISNUMBER(G148),G148&lt;&gt;0),AU148/G148,"")</f>
        <v/>
      </c>
      <c r="AX148" s="19">
        <f>IF(AND(ISNUMBER(AC148),ISNUMBER(G148),G148&lt;&gt;0),AC148/G148,"")</f>
        <v/>
      </c>
    </row>
    <row r="149">
      <c r="A149" s="8" t="inlineStr">
        <is>
          <t>WMT</t>
        </is>
      </c>
      <c r="B149" s="8" t="inlineStr">
        <is>
          <t>Walmart Inc.</t>
        </is>
      </c>
      <c r="C149" s="8" t="n">
        <v>2016</v>
      </c>
      <c r="D149" s="8" t="inlineStr">
        <is>
          <t>2017-01-31</t>
        </is>
      </c>
      <c r="E149" s="8" t="inlineStr">
        <is>
          <t>일반</t>
        </is>
      </c>
      <c r="F149" s="8" t="inlineStr">
        <is>
          <t>0000104169-19-000016</t>
        </is>
      </c>
      <c r="G149" s="15" t="n">
        <v>481.317</v>
      </c>
      <c r="H149" s="15" t="n"/>
      <c r="I149" s="15" t="n">
        <v>2.044</v>
      </c>
      <c r="J149" s="15" t="n">
        <v>6.204</v>
      </c>
      <c r="K149" s="15" t="n">
        <v>22.764</v>
      </c>
      <c r="L149" s="15" t="n">
        <v>13.643</v>
      </c>
      <c r="M149" s="15" t="n"/>
      <c r="N149" s="15" t="n">
        <v>10.619</v>
      </c>
      <c r="O149" s="15" t="n">
        <v>31.673</v>
      </c>
      <c r="P149" s="15" t="n">
        <v>77.798</v>
      </c>
      <c r="Q149" s="15" t="n">
        <v>80.54600000000001</v>
      </c>
      <c r="R149" s="15" t="n">
        <v>6.867</v>
      </c>
      <c r="S149" s="15" t="n">
        <v>8.705</v>
      </c>
      <c r="T149" s="15" t="n">
        <v>1.099</v>
      </c>
      <c r="U149" s="15" t="n">
        <v>2.708</v>
      </c>
      <c r="V149" s="15" t="n">
        <v>36.015</v>
      </c>
      <c r="W149" s="15" t="n">
        <v>57.689</v>
      </c>
      <c r="X149" s="15" t="n">
        <v>60.239</v>
      </c>
      <c r="Y149" s="15" t="n">
        <v>66.928</v>
      </c>
      <c r="Z149" s="15" t="n">
        <v>64.619</v>
      </c>
      <c r="AA149" s="15" t="n">
        <v>112.763</v>
      </c>
      <c r="AB149" s="16" t="n">
        <v>9336</v>
      </c>
      <c r="AC149" s="17">
        <f>IF(AND(ISNUMBER(H149),ISNUMBER(I149)),H149+I149,IF(ISNUMBER(K149),K149,IF(ISNUMBER(H149),H149,"")))</f>
        <v/>
      </c>
      <c r="AD149" s="18">
        <f>IF(OR(NOT(ISNUMBER(J149)),NOT(ISNUMBER(H149)),H149&lt;=0),기준표!$B$8,MIN(MAX(J149/H149,기준표!$B$6),기준표!$B$7))</f>
        <v/>
      </c>
      <c r="AE149" s="17">
        <f>IF(ISNUMBER(AC149),AC149*(1-AD149),"")</f>
        <v/>
      </c>
      <c r="AF149" s="17">
        <f>IF(AND(NOT(ISNUMBER(T149)),NOT(ISNUMBER(V149))),"",IF(ISNUMBER(T149),T149,0)+IF(ISNUMBER(V149),V149,0))</f>
        <v/>
      </c>
      <c r="AG149" s="17">
        <f>IF(E149="금융","",IF(AND(ISNUMBER(P149),ISNUMBER(AF149),ISNUMBER(R149)),P149+AF149-R149,""))</f>
        <v/>
      </c>
      <c r="AH149" s="17">
        <f>IF(E149="금융","",IF(NOT(ISNUMBER(AG149)),"",IF(ISNUMBER(AA149),(AG149+AA149)/2,AG149)))</f>
        <v/>
      </c>
      <c r="AI149" s="19">
        <f>IF(AND(ISNUMBER(AE149),ISNUMBER(AH149),AH149&gt;0),AE149/AH149,"")</f>
        <v/>
      </c>
      <c r="AJ149" s="17">
        <f>IF(E149="금융","",IF(AND(ISNUMBER(P149),ISNUMBER(AF149)),P149+AF149,""))</f>
        <v/>
      </c>
      <c r="AK149" s="19">
        <f>IF(OR(NOT(ISNUMBER(AE149)),NOT(ISNUMBER(AJ149)),AJ149&lt;=0),"",IF(AND(ISNUMBER(G149),AJ149&lt;0.1*G149),"",AE149/AJ149))</f>
        <v/>
      </c>
      <c r="AL149" s="17">
        <f>IF(NOT(ISNUMBER(P149)),"",IF(ISNUMBER(Q149),(P149+Q149)/2,P149))</f>
        <v/>
      </c>
      <c r="AM149" s="19">
        <f>IF(AND(ISNUMBER(L149),ISNUMBER(AL149),AL149&gt;0),L149/AL149,"")</f>
        <v/>
      </c>
      <c r="AN149" s="19">
        <f>IF(AND(ISNUMBER(AM149),ISNUMBER({ROIC})),AM149-{ROIC},"")</f>
        <v/>
      </c>
      <c r="AO149" s="17">
        <f>IF(AND(ISNUMBER(AC149),ISNUMBER(M149)),AC149+M149,"")</f>
        <v/>
      </c>
      <c r="AP149" s="20">
        <f>IF(AND(ISNUMBER(AF149),ISNUMBER(R149),ISNUMBER(AO149),AO149&gt;0),(AF149-R149)/AO149,"")</f>
        <v/>
      </c>
      <c r="AQ149" s="20">
        <f>IF(AND(ISNUMBER(AC149),ISNUMBER(I149),I149&lt;&gt;0,AC149&gt;0),AC149/I149,"")</f>
        <v/>
      </c>
      <c r="AR149" s="17">
        <f>IF(AND(ISNUMBER(W149),ISNUMBER(Y149)),W149-IF(ISNUMBER(R149),R149,0)-(Y149-IF(ISNUMBER(T149),T149,0)),"")</f>
        <v/>
      </c>
      <c r="AS149" s="17">
        <f>IF(AND(ISNUMBER(X149),ISNUMBER(Z149)),X149-IF(ISNUMBER(S149),S149,0)-(Z149-IF(ISNUMBER(U149),U149,0)),"")</f>
        <v/>
      </c>
      <c r="AT149" s="17">
        <f>IF(AND(ISNUMBER(AR149),ISNUMBER(AS149)),AR149-AS149,"")</f>
        <v/>
      </c>
      <c r="AU149" s="17">
        <f>IF(E149="금융","",IF(AND(ISNUMBER(L149),ISNUMBER(M149),ISNUMBER(N149),ISNUMBER(AT149)),L149+M149-N149-AT149,IF(AND(ISNUMBER(O149),ISNUMBER(N149)),O149-N149,"")))</f>
        <v/>
      </c>
      <c r="AV149" s="8">
        <f>IF(E149="금융","금융업 - 정의되지 않음",IF(AND(ISNUMBER(L149),ISNUMBER(M149),ISNUMBER(N149),ISNUMBER(AT149)),"순이익+감가상각-설비투자-운전자본증감",IF(AND(ISNUMBER(O149),ISNUMBER(N149)),"영업현금흐름-설비투자","산출불가")))</f>
        <v/>
      </c>
      <c r="AW149" s="19">
        <f>IF(AND(ISNUMBER(AU149),ISNUMBER(G149),G149&lt;&gt;0),AU149/G149,"")</f>
        <v/>
      </c>
      <c r="AX149" s="19">
        <f>IF(AND(ISNUMBER(AC149),ISNUMBER(G149),G149&lt;&gt;0),AC149/G149,"")</f>
        <v/>
      </c>
    </row>
    <row r="150">
      <c r="A150" s="8" t="inlineStr">
        <is>
          <t>WMT</t>
        </is>
      </c>
      <c r="B150" s="8" t="inlineStr">
        <is>
          <t>Walmart Inc.</t>
        </is>
      </c>
      <c r="C150" s="8" t="n">
        <v>2017</v>
      </c>
      <c r="D150" s="8" t="inlineStr">
        <is>
          <t>2018-01-31</t>
        </is>
      </c>
      <c r="E150" s="8" t="inlineStr">
        <is>
          <t>일반</t>
        </is>
      </c>
      <c r="F150" s="8" t="inlineStr">
        <is>
          <t>0000104169-20-000011</t>
        </is>
      </c>
      <c r="G150" s="15" t="n">
        <v>495.761</v>
      </c>
      <c r="H150" s="15" t="n"/>
      <c r="I150" s="15" t="n">
        <v>1.978</v>
      </c>
      <c r="J150" s="15" t="n">
        <v>4.6</v>
      </c>
      <c r="K150" s="15" t="n">
        <v>20.437</v>
      </c>
      <c r="L150" s="15" t="n">
        <v>9.862</v>
      </c>
      <c r="M150" s="15" t="n">
        <v>10.529</v>
      </c>
      <c r="N150" s="15" t="n">
        <v>10.051</v>
      </c>
      <c r="O150" s="15" t="n">
        <v>28.337</v>
      </c>
      <c r="P150" s="15" t="n">
        <v>77.869</v>
      </c>
      <c r="Q150" s="15" t="n">
        <v>77.798</v>
      </c>
      <c r="R150" s="15" t="n">
        <v>6.756</v>
      </c>
      <c r="S150" s="15" t="n">
        <v>6.867</v>
      </c>
      <c r="T150" s="15" t="n">
        <v>5.257</v>
      </c>
      <c r="U150" s="15" t="n">
        <v>1.099</v>
      </c>
      <c r="V150" s="15" t="n">
        <v>30.045</v>
      </c>
      <c r="W150" s="15" t="n">
        <v>59.664</v>
      </c>
      <c r="X150" s="15" t="n">
        <v>57.689</v>
      </c>
      <c r="Y150" s="15" t="n">
        <v>78.521</v>
      </c>
      <c r="Z150" s="15" t="n">
        <v>66.928</v>
      </c>
      <c r="AA150" s="15" t="n">
        <v>108.045</v>
      </c>
      <c r="AB150" s="16" t="n">
        <v>9030</v>
      </c>
      <c r="AC150" s="17">
        <f>IF(AND(ISNUMBER(H150),ISNUMBER(I150)),H150+I150,IF(ISNUMBER(K150),K150,IF(ISNUMBER(H150),H150,"")))</f>
        <v/>
      </c>
      <c r="AD150" s="18">
        <f>IF(OR(NOT(ISNUMBER(J150)),NOT(ISNUMBER(H150)),H150&lt;=0),기준표!$B$8,MIN(MAX(J150/H150,기준표!$B$6),기준표!$B$7))</f>
        <v/>
      </c>
      <c r="AE150" s="17">
        <f>IF(ISNUMBER(AC150),AC150*(1-AD150),"")</f>
        <v/>
      </c>
      <c r="AF150" s="17">
        <f>IF(AND(NOT(ISNUMBER(T150)),NOT(ISNUMBER(V150))),"",IF(ISNUMBER(T150),T150,0)+IF(ISNUMBER(V150),V150,0))</f>
        <v/>
      </c>
      <c r="AG150" s="17">
        <f>IF(E150="금융","",IF(AND(ISNUMBER(P150),ISNUMBER(AF150),ISNUMBER(R150)),P150+AF150-R150,""))</f>
        <v/>
      </c>
      <c r="AH150" s="17">
        <f>IF(E150="금융","",IF(NOT(ISNUMBER(AG150)),"",IF(ISNUMBER(AA150),(AG150+AA150)/2,AG150)))</f>
        <v/>
      </c>
      <c r="AI150" s="19">
        <f>IF(AND(ISNUMBER(AE150),ISNUMBER(AH150),AH150&gt;0),AE150/AH150,"")</f>
        <v/>
      </c>
      <c r="AJ150" s="17">
        <f>IF(E150="금융","",IF(AND(ISNUMBER(P150),ISNUMBER(AF150)),P150+AF150,""))</f>
        <v/>
      </c>
      <c r="AK150" s="19">
        <f>IF(OR(NOT(ISNUMBER(AE150)),NOT(ISNUMBER(AJ150)),AJ150&lt;=0),"",IF(AND(ISNUMBER(G150),AJ150&lt;0.1*G150),"",AE150/AJ150))</f>
        <v/>
      </c>
      <c r="AL150" s="17">
        <f>IF(NOT(ISNUMBER(P150)),"",IF(ISNUMBER(Q150),(P150+Q150)/2,P150))</f>
        <v/>
      </c>
      <c r="AM150" s="19">
        <f>IF(AND(ISNUMBER(L150),ISNUMBER(AL150),AL150&gt;0),L150/AL150,"")</f>
        <v/>
      </c>
      <c r="AN150" s="19">
        <f>IF(AND(ISNUMBER(AM150),ISNUMBER({ROIC})),AM150-{ROIC},"")</f>
        <v/>
      </c>
      <c r="AO150" s="17">
        <f>IF(AND(ISNUMBER(AC150),ISNUMBER(M150)),AC150+M150,"")</f>
        <v/>
      </c>
      <c r="AP150" s="20">
        <f>IF(AND(ISNUMBER(AF150),ISNUMBER(R150),ISNUMBER(AO150),AO150&gt;0),(AF150-R150)/AO150,"")</f>
        <v/>
      </c>
      <c r="AQ150" s="20">
        <f>IF(AND(ISNUMBER(AC150),ISNUMBER(I150),I150&lt;&gt;0,AC150&gt;0),AC150/I150,"")</f>
        <v/>
      </c>
      <c r="AR150" s="17">
        <f>IF(AND(ISNUMBER(W150),ISNUMBER(Y150)),W150-IF(ISNUMBER(R150),R150,0)-(Y150-IF(ISNUMBER(T150),T150,0)),"")</f>
        <v/>
      </c>
      <c r="AS150" s="17">
        <f>IF(AND(ISNUMBER(X150),ISNUMBER(Z150)),X150-IF(ISNUMBER(S150),S150,0)-(Z150-IF(ISNUMBER(U150),U150,0)),"")</f>
        <v/>
      </c>
      <c r="AT150" s="17">
        <f>IF(AND(ISNUMBER(AR150),ISNUMBER(AS150)),AR150-AS150,"")</f>
        <v/>
      </c>
      <c r="AU150" s="17">
        <f>IF(E150="금융","",IF(AND(ISNUMBER(L150),ISNUMBER(M150),ISNUMBER(N150),ISNUMBER(AT150)),L150+M150-N150-AT150,IF(AND(ISNUMBER(O150),ISNUMBER(N150)),O150-N150,"")))</f>
        <v/>
      </c>
      <c r="AV150" s="8">
        <f>IF(E150="금융","금융업 - 정의되지 않음",IF(AND(ISNUMBER(L150),ISNUMBER(M150),ISNUMBER(N150),ISNUMBER(AT150)),"순이익+감가상각-설비투자-운전자본증감",IF(AND(ISNUMBER(O150),ISNUMBER(N150)),"영업현금흐름-설비투자","산출불가")))</f>
        <v/>
      </c>
      <c r="AW150" s="19">
        <f>IF(AND(ISNUMBER(AU150),ISNUMBER(G150),G150&lt;&gt;0),AU150/G150,"")</f>
        <v/>
      </c>
      <c r="AX150" s="19">
        <f>IF(AND(ISNUMBER(AC150),ISNUMBER(G150),G150&lt;&gt;0),AC150/G150,"")</f>
        <v/>
      </c>
    </row>
    <row r="151">
      <c r="A151" s="8" t="inlineStr">
        <is>
          <t>WMT</t>
        </is>
      </c>
      <c r="B151" s="8" t="inlineStr">
        <is>
          <t>Walmart Inc.</t>
        </is>
      </c>
      <c r="C151" s="8" t="n">
        <v>2018</v>
      </c>
      <c r="D151" s="8" t="inlineStr">
        <is>
          <t>2019-01-31</t>
        </is>
      </c>
      <c r="E151" s="8" t="inlineStr">
        <is>
          <t>일반</t>
        </is>
      </c>
      <c r="F151" s="8" t="inlineStr">
        <is>
          <t>0000104169-21-000033</t>
        </is>
      </c>
      <c r="G151" s="15" t="n">
        <v>510.329</v>
      </c>
      <c r="H151" s="15" t="n"/>
      <c r="I151" s="15" t="n">
        <v>1.975</v>
      </c>
      <c r="J151" s="15" t="n">
        <v>4.281</v>
      </c>
      <c r="K151" s="15" t="n">
        <v>21.957</v>
      </c>
      <c r="L151" s="15" t="n">
        <v>6.67</v>
      </c>
      <c r="M151" s="15" t="n">
        <v>10.678</v>
      </c>
      <c r="N151" s="15" t="n">
        <v>10.344</v>
      </c>
      <c r="O151" s="15" t="n">
        <v>27.753</v>
      </c>
      <c r="P151" s="15" t="n">
        <v>72.496</v>
      </c>
      <c r="Q151" s="15" t="n">
        <v>77.869</v>
      </c>
      <c r="R151" s="15" t="n">
        <v>7.722</v>
      </c>
      <c r="S151" s="15" t="n">
        <v>6.756</v>
      </c>
      <c r="T151" s="15" t="n">
        <v>5.225</v>
      </c>
      <c r="U151" s="15" t="n">
        <v>5.257</v>
      </c>
      <c r="V151" s="15" t="n">
        <v>43.52</v>
      </c>
      <c r="W151" s="15" t="n">
        <v>61.897</v>
      </c>
      <c r="X151" s="15" t="n">
        <v>59.664</v>
      </c>
      <c r="Y151" s="15" t="n">
        <v>77.477</v>
      </c>
      <c r="Z151" s="15" t="n">
        <v>78.521</v>
      </c>
      <c r="AA151" s="15" t="n">
        <v>106.415</v>
      </c>
      <c r="AB151" s="16" t="n">
        <v>8835</v>
      </c>
      <c r="AC151" s="17">
        <f>IF(AND(ISNUMBER(H151),ISNUMBER(I151)),H151+I151,IF(ISNUMBER(K151),K151,IF(ISNUMBER(H151),H151,"")))</f>
        <v/>
      </c>
      <c r="AD151" s="18">
        <f>IF(OR(NOT(ISNUMBER(J151)),NOT(ISNUMBER(H151)),H151&lt;=0),기준표!$B$8,MIN(MAX(J151/H151,기준표!$B$6),기준표!$B$7))</f>
        <v/>
      </c>
      <c r="AE151" s="17">
        <f>IF(ISNUMBER(AC151),AC151*(1-AD151),"")</f>
        <v/>
      </c>
      <c r="AF151" s="17">
        <f>IF(AND(NOT(ISNUMBER(T151)),NOT(ISNUMBER(V151))),"",IF(ISNUMBER(T151),T151,0)+IF(ISNUMBER(V151),V151,0))</f>
        <v/>
      </c>
      <c r="AG151" s="17">
        <f>IF(E151="금융","",IF(AND(ISNUMBER(P151),ISNUMBER(AF151),ISNUMBER(R151)),P151+AF151-R151,""))</f>
        <v/>
      </c>
      <c r="AH151" s="17">
        <f>IF(E151="금융","",IF(NOT(ISNUMBER(AG151)),"",IF(ISNUMBER(AA151),(AG151+AA151)/2,AG151)))</f>
        <v/>
      </c>
      <c r="AI151" s="19">
        <f>IF(AND(ISNUMBER(AE151),ISNUMBER(AH151),AH151&gt;0),AE151/AH151,"")</f>
        <v/>
      </c>
      <c r="AJ151" s="17">
        <f>IF(E151="금융","",IF(AND(ISNUMBER(P151),ISNUMBER(AF151)),P151+AF151,""))</f>
        <v/>
      </c>
      <c r="AK151" s="19">
        <f>IF(OR(NOT(ISNUMBER(AE151)),NOT(ISNUMBER(AJ151)),AJ151&lt;=0),"",IF(AND(ISNUMBER(G151),AJ151&lt;0.1*G151),"",AE151/AJ151))</f>
        <v/>
      </c>
      <c r="AL151" s="17">
        <f>IF(NOT(ISNUMBER(P151)),"",IF(ISNUMBER(Q151),(P151+Q151)/2,P151))</f>
        <v/>
      </c>
      <c r="AM151" s="19">
        <f>IF(AND(ISNUMBER(L151),ISNUMBER(AL151),AL151&gt;0),L151/AL151,"")</f>
        <v/>
      </c>
      <c r="AN151" s="19">
        <f>IF(AND(ISNUMBER(AM151),ISNUMBER({ROIC})),AM151-{ROIC},"")</f>
        <v/>
      </c>
      <c r="AO151" s="17">
        <f>IF(AND(ISNUMBER(AC151),ISNUMBER(M151)),AC151+M151,"")</f>
        <v/>
      </c>
      <c r="AP151" s="20">
        <f>IF(AND(ISNUMBER(AF151),ISNUMBER(R151),ISNUMBER(AO151),AO151&gt;0),(AF151-R151)/AO151,"")</f>
        <v/>
      </c>
      <c r="AQ151" s="20">
        <f>IF(AND(ISNUMBER(AC151),ISNUMBER(I151),I151&lt;&gt;0,AC151&gt;0),AC151/I151,"")</f>
        <v/>
      </c>
      <c r="AR151" s="17">
        <f>IF(AND(ISNUMBER(W151),ISNUMBER(Y151)),W151-IF(ISNUMBER(R151),R151,0)-(Y151-IF(ISNUMBER(T151),T151,0)),"")</f>
        <v/>
      </c>
      <c r="AS151" s="17">
        <f>IF(AND(ISNUMBER(X151),ISNUMBER(Z151)),X151-IF(ISNUMBER(S151),S151,0)-(Z151-IF(ISNUMBER(U151),U151,0)),"")</f>
        <v/>
      </c>
      <c r="AT151" s="17">
        <f>IF(AND(ISNUMBER(AR151),ISNUMBER(AS151)),AR151-AS151,"")</f>
        <v/>
      </c>
      <c r="AU151" s="17">
        <f>IF(E151="금융","",IF(AND(ISNUMBER(L151),ISNUMBER(M151),ISNUMBER(N151),ISNUMBER(AT151)),L151+M151-N151-AT151,IF(AND(ISNUMBER(O151),ISNUMBER(N151)),O151-N151,"")))</f>
        <v/>
      </c>
      <c r="AV151" s="8">
        <f>IF(E151="금융","금융업 - 정의되지 않음",IF(AND(ISNUMBER(L151),ISNUMBER(M151),ISNUMBER(N151),ISNUMBER(AT151)),"순이익+감가상각-설비투자-운전자본증감",IF(AND(ISNUMBER(O151),ISNUMBER(N151)),"영업현금흐름-설비투자","산출불가")))</f>
        <v/>
      </c>
      <c r="AW151" s="19">
        <f>IF(AND(ISNUMBER(AU151),ISNUMBER(G151),G151&lt;&gt;0),AU151/G151,"")</f>
        <v/>
      </c>
      <c r="AX151" s="19">
        <f>IF(AND(ISNUMBER(AC151),ISNUMBER(G151),G151&lt;&gt;0),AC151/G151,"")</f>
        <v/>
      </c>
    </row>
    <row r="152">
      <c r="A152" s="8" t="inlineStr">
        <is>
          <t>WMT</t>
        </is>
      </c>
      <c r="B152" s="8" t="inlineStr">
        <is>
          <t>Walmart Inc.</t>
        </is>
      </c>
      <c r="C152" s="8" t="n">
        <v>2019</v>
      </c>
      <c r="D152" s="8" t="inlineStr">
        <is>
          <t>2020-01-31</t>
        </is>
      </c>
      <c r="E152" s="8" t="inlineStr">
        <is>
          <t>일반</t>
        </is>
      </c>
      <c r="F152" s="8" t="inlineStr">
        <is>
          <t>0000104169-22-000012</t>
        </is>
      </c>
      <c r="G152" s="15" t="n">
        <v>519.926</v>
      </c>
      <c r="H152" s="15" t="n">
        <v>20.116</v>
      </c>
      <c r="I152" s="15" t="n">
        <v>2.262</v>
      </c>
      <c r="J152" s="15" t="n">
        <v>4.915</v>
      </c>
      <c r="K152" s="15" t="n">
        <v>20.568</v>
      </c>
      <c r="L152" s="15" t="n">
        <v>14.881</v>
      </c>
      <c r="M152" s="15" t="n">
        <v>10.987</v>
      </c>
      <c r="N152" s="15" t="n">
        <v>10.705</v>
      </c>
      <c r="O152" s="15" t="n">
        <v>25.255</v>
      </c>
      <c r="P152" s="15" t="n">
        <v>74.669</v>
      </c>
      <c r="Q152" s="15" t="n">
        <v>72.496</v>
      </c>
      <c r="R152" s="15" t="n">
        <v>9.465</v>
      </c>
      <c r="S152" s="15" t="n">
        <v>7.722</v>
      </c>
      <c r="T152" s="15" t="n">
        <v>0.575</v>
      </c>
      <c r="U152" s="15" t="n">
        <v>5.225</v>
      </c>
      <c r="V152" s="15" t="n">
        <v>43.714</v>
      </c>
      <c r="W152" s="15" t="n">
        <v>61.806</v>
      </c>
      <c r="X152" s="15" t="n">
        <v>61.897</v>
      </c>
      <c r="Y152" s="15" t="n">
        <v>77.79000000000001</v>
      </c>
      <c r="Z152" s="15" t="n">
        <v>77.477</v>
      </c>
      <c r="AA152" s="15" t="n">
        <v>113.519</v>
      </c>
      <c r="AB152" s="16" t="n">
        <v>8604</v>
      </c>
      <c r="AC152" s="17">
        <f>IF(AND(ISNUMBER(H152),ISNUMBER(I152)),H152+I152,IF(ISNUMBER(K152),K152,IF(ISNUMBER(H152),H152,"")))</f>
        <v/>
      </c>
      <c r="AD152" s="18">
        <f>IF(OR(NOT(ISNUMBER(J152)),NOT(ISNUMBER(H152)),H152&lt;=0),기준표!$B$8,MIN(MAX(J152/H152,기준표!$B$6),기준표!$B$7))</f>
        <v/>
      </c>
      <c r="AE152" s="17">
        <f>IF(ISNUMBER(AC152),AC152*(1-AD152),"")</f>
        <v/>
      </c>
      <c r="AF152" s="17">
        <f>IF(AND(NOT(ISNUMBER(T152)),NOT(ISNUMBER(V152))),"",IF(ISNUMBER(T152),T152,0)+IF(ISNUMBER(V152),V152,0))</f>
        <v/>
      </c>
      <c r="AG152" s="17">
        <f>IF(E152="금융","",IF(AND(ISNUMBER(P152),ISNUMBER(AF152),ISNUMBER(R152)),P152+AF152-R152,""))</f>
        <v/>
      </c>
      <c r="AH152" s="17">
        <f>IF(E152="금융","",IF(NOT(ISNUMBER(AG152)),"",IF(ISNUMBER(AA152),(AG152+AA152)/2,AG152)))</f>
        <v/>
      </c>
      <c r="AI152" s="19">
        <f>IF(AND(ISNUMBER(AE152),ISNUMBER(AH152),AH152&gt;0),AE152/AH152,"")</f>
        <v/>
      </c>
      <c r="AJ152" s="17">
        <f>IF(E152="금융","",IF(AND(ISNUMBER(P152),ISNUMBER(AF152)),P152+AF152,""))</f>
        <v/>
      </c>
      <c r="AK152" s="19">
        <f>IF(OR(NOT(ISNUMBER(AE152)),NOT(ISNUMBER(AJ152)),AJ152&lt;=0),"",IF(AND(ISNUMBER(G152),AJ152&lt;0.1*G152),"",AE152/AJ152))</f>
        <v/>
      </c>
      <c r="AL152" s="17">
        <f>IF(NOT(ISNUMBER(P152)),"",IF(ISNUMBER(Q152),(P152+Q152)/2,P152))</f>
        <v/>
      </c>
      <c r="AM152" s="19">
        <f>IF(AND(ISNUMBER(L152),ISNUMBER(AL152),AL152&gt;0),L152/AL152,"")</f>
        <v/>
      </c>
      <c r="AN152" s="19">
        <f>IF(AND(ISNUMBER(AM152),ISNUMBER({ROIC})),AM152-{ROIC},"")</f>
        <v/>
      </c>
      <c r="AO152" s="17">
        <f>IF(AND(ISNUMBER(AC152),ISNUMBER(M152)),AC152+M152,"")</f>
        <v/>
      </c>
      <c r="AP152" s="20">
        <f>IF(AND(ISNUMBER(AF152),ISNUMBER(R152),ISNUMBER(AO152),AO152&gt;0),(AF152-R152)/AO152,"")</f>
        <v/>
      </c>
      <c r="AQ152" s="20">
        <f>IF(AND(ISNUMBER(AC152),ISNUMBER(I152),I152&lt;&gt;0,AC152&gt;0),AC152/I152,"")</f>
        <v/>
      </c>
      <c r="AR152" s="17">
        <f>IF(AND(ISNUMBER(W152),ISNUMBER(Y152)),W152-IF(ISNUMBER(R152),R152,0)-(Y152-IF(ISNUMBER(T152),T152,0)),"")</f>
        <v/>
      </c>
      <c r="AS152" s="17">
        <f>IF(AND(ISNUMBER(X152),ISNUMBER(Z152)),X152-IF(ISNUMBER(S152),S152,0)-(Z152-IF(ISNUMBER(U152),U152,0)),"")</f>
        <v/>
      </c>
      <c r="AT152" s="17">
        <f>IF(AND(ISNUMBER(AR152),ISNUMBER(AS152)),AR152-AS152,"")</f>
        <v/>
      </c>
      <c r="AU152" s="17">
        <f>IF(E152="금융","",IF(AND(ISNUMBER(L152),ISNUMBER(M152),ISNUMBER(N152),ISNUMBER(AT152)),L152+M152-N152-AT152,IF(AND(ISNUMBER(O152),ISNUMBER(N152)),O152-N152,"")))</f>
        <v/>
      </c>
      <c r="AV152" s="8">
        <f>IF(E152="금융","금융업 - 정의되지 않음",IF(AND(ISNUMBER(L152),ISNUMBER(M152),ISNUMBER(N152),ISNUMBER(AT152)),"순이익+감가상각-설비투자-운전자본증감",IF(AND(ISNUMBER(O152),ISNUMBER(N152)),"영업현금흐름-설비투자","산출불가")))</f>
        <v/>
      </c>
      <c r="AW152" s="19">
        <f>IF(AND(ISNUMBER(AU152),ISNUMBER(G152),G152&lt;&gt;0),AU152/G152,"")</f>
        <v/>
      </c>
      <c r="AX152" s="19">
        <f>IF(AND(ISNUMBER(AC152),ISNUMBER(G152),G152&lt;&gt;0),AC152/G152,"")</f>
        <v/>
      </c>
    </row>
    <row r="153">
      <c r="A153" s="8" t="inlineStr">
        <is>
          <t>WMT</t>
        </is>
      </c>
      <c r="B153" s="8" t="inlineStr">
        <is>
          <t>Walmart Inc.</t>
        </is>
      </c>
      <c r="C153" s="8" t="n">
        <v>2020</v>
      </c>
      <c r="D153" s="8" t="inlineStr">
        <is>
          <t>2021-01-31</t>
        </is>
      </c>
      <c r="E153" s="8" t="inlineStr">
        <is>
          <t>일반</t>
        </is>
      </c>
      <c r="F153" s="8" t="inlineStr">
        <is>
          <t>0000104169-23-000020</t>
        </is>
      </c>
      <c r="G153" s="15" t="n">
        <v>555.2329999999999</v>
      </c>
      <c r="H153" s="15" t="n">
        <v>20.564</v>
      </c>
      <c r="I153" s="15" t="n">
        <v>1.976</v>
      </c>
      <c r="J153" s="15" t="n">
        <v>6.858</v>
      </c>
      <c r="K153" s="15" t="n">
        <v>22.548</v>
      </c>
      <c r="L153" s="15" t="n">
        <v>13.51</v>
      </c>
      <c r="M153" s="15" t="n">
        <v>11.152</v>
      </c>
      <c r="N153" s="15" t="n">
        <v>10.264</v>
      </c>
      <c r="O153" s="15" t="n">
        <v>36.074</v>
      </c>
      <c r="P153" s="15" t="n">
        <v>80.925</v>
      </c>
      <c r="Q153" s="15" t="n">
        <v>74.669</v>
      </c>
      <c r="R153" s="15" t="n">
        <v>17.741</v>
      </c>
      <c r="S153" s="15" t="n">
        <v>9.465</v>
      </c>
      <c r="T153" s="15" t="n">
        <v>0.224</v>
      </c>
      <c r="U153" s="15" t="n">
        <v>0.575</v>
      </c>
      <c r="V153" s="15" t="n">
        <v>41.194</v>
      </c>
      <c r="W153" s="15" t="n">
        <v>90.06699999999999</v>
      </c>
      <c r="X153" s="15" t="n">
        <v>61.806</v>
      </c>
      <c r="Y153" s="15" t="n">
        <v>92.645</v>
      </c>
      <c r="Z153" s="15" t="n">
        <v>77.79000000000001</v>
      </c>
      <c r="AA153" s="15" t="n">
        <v>109.493</v>
      </c>
      <c r="AB153" s="16" t="n">
        <v>8541</v>
      </c>
      <c r="AC153" s="17">
        <f>IF(AND(ISNUMBER(H153),ISNUMBER(I153)),H153+I153,IF(ISNUMBER(K153),K153,IF(ISNUMBER(H153),H153,"")))</f>
        <v/>
      </c>
      <c r="AD153" s="18">
        <f>IF(OR(NOT(ISNUMBER(J153)),NOT(ISNUMBER(H153)),H153&lt;=0),기준표!$B$8,MIN(MAX(J153/H153,기준표!$B$6),기준표!$B$7))</f>
        <v/>
      </c>
      <c r="AE153" s="17">
        <f>IF(ISNUMBER(AC153),AC153*(1-AD153),"")</f>
        <v/>
      </c>
      <c r="AF153" s="17">
        <f>IF(AND(NOT(ISNUMBER(T153)),NOT(ISNUMBER(V153))),"",IF(ISNUMBER(T153),T153,0)+IF(ISNUMBER(V153),V153,0))</f>
        <v/>
      </c>
      <c r="AG153" s="17">
        <f>IF(E153="금융","",IF(AND(ISNUMBER(P153),ISNUMBER(AF153),ISNUMBER(R153)),P153+AF153-R153,""))</f>
        <v/>
      </c>
      <c r="AH153" s="17">
        <f>IF(E153="금융","",IF(NOT(ISNUMBER(AG153)),"",IF(ISNUMBER(AA153),(AG153+AA153)/2,AG153)))</f>
        <v/>
      </c>
      <c r="AI153" s="19">
        <f>IF(AND(ISNUMBER(AE153),ISNUMBER(AH153),AH153&gt;0),AE153/AH153,"")</f>
        <v/>
      </c>
      <c r="AJ153" s="17">
        <f>IF(E153="금융","",IF(AND(ISNUMBER(P153),ISNUMBER(AF153)),P153+AF153,""))</f>
        <v/>
      </c>
      <c r="AK153" s="19">
        <f>IF(OR(NOT(ISNUMBER(AE153)),NOT(ISNUMBER(AJ153)),AJ153&lt;=0),"",IF(AND(ISNUMBER(G153),AJ153&lt;0.1*G153),"",AE153/AJ153))</f>
        <v/>
      </c>
      <c r="AL153" s="17">
        <f>IF(NOT(ISNUMBER(P153)),"",IF(ISNUMBER(Q153),(P153+Q153)/2,P153))</f>
        <v/>
      </c>
      <c r="AM153" s="19">
        <f>IF(AND(ISNUMBER(L153),ISNUMBER(AL153),AL153&gt;0),L153/AL153,"")</f>
        <v/>
      </c>
      <c r="AN153" s="19">
        <f>IF(AND(ISNUMBER(AM153),ISNUMBER({ROIC})),AM153-{ROIC},"")</f>
        <v/>
      </c>
      <c r="AO153" s="17">
        <f>IF(AND(ISNUMBER(AC153),ISNUMBER(M153)),AC153+M153,"")</f>
        <v/>
      </c>
      <c r="AP153" s="20">
        <f>IF(AND(ISNUMBER(AF153),ISNUMBER(R153),ISNUMBER(AO153),AO153&gt;0),(AF153-R153)/AO153,"")</f>
        <v/>
      </c>
      <c r="AQ153" s="20">
        <f>IF(AND(ISNUMBER(AC153),ISNUMBER(I153),I153&lt;&gt;0,AC153&gt;0),AC153/I153,"")</f>
        <v/>
      </c>
      <c r="AR153" s="17">
        <f>IF(AND(ISNUMBER(W153),ISNUMBER(Y153)),W153-IF(ISNUMBER(R153),R153,0)-(Y153-IF(ISNUMBER(T153),T153,0)),"")</f>
        <v/>
      </c>
      <c r="AS153" s="17">
        <f>IF(AND(ISNUMBER(X153),ISNUMBER(Z153)),X153-IF(ISNUMBER(S153),S153,0)-(Z153-IF(ISNUMBER(U153),U153,0)),"")</f>
        <v/>
      </c>
      <c r="AT153" s="17">
        <f>IF(AND(ISNUMBER(AR153),ISNUMBER(AS153)),AR153-AS153,"")</f>
        <v/>
      </c>
      <c r="AU153" s="17">
        <f>IF(E153="금융","",IF(AND(ISNUMBER(L153),ISNUMBER(M153),ISNUMBER(N153),ISNUMBER(AT153)),L153+M153-N153-AT153,IF(AND(ISNUMBER(O153),ISNUMBER(N153)),O153-N153,"")))</f>
        <v/>
      </c>
      <c r="AV153" s="8">
        <f>IF(E153="금융","금융업 - 정의되지 않음",IF(AND(ISNUMBER(L153),ISNUMBER(M153),ISNUMBER(N153),ISNUMBER(AT153)),"순이익+감가상각-설비투자-운전자본증감",IF(AND(ISNUMBER(O153),ISNUMBER(N153)),"영업현금흐름-설비투자","산출불가")))</f>
        <v/>
      </c>
      <c r="AW153" s="19">
        <f>IF(AND(ISNUMBER(AU153),ISNUMBER(G153),G153&lt;&gt;0),AU153/G153,"")</f>
        <v/>
      </c>
      <c r="AX153" s="19">
        <f>IF(AND(ISNUMBER(AC153),ISNUMBER(G153),G153&lt;&gt;0),AC153/G153,"")</f>
        <v/>
      </c>
    </row>
    <row r="154">
      <c r="A154" s="8" t="inlineStr">
        <is>
          <t>WMT</t>
        </is>
      </c>
      <c r="B154" s="8" t="inlineStr">
        <is>
          <t>Walmart Inc.</t>
        </is>
      </c>
      <c r="C154" s="8" t="n">
        <v>2021</v>
      </c>
      <c r="D154" s="8" t="inlineStr">
        <is>
          <t>2022-01-31</t>
        </is>
      </c>
      <c r="E154" s="8" t="inlineStr">
        <is>
          <t>일반</t>
        </is>
      </c>
      <c r="F154" s="8" t="inlineStr">
        <is>
          <t>0000104169-24-000056</t>
        </is>
      </c>
      <c r="G154" s="15" t="n">
        <v>567.7619999999999</v>
      </c>
      <c r="H154" s="15" t="n">
        <v>18.696</v>
      </c>
      <c r="I154" s="15" t="n">
        <v>1.674</v>
      </c>
      <c r="J154" s="15" t="n">
        <v>4.756</v>
      </c>
      <c r="K154" s="15" t="n">
        <v>25.942</v>
      </c>
      <c r="L154" s="15" t="n">
        <v>13.673</v>
      </c>
      <c r="M154" s="15" t="n">
        <v>10.658</v>
      </c>
      <c r="N154" s="15" t="n">
        <v>13.106</v>
      </c>
      <c r="O154" s="15" t="n">
        <v>24.181</v>
      </c>
      <c r="P154" s="15" t="n">
        <v>83.253</v>
      </c>
      <c r="Q154" s="15" t="n">
        <v>80.925</v>
      </c>
      <c r="R154" s="15" t="n">
        <v>14.76</v>
      </c>
      <c r="S154" s="15" t="n">
        <v>17.741</v>
      </c>
      <c r="T154" s="15" t="n">
        <v>0.41</v>
      </c>
      <c r="U154" s="15" t="n">
        <v>0.224</v>
      </c>
      <c r="V154" s="15" t="n">
        <v>34.864</v>
      </c>
      <c r="W154" s="15" t="n">
        <v>81.06999999999999</v>
      </c>
      <c r="X154" s="15" t="n">
        <v>90.06699999999999</v>
      </c>
      <c r="Y154" s="15" t="n">
        <v>87.379</v>
      </c>
      <c r="Z154" s="15" t="n">
        <v>92.645</v>
      </c>
      <c r="AA154" s="15" t="n">
        <v>104.602</v>
      </c>
      <c r="AB154" s="16" t="n">
        <v>8415</v>
      </c>
      <c r="AC154" s="17">
        <f>IF(AND(ISNUMBER(H154),ISNUMBER(I154)),H154+I154,IF(ISNUMBER(K154),K154,IF(ISNUMBER(H154),H154,"")))</f>
        <v/>
      </c>
      <c r="AD154" s="18">
        <f>IF(OR(NOT(ISNUMBER(J154)),NOT(ISNUMBER(H154)),H154&lt;=0),기준표!$B$8,MIN(MAX(J154/H154,기준표!$B$6),기준표!$B$7))</f>
        <v/>
      </c>
      <c r="AE154" s="17">
        <f>IF(ISNUMBER(AC154),AC154*(1-AD154),"")</f>
        <v/>
      </c>
      <c r="AF154" s="17">
        <f>IF(AND(NOT(ISNUMBER(T154)),NOT(ISNUMBER(V154))),"",IF(ISNUMBER(T154),T154,0)+IF(ISNUMBER(V154),V154,0))</f>
        <v/>
      </c>
      <c r="AG154" s="17">
        <f>IF(E154="금융","",IF(AND(ISNUMBER(P154),ISNUMBER(AF154),ISNUMBER(R154)),P154+AF154-R154,""))</f>
        <v/>
      </c>
      <c r="AH154" s="17">
        <f>IF(E154="금융","",IF(NOT(ISNUMBER(AG154)),"",IF(ISNUMBER(AA154),(AG154+AA154)/2,AG154)))</f>
        <v/>
      </c>
      <c r="AI154" s="19">
        <f>IF(AND(ISNUMBER(AE154),ISNUMBER(AH154),AH154&gt;0),AE154/AH154,"")</f>
        <v/>
      </c>
      <c r="AJ154" s="17">
        <f>IF(E154="금융","",IF(AND(ISNUMBER(P154),ISNUMBER(AF154)),P154+AF154,""))</f>
        <v/>
      </c>
      <c r="AK154" s="19">
        <f>IF(OR(NOT(ISNUMBER(AE154)),NOT(ISNUMBER(AJ154)),AJ154&lt;=0),"",IF(AND(ISNUMBER(G154),AJ154&lt;0.1*G154),"",AE154/AJ154))</f>
        <v/>
      </c>
      <c r="AL154" s="17">
        <f>IF(NOT(ISNUMBER(P154)),"",IF(ISNUMBER(Q154),(P154+Q154)/2,P154))</f>
        <v/>
      </c>
      <c r="AM154" s="19">
        <f>IF(AND(ISNUMBER(L154),ISNUMBER(AL154),AL154&gt;0),L154/AL154,"")</f>
        <v/>
      </c>
      <c r="AN154" s="19">
        <f>IF(AND(ISNUMBER(AM154),ISNUMBER({ROIC})),AM154-{ROIC},"")</f>
        <v/>
      </c>
      <c r="AO154" s="17">
        <f>IF(AND(ISNUMBER(AC154),ISNUMBER(M154)),AC154+M154,"")</f>
        <v/>
      </c>
      <c r="AP154" s="20">
        <f>IF(AND(ISNUMBER(AF154),ISNUMBER(R154),ISNUMBER(AO154),AO154&gt;0),(AF154-R154)/AO154,"")</f>
        <v/>
      </c>
      <c r="AQ154" s="20">
        <f>IF(AND(ISNUMBER(AC154),ISNUMBER(I154),I154&lt;&gt;0,AC154&gt;0),AC154/I154,"")</f>
        <v/>
      </c>
      <c r="AR154" s="17">
        <f>IF(AND(ISNUMBER(W154),ISNUMBER(Y154)),W154-IF(ISNUMBER(R154),R154,0)-(Y154-IF(ISNUMBER(T154),T154,0)),"")</f>
        <v/>
      </c>
      <c r="AS154" s="17">
        <f>IF(AND(ISNUMBER(X154),ISNUMBER(Z154)),X154-IF(ISNUMBER(S154),S154,0)-(Z154-IF(ISNUMBER(U154),U154,0)),"")</f>
        <v/>
      </c>
      <c r="AT154" s="17">
        <f>IF(AND(ISNUMBER(AR154),ISNUMBER(AS154)),AR154-AS154,"")</f>
        <v/>
      </c>
      <c r="AU154" s="17">
        <f>IF(E154="금융","",IF(AND(ISNUMBER(L154),ISNUMBER(M154),ISNUMBER(N154),ISNUMBER(AT154)),L154+M154-N154-AT154,IF(AND(ISNUMBER(O154),ISNUMBER(N154)),O154-N154,"")))</f>
        <v/>
      </c>
      <c r="AV154" s="8">
        <f>IF(E154="금융","금융업 - 정의되지 않음",IF(AND(ISNUMBER(L154),ISNUMBER(M154),ISNUMBER(N154),ISNUMBER(AT154)),"순이익+감가상각-설비투자-운전자본증감",IF(AND(ISNUMBER(O154),ISNUMBER(N154)),"영업현금흐름-설비투자","산출불가")))</f>
        <v/>
      </c>
      <c r="AW154" s="19">
        <f>IF(AND(ISNUMBER(AU154),ISNUMBER(G154),G154&lt;&gt;0),AU154/G154,"")</f>
        <v/>
      </c>
      <c r="AX154" s="19">
        <f>IF(AND(ISNUMBER(AC154),ISNUMBER(G154),G154&lt;&gt;0),AC154/G154,"")</f>
        <v/>
      </c>
    </row>
    <row r="155">
      <c r="A155" s="8" t="inlineStr">
        <is>
          <t>WMT</t>
        </is>
      </c>
      <c r="B155" s="8" t="inlineStr">
        <is>
          <t>Walmart Inc.</t>
        </is>
      </c>
      <c r="C155" s="8" t="n">
        <v>2022</v>
      </c>
      <c r="D155" s="8" t="inlineStr">
        <is>
          <t>2023-01-31</t>
        </is>
      </c>
      <c r="E155" s="8" t="inlineStr">
        <is>
          <t>일반</t>
        </is>
      </c>
      <c r="F155" s="8" t="inlineStr">
        <is>
          <t>0000104169-25-000021</t>
        </is>
      </c>
      <c r="G155" s="15" t="n">
        <v>605.881</v>
      </c>
      <c r="H155" s="15" t="n">
        <v>17.016</v>
      </c>
      <c r="I155" s="15" t="n">
        <v>1.787</v>
      </c>
      <c r="J155" s="15" t="n">
        <v>5.724</v>
      </c>
      <c r="K155" s="15" t="n">
        <v>20.428</v>
      </c>
      <c r="L155" s="15" t="n">
        <v>11.68</v>
      </c>
      <c r="M155" s="15" t="n">
        <v>10.945</v>
      </c>
      <c r="N155" s="15" t="n">
        <v>16.857</v>
      </c>
      <c r="O155" s="15" t="n">
        <v>28.841</v>
      </c>
      <c r="P155" s="15" t="n">
        <v>76.693</v>
      </c>
      <c r="Q155" s="15" t="n">
        <v>83.253</v>
      </c>
      <c r="R155" s="15" t="n">
        <v>8.625</v>
      </c>
      <c r="S155" s="15" t="n">
        <v>14.76</v>
      </c>
      <c r="T155" s="15" t="n">
        <v>0.372</v>
      </c>
      <c r="U155" s="15" t="n">
        <v>0.41</v>
      </c>
      <c r="V155" s="15" t="n">
        <v>34.649</v>
      </c>
      <c r="W155" s="15" t="n">
        <v>75.655</v>
      </c>
      <c r="X155" s="15" t="n">
        <v>81.06999999999999</v>
      </c>
      <c r="Y155" s="15" t="n">
        <v>92.19799999999999</v>
      </c>
      <c r="Z155" s="15" t="n">
        <v>87.379</v>
      </c>
      <c r="AA155" s="15" t="n">
        <v>103.767</v>
      </c>
      <c r="AB155" s="16" t="n">
        <v>8202</v>
      </c>
      <c r="AC155" s="17">
        <f>IF(AND(ISNUMBER(H155),ISNUMBER(I155)),H155+I155,IF(ISNUMBER(K155),K155,IF(ISNUMBER(H155),H155,"")))</f>
        <v/>
      </c>
      <c r="AD155" s="18">
        <f>IF(OR(NOT(ISNUMBER(J155)),NOT(ISNUMBER(H155)),H155&lt;=0),기준표!$B$8,MIN(MAX(J155/H155,기준표!$B$6),기준표!$B$7))</f>
        <v/>
      </c>
      <c r="AE155" s="17">
        <f>IF(ISNUMBER(AC155),AC155*(1-AD155),"")</f>
        <v/>
      </c>
      <c r="AF155" s="17">
        <f>IF(AND(NOT(ISNUMBER(T155)),NOT(ISNUMBER(V155))),"",IF(ISNUMBER(T155),T155,0)+IF(ISNUMBER(V155),V155,0))</f>
        <v/>
      </c>
      <c r="AG155" s="17">
        <f>IF(E155="금융","",IF(AND(ISNUMBER(P155),ISNUMBER(AF155),ISNUMBER(R155)),P155+AF155-R155,""))</f>
        <v/>
      </c>
      <c r="AH155" s="17">
        <f>IF(E155="금융","",IF(NOT(ISNUMBER(AG155)),"",IF(ISNUMBER(AA155),(AG155+AA155)/2,AG155)))</f>
        <v/>
      </c>
      <c r="AI155" s="19">
        <f>IF(AND(ISNUMBER(AE155),ISNUMBER(AH155),AH155&gt;0),AE155/AH155,"")</f>
        <v/>
      </c>
      <c r="AJ155" s="17">
        <f>IF(E155="금융","",IF(AND(ISNUMBER(P155),ISNUMBER(AF155)),P155+AF155,""))</f>
        <v/>
      </c>
      <c r="AK155" s="19">
        <f>IF(OR(NOT(ISNUMBER(AE155)),NOT(ISNUMBER(AJ155)),AJ155&lt;=0),"",IF(AND(ISNUMBER(G155),AJ155&lt;0.1*G155),"",AE155/AJ155))</f>
        <v/>
      </c>
      <c r="AL155" s="17">
        <f>IF(NOT(ISNUMBER(P155)),"",IF(ISNUMBER(Q155),(P155+Q155)/2,P155))</f>
        <v/>
      </c>
      <c r="AM155" s="19">
        <f>IF(AND(ISNUMBER(L155),ISNUMBER(AL155),AL155&gt;0),L155/AL155,"")</f>
        <v/>
      </c>
      <c r="AN155" s="19">
        <f>IF(AND(ISNUMBER(AM155),ISNUMBER({ROIC})),AM155-{ROIC},"")</f>
        <v/>
      </c>
      <c r="AO155" s="17">
        <f>IF(AND(ISNUMBER(AC155),ISNUMBER(M155)),AC155+M155,"")</f>
        <v/>
      </c>
      <c r="AP155" s="20">
        <f>IF(AND(ISNUMBER(AF155),ISNUMBER(R155),ISNUMBER(AO155),AO155&gt;0),(AF155-R155)/AO155,"")</f>
        <v/>
      </c>
      <c r="AQ155" s="20">
        <f>IF(AND(ISNUMBER(AC155),ISNUMBER(I155),I155&lt;&gt;0,AC155&gt;0),AC155/I155,"")</f>
        <v/>
      </c>
      <c r="AR155" s="17">
        <f>IF(AND(ISNUMBER(W155),ISNUMBER(Y155)),W155-IF(ISNUMBER(R155),R155,0)-(Y155-IF(ISNUMBER(T155),T155,0)),"")</f>
        <v/>
      </c>
      <c r="AS155" s="17">
        <f>IF(AND(ISNUMBER(X155),ISNUMBER(Z155)),X155-IF(ISNUMBER(S155),S155,0)-(Z155-IF(ISNUMBER(U155),U155,0)),"")</f>
        <v/>
      </c>
      <c r="AT155" s="17">
        <f>IF(AND(ISNUMBER(AR155),ISNUMBER(AS155)),AR155-AS155,"")</f>
        <v/>
      </c>
      <c r="AU155" s="17">
        <f>IF(E155="금융","",IF(AND(ISNUMBER(L155),ISNUMBER(M155),ISNUMBER(N155),ISNUMBER(AT155)),L155+M155-N155-AT155,IF(AND(ISNUMBER(O155),ISNUMBER(N155)),O155-N155,"")))</f>
        <v/>
      </c>
      <c r="AV155" s="8">
        <f>IF(E155="금융","금융업 - 정의되지 않음",IF(AND(ISNUMBER(L155),ISNUMBER(M155),ISNUMBER(N155),ISNUMBER(AT155)),"순이익+감가상각-설비투자-운전자본증감",IF(AND(ISNUMBER(O155),ISNUMBER(N155)),"영업현금흐름-설비투자","산출불가")))</f>
        <v/>
      </c>
      <c r="AW155" s="19">
        <f>IF(AND(ISNUMBER(AU155),ISNUMBER(G155),G155&lt;&gt;0),AU155/G155,"")</f>
        <v/>
      </c>
      <c r="AX155" s="19">
        <f>IF(AND(ISNUMBER(AC155),ISNUMBER(G155),G155&lt;&gt;0),AC155/G155,"")</f>
        <v/>
      </c>
    </row>
    <row r="156">
      <c r="A156" s="8" t="inlineStr">
        <is>
          <t>WMT</t>
        </is>
      </c>
      <c r="B156" s="8" t="inlineStr">
        <is>
          <t>Walmart Inc.</t>
        </is>
      </c>
      <c r="C156" s="8" t="n">
        <v>2023</v>
      </c>
      <c r="D156" s="8" t="inlineStr">
        <is>
          <t>2024-01-31</t>
        </is>
      </c>
      <c r="E156" s="8" t="inlineStr">
        <is>
          <t>일반</t>
        </is>
      </c>
      <c r="F156" s="8" t="inlineStr">
        <is>
          <t>0000104169-26-000055</t>
        </is>
      </c>
      <c r="G156" s="15" t="n">
        <v>642.6369999999999</v>
      </c>
      <c r="H156" s="15" t="n">
        <v>21.848</v>
      </c>
      <c r="I156" s="15" t="n">
        <v>2.259</v>
      </c>
      <c r="J156" s="15" t="n">
        <v>5.578</v>
      </c>
      <c r="K156" s="15" t="n">
        <v>27.012</v>
      </c>
      <c r="L156" s="15" t="n">
        <v>15.511</v>
      </c>
      <c r="M156" s="15" t="n">
        <v>11.853</v>
      </c>
      <c r="N156" s="15" t="n">
        <v>20.606</v>
      </c>
      <c r="O156" s="15" t="n">
        <v>35.726</v>
      </c>
      <c r="P156" s="15" t="n">
        <v>83.861</v>
      </c>
      <c r="Q156" s="15" t="n">
        <v>76.693</v>
      </c>
      <c r="R156" s="15" t="n">
        <v>9.867000000000001</v>
      </c>
      <c r="S156" s="15" t="n">
        <v>8.625</v>
      </c>
      <c r="T156" s="15" t="n">
        <v>0.878</v>
      </c>
      <c r="U156" s="15" t="n">
        <v>0.372</v>
      </c>
      <c r="V156" s="15" t="n">
        <v>36.132</v>
      </c>
      <c r="W156" s="15" t="n">
        <v>76.877</v>
      </c>
      <c r="X156" s="15" t="n">
        <v>75.655</v>
      </c>
      <c r="Y156" s="15" t="n">
        <v>92.41500000000001</v>
      </c>
      <c r="Z156" s="15" t="n">
        <v>92.19799999999999</v>
      </c>
      <c r="AA156" s="15" t="n">
        <v>103.089</v>
      </c>
      <c r="AB156" s="16" t="n">
        <v>8108</v>
      </c>
      <c r="AC156" s="17">
        <f>IF(AND(ISNUMBER(H156),ISNUMBER(I156)),H156+I156,IF(ISNUMBER(K156),K156,IF(ISNUMBER(H156),H156,"")))</f>
        <v/>
      </c>
      <c r="AD156" s="18">
        <f>IF(OR(NOT(ISNUMBER(J156)),NOT(ISNUMBER(H156)),H156&lt;=0),기준표!$B$8,MIN(MAX(J156/H156,기준표!$B$6),기준표!$B$7))</f>
        <v/>
      </c>
      <c r="AE156" s="17">
        <f>IF(ISNUMBER(AC156),AC156*(1-AD156),"")</f>
        <v/>
      </c>
      <c r="AF156" s="17">
        <f>IF(AND(NOT(ISNUMBER(T156)),NOT(ISNUMBER(V156))),"",IF(ISNUMBER(T156),T156,0)+IF(ISNUMBER(V156),V156,0))</f>
        <v/>
      </c>
      <c r="AG156" s="17">
        <f>IF(E156="금융","",IF(AND(ISNUMBER(P156),ISNUMBER(AF156),ISNUMBER(R156)),P156+AF156-R156,""))</f>
        <v/>
      </c>
      <c r="AH156" s="17">
        <f>IF(E156="금융","",IF(NOT(ISNUMBER(AG156)),"",IF(ISNUMBER(AA156),(AG156+AA156)/2,AG156)))</f>
        <v/>
      </c>
      <c r="AI156" s="19">
        <f>IF(AND(ISNUMBER(AE156),ISNUMBER(AH156),AH156&gt;0),AE156/AH156,"")</f>
        <v/>
      </c>
      <c r="AJ156" s="17">
        <f>IF(E156="금융","",IF(AND(ISNUMBER(P156),ISNUMBER(AF156)),P156+AF156,""))</f>
        <v/>
      </c>
      <c r="AK156" s="19">
        <f>IF(OR(NOT(ISNUMBER(AE156)),NOT(ISNUMBER(AJ156)),AJ156&lt;=0),"",IF(AND(ISNUMBER(G156),AJ156&lt;0.1*G156),"",AE156/AJ156))</f>
        <v/>
      </c>
      <c r="AL156" s="17">
        <f>IF(NOT(ISNUMBER(P156)),"",IF(ISNUMBER(Q156),(P156+Q156)/2,P156))</f>
        <v/>
      </c>
      <c r="AM156" s="19">
        <f>IF(AND(ISNUMBER(L156),ISNUMBER(AL156),AL156&gt;0),L156/AL156,"")</f>
        <v/>
      </c>
      <c r="AN156" s="19">
        <f>IF(AND(ISNUMBER(AM156),ISNUMBER({ROIC})),AM156-{ROIC},"")</f>
        <v/>
      </c>
      <c r="AO156" s="17">
        <f>IF(AND(ISNUMBER(AC156),ISNUMBER(M156)),AC156+M156,"")</f>
        <v/>
      </c>
      <c r="AP156" s="20">
        <f>IF(AND(ISNUMBER(AF156),ISNUMBER(R156),ISNUMBER(AO156),AO156&gt;0),(AF156-R156)/AO156,"")</f>
        <v/>
      </c>
      <c r="AQ156" s="20">
        <f>IF(AND(ISNUMBER(AC156),ISNUMBER(I156),I156&lt;&gt;0,AC156&gt;0),AC156/I156,"")</f>
        <v/>
      </c>
      <c r="AR156" s="17">
        <f>IF(AND(ISNUMBER(W156),ISNUMBER(Y156)),W156-IF(ISNUMBER(R156),R156,0)-(Y156-IF(ISNUMBER(T156),T156,0)),"")</f>
        <v/>
      </c>
      <c r="AS156" s="17">
        <f>IF(AND(ISNUMBER(X156),ISNUMBER(Z156)),X156-IF(ISNUMBER(S156),S156,0)-(Z156-IF(ISNUMBER(U156),U156,0)),"")</f>
        <v/>
      </c>
      <c r="AT156" s="17">
        <f>IF(AND(ISNUMBER(AR156),ISNUMBER(AS156)),AR156-AS156,"")</f>
        <v/>
      </c>
      <c r="AU156" s="17">
        <f>IF(E156="금융","",IF(AND(ISNUMBER(L156),ISNUMBER(M156),ISNUMBER(N156),ISNUMBER(AT156)),L156+M156-N156-AT156,IF(AND(ISNUMBER(O156),ISNUMBER(N156)),O156-N156,"")))</f>
        <v/>
      </c>
      <c r="AV156" s="8">
        <f>IF(E156="금융","금융업 - 정의되지 않음",IF(AND(ISNUMBER(L156),ISNUMBER(M156),ISNUMBER(N156),ISNUMBER(AT156)),"순이익+감가상각-설비투자-운전자본증감",IF(AND(ISNUMBER(O156),ISNUMBER(N156)),"영업현금흐름-설비투자","산출불가")))</f>
        <v/>
      </c>
      <c r="AW156" s="19">
        <f>IF(AND(ISNUMBER(AU156),ISNUMBER(G156),G156&lt;&gt;0),AU156/G156,"")</f>
        <v/>
      </c>
      <c r="AX156" s="19">
        <f>IF(AND(ISNUMBER(AC156),ISNUMBER(G156),G156&lt;&gt;0),AC156/G156,"")</f>
        <v/>
      </c>
    </row>
    <row r="157">
      <c r="A157" s="8" t="inlineStr">
        <is>
          <t>WMT</t>
        </is>
      </c>
      <c r="B157" s="8" t="inlineStr">
        <is>
          <t>Walmart Inc.</t>
        </is>
      </c>
      <c r="C157" s="8" t="n">
        <v>2024</v>
      </c>
      <c r="D157" s="8" t="inlineStr">
        <is>
          <t>2025-01-31</t>
        </is>
      </c>
      <c r="E157" s="8" t="inlineStr">
        <is>
          <t>일반</t>
        </is>
      </c>
      <c r="F157" s="8" t="inlineStr">
        <is>
          <t>0000104169-26-000055</t>
        </is>
      </c>
      <c r="G157" s="15" t="n">
        <v>674.538</v>
      </c>
      <c r="H157" s="15" t="n">
        <v>26.309</v>
      </c>
      <c r="I157" s="15" t="n">
        <v>2.249</v>
      </c>
      <c r="J157" s="15" t="n">
        <v>6.152</v>
      </c>
      <c r="K157" s="15" t="n">
        <v>29.348</v>
      </c>
      <c r="L157" s="15" t="n">
        <v>19.436</v>
      </c>
      <c r="M157" s="15" t="n">
        <v>12.973</v>
      </c>
      <c r="N157" s="15" t="n">
        <v>23.783</v>
      </c>
      <c r="O157" s="15" t="n">
        <v>36.443</v>
      </c>
      <c r="P157" s="15" t="n">
        <v>91.01300000000001</v>
      </c>
      <c r="Q157" s="15" t="n">
        <v>83.861</v>
      </c>
      <c r="R157" s="15" t="n">
        <v>9.037000000000001</v>
      </c>
      <c r="S157" s="15" t="n">
        <v>9.867000000000001</v>
      </c>
      <c r="T157" s="15" t="n">
        <v>3.068</v>
      </c>
      <c r="U157" s="15" t="n">
        <v>0.878</v>
      </c>
      <c r="V157" s="15" t="n">
        <v>33.401</v>
      </c>
      <c r="W157" s="15" t="n">
        <v>79.458</v>
      </c>
      <c r="X157" s="15" t="n">
        <v>76.877</v>
      </c>
      <c r="Y157" s="15" t="n">
        <v>96.584</v>
      </c>
      <c r="Z157" s="15" t="n">
        <v>92.41500000000001</v>
      </c>
      <c r="AA157" s="15" t="n">
        <v>111.004</v>
      </c>
      <c r="AB157" s="16" t="n">
        <v>8081</v>
      </c>
      <c r="AC157" s="17">
        <f>IF(AND(ISNUMBER(H157),ISNUMBER(I157)),H157+I157,IF(ISNUMBER(K157),K157,IF(ISNUMBER(H157),H157,"")))</f>
        <v/>
      </c>
      <c r="AD157" s="18">
        <f>IF(OR(NOT(ISNUMBER(J157)),NOT(ISNUMBER(H157)),H157&lt;=0),기준표!$B$8,MIN(MAX(J157/H157,기준표!$B$6),기준표!$B$7))</f>
        <v/>
      </c>
      <c r="AE157" s="17">
        <f>IF(ISNUMBER(AC157),AC157*(1-AD157),"")</f>
        <v/>
      </c>
      <c r="AF157" s="17">
        <f>IF(AND(NOT(ISNUMBER(T157)),NOT(ISNUMBER(V157))),"",IF(ISNUMBER(T157),T157,0)+IF(ISNUMBER(V157),V157,0))</f>
        <v/>
      </c>
      <c r="AG157" s="17">
        <f>IF(E157="금융","",IF(AND(ISNUMBER(P157),ISNUMBER(AF157),ISNUMBER(R157)),P157+AF157-R157,""))</f>
        <v/>
      </c>
      <c r="AH157" s="17">
        <f>IF(E157="금융","",IF(NOT(ISNUMBER(AG157)),"",IF(ISNUMBER(AA157),(AG157+AA157)/2,AG157)))</f>
        <v/>
      </c>
      <c r="AI157" s="19">
        <f>IF(AND(ISNUMBER(AE157),ISNUMBER(AH157),AH157&gt;0),AE157/AH157,"")</f>
        <v/>
      </c>
      <c r="AJ157" s="17">
        <f>IF(E157="금융","",IF(AND(ISNUMBER(P157),ISNUMBER(AF157)),P157+AF157,""))</f>
        <v/>
      </c>
      <c r="AK157" s="19">
        <f>IF(OR(NOT(ISNUMBER(AE157)),NOT(ISNUMBER(AJ157)),AJ157&lt;=0),"",IF(AND(ISNUMBER(G157),AJ157&lt;0.1*G157),"",AE157/AJ157))</f>
        <v/>
      </c>
      <c r="AL157" s="17">
        <f>IF(NOT(ISNUMBER(P157)),"",IF(ISNUMBER(Q157),(P157+Q157)/2,P157))</f>
        <v/>
      </c>
      <c r="AM157" s="19">
        <f>IF(AND(ISNUMBER(L157),ISNUMBER(AL157),AL157&gt;0),L157/AL157,"")</f>
        <v/>
      </c>
      <c r="AN157" s="19">
        <f>IF(AND(ISNUMBER(AM157),ISNUMBER({ROIC})),AM157-{ROIC},"")</f>
        <v/>
      </c>
      <c r="AO157" s="17">
        <f>IF(AND(ISNUMBER(AC157),ISNUMBER(M157)),AC157+M157,"")</f>
        <v/>
      </c>
      <c r="AP157" s="20">
        <f>IF(AND(ISNUMBER(AF157),ISNUMBER(R157),ISNUMBER(AO157),AO157&gt;0),(AF157-R157)/AO157,"")</f>
        <v/>
      </c>
      <c r="AQ157" s="20">
        <f>IF(AND(ISNUMBER(AC157),ISNUMBER(I157),I157&lt;&gt;0,AC157&gt;0),AC157/I157,"")</f>
        <v/>
      </c>
      <c r="AR157" s="17">
        <f>IF(AND(ISNUMBER(W157),ISNUMBER(Y157)),W157-IF(ISNUMBER(R157),R157,0)-(Y157-IF(ISNUMBER(T157),T157,0)),"")</f>
        <v/>
      </c>
      <c r="AS157" s="17">
        <f>IF(AND(ISNUMBER(X157),ISNUMBER(Z157)),X157-IF(ISNUMBER(S157),S157,0)-(Z157-IF(ISNUMBER(U157),U157,0)),"")</f>
        <v/>
      </c>
      <c r="AT157" s="17">
        <f>IF(AND(ISNUMBER(AR157),ISNUMBER(AS157)),AR157-AS157,"")</f>
        <v/>
      </c>
      <c r="AU157" s="17">
        <f>IF(E157="금융","",IF(AND(ISNUMBER(L157),ISNUMBER(M157),ISNUMBER(N157),ISNUMBER(AT157)),L157+M157-N157-AT157,IF(AND(ISNUMBER(O157),ISNUMBER(N157)),O157-N157,"")))</f>
        <v/>
      </c>
      <c r="AV157" s="8">
        <f>IF(E157="금융","금융업 - 정의되지 않음",IF(AND(ISNUMBER(L157),ISNUMBER(M157),ISNUMBER(N157),ISNUMBER(AT157)),"순이익+감가상각-설비투자-운전자본증감",IF(AND(ISNUMBER(O157),ISNUMBER(N157)),"영업현금흐름-설비투자","산출불가")))</f>
        <v/>
      </c>
      <c r="AW157" s="19">
        <f>IF(AND(ISNUMBER(AU157),ISNUMBER(G157),G157&lt;&gt;0),AU157/G157,"")</f>
        <v/>
      </c>
      <c r="AX157" s="19">
        <f>IF(AND(ISNUMBER(AC157),ISNUMBER(G157),G157&lt;&gt;0),AC157/G157,"")</f>
        <v/>
      </c>
    </row>
    <row r="158">
      <c r="A158" s="8" t="inlineStr">
        <is>
          <t>WMT</t>
        </is>
      </c>
      <c r="B158" s="8" t="inlineStr">
        <is>
          <t>Walmart Inc.</t>
        </is>
      </c>
      <c r="C158" s="8" t="n">
        <v>2025</v>
      </c>
      <c r="D158" s="8" t="inlineStr">
        <is>
          <t>2026-01-31</t>
        </is>
      </c>
      <c r="E158" s="8" t="inlineStr">
        <is>
          <t>일반</t>
        </is>
      </c>
      <c r="F158" s="8" t="inlineStr">
        <is>
          <t>0000104169-26-000055</t>
        </is>
      </c>
      <c r="G158" s="15" t="n">
        <v>706.413</v>
      </c>
      <c r="H158" s="15" t="n">
        <v>29.469</v>
      </c>
      <c r="I158" s="15" t="n">
        <v>2.318</v>
      </c>
      <c r="J158" s="15" t="n">
        <v>7.199</v>
      </c>
      <c r="K158" s="15" t="n">
        <v>29.825</v>
      </c>
      <c r="L158" s="15" t="n">
        <v>21.893</v>
      </c>
      <c r="M158" s="15" t="n">
        <v>14.203</v>
      </c>
      <c r="N158" s="15" t="n">
        <v>26.642</v>
      </c>
      <c r="O158" s="15" t="n">
        <v>41.565</v>
      </c>
      <c r="P158" s="15" t="n">
        <v>99.617</v>
      </c>
      <c r="Q158" s="15" t="n">
        <v>91.01300000000001</v>
      </c>
      <c r="R158" s="15" t="n">
        <v>10.727</v>
      </c>
      <c r="S158" s="15" t="n">
        <v>9.037000000000001</v>
      </c>
      <c r="T158" s="15" t="n">
        <v>6.596</v>
      </c>
      <c r="U158" s="15" t="n">
        <v>3.068</v>
      </c>
      <c r="V158" s="15" t="n">
        <v>34.624</v>
      </c>
      <c r="W158" s="15" t="n">
        <v>84.874</v>
      </c>
      <c r="X158" s="15" t="n">
        <v>79.458</v>
      </c>
      <c r="Y158" s="15" t="n">
        <v>107.469</v>
      </c>
      <c r="Z158" s="15" t="n">
        <v>96.584</v>
      </c>
      <c r="AA158" s="15" t="n">
        <v>118.445</v>
      </c>
      <c r="AB158" s="16" t="n">
        <v>8022</v>
      </c>
      <c r="AC158" s="17">
        <f>IF(AND(ISNUMBER(H158),ISNUMBER(I158)),H158+I158,IF(ISNUMBER(K158),K158,IF(ISNUMBER(H158),H158,"")))</f>
        <v/>
      </c>
      <c r="AD158" s="18">
        <f>IF(OR(NOT(ISNUMBER(J158)),NOT(ISNUMBER(H158)),H158&lt;=0),기준표!$B$8,MIN(MAX(J158/H158,기준표!$B$6),기준표!$B$7))</f>
        <v/>
      </c>
      <c r="AE158" s="17">
        <f>IF(ISNUMBER(AC158),AC158*(1-AD158),"")</f>
        <v/>
      </c>
      <c r="AF158" s="17">
        <f>IF(AND(NOT(ISNUMBER(T158)),NOT(ISNUMBER(V158))),"",IF(ISNUMBER(T158),T158,0)+IF(ISNUMBER(V158),V158,0))</f>
        <v/>
      </c>
      <c r="AG158" s="17">
        <f>IF(E158="금융","",IF(AND(ISNUMBER(P158),ISNUMBER(AF158),ISNUMBER(R158)),P158+AF158-R158,""))</f>
        <v/>
      </c>
      <c r="AH158" s="17">
        <f>IF(E158="금융","",IF(NOT(ISNUMBER(AG158)),"",IF(ISNUMBER(AA158),(AG158+AA158)/2,AG158)))</f>
        <v/>
      </c>
      <c r="AI158" s="19">
        <f>IF(AND(ISNUMBER(AE158),ISNUMBER(AH158),AH158&gt;0),AE158/AH158,"")</f>
        <v/>
      </c>
      <c r="AJ158" s="17">
        <f>IF(E158="금융","",IF(AND(ISNUMBER(P158),ISNUMBER(AF158)),P158+AF158,""))</f>
        <v/>
      </c>
      <c r="AK158" s="19">
        <f>IF(OR(NOT(ISNUMBER(AE158)),NOT(ISNUMBER(AJ158)),AJ158&lt;=0),"",IF(AND(ISNUMBER(G158),AJ158&lt;0.1*G158),"",AE158/AJ158))</f>
        <v/>
      </c>
      <c r="AL158" s="17">
        <f>IF(NOT(ISNUMBER(P158)),"",IF(ISNUMBER(Q158),(P158+Q158)/2,P158))</f>
        <v/>
      </c>
      <c r="AM158" s="19">
        <f>IF(AND(ISNUMBER(L158),ISNUMBER(AL158),AL158&gt;0),L158/AL158,"")</f>
        <v/>
      </c>
      <c r="AN158" s="19">
        <f>IF(AND(ISNUMBER(AM158),ISNUMBER({ROIC})),AM158-{ROIC},"")</f>
        <v/>
      </c>
      <c r="AO158" s="17">
        <f>IF(AND(ISNUMBER(AC158),ISNUMBER(M158)),AC158+M158,"")</f>
        <v/>
      </c>
      <c r="AP158" s="20">
        <f>IF(AND(ISNUMBER(AF158),ISNUMBER(R158),ISNUMBER(AO158),AO158&gt;0),(AF158-R158)/AO158,"")</f>
        <v/>
      </c>
      <c r="AQ158" s="20">
        <f>IF(AND(ISNUMBER(AC158),ISNUMBER(I158),I158&lt;&gt;0,AC158&gt;0),AC158/I158,"")</f>
        <v/>
      </c>
      <c r="AR158" s="17">
        <f>IF(AND(ISNUMBER(W158),ISNUMBER(Y158)),W158-IF(ISNUMBER(R158),R158,0)-(Y158-IF(ISNUMBER(T158),T158,0)),"")</f>
        <v/>
      </c>
      <c r="AS158" s="17">
        <f>IF(AND(ISNUMBER(X158),ISNUMBER(Z158)),X158-IF(ISNUMBER(S158),S158,0)-(Z158-IF(ISNUMBER(U158),U158,0)),"")</f>
        <v/>
      </c>
      <c r="AT158" s="17">
        <f>IF(AND(ISNUMBER(AR158),ISNUMBER(AS158)),AR158-AS158,"")</f>
        <v/>
      </c>
      <c r="AU158" s="17">
        <f>IF(E158="금융","",IF(AND(ISNUMBER(L158),ISNUMBER(M158),ISNUMBER(N158),ISNUMBER(AT158)),L158+M158-N158-AT158,IF(AND(ISNUMBER(O158),ISNUMBER(N158)),O158-N158,"")))</f>
        <v/>
      </c>
      <c r="AV158" s="8">
        <f>IF(E158="금융","금융업 - 정의되지 않음",IF(AND(ISNUMBER(L158),ISNUMBER(M158),ISNUMBER(N158),ISNUMBER(AT158)),"순이익+감가상각-설비투자-운전자본증감",IF(AND(ISNUMBER(O158),ISNUMBER(N158)),"영업현금흐름-설비투자","산출불가")))</f>
        <v/>
      </c>
      <c r="AW158" s="19">
        <f>IF(AND(ISNUMBER(AU158),ISNUMBER(G158),G158&lt;&gt;0),AU158/G158,"")</f>
        <v/>
      </c>
      <c r="AX158" s="19">
        <f>IF(AND(ISNUMBER(AC158),ISNUMBER(G158),G158&lt;&gt;0),AC158/G158,"")</f>
        <v/>
      </c>
    </row>
    <row r="159">
      <c r="A159" s="8" t="inlineStr">
        <is>
          <t>AMD</t>
        </is>
      </c>
      <c r="B159" s="8" t="inlineStr">
        <is>
          <t>ADVANCED MICRO DEVICES INC</t>
        </is>
      </c>
      <c r="C159" s="8" t="n">
        <v>2014</v>
      </c>
      <c r="D159" s="8" t="inlineStr">
        <is>
          <t>2014-12-27</t>
        </is>
      </c>
      <c r="E159" s="8" t="inlineStr">
        <is>
          <t>일반</t>
        </is>
      </c>
      <c r="F159" s="8" t="inlineStr">
        <is>
          <t>0000002488-17-000043</t>
        </is>
      </c>
      <c r="G159" s="15" t="n"/>
      <c r="H159" s="15" t="n">
        <v>-0.398</v>
      </c>
      <c r="I159" s="15" t="n">
        <v>0.177</v>
      </c>
      <c r="J159" s="15" t="n">
        <v>0.005</v>
      </c>
      <c r="K159" s="15" t="n">
        <v>-0.155</v>
      </c>
      <c r="L159" s="15" t="n">
        <v>-0.403</v>
      </c>
      <c r="M159" s="15" t="n">
        <v>0.115</v>
      </c>
      <c r="N159" s="15" t="n">
        <v>0.095</v>
      </c>
      <c r="O159" s="15" t="n">
        <v>-0.098</v>
      </c>
      <c r="P159" s="15" t="n">
        <v>0.187</v>
      </c>
      <c r="Q159" s="15" t="n"/>
      <c r="R159" s="15" t="n">
        <v>0.805</v>
      </c>
      <c r="S159" s="15" t="n"/>
      <c r="T159" s="15" t="n">
        <v>0.172</v>
      </c>
      <c r="U159" s="15" t="n"/>
      <c r="V159" s="15" t="n">
        <v>2.025</v>
      </c>
      <c r="W159" s="15" t="n">
        <v>2.736</v>
      </c>
      <c r="X159" s="15" t="n"/>
      <c r="Y159" s="15" t="n">
        <v>1.44</v>
      </c>
      <c r="Z159" s="15" t="n"/>
      <c r="AA159" s="15" t="n"/>
      <c r="AB159" s="16" t="n">
        <v>776</v>
      </c>
      <c r="AC159" s="17">
        <f>IF(AND(ISNUMBER(H159),ISNUMBER(I159)),H159+I159,IF(ISNUMBER(K159),K159,IF(ISNUMBER(H159),H159,"")))</f>
        <v/>
      </c>
      <c r="AD159" s="18">
        <f>IF(OR(NOT(ISNUMBER(J159)),NOT(ISNUMBER(H159)),H159&lt;=0),기준표!$B$8,MIN(MAX(J159/H159,기준표!$B$6),기준표!$B$7))</f>
        <v/>
      </c>
      <c r="AE159" s="17">
        <f>IF(ISNUMBER(AC159),AC159*(1-AD159),"")</f>
        <v/>
      </c>
      <c r="AF159" s="17">
        <f>IF(AND(NOT(ISNUMBER(T159)),NOT(ISNUMBER(V159))),"",IF(ISNUMBER(T159),T159,0)+IF(ISNUMBER(V159),V159,0))</f>
        <v/>
      </c>
      <c r="AG159" s="17">
        <f>IF(E159="금융","",IF(AND(ISNUMBER(P159),ISNUMBER(AF159),ISNUMBER(R159)),P159+AF159-R159,""))</f>
        <v/>
      </c>
      <c r="AH159" s="17">
        <f>IF(E159="금융","",IF(NOT(ISNUMBER(AG159)),"",IF(ISNUMBER(AA159),(AG159+AA159)/2,AG159)))</f>
        <v/>
      </c>
      <c r="AI159" s="19">
        <f>IF(AND(ISNUMBER(AE159),ISNUMBER(AH159),AH159&gt;0),AE159/AH159,"")</f>
        <v/>
      </c>
      <c r="AJ159" s="17">
        <f>IF(E159="금융","",IF(AND(ISNUMBER(P159),ISNUMBER(AF159)),P159+AF159,""))</f>
        <v/>
      </c>
      <c r="AK159" s="19">
        <f>IF(OR(NOT(ISNUMBER(AE159)),NOT(ISNUMBER(AJ159)),AJ159&lt;=0),"",IF(AND(ISNUMBER(G159),AJ159&lt;0.1*G159),"",AE159/AJ159))</f>
        <v/>
      </c>
      <c r="AL159" s="17">
        <f>IF(NOT(ISNUMBER(P159)),"",IF(ISNUMBER(Q159),(P159+Q159)/2,P159))</f>
        <v/>
      </c>
      <c r="AM159" s="19">
        <f>IF(AND(ISNUMBER(L159),ISNUMBER(AL159),AL159&gt;0),L159/AL159,"")</f>
        <v/>
      </c>
      <c r="AN159" s="19">
        <f>IF(AND(ISNUMBER(AM159),ISNUMBER({ROIC})),AM159-{ROIC},"")</f>
        <v/>
      </c>
      <c r="AO159" s="17">
        <f>IF(AND(ISNUMBER(AC159),ISNUMBER(M159)),AC159+M159,"")</f>
        <v/>
      </c>
      <c r="AP159" s="20">
        <f>IF(AND(ISNUMBER(AF159),ISNUMBER(R159),ISNUMBER(AO159),AO159&gt;0),(AF159-R159)/AO159,"")</f>
        <v/>
      </c>
      <c r="AQ159" s="20">
        <f>IF(AND(ISNUMBER(AC159),ISNUMBER(I159),I159&lt;&gt;0,AC159&gt;0),AC159/I159,"")</f>
        <v/>
      </c>
      <c r="AR159" s="17">
        <f>IF(AND(ISNUMBER(W159),ISNUMBER(Y159)),W159-IF(ISNUMBER(R159),R159,0)-(Y159-IF(ISNUMBER(T159),T159,0)),"")</f>
        <v/>
      </c>
      <c r="AS159" s="17">
        <f>IF(AND(ISNUMBER(X159),ISNUMBER(Z159)),X159-IF(ISNUMBER(S159),S159,0)-(Z159-IF(ISNUMBER(U159),U159,0)),"")</f>
        <v/>
      </c>
      <c r="AT159" s="17">
        <f>IF(AND(ISNUMBER(AR159),ISNUMBER(AS159)),AR159-AS159,"")</f>
        <v/>
      </c>
      <c r="AU159" s="17">
        <f>IF(E159="금융","",IF(AND(ISNUMBER(L159),ISNUMBER(M159),ISNUMBER(N159),ISNUMBER(AT159)),L159+M159-N159-AT159,IF(AND(ISNUMBER(O159),ISNUMBER(N159)),O159-N159,"")))</f>
        <v/>
      </c>
      <c r="AV159" s="8">
        <f>IF(E159="금융","금융업 - 정의되지 않음",IF(AND(ISNUMBER(L159),ISNUMBER(M159),ISNUMBER(N159),ISNUMBER(AT159)),"순이익+감가상각-설비투자-운전자본증감",IF(AND(ISNUMBER(O159),ISNUMBER(N159)),"영업현금흐름-설비투자","산출불가")))</f>
        <v/>
      </c>
      <c r="AW159" s="19">
        <f>IF(AND(ISNUMBER(AU159),ISNUMBER(G159),G159&lt;&gt;0),AU159/G159,"")</f>
        <v/>
      </c>
      <c r="AX159" s="19">
        <f>IF(AND(ISNUMBER(AC159),ISNUMBER(G159),G159&lt;&gt;0),AC159/G159,"")</f>
        <v/>
      </c>
    </row>
    <row r="160">
      <c r="A160" s="8" t="inlineStr">
        <is>
          <t>AMD</t>
        </is>
      </c>
      <c r="B160" s="8" t="inlineStr">
        <is>
          <t>ADVANCED MICRO DEVICES INC</t>
        </is>
      </c>
      <c r="C160" s="8" t="n">
        <v>2015</v>
      </c>
      <c r="D160" s="8" t="inlineStr">
        <is>
          <t>2015-12-26</t>
        </is>
      </c>
      <c r="E160" s="8" t="inlineStr">
        <is>
          <t>일반</t>
        </is>
      </c>
      <c r="F160" s="8" t="inlineStr">
        <is>
          <t>0000002488-18-000042</t>
        </is>
      </c>
      <c r="G160" s="15" t="n"/>
      <c r="H160" s="15" t="n">
        <v>-0.646</v>
      </c>
      <c r="I160" s="15" t="n">
        <v>0.16</v>
      </c>
      <c r="J160" s="15" t="n">
        <v>0.014</v>
      </c>
      <c r="K160" s="15" t="n">
        <v>-0.481</v>
      </c>
      <c r="L160" s="15" t="n">
        <v>-0.66</v>
      </c>
      <c r="M160" s="15" t="n">
        <v>0.094</v>
      </c>
      <c r="N160" s="15" t="n">
        <v>0.096</v>
      </c>
      <c r="O160" s="15" t="n">
        <v>-0.226</v>
      </c>
      <c r="P160" s="15" t="n">
        <v>-0.35</v>
      </c>
      <c r="Q160" s="15" t="n">
        <v>0.187</v>
      </c>
      <c r="R160" s="15" t="n">
        <v>0.785</v>
      </c>
      <c r="S160" s="15" t="n">
        <v>0.805</v>
      </c>
      <c r="T160" s="15" t="n">
        <v>0.23</v>
      </c>
      <c r="U160" s="15" t="n">
        <v>0.172</v>
      </c>
      <c r="V160" s="15" t="n">
        <v>2.007</v>
      </c>
      <c r="W160" s="15" t="n">
        <v>2.32</v>
      </c>
      <c r="X160" s="15" t="n">
        <v>2.736</v>
      </c>
      <c r="Y160" s="15" t="n">
        <v>1.403</v>
      </c>
      <c r="Z160" s="15" t="n">
        <v>1.44</v>
      </c>
      <c r="AA160" s="15" t="n">
        <v>1.579</v>
      </c>
      <c r="AB160" s="16" t="n">
        <v>792</v>
      </c>
      <c r="AC160" s="17">
        <f>IF(AND(ISNUMBER(H160),ISNUMBER(I160)),H160+I160,IF(ISNUMBER(K160),K160,IF(ISNUMBER(H160),H160,"")))</f>
        <v/>
      </c>
      <c r="AD160" s="18">
        <f>IF(OR(NOT(ISNUMBER(J160)),NOT(ISNUMBER(H160)),H160&lt;=0),기준표!$B$8,MIN(MAX(J160/H160,기준표!$B$6),기준표!$B$7))</f>
        <v/>
      </c>
      <c r="AE160" s="17">
        <f>IF(ISNUMBER(AC160),AC160*(1-AD160),"")</f>
        <v/>
      </c>
      <c r="AF160" s="17">
        <f>IF(AND(NOT(ISNUMBER(T160)),NOT(ISNUMBER(V160))),"",IF(ISNUMBER(T160),T160,0)+IF(ISNUMBER(V160),V160,0))</f>
        <v/>
      </c>
      <c r="AG160" s="17">
        <f>IF(E160="금융","",IF(AND(ISNUMBER(P160),ISNUMBER(AF160),ISNUMBER(R160)),P160+AF160-R160,""))</f>
        <v/>
      </c>
      <c r="AH160" s="17">
        <f>IF(E160="금융","",IF(NOT(ISNUMBER(AG160)),"",IF(ISNUMBER(AA160),(AG160+AA160)/2,AG160)))</f>
        <v/>
      </c>
      <c r="AI160" s="19">
        <f>IF(AND(ISNUMBER(AE160),ISNUMBER(AH160),AH160&gt;0),AE160/AH160,"")</f>
        <v/>
      </c>
      <c r="AJ160" s="17">
        <f>IF(E160="금융","",IF(AND(ISNUMBER(P160),ISNUMBER(AF160)),P160+AF160,""))</f>
        <v/>
      </c>
      <c r="AK160" s="19">
        <f>IF(OR(NOT(ISNUMBER(AE160)),NOT(ISNUMBER(AJ160)),AJ160&lt;=0),"",IF(AND(ISNUMBER(G160),AJ160&lt;0.1*G160),"",AE160/AJ160))</f>
        <v/>
      </c>
      <c r="AL160" s="17">
        <f>IF(NOT(ISNUMBER(P160)),"",IF(ISNUMBER(Q160),(P160+Q160)/2,P160))</f>
        <v/>
      </c>
      <c r="AM160" s="19">
        <f>IF(AND(ISNUMBER(L160),ISNUMBER(AL160),AL160&gt;0),L160/AL160,"")</f>
        <v/>
      </c>
      <c r="AN160" s="19">
        <f>IF(AND(ISNUMBER(AM160),ISNUMBER({ROIC})),AM160-{ROIC},"")</f>
        <v/>
      </c>
      <c r="AO160" s="17">
        <f>IF(AND(ISNUMBER(AC160),ISNUMBER(M160)),AC160+M160,"")</f>
        <v/>
      </c>
      <c r="AP160" s="20">
        <f>IF(AND(ISNUMBER(AF160),ISNUMBER(R160),ISNUMBER(AO160),AO160&gt;0),(AF160-R160)/AO160,"")</f>
        <v/>
      </c>
      <c r="AQ160" s="20">
        <f>IF(AND(ISNUMBER(AC160),ISNUMBER(I160),I160&lt;&gt;0,AC160&gt;0),AC160/I160,"")</f>
        <v/>
      </c>
      <c r="AR160" s="17">
        <f>IF(AND(ISNUMBER(W160),ISNUMBER(Y160)),W160-IF(ISNUMBER(R160),R160,0)-(Y160-IF(ISNUMBER(T160),T160,0)),"")</f>
        <v/>
      </c>
      <c r="AS160" s="17">
        <f>IF(AND(ISNUMBER(X160),ISNUMBER(Z160)),X160-IF(ISNUMBER(S160),S160,0)-(Z160-IF(ISNUMBER(U160),U160,0)),"")</f>
        <v/>
      </c>
      <c r="AT160" s="17">
        <f>IF(AND(ISNUMBER(AR160),ISNUMBER(AS160)),AR160-AS160,"")</f>
        <v/>
      </c>
      <c r="AU160" s="17">
        <f>IF(E160="금융","",IF(AND(ISNUMBER(L160),ISNUMBER(M160),ISNUMBER(N160),ISNUMBER(AT160)),L160+M160-N160-AT160,IF(AND(ISNUMBER(O160),ISNUMBER(N160)),O160-N160,"")))</f>
        <v/>
      </c>
      <c r="AV160" s="8">
        <f>IF(E160="금융","금융업 - 정의되지 않음",IF(AND(ISNUMBER(L160),ISNUMBER(M160),ISNUMBER(N160),ISNUMBER(AT160)),"순이익+감가상각-설비투자-운전자본증감",IF(AND(ISNUMBER(O160),ISNUMBER(N160)),"영업현금흐름-설비투자","산출불가")))</f>
        <v/>
      </c>
      <c r="AW160" s="19">
        <f>IF(AND(ISNUMBER(AU160),ISNUMBER(G160),G160&lt;&gt;0),AU160/G160,"")</f>
        <v/>
      </c>
      <c r="AX160" s="19">
        <f>IF(AND(ISNUMBER(AC160),ISNUMBER(G160),G160&lt;&gt;0),AC160/G160,"")</f>
        <v/>
      </c>
    </row>
    <row r="161">
      <c r="A161" s="8" t="inlineStr">
        <is>
          <t>AMD</t>
        </is>
      </c>
      <c r="B161" s="8" t="inlineStr">
        <is>
          <t>ADVANCED MICRO DEVICES INC</t>
        </is>
      </c>
      <c r="C161" s="8" t="n">
        <v>2016</v>
      </c>
      <c r="D161" s="8" t="inlineStr">
        <is>
          <t>2016-12-31</t>
        </is>
      </c>
      <c r="E161" s="8" t="inlineStr">
        <is>
          <t>일반</t>
        </is>
      </c>
      <c r="F161" s="8" t="inlineStr">
        <is>
          <t>0000002488-19-000011</t>
        </is>
      </c>
      <c r="G161" s="15" t="n">
        <v>4.319</v>
      </c>
      <c r="H161" s="15" t="n">
        <v>-0.459</v>
      </c>
      <c r="I161" s="15" t="n">
        <v>0.156</v>
      </c>
      <c r="J161" s="15" t="n">
        <v>0.039</v>
      </c>
      <c r="K161" s="15" t="n">
        <v>-0.373</v>
      </c>
      <c r="L161" s="15" t="n">
        <v>-0.498</v>
      </c>
      <c r="M161" s="15" t="n">
        <v>0.07099999999999999</v>
      </c>
      <c r="N161" s="15" t="n">
        <v>0.077</v>
      </c>
      <c r="O161" s="15" t="n">
        <v>0.081</v>
      </c>
      <c r="P161" s="15" t="n">
        <v>0.477</v>
      </c>
      <c r="Q161" s="15" t="n">
        <v>-0.35</v>
      </c>
      <c r="R161" s="15" t="n">
        <v>1.264</v>
      </c>
      <c r="S161" s="15" t="n">
        <v>0.785</v>
      </c>
      <c r="T161" s="15" t="n"/>
      <c r="U161" s="15" t="n">
        <v>0.23</v>
      </c>
      <c r="V161" s="15" t="n">
        <v>1.435</v>
      </c>
      <c r="W161" s="15" t="n">
        <v>2.53</v>
      </c>
      <c r="X161" s="15" t="n">
        <v>2.32</v>
      </c>
      <c r="Y161" s="15" t="n">
        <v>1.346</v>
      </c>
      <c r="Z161" s="15" t="n">
        <v>1.403</v>
      </c>
      <c r="AA161" s="15" t="n">
        <v>1.102</v>
      </c>
      <c r="AB161" s="16" t="n">
        <v>935</v>
      </c>
      <c r="AC161" s="17">
        <f>IF(AND(ISNUMBER(H161),ISNUMBER(I161)),H161+I161,IF(ISNUMBER(K161),K161,IF(ISNUMBER(H161),H161,"")))</f>
        <v/>
      </c>
      <c r="AD161" s="18">
        <f>IF(OR(NOT(ISNUMBER(J161)),NOT(ISNUMBER(H161)),H161&lt;=0),기준표!$B$8,MIN(MAX(J161/H161,기준표!$B$6),기준표!$B$7))</f>
        <v/>
      </c>
      <c r="AE161" s="17">
        <f>IF(ISNUMBER(AC161),AC161*(1-AD161),"")</f>
        <v/>
      </c>
      <c r="AF161" s="17">
        <f>IF(AND(NOT(ISNUMBER(T161)),NOT(ISNUMBER(V161))),"",IF(ISNUMBER(T161),T161,0)+IF(ISNUMBER(V161),V161,0))</f>
        <v/>
      </c>
      <c r="AG161" s="17">
        <f>IF(E161="금융","",IF(AND(ISNUMBER(P161),ISNUMBER(AF161),ISNUMBER(R161)),P161+AF161-R161,""))</f>
        <v/>
      </c>
      <c r="AH161" s="17">
        <f>IF(E161="금융","",IF(NOT(ISNUMBER(AG161)),"",IF(ISNUMBER(AA161),(AG161+AA161)/2,AG161)))</f>
        <v/>
      </c>
      <c r="AI161" s="19">
        <f>IF(AND(ISNUMBER(AE161),ISNUMBER(AH161),AH161&gt;0),AE161/AH161,"")</f>
        <v/>
      </c>
      <c r="AJ161" s="17">
        <f>IF(E161="금융","",IF(AND(ISNUMBER(P161),ISNUMBER(AF161)),P161+AF161,""))</f>
        <v/>
      </c>
      <c r="AK161" s="19">
        <f>IF(OR(NOT(ISNUMBER(AE161)),NOT(ISNUMBER(AJ161)),AJ161&lt;=0),"",IF(AND(ISNUMBER(G161),AJ161&lt;0.1*G161),"",AE161/AJ161))</f>
        <v/>
      </c>
      <c r="AL161" s="17">
        <f>IF(NOT(ISNUMBER(P161)),"",IF(ISNUMBER(Q161),(P161+Q161)/2,P161))</f>
        <v/>
      </c>
      <c r="AM161" s="19">
        <f>IF(AND(ISNUMBER(L161),ISNUMBER(AL161),AL161&gt;0),L161/AL161,"")</f>
        <v/>
      </c>
      <c r="AN161" s="19">
        <f>IF(AND(ISNUMBER(AM161),ISNUMBER({ROIC})),AM161-{ROIC},"")</f>
        <v/>
      </c>
      <c r="AO161" s="17">
        <f>IF(AND(ISNUMBER(AC161),ISNUMBER(M161)),AC161+M161,"")</f>
        <v/>
      </c>
      <c r="AP161" s="20">
        <f>IF(AND(ISNUMBER(AF161),ISNUMBER(R161),ISNUMBER(AO161),AO161&gt;0),(AF161-R161)/AO161,"")</f>
        <v/>
      </c>
      <c r="AQ161" s="20">
        <f>IF(AND(ISNUMBER(AC161),ISNUMBER(I161),I161&lt;&gt;0,AC161&gt;0),AC161/I161,"")</f>
        <v/>
      </c>
      <c r="AR161" s="17">
        <f>IF(AND(ISNUMBER(W161),ISNUMBER(Y161)),W161-IF(ISNUMBER(R161),R161,0)-(Y161-IF(ISNUMBER(T161),T161,0)),"")</f>
        <v/>
      </c>
      <c r="AS161" s="17">
        <f>IF(AND(ISNUMBER(X161),ISNUMBER(Z161)),X161-IF(ISNUMBER(S161),S161,0)-(Z161-IF(ISNUMBER(U161),U161,0)),"")</f>
        <v/>
      </c>
      <c r="AT161" s="17">
        <f>IF(AND(ISNUMBER(AR161),ISNUMBER(AS161)),AR161-AS161,"")</f>
        <v/>
      </c>
      <c r="AU161" s="17">
        <f>IF(E161="금융","",IF(AND(ISNUMBER(L161),ISNUMBER(M161),ISNUMBER(N161),ISNUMBER(AT161)),L161+M161-N161-AT161,IF(AND(ISNUMBER(O161),ISNUMBER(N161)),O161-N161,"")))</f>
        <v/>
      </c>
      <c r="AV161" s="8">
        <f>IF(E161="금융","금융업 - 정의되지 않음",IF(AND(ISNUMBER(L161),ISNUMBER(M161),ISNUMBER(N161),ISNUMBER(AT161)),"순이익+감가상각-설비투자-운전자본증감",IF(AND(ISNUMBER(O161),ISNUMBER(N161)),"영업현금흐름-설비투자","산출불가")))</f>
        <v/>
      </c>
      <c r="AW161" s="19">
        <f>IF(AND(ISNUMBER(AU161),ISNUMBER(G161),G161&lt;&gt;0),AU161/G161,"")</f>
        <v/>
      </c>
      <c r="AX161" s="19">
        <f>IF(AND(ISNUMBER(AC161),ISNUMBER(G161),G161&lt;&gt;0),AC161/G161,"")</f>
        <v/>
      </c>
    </row>
    <row r="162">
      <c r="A162" s="8" t="inlineStr">
        <is>
          <t>AMD</t>
        </is>
      </c>
      <c r="B162" s="8" t="inlineStr">
        <is>
          <t>ADVANCED MICRO DEVICES INC</t>
        </is>
      </c>
      <c r="C162" s="8" t="n">
        <v>2017</v>
      </c>
      <c r="D162" s="8" t="inlineStr">
        <is>
          <t>2017-12-30</t>
        </is>
      </c>
      <c r="E162" s="8" t="inlineStr">
        <is>
          <t>일반</t>
        </is>
      </c>
      <c r="F162" s="8" t="inlineStr">
        <is>
          <t>0000002488-20-000008</t>
        </is>
      </c>
      <c r="G162" s="15" t="n">
        <v>5.253</v>
      </c>
      <c r="H162" s="15" t="n">
        <v>-0.015</v>
      </c>
      <c r="I162" s="15" t="n">
        <v>0.126</v>
      </c>
      <c r="J162" s="15" t="n">
        <v>0.018</v>
      </c>
      <c r="K162" s="15" t="n">
        <v>0.127</v>
      </c>
      <c r="L162" s="15" t="n">
        <v>-0.033</v>
      </c>
      <c r="M162" s="15" t="n">
        <v>0.077</v>
      </c>
      <c r="N162" s="15" t="n">
        <v>0.113</v>
      </c>
      <c r="O162" s="15" t="n">
        <v>0.012</v>
      </c>
      <c r="P162" s="15" t="n">
        <v>0.596</v>
      </c>
      <c r="Q162" s="15" t="n">
        <v>0.477</v>
      </c>
      <c r="R162" s="15" t="n">
        <v>1.185</v>
      </c>
      <c r="S162" s="15" t="n">
        <v>1.264</v>
      </c>
      <c r="T162" s="15" t="n"/>
      <c r="U162" s="15" t="n"/>
      <c r="V162" s="15" t="n">
        <v>1.325</v>
      </c>
      <c r="W162" s="15" t="n">
        <v>2.634</v>
      </c>
      <c r="X162" s="15" t="n">
        <v>2.53</v>
      </c>
      <c r="Y162" s="15" t="n">
        <v>1.513</v>
      </c>
      <c r="Z162" s="15" t="n">
        <v>1.346</v>
      </c>
      <c r="AA162" s="15" t="n">
        <v>0.648</v>
      </c>
      <c r="AB162" s="16" t="n">
        <v>967</v>
      </c>
      <c r="AC162" s="17">
        <f>IF(AND(ISNUMBER(H162),ISNUMBER(I162)),H162+I162,IF(ISNUMBER(K162),K162,IF(ISNUMBER(H162),H162,"")))</f>
        <v/>
      </c>
      <c r="AD162" s="18">
        <f>IF(OR(NOT(ISNUMBER(J162)),NOT(ISNUMBER(H162)),H162&lt;=0),기준표!$B$8,MIN(MAX(J162/H162,기준표!$B$6),기준표!$B$7))</f>
        <v/>
      </c>
      <c r="AE162" s="17">
        <f>IF(ISNUMBER(AC162),AC162*(1-AD162),"")</f>
        <v/>
      </c>
      <c r="AF162" s="17">
        <f>IF(AND(NOT(ISNUMBER(T162)),NOT(ISNUMBER(V162))),"",IF(ISNUMBER(T162),T162,0)+IF(ISNUMBER(V162),V162,0))</f>
        <v/>
      </c>
      <c r="AG162" s="17">
        <f>IF(E162="금융","",IF(AND(ISNUMBER(P162),ISNUMBER(AF162),ISNUMBER(R162)),P162+AF162-R162,""))</f>
        <v/>
      </c>
      <c r="AH162" s="17">
        <f>IF(E162="금융","",IF(NOT(ISNUMBER(AG162)),"",IF(ISNUMBER(AA162),(AG162+AA162)/2,AG162)))</f>
        <v/>
      </c>
      <c r="AI162" s="19">
        <f>IF(AND(ISNUMBER(AE162),ISNUMBER(AH162),AH162&gt;0),AE162/AH162,"")</f>
        <v/>
      </c>
      <c r="AJ162" s="17">
        <f>IF(E162="금융","",IF(AND(ISNUMBER(P162),ISNUMBER(AF162)),P162+AF162,""))</f>
        <v/>
      </c>
      <c r="AK162" s="19">
        <f>IF(OR(NOT(ISNUMBER(AE162)),NOT(ISNUMBER(AJ162)),AJ162&lt;=0),"",IF(AND(ISNUMBER(G162),AJ162&lt;0.1*G162),"",AE162/AJ162))</f>
        <v/>
      </c>
      <c r="AL162" s="17">
        <f>IF(NOT(ISNUMBER(P162)),"",IF(ISNUMBER(Q162),(P162+Q162)/2,P162))</f>
        <v/>
      </c>
      <c r="AM162" s="19">
        <f>IF(AND(ISNUMBER(L162),ISNUMBER(AL162),AL162&gt;0),L162/AL162,"")</f>
        <v/>
      </c>
      <c r="AN162" s="19">
        <f>IF(AND(ISNUMBER(AM162),ISNUMBER({ROIC})),AM162-{ROIC},"")</f>
        <v/>
      </c>
      <c r="AO162" s="17">
        <f>IF(AND(ISNUMBER(AC162),ISNUMBER(M162)),AC162+M162,"")</f>
        <v/>
      </c>
      <c r="AP162" s="20">
        <f>IF(AND(ISNUMBER(AF162),ISNUMBER(R162),ISNUMBER(AO162),AO162&gt;0),(AF162-R162)/AO162,"")</f>
        <v/>
      </c>
      <c r="AQ162" s="20">
        <f>IF(AND(ISNUMBER(AC162),ISNUMBER(I162),I162&lt;&gt;0,AC162&gt;0),AC162/I162,"")</f>
        <v/>
      </c>
      <c r="AR162" s="17">
        <f>IF(AND(ISNUMBER(W162),ISNUMBER(Y162)),W162-IF(ISNUMBER(R162),R162,0)-(Y162-IF(ISNUMBER(T162),T162,0)),"")</f>
        <v/>
      </c>
      <c r="AS162" s="17">
        <f>IF(AND(ISNUMBER(X162),ISNUMBER(Z162)),X162-IF(ISNUMBER(S162),S162,0)-(Z162-IF(ISNUMBER(U162),U162,0)),"")</f>
        <v/>
      </c>
      <c r="AT162" s="17">
        <f>IF(AND(ISNUMBER(AR162),ISNUMBER(AS162)),AR162-AS162,"")</f>
        <v/>
      </c>
      <c r="AU162" s="17">
        <f>IF(E162="금융","",IF(AND(ISNUMBER(L162),ISNUMBER(M162),ISNUMBER(N162),ISNUMBER(AT162)),L162+M162-N162-AT162,IF(AND(ISNUMBER(O162),ISNUMBER(N162)),O162-N162,"")))</f>
        <v/>
      </c>
      <c r="AV162" s="8">
        <f>IF(E162="금융","금융업 - 정의되지 않음",IF(AND(ISNUMBER(L162),ISNUMBER(M162),ISNUMBER(N162),ISNUMBER(AT162)),"순이익+감가상각-설비투자-운전자본증감",IF(AND(ISNUMBER(O162),ISNUMBER(N162)),"영업현금흐름-설비투자","산출불가")))</f>
        <v/>
      </c>
      <c r="AW162" s="19">
        <f>IF(AND(ISNUMBER(AU162),ISNUMBER(G162),G162&lt;&gt;0),AU162/G162,"")</f>
        <v/>
      </c>
      <c r="AX162" s="19">
        <f>IF(AND(ISNUMBER(AC162),ISNUMBER(G162),G162&lt;&gt;0),AC162/G162,"")</f>
        <v/>
      </c>
    </row>
    <row r="163">
      <c r="A163" s="8" t="inlineStr">
        <is>
          <t>AMD</t>
        </is>
      </c>
      <c r="B163" s="8" t="inlineStr">
        <is>
          <t>ADVANCED MICRO DEVICES INC</t>
        </is>
      </c>
      <c r="C163" s="8" t="n">
        <v>2018</v>
      </c>
      <c r="D163" s="8" t="inlineStr">
        <is>
          <t>2018-12-29</t>
        </is>
      </c>
      <c r="E163" s="8" t="inlineStr">
        <is>
          <t>일반</t>
        </is>
      </c>
      <c r="F163" s="8" t="inlineStr">
        <is>
          <t>0001628280-21-001185</t>
        </is>
      </c>
      <c r="G163" s="15" t="n">
        <v>6.475</v>
      </c>
      <c r="H163" s="15" t="n">
        <v>0.328</v>
      </c>
      <c r="I163" s="15" t="n">
        <v>0.121</v>
      </c>
      <c r="J163" s="15" t="n">
        <v>-0.008999999999999999</v>
      </c>
      <c r="K163" s="15" t="n">
        <v>0.451</v>
      </c>
      <c r="L163" s="15" t="n">
        <v>0.337</v>
      </c>
      <c r="M163" s="15" t="n">
        <v>0.094</v>
      </c>
      <c r="N163" s="15" t="n">
        <v>0.163</v>
      </c>
      <c r="O163" s="15" t="n">
        <v>0.034</v>
      </c>
      <c r="P163" s="15" t="n">
        <v>1.266</v>
      </c>
      <c r="Q163" s="15" t="n">
        <v>0.596</v>
      </c>
      <c r="R163" s="15" t="n">
        <v>1.078</v>
      </c>
      <c r="S163" s="15" t="n">
        <v>1.185</v>
      </c>
      <c r="T163" s="15" t="n"/>
      <c r="U163" s="15" t="n"/>
      <c r="V163" s="15" t="n">
        <v>1.114</v>
      </c>
      <c r="W163" s="15" t="n">
        <v>3.54</v>
      </c>
      <c r="X163" s="15" t="n">
        <v>2.634</v>
      </c>
      <c r="Y163" s="15" t="n">
        <v>1.984</v>
      </c>
      <c r="Z163" s="15" t="n">
        <v>1.513</v>
      </c>
      <c r="AA163" s="15" t="n">
        <v>0.736</v>
      </c>
      <c r="AB163" s="16" t="n">
        <v>1005</v>
      </c>
      <c r="AC163" s="17">
        <f>IF(AND(ISNUMBER(H163),ISNUMBER(I163)),H163+I163,IF(ISNUMBER(K163),K163,IF(ISNUMBER(H163),H163,"")))</f>
        <v/>
      </c>
      <c r="AD163" s="18">
        <f>IF(OR(NOT(ISNUMBER(J163)),NOT(ISNUMBER(H163)),H163&lt;=0),기준표!$B$8,MIN(MAX(J163/H163,기준표!$B$6),기준표!$B$7))</f>
        <v/>
      </c>
      <c r="AE163" s="17">
        <f>IF(ISNUMBER(AC163),AC163*(1-AD163),"")</f>
        <v/>
      </c>
      <c r="AF163" s="17">
        <f>IF(AND(NOT(ISNUMBER(T163)),NOT(ISNUMBER(V163))),"",IF(ISNUMBER(T163),T163,0)+IF(ISNUMBER(V163),V163,0))</f>
        <v/>
      </c>
      <c r="AG163" s="17">
        <f>IF(E163="금융","",IF(AND(ISNUMBER(P163),ISNUMBER(AF163),ISNUMBER(R163)),P163+AF163-R163,""))</f>
        <v/>
      </c>
      <c r="AH163" s="17">
        <f>IF(E163="금융","",IF(NOT(ISNUMBER(AG163)),"",IF(ISNUMBER(AA163),(AG163+AA163)/2,AG163)))</f>
        <v/>
      </c>
      <c r="AI163" s="19">
        <f>IF(AND(ISNUMBER(AE163),ISNUMBER(AH163),AH163&gt;0),AE163/AH163,"")</f>
        <v/>
      </c>
      <c r="AJ163" s="17">
        <f>IF(E163="금융","",IF(AND(ISNUMBER(P163),ISNUMBER(AF163)),P163+AF163,""))</f>
        <v/>
      </c>
      <c r="AK163" s="19">
        <f>IF(OR(NOT(ISNUMBER(AE163)),NOT(ISNUMBER(AJ163)),AJ163&lt;=0),"",IF(AND(ISNUMBER(G163),AJ163&lt;0.1*G163),"",AE163/AJ163))</f>
        <v/>
      </c>
      <c r="AL163" s="17">
        <f>IF(NOT(ISNUMBER(P163)),"",IF(ISNUMBER(Q163),(P163+Q163)/2,P163))</f>
        <v/>
      </c>
      <c r="AM163" s="19">
        <f>IF(AND(ISNUMBER(L163),ISNUMBER(AL163),AL163&gt;0),L163/AL163,"")</f>
        <v/>
      </c>
      <c r="AN163" s="19">
        <f>IF(AND(ISNUMBER(AM163),ISNUMBER({ROIC})),AM163-{ROIC},"")</f>
        <v/>
      </c>
      <c r="AO163" s="17">
        <f>IF(AND(ISNUMBER(AC163),ISNUMBER(M163)),AC163+M163,"")</f>
        <v/>
      </c>
      <c r="AP163" s="20">
        <f>IF(AND(ISNUMBER(AF163),ISNUMBER(R163),ISNUMBER(AO163),AO163&gt;0),(AF163-R163)/AO163,"")</f>
        <v/>
      </c>
      <c r="AQ163" s="20">
        <f>IF(AND(ISNUMBER(AC163),ISNUMBER(I163),I163&lt;&gt;0,AC163&gt;0),AC163/I163,"")</f>
        <v/>
      </c>
      <c r="AR163" s="17">
        <f>IF(AND(ISNUMBER(W163),ISNUMBER(Y163)),W163-IF(ISNUMBER(R163),R163,0)-(Y163-IF(ISNUMBER(T163),T163,0)),"")</f>
        <v/>
      </c>
      <c r="AS163" s="17">
        <f>IF(AND(ISNUMBER(X163),ISNUMBER(Z163)),X163-IF(ISNUMBER(S163),S163,0)-(Z163-IF(ISNUMBER(U163),U163,0)),"")</f>
        <v/>
      </c>
      <c r="AT163" s="17">
        <f>IF(AND(ISNUMBER(AR163),ISNUMBER(AS163)),AR163-AS163,"")</f>
        <v/>
      </c>
      <c r="AU163" s="17">
        <f>IF(E163="금융","",IF(AND(ISNUMBER(L163),ISNUMBER(M163),ISNUMBER(N163),ISNUMBER(AT163)),L163+M163-N163-AT163,IF(AND(ISNUMBER(O163),ISNUMBER(N163)),O163-N163,"")))</f>
        <v/>
      </c>
      <c r="AV163" s="8">
        <f>IF(E163="금융","금융업 - 정의되지 않음",IF(AND(ISNUMBER(L163),ISNUMBER(M163),ISNUMBER(N163),ISNUMBER(AT163)),"순이익+감가상각-설비투자-운전자본증감",IF(AND(ISNUMBER(O163),ISNUMBER(N163)),"영업현금흐름-설비투자","산출불가")))</f>
        <v/>
      </c>
      <c r="AW163" s="19">
        <f>IF(AND(ISNUMBER(AU163),ISNUMBER(G163),G163&lt;&gt;0),AU163/G163,"")</f>
        <v/>
      </c>
      <c r="AX163" s="19">
        <f>IF(AND(ISNUMBER(AC163),ISNUMBER(G163),G163&lt;&gt;0),AC163/G163,"")</f>
        <v/>
      </c>
    </row>
    <row r="164">
      <c r="A164" s="8" t="inlineStr">
        <is>
          <t>AMD</t>
        </is>
      </c>
      <c r="B164" s="8" t="inlineStr">
        <is>
          <t>ADVANCED MICRO DEVICES INC</t>
        </is>
      </c>
      <c r="C164" s="8" t="n">
        <v>2019</v>
      </c>
      <c r="D164" s="8" t="inlineStr">
        <is>
          <t>2019-12-28</t>
        </is>
      </c>
      <c r="E164" s="8" t="inlineStr">
        <is>
          <t>일반</t>
        </is>
      </c>
      <c r="F164" s="8" t="inlineStr">
        <is>
          <t>0000002488-22-000016</t>
        </is>
      </c>
      <c r="G164" s="15" t="n">
        <v>6.731</v>
      </c>
      <c r="H164" s="15" t="n">
        <v>0.372</v>
      </c>
      <c r="I164" s="15" t="n">
        <v>0.094</v>
      </c>
      <c r="J164" s="15" t="n">
        <v>0.031</v>
      </c>
      <c r="K164" s="15" t="n">
        <v>0.631</v>
      </c>
      <c r="L164" s="15" t="n">
        <v>0.341</v>
      </c>
      <c r="M164" s="15" t="n">
        <v>0.142</v>
      </c>
      <c r="N164" s="15" t="n">
        <v>0.217</v>
      </c>
      <c r="O164" s="15" t="n">
        <v>0.493</v>
      </c>
      <c r="P164" s="15" t="n">
        <v>2.827</v>
      </c>
      <c r="Q164" s="15" t="n">
        <v>1.266</v>
      </c>
      <c r="R164" s="15" t="n">
        <v>1.503</v>
      </c>
      <c r="S164" s="15" t="n">
        <v>1.078</v>
      </c>
      <c r="T164" s="15" t="n"/>
      <c r="U164" s="15" t="n"/>
      <c r="V164" s="15" t="n">
        <v>0.486</v>
      </c>
      <c r="W164" s="15" t="n">
        <v>4.597</v>
      </c>
      <c r="X164" s="15" t="n">
        <v>3.54</v>
      </c>
      <c r="Y164" s="15" t="n">
        <v>2.359</v>
      </c>
      <c r="Z164" s="15" t="n">
        <v>1.984</v>
      </c>
      <c r="AA164" s="15" t="n">
        <v>1.302</v>
      </c>
      <c r="AB164" s="16" t="n">
        <v>1170</v>
      </c>
      <c r="AC164" s="17">
        <f>IF(AND(ISNUMBER(H164),ISNUMBER(I164)),H164+I164,IF(ISNUMBER(K164),K164,IF(ISNUMBER(H164),H164,"")))</f>
        <v/>
      </c>
      <c r="AD164" s="18">
        <f>IF(OR(NOT(ISNUMBER(J164)),NOT(ISNUMBER(H164)),H164&lt;=0),기준표!$B$8,MIN(MAX(J164/H164,기준표!$B$6),기준표!$B$7))</f>
        <v/>
      </c>
      <c r="AE164" s="17">
        <f>IF(ISNUMBER(AC164),AC164*(1-AD164),"")</f>
        <v/>
      </c>
      <c r="AF164" s="17">
        <f>IF(AND(NOT(ISNUMBER(T164)),NOT(ISNUMBER(V164))),"",IF(ISNUMBER(T164),T164,0)+IF(ISNUMBER(V164),V164,0))</f>
        <v/>
      </c>
      <c r="AG164" s="17">
        <f>IF(E164="금융","",IF(AND(ISNUMBER(P164),ISNUMBER(AF164),ISNUMBER(R164)),P164+AF164-R164,""))</f>
        <v/>
      </c>
      <c r="AH164" s="17">
        <f>IF(E164="금융","",IF(NOT(ISNUMBER(AG164)),"",IF(ISNUMBER(AA164),(AG164+AA164)/2,AG164)))</f>
        <v/>
      </c>
      <c r="AI164" s="19">
        <f>IF(AND(ISNUMBER(AE164),ISNUMBER(AH164),AH164&gt;0),AE164/AH164,"")</f>
        <v/>
      </c>
      <c r="AJ164" s="17">
        <f>IF(E164="금융","",IF(AND(ISNUMBER(P164),ISNUMBER(AF164)),P164+AF164,""))</f>
        <v/>
      </c>
      <c r="AK164" s="19">
        <f>IF(OR(NOT(ISNUMBER(AE164)),NOT(ISNUMBER(AJ164)),AJ164&lt;=0),"",IF(AND(ISNUMBER(G164),AJ164&lt;0.1*G164),"",AE164/AJ164))</f>
        <v/>
      </c>
      <c r="AL164" s="17">
        <f>IF(NOT(ISNUMBER(P164)),"",IF(ISNUMBER(Q164),(P164+Q164)/2,P164))</f>
        <v/>
      </c>
      <c r="AM164" s="19">
        <f>IF(AND(ISNUMBER(L164),ISNUMBER(AL164),AL164&gt;0),L164/AL164,"")</f>
        <v/>
      </c>
      <c r="AN164" s="19">
        <f>IF(AND(ISNUMBER(AM164),ISNUMBER({ROIC})),AM164-{ROIC},"")</f>
        <v/>
      </c>
      <c r="AO164" s="17">
        <f>IF(AND(ISNUMBER(AC164),ISNUMBER(M164)),AC164+M164,"")</f>
        <v/>
      </c>
      <c r="AP164" s="20">
        <f>IF(AND(ISNUMBER(AF164),ISNUMBER(R164),ISNUMBER(AO164),AO164&gt;0),(AF164-R164)/AO164,"")</f>
        <v/>
      </c>
      <c r="AQ164" s="20">
        <f>IF(AND(ISNUMBER(AC164),ISNUMBER(I164),I164&lt;&gt;0,AC164&gt;0),AC164/I164,"")</f>
        <v/>
      </c>
      <c r="AR164" s="17">
        <f>IF(AND(ISNUMBER(W164),ISNUMBER(Y164)),W164-IF(ISNUMBER(R164),R164,0)-(Y164-IF(ISNUMBER(T164),T164,0)),"")</f>
        <v/>
      </c>
      <c r="AS164" s="17">
        <f>IF(AND(ISNUMBER(X164),ISNUMBER(Z164)),X164-IF(ISNUMBER(S164),S164,0)-(Z164-IF(ISNUMBER(U164),U164,0)),"")</f>
        <v/>
      </c>
      <c r="AT164" s="17">
        <f>IF(AND(ISNUMBER(AR164),ISNUMBER(AS164)),AR164-AS164,"")</f>
        <v/>
      </c>
      <c r="AU164" s="17">
        <f>IF(E164="금융","",IF(AND(ISNUMBER(L164),ISNUMBER(M164),ISNUMBER(N164),ISNUMBER(AT164)),L164+M164-N164-AT164,IF(AND(ISNUMBER(O164),ISNUMBER(N164)),O164-N164,"")))</f>
        <v/>
      </c>
      <c r="AV164" s="8">
        <f>IF(E164="금융","금융업 - 정의되지 않음",IF(AND(ISNUMBER(L164),ISNUMBER(M164),ISNUMBER(N164),ISNUMBER(AT164)),"순이익+감가상각-설비투자-운전자본증감",IF(AND(ISNUMBER(O164),ISNUMBER(N164)),"영업현금흐름-설비투자","산출불가")))</f>
        <v/>
      </c>
      <c r="AW164" s="19">
        <f>IF(AND(ISNUMBER(AU164),ISNUMBER(G164),G164&lt;&gt;0),AU164/G164,"")</f>
        <v/>
      </c>
      <c r="AX164" s="19">
        <f>IF(AND(ISNUMBER(AC164),ISNUMBER(G164),G164&lt;&gt;0),AC164/G164,"")</f>
        <v/>
      </c>
    </row>
    <row r="165">
      <c r="A165" s="8" t="inlineStr">
        <is>
          <t>AMD</t>
        </is>
      </c>
      <c r="B165" s="8" t="inlineStr">
        <is>
          <t>ADVANCED MICRO DEVICES INC</t>
        </is>
      </c>
      <c r="C165" s="8" t="n">
        <v>2020</v>
      </c>
      <c r="D165" s="8" t="inlineStr">
        <is>
          <t>2020-12-26</t>
        </is>
      </c>
      <c r="E165" s="8" t="inlineStr">
        <is>
          <t>일반</t>
        </is>
      </c>
      <c r="F165" s="8" t="inlineStr">
        <is>
          <t>0000002488-23-000047</t>
        </is>
      </c>
      <c r="G165" s="15" t="n">
        <v>9.763</v>
      </c>
      <c r="H165" s="15" t="n">
        <v>1.28</v>
      </c>
      <c r="I165" s="15" t="n">
        <v>0.047</v>
      </c>
      <c r="J165" s="15" t="n">
        <v>-1.21</v>
      </c>
      <c r="K165" s="15" t="n">
        <v>1.369</v>
      </c>
      <c r="L165" s="15" t="n">
        <v>2.49</v>
      </c>
      <c r="M165" s="15" t="n">
        <v>0.217</v>
      </c>
      <c r="N165" s="15" t="n">
        <v>0.294</v>
      </c>
      <c r="O165" s="15" t="n">
        <v>1.071</v>
      </c>
      <c r="P165" s="15" t="n">
        <v>5.837</v>
      </c>
      <c r="Q165" s="15" t="n">
        <v>2.827</v>
      </c>
      <c r="R165" s="15" t="n">
        <v>2.29</v>
      </c>
      <c r="S165" s="15" t="n">
        <v>1.503</v>
      </c>
      <c r="T165" s="15" t="n">
        <v>0</v>
      </c>
      <c r="U165" s="15" t="n"/>
      <c r="V165" s="15" t="n">
        <v>0.33</v>
      </c>
      <c r="W165" s="15" t="n">
        <v>6.143</v>
      </c>
      <c r="X165" s="15" t="n">
        <v>4.597</v>
      </c>
      <c r="Y165" s="15" t="n">
        <v>2.417</v>
      </c>
      <c r="Z165" s="15" t="n">
        <v>2.359</v>
      </c>
      <c r="AA165" s="15" t="n">
        <v>1.81</v>
      </c>
      <c r="AB165" s="16" t="n">
        <v>1211</v>
      </c>
      <c r="AC165" s="17">
        <f>IF(AND(ISNUMBER(H165),ISNUMBER(I165)),H165+I165,IF(ISNUMBER(K165),K165,IF(ISNUMBER(H165),H165,"")))</f>
        <v/>
      </c>
      <c r="AD165" s="18">
        <f>IF(OR(NOT(ISNUMBER(J165)),NOT(ISNUMBER(H165)),H165&lt;=0),기준표!$B$8,MIN(MAX(J165/H165,기준표!$B$6),기준표!$B$7))</f>
        <v/>
      </c>
      <c r="AE165" s="17">
        <f>IF(ISNUMBER(AC165),AC165*(1-AD165),"")</f>
        <v/>
      </c>
      <c r="AF165" s="17">
        <f>IF(AND(NOT(ISNUMBER(T165)),NOT(ISNUMBER(V165))),"",IF(ISNUMBER(T165),T165,0)+IF(ISNUMBER(V165),V165,0))</f>
        <v/>
      </c>
      <c r="AG165" s="17">
        <f>IF(E165="금융","",IF(AND(ISNUMBER(P165),ISNUMBER(AF165),ISNUMBER(R165)),P165+AF165-R165,""))</f>
        <v/>
      </c>
      <c r="AH165" s="17">
        <f>IF(E165="금융","",IF(NOT(ISNUMBER(AG165)),"",IF(ISNUMBER(AA165),(AG165+AA165)/2,AG165)))</f>
        <v/>
      </c>
      <c r="AI165" s="19">
        <f>IF(AND(ISNUMBER(AE165),ISNUMBER(AH165),AH165&gt;0),AE165/AH165,"")</f>
        <v/>
      </c>
      <c r="AJ165" s="17">
        <f>IF(E165="금융","",IF(AND(ISNUMBER(P165),ISNUMBER(AF165)),P165+AF165,""))</f>
        <v/>
      </c>
      <c r="AK165" s="19">
        <f>IF(OR(NOT(ISNUMBER(AE165)),NOT(ISNUMBER(AJ165)),AJ165&lt;=0),"",IF(AND(ISNUMBER(G165),AJ165&lt;0.1*G165),"",AE165/AJ165))</f>
        <v/>
      </c>
      <c r="AL165" s="17">
        <f>IF(NOT(ISNUMBER(P165)),"",IF(ISNUMBER(Q165),(P165+Q165)/2,P165))</f>
        <v/>
      </c>
      <c r="AM165" s="19">
        <f>IF(AND(ISNUMBER(L165),ISNUMBER(AL165),AL165&gt;0),L165/AL165,"")</f>
        <v/>
      </c>
      <c r="AN165" s="19">
        <f>IF(AND(ISNUMBER(AM165),ISNUMBER({ROIC})),AM165-{ROIC},"")</f>
        <v/>
      </c>
      <c r="AO165" s="17">
        <f>IF(AND(ISNUMBER(AC165),ISNUMBER(M165)),AC165+M165,"")</f>
        <v/>
      </c>
      <c r="AP165" s="20">
        <f>IF(AND(ISNUMBER(AF165),ISNUMBER(R165),ISNUMBER(AO165),AO165&gt;0),(AF165-R165)/AO165,"")</f>
        <v/>
      </c>
      <c r="AQ165" s="20">
        <f>IF(AND(ISNUMBER(AC165),ISNUMBER(I165),I165&lt;&gt;0,AC165&gt;0),AC165/I165,"")</f>
        <v/>
      </c>
      <c r="AR165" s="17">
        <f>IF(AND(ISNUMBER(W165),ISNUMBER(Y165)),W165-IF(ISNUMBER(R165),R165,0)-(Y165-IF(ISNUMBER(T165),T165,0)),"")</f>
        <v/>
      </c>
      <c r="AS165" s="17">
        <f>IF(AND(ISNUMBER(X165),ISNUMBER(Z165)),X165-IF(ISNUMBER(S165),S165,0)-(Z165-IF(ISNUMBER(U165),U165,0)),"")</f>
        <v/>
      </c>
      <c r="AT165" s="17">
        <f>IF(AND(ISNUMBER(AR165),ISNUMBER(AS165)),AR165-AS165,"")</f>
        <v/>
      </c>
      <c r="AU165" s="17">
        <f>IF(E165="금융","",IF(AND(ISNUMBER(L165),ISNUMBER(M165),ISNUMBER(N165),ISNUMBER(AT165)),L165+M165-N165-AT165,IF(AND(ISNUMBER(O165),ISNUMBER(N165)),O165-N165,"")))</f>
        <v/>
      </c>
      <c r="AV165" s="8">
        <f>IF(E165="금융","금융업 - 정의되지 않음",IF(AND(ISNUMBER(L165),ISNUMBER(M165),ISNUMBER(N165),ISNUMBER(AT165)),"순이익+감가상각-설비투자-운전자본증감",IF(AND(ISNUMBER(O165),ISNUMBER(N165)),"영업현금흐름-설비투자","산출불가")))</f>
        <v/>
      </c>
      <c r="AW165" s="19">
        <f>IF(AND(ISNUMBER(AU165),ISNUMBER(G165),G165&lt;&gt;0),AU165/G165,"")</f>
        <v/>
      </c>
      <c r="AX165" s="19">
        <f>IF(AND(ISNUMBER(AC165),ISNUMBER(G165),G165&lt;&gt;0),AC165/G165,"")</f>
        <v/>
      </c>
    </row>
    <row r="166">
      <c r="A166" s="8" t="inlineStr">
        <is>
          <t>AMD</t>
        </is>
      </c>
      <c r="B166" s="8" t="inlineStr">
        <is>
          <t>ADVANCED MICRO DEVICES INC</t>
        </is>
      </c>
      <c r="C166" s="8" t="n">
        <v>2021</v>
      </c>
      <c r="D166" s="8" t="inlineStr">
        <is>
          <t>2021-12-25</t>
        </is>
      </c>
      <c r="E166" s="8" t="inlineStr">
        <is>
          <t>일반</t>
        </is>
      </c>
      <c r="F166" s="8" t="inlineStr">
        <is>
          <t>0000002488-24-000012</t>
        </is>
      </c>
      <c r="G166" s="15" t="n">
        <v>16.434</v>
      </c>
      <c r="H166" s="15" t="n">
        <v>3.675</v>
      </c>
      <c r="I166" s="15" t="n">
        <v>0.034</v>
      </c>
      <c r="J166" s="15" t="n">
        <v>0.513</v>
      </c>
      <c r="K166" s="15" t="n">
        <v>3.648</v>
      </c>
      <c r="L166" s="15" t="n">
        <v>3.162</v>
      </c>
      <c r="M166" s="15" t="n">
        <v>0.296</v>
      </c>
      <c r="N166" s="15" t="n">
        <v>0.301</v>
      </c>
      <c r="O166" s="15" t="n">
        <v>3.521</v>
      </c>
      <c r="P166" s="15" t="n">
        <v>7.497</v>
      </c>
      <c r="Q166" s="15" t="n">
        <v>5.837</v>
      </c>
      <c r="R166" s="15" t="n">
        <v>3.608</v>
      </c>
      <c r="S166" s="15" t="n">
        <v>2.29</v>
      </c>
      <c r="T166" s="15" t="n">
        <v>0.312</v>
      </c>
      <c r="U166" s="15" t="n">
        <v>0</v>
      </c>
      <c r="V166" s="15" t="n">
        <v>0.001</v>
      </c>
      <c r="W166" s="15" t="n">
        <v>8.583</v>
      </c>
      <c r="X166" s="15" t="n">
        <v>6.143</v>
      </c>
      <c r="Y166" s="15" t="n">
        <v>4.24</v>
      </c>
      <c r="Z166" s="15" t="n">
        <v>2.417</v>
      </c>
      <c r="AA166" s="15" t="n">
        <v>3.877</v>
      </c>
      <c r="AB166" s="16" t="n">
        <v>1207</v>
      </c>
      <c r="AC166" s="17">
        <f>IF(AND(ISNUMBER(H166),ISNUMBER(I166)),H166+I166,IF(ISNUMBER(K166),K166,IF(ISNUMBER(H166),H166,"")))</f>
        <v/>
      </c>
      <c r="AD166" s="18">
        <f>IF(OR(NOT(ISNUMBER(J166)),NOT(ISNUMBER(H166)),H166&lt;=0),기준표!$B$8,MIN(MAX(J166/H166,기준표!$B$6),기준표!$B$7))</f>
        <v/>
      </c>
      <c r="AE166" s="17">
        <f>IF(ISNUMBER(AC166),AC166*(1-AD166),"")</f>
        <v/>
      </c>
      <c r="AF166" s="17">
        <f>IF(AND(NOT(ISNUMBER(T166)),NOT(ISNUMBER(V166))),"",IF(ISNUMBER(T166),T166,0)+IF(ISNUMBER(V166),V166,0))</f>
        <v/>
      </c>
      <c r="AG166" s="17">
        <f>IF(E166="금융","",IF(AND(ISNUMBER(P166),ISNUMBER(AF166),ISNUMBER(R166)),P166+AF166-R166,""))</f>
        <v/>
      </c>
      <c r="AH166" s="17">
        <f>IF(E166="금융","",IF(NOT(ISNUMBER(AG166)),"",IF(ISNUMBER(AA166),(AG166+AA166)/2,AG166)))</f>
        <v/>
      </c>
      <c r="AI166" s="19">
        <f>IF(AND(ISNUMBER(AE166),ISNUMBER(AH166),AH166&gt;0),AE166/AH166,"")</f>
        <v/>
      </c>
      <c r="AJ166" s="17">
        <f>IF(E166="금융","",IF(AND(ISNUMBER(P166),ISNUMBER(AF166)),P166+AF166,""))</f>
        <v/>
      </c>
      <c r="AK166" s="19">
        <f>IF(OR(NOT(ISNUMBER(AE166)),NOT(ISNUMBER(AJ166)),AJ166&lt;=0),"",IF(AND(ISNUMBER(G166),AJ166&lt;0.1*G166),"",AE166/AJ166))</f>
        <v/>
      </c>
      <c r="AL166" s="17">
        <f>IF(NOT(ISNUMBER(P166)),"",IF(ISNUMBER(Q166),(P166+Q166)/2,P166))</f>
        <v/>
      </c>
      <c r="AM166" s="19">
        <f>IF(AND(ISNUMBER(L166),ISNUMBER(AL166),AL166&gt;0),L166/AL166,"")</f>
        <v/>
      </c>
      <c r="AN166" s="19">
        <f>IF(AND(ISNUMBER(AM166),ISNUMBER({ROIC})),AM166-{ROIC},"")</f>
        <v/>
      </c>
      <c r="AO166" s="17">
        <f>IF(AND(ISNUMBER(AC166),ISNUMBER(M166)),AC166+M166,"")</f>
        <v/>
      </c>
      <c r="AP166" s="20">
        <f>IF(AND(ISNUMBER(AF166),ISNUMBER(R166),ISNUMBER(AO166),AO166&gt;0),(AF166-R166)/AO166,"")</f>
        <v/>
      </c>
      <c r="AQ166" s="20">
        <f>IF(AND(ISNUMBER(AC166),ISNUMBER(I166),I166&lt;&gt;0,AC166&gt;0),AC166/I166,"")</f>
        <v/>
      </c>
      <c r="AR166" s="17">
        <f>IF(AND(ISNUMBER(W166),ISNUMBER(Y166)),W166-IF(ISNUMBER(R166),R166,0)-(Y166-IF(ISNUMBER(T166),T166,0)),"")</f>
        <v/>
      </c>
      <c r="AS166" s="17">
        <f>IF(AND(ISNUMBER(X166),ISNUMBER(Z166)),X166-IF(ISNUMBER(S166),S166,0)-(Z166-IF(ISNUMBER(U166),U166,0)),"")</f>
        <v/>
      </c>
      <c r="AT166" s="17">
        <f>IF(AND(ISNUMBER(AR166),ISNUMBER(AS166)),AR166-AS166,"")</f>
        <v/>
      </c>
      <c r="AU166" s="17">
        <f>IF(E166="금융","",IF(AND(ISNUMBER(L166),ISNUMBER(M166),ISNUMBER(N166),ISNUMBER(AT166)),L166+M166-N166-AT166,IF(AND(ISNUMBER(O166),ISNUMBER(N166)),O166-N166,"")))</f>
        <v/>
      </c>
      <c r="AV166" s="8">
        <f>IF(E166="금융","금융업 - 정의되지 않음",IF(AND(ISNUMBER(L166),ISNUMBER(M166),ISNUMBER(N166),ISNUMBER(AT166)),"순이익+감가상각-설비투자-운전자본증감",IF(AND(ISNUMBER(O166),ISNUMBER(N166)),"영업현금흐름-설비투자","산출불가")))</f>
        <v/>
      </c>
      <c r="AW166" s="19">
        <f>IF(AND(ISNUMBER(AU166),ISNUMBER(G166),G166&lt;&gt;0),AU166/G166,"")</f>
        <v/>
      </c>
      <c r="AX166" s="19">
        <f>IF(AND(ISNUMBER(AC166),ISNUMBER(G166),G166&lt;&gt;0),AC166/G166,"")</f>
        <v/>
      </c>
    </row>
    <row r="167">
      <c r="A167" s="8" t="inlineStr">
        <is>
          <t>AMD</t>
        </is>
      </c>
      <c r="B167" s="8" t="inlineStr">
        <is>
          <t>ADVANCED MICRO DEVICES INC</t>
        </is>
      </c>
      <c r="C167" s="8" t="n">
        <v>2022</v>
      </c>
      <c r="D167" s="8" t="inlineStr">
        <is>
          <t>2022-12-31</t>
        </is>
      </c>
      <c r="E167" s="8" t="inlineStr">
        <is>
          <t>일반</t>
        </is>
      </c>
      <c r="F167" s="8" t="inlineStr">
        <is>
          <t>0000002488-25-000012</t>
        </is>
      </c>
      <c r="G167" s="15" t="n">
        <v>23.601</v>
      </c>
      <c r="H167" s="15" t="n">
        <v>1.198</v>
      </c>
      <c r="I167" s="15" t="n">
        <v>0.08799999999999999</v>
      </c>
      <c r="J167" s="15" t="n">
        <v>-0.122</v>
      </c>
      <c r="K167" s="15" t="n">
        <v>1.264</v>
      </c>
      <c r="L167" s="15" t="n">
        <v>1.32</v>
      </c>
      <c r="M167" s="15" t="n">
        <v>0.439</v>
      </c>
      <c r="N167" s="15" t="n">
        <v>0.45</v>
      </c>
      <c r="O167" s="15" t="n">
        <v>3.565</v>
      </c>
      <c r="P167" s="15" t="n">
        <v>54.75</v>
      </c>
      <c r="Q167" s="15" t="n">
        <v>7.497</v>
      </c>
      <c r="R167" s="15" t="n">
        <v>5.855</v>
      </c>
      <c r="S167" s="15" t="n">
        <v>3.608</v>
      </c>
      <c r="T167" s="15" t="n">
        <v>0</v>
      </c>
      <c r="U167" s="15" t="n">
        <v>0.312</v>
      </c>
      <c r="V167" s="15" t="n">
        <v>2.467</v>
      </c>
      <c r="W167" s="15" t="n">
        <v>15.019</v>
      </c>
      <c r="X167" s="15" t="n">
        <v>8.583</v>
      </c>
      <c r="Y167" s="15" t="n">
        <v>6.369</v>
      </c>
      <c r="Z167" s="15" t="n">
        <v>4.24</v>
      </c>
      <c r="AA167" s="15" t="n">
        <v>4.202</v>
      </c>
      <c r="AB167" s="16" t="n">
        <v>1612</v>
      </c>
      <c r="AC167" s="17">
        <f>IF(AND(ISNUMBER(H167),ISNUMBER(I167)),H167+I167,IF(ISNUMBER(K167),K167,IF(ISNUMBER(H167),H167,"")))</f>
        <v/>
      </c>
      <c r="AD167" s="18">
        <f>IF(OR(NOT(ISNUMBER(J167)),NOT(ISNUMBER(H167)),H167&lt;=0),기준표!$B$8,MIN(MAX(J167/H167,기준표!$B$6),기준표!$B$7))</f>
        <v/>
      </c>
      <c r="AE167" s="17">
        <f>IF(ISNUMBER(AC167),AC167*(1-AD167),"")</f>
        <v/>
      </c>
      <c r="AF167" s="17">
        <f>IF(AND(NOT(ISNUMBER(T167)),NOT(ISNUMBER(V167))),"",IF(ISNUMBER(T167),T167,0)+IF(ISNUMBER(V167),V167,0))</f>
        <v/>
      </c>
      <c r="AG167" s="17">
        <f>IF(E167="금융","",IF(AND(ISNUMBER(P167),ISNUMBER(AF167),ISNUMBER(R167)),P167+AF167-R167,""))</f>
        <v/>
      </c>
      <c r="AH167" s="17">
        <f>IF(E167="금융","",IF(NOT(ISNUMBER(AG167)),"",IF(ISNUMBER(AA167),(AG167+AA167)/2,AG167)))</f>
        <v/>
      </c>
      <c r="AI167" s="19">
        <f>IF(AND(ISNUMBER(AE167),ISNUMBER(AH167),AH167&gt;0),AE167/AH167,"")</f>
        <v/>
      </c>
      <c r="AJ167" s="17">
        <f>IF(E167="금융","",IF(AND(ISNUMBER(P167),ISNUMBER(AF167)),P167+AF167,""))</f>
        <v/>
      </c>
      <c r="AK167" s="19">
        <f>IF(OR(NOT(ISNUMBER(AE167)),NOT(ISNUMBER(AJ167)),AJ167&lt;=0),"",IF(AND(ISNUMBER(G167),AJ167&lt;0.1*G167),"",AE167/AJ167))</f>
        <v/>
      </c>
      <c r="AL167" s="17">
        <f>IF(NOT(ISNUMBER(P167)),"",IF(ISNUMBER(Q167),(P167+Q167)/2,P167))</f>
        <v/>
      </c>
      <c r="AM167" s="19">
        <f>IF(AND(ISNUMBER(L167),ISNUMBER(AL167),AL167&gt;0),L167/AL167,"")</f>
        <v/>
      </c>
      <c r="AN167" s="19">
        <f>IF(AND(ISNUMBER(AM167),ISNUMBER({ROIC})),AM167-{ROIC},"")</f>
        <v/>
      </c>
      <c r="AO167" s="17">
        <f>IF(AND(ISNUMBER(AC167),ISNUMBER(M167)),AC167+M167,"")</f>
        <v/>
      </c>
      <c r="AP167" s="20">
        <f>IF(AND(ISNUMBER(AF167),ISNUMBER(R167),ISNUMBER(AO167),AO167&gt;0),(AF167-R167)/AO167,"")</f>
        <v/>
      </c>
      <c r="AQ167" s="20">
        <f>IF(AND(ISNUMBER(AC167),ISNUMBER(I167),I167&lt;&gt;0,AC167&gt;0),AC167/I167,"")</f>
        <v/>
      </c>
      <c r="AR167" s="17">
        <f>IF(AND(ISNUMBER(W167),ISNUMBER(Y167)),W167-IF(ISNUMBER(R167),R167,0)-(Y167-IF(ISNUMBER(T167),T167,0)),"")</f>
        <v/>
      </c>
      <c r="AS167" s="17">
        <f>IF(AND(ISNUMBER(X167),ISNUMBER(Z167)),X167-IF(ISNUMBER(S167),S167,0)-(Z167-IF(ISNUMBER(U167),U167,0)),"")</f>
        <v/>
      </c>
      <c r="AT167" s="17">
        <f>IF(AND(ISNUMBER(AR167),ISNUMBER(AS167)),AR167-AS167,"")</f>
        <v/>
      </c>
      <c r="AU167" s="17">
        <f>IF(E167="금융","",IF(AND(ISNUMBER(L167),ISNUMBER(M167),ISNUMBER(N167),ISNUMBER(AT167)),L167+M167-N167-AT167,IF(AND(ISNUMBER(O167),ISNUMBER(N167)),O167-N167,"")))</f>
        <v/>
      </c>
      <c r="AV167" s="8">
        <f>IF(E167="금융","금융업 - 정의되지 않음",IF(AND(ISNUMBER(L167),ISNUMBER(M167),ISNUMBER(N167),ISNUMBER(AT167)),"순이익+감가상각-설비투자-운전자본증감",IF(AND(ISNUMBER(O167),ISNUMBER(N167)),"영업현금흐름-설비투자","산출불가")))</f>
        <v/>
      </c>
      <c r="AW167" s="19">
        <f>IF(AND(ISNUMBER(AU167),ISNUMBER(G167),G167&lt;&gt;0),AU167/G167,"")</f>
        <v/>
      </c>
      <c r="AX167" s="19">
        <f>IF(AND(ISNUMBER(AC167),ISNUMBER(G167),G167&lt;&gt;0),AC167/G167,"")</f>
        <v/>
      </c>
    </row>
    <row r="168">
      <c r="A168" s="8" t="inlineStr">
        <is>
          <t>AMD</t>
        </is>
      </c>
      <c r="B168" s="8" t="inlineStr">
        <is>
          <t>ADVANCED MICRO DEVICES INC</t>
        </is>
      </c>
      <c r="C168" s="8" t="n">
        <v>2023</v>
      </c>
      <c r="D168" s="8" t="inlineStr">
        <is>
          <t>2023-12-30</t>
        </is>
      </c>
      <c r="E168" s="8" t="inlineStr">
        <is>
          <t>일반</t>
        </is>
      </c>
      <c r="F168" s="8" t="inlineStr">
        <is>
          <t>0000002488-26-000018</t>
        </is>
      </c>
      <c r="G168" s="15" t="n">
        <v>22.68</v>
      </c>
      <c r="H168" s="15" t="n">
        <v>0.508</v>
      </c>
      <c r="I168" s="15" t="n">
        <v>0.106</v>
      </c>
      <c r="J168" s="15" t="n">
        <v>-0.346</v>
      </c>
      <c r="K168" s="15" t="n">
        <v>0.401</v>
      </c>
      <c r="L168" s="15" t="n">
        <v>0.854</v>
      </c>
      <c r="M168" s="15" t="n">
        <v>0.441</v>
      </c>
      <c r="N168" s="15" t="n">
        <v>0.546</v>
      </c>
      <c r="O168" s="15" t="n">
        <v>1.667</v>
      </c>
      <c r="P168" s="15" t="n">
        <v>55.892</v>
      </c>
      <c r="Q168" s="15" t="n">
        <v>54.75</v>
      </c>
      <c r="R168" s="15" t="n">
        <v>5.773</v>
      </c>
      <c r="S168" s="15" t="n">
        <v>5.855</v>
      </c>
      <c r="T168" s="15" t="n">
        <v>0.751</v>
      </c>
      <c r="U168" s="15" t="n">
        <v>0</v>
      </c>
      <c r="V168" s="15" t="n">
        <v>1.717</v>
      </c>
      <c r="W168" s="15" t="n">
        <v>16.768</v>
      </c>
      <c r="X168" s="15" t="n">
        <v>15.019</v>
      </c>
      <c r="Y168" s="15" t="n">
        <v>6.689</v>
      </c>
      <c r="Z168" s="15" t="n">
        <v>6.369</v>
      </c>
      <c r="AA168" s="15" t="n">
        <v>51.362</v>
      </c>
      <c r="AB168" s="16" t="n">
        <v>1616</v>
      </c>
      <c r="AC168" s="17">
        <f>IF(AND(ISNUMBER(H168),ISNUMBER(I168)),H168+I168,IF(ISNUMBER(K168),K168,IF(ISNUMBER(H168),H168,"")))</f>
        <v/>
      </c>
      <c r="AD168" s="18">
        <f>IF(OR(NOT(ISNUMBER(J168)),NOT(ISNUMBER(H168)),H168&lt;=0),기준표!$B$8,MIN(MAX(J168/H168,기준표!$B$6),기준표!$B$7))</f>
        <v/>
      </c>
      <c r="AE168" s="17">
        <f>IF(ISNUMBER(AC168),AC168*(1-AD168),"")</f>
        <v/>
      </c>
      <c r="AF168" s="17">
        <f>IF(AND(NOT(ISNUMBER(T168)),NOT(ISNUMBER(V168))),"",IF(ISNUMBER(T168),T168,0)+IF(ISNUMBER(V168),V168,0))</f>
        <v/>
      </c>
      <c r="AG168" s="17">
        <f>IF(E168="금융","",IF(AND(ISNUMBER(P168),ISNUMBER(AF168),ISNUMBER(R168)),P168+AF168-R168,""))</f>
        <v/>
      </c>
      <c r="AH168" s="17">
        <f>IF(E168="금융","",IF(NOT(ISNUMBER(AG168)),"",IF(ISNUMBER(AA168),(AG168+AA168)/2,AG168)))</f>
        <v/>
      </c>
      <c r="AI168" s="19">
        <f>IF(AND(ISNUMBER(AE168),ISNUMBER(AH168),AH168&gt;0),AE168/AH168,"")</f>
        <v/>
      </c>
      <c r="AJ168" s="17">
        <f>IF(E168="금융","",IF(AND(ISNUMBER(P168),ISNUMBER(AF168)),P168+AF168,""))</f>
        <v/>
      </c>
      <c r="AK168" s="19">
        <f>IF(OR(NOT(ISNUMBER(AE168)),NOT(ISNUMBER(AJ168)),AJ168&lt;=0),"",IF(AND(ISNUMBER(G168),AJ168&lt;0.1*G168),"",AE168/AJ168))</f>
        <v/>
      </c>
      <c r="AL168" s="17">
        <f>IF(NOT(ISNUMBER(P168)),"",IF(ISNUMBER(Q168),(P168+Q168)/2,P168))</f>
        <v/>
      </c>
      <c r="AM168" s="19">
        <f>IF(AND(ISNUMBER(L168),ISNUMBER(AL168),AL168&gt;0),L168/AL168,"")</f>
        <v/>
      </c>
      <c r="AN168" s="19">
        <f>IF(AND(ISNUMBER(AM168),ISNUMBER({ROIC})),AM168-{ROIC},"")</f>
        <v/>
      </c>
      <c r="AO168" s="17">
        <f>IF(AND(ISNUMBER(AC168),ISNUMBER(M168)),AC168+M168,"")</f>
        <v/>
      </c>
      <c r="AP168" s="20">
        <f>IF(AND(ISNUMBER(AF168),ISNUMBER(R168),ISNUMBER(AO168),AO168&gt;0),(AF168-R168)/AO168,"")</f>
        <v/>
      </c>
      <c r="AQ168" s="20">
        <f>IF(AND(ISNUMBER(AC168),ISNUMBER(I168),I168&lt;&gt;0,AC168&gt;0),AC168/I168,"")</f>
        <v/>
      </c>
      <c r="AR168" s="17">
        <f>IF(AND(ISNUMBER(W168),ISNUMBER(Y168)),W168-IF(ISNUMBER(R168),R168,0)-(Y168-IF(ISNUMBER(T168),T168,0)),"")</f>
        <v/>
      </c>
      <c r="AS168" s="17">
        <f>IF(AND(ISNUMBER(X168),ISNUMBER(Z168)),X168-IF(ISNUMBER(S168),S168,0)-(Z168-IF(ISNUMBER(U168),U168,0)),"")</f>
        <v/>
      </c>
      <c r="AT168" s="17">
        <f>IF(AND(ISNUMBER(AR168),ISNUMBER(AS168)),AR168-AS168,"")</f>
        <v/>
      </c>
      <c r="AU168" s="17">
        <f>IF(E168="금융","",IF(AND(ISNUMBER(L168),ISNUMBER(M168),ISNUMBER(N168),ISNUMBER(AT168)),L168+M168-N168-AT168,IF(AND(ISNUMBER(O168),ISNUMBER(N168)),O168-N168,"")))</f>
        <v/>
      </c>
      <c r="AV168" s="8">
        <f>IF(E168="금융","금융업 - 정의되지 않음",IF(AND(ISNUMBER(L168),ISNUMBER(M168),ISNUMBER(N168),ISNUMBER(AT168)),"순이익+감가상각-설비투자-운전자본증감",IF(AND(ISNUMBER(O168),ISNUMBER(N168)),"영업현금흐름-설비투자","산출불가")))</f>
        <v/>
      </c>
      <c r="AW168" s="19">
        <f>IF(AND(ISNUMBER(AU168),ISNUMBER(G168),G168&lt;&gt;0),AU168/G168,"")</f>
        <v/>
      </c>
      <c r="AX168" s="19">
        <f>IF(AND(ISNUMBER(AC168),ISNUMBER(G168),G168&lt;&gt;0),AC168/G168,"")</f>
        <v/>
      </c>
    </row>
    <row r="169">
      <c r="A169" s="8" t="inlineStr">
        <is>
          <t>AMD</t>
        </is>
      </c>
      <c r="B169" s="8" t="inlineStr">
        <is>
          <t>ADVANCED MICRO DEVICES INC</t>
        </is>
      </c>
      <c r="C169" s="8" t="n">
        <v>2024</v>
      </c>
      <c r="D169" s="8" t="inlineStr">
        <is>
          <t>2024-12-28</t>
        </is>
      </c>
      <c r="E169" s="8" t="inlineStr">
        <is>
          <t>일반</t>
        </is>
      </c>
      <c r="F169" s="8" t="inlineStr">
        <is>
          <t>0000002488-26-000018</t>
        </is>
      </c>
      <c r="G169" s="15" t="n">
        <v>25.785</v>
      </c>
      <c r="H169" s="15" t="n">
        <v>2.022</v>
      </c>
      <c r="I169" s="15" t="n">
        <v>0.092</v>
      </c>
      <c r="J169" s="15" t="n">
        <v>0.381</v>
      </c>
      <c r="K169" s="15" t="n">
        <v>1.9</v>
      </c>
      <c r="L169" s="15" t="n">
        <v>1.641</v>
      </c>
      <c r="M169" s="15" t="n">
        <v>0.454</v>
      </c>
      <c r="N169" s="15" t="n">
        <v>0.636</v>
      </c>
      <c r="O169" s="15" t="n">
        <v>3.041</v>
      </c>
      <c r="P169" s="15" t="n">
        <v>57.568</v>
      </c>
      <c r="Q169" s="15" t="n">
        <v>55.892</v>
      </c>
      <c r="R169" s="15" t="n">
        <v>5.132</v>
      </c>
      <c r="S169" s="15" t="n">
        <v>5.773</v>
      </c>
      <c r="T169" s="15" t="n">
        <v>0</v>
      </c>
      <c r="U169" s="15" t="n">
        <v>0.751</v>
      </c>
      <c r="V169" s="15" t="n">
        <v>1.721</v>
      </c>
      <c r="W169" s="15" t="n">
        <v>19.049</v>
      </c>
      <c r="X169" s="15" t="n">
        <v>16.768</v>
      </c>
      <c r="Y169" s="15" t="n">
        <v>7.281</v>
      </c>
      <c r="Z169" s="15" t="n">
        <v>6.689</v>
      </c>
      <c r="AA169" s="15" t="n">
        <v>52.587</v>
      </c>
      <c r="AB169" s="16" t="n">
        <v>1622</v>
      </c>
      <c r="AC169" s="17">
        <f>IF(AND(ISNUMBER(H169),ISNUMBER(I169)),H169+I169,IF(ISNUMBER(K169),K169,IF(ISNUMBER(H169),H169,"")))</f>
        <v/>
      </c>
      <c r="AD169" s="18">
        <f>IF(OR(NOT(ISNUMBER(J169)),NOT(ISNUMBER(H169)),H169&lt;=0),기준표!$B$8,MIN(MAX(J169/H169,기준표!$B$6),기준표!$B$7))</f>
        <v/>
      </c>
      <c r="AE169" s="17">
        <f>IF(ISNUMBER(AC169),AC169*(1-AD169),"")</f>
        <v/>
      </c>
      <c r="AF169" s="17">
        <f>IF(AND(NOT(ISNUMBER(T169)),NOT(ISNUMBER(V169))),"",IF(ISNUMBER(T169),T169,0)+IF(ISNUMBER(V169),V169,0))</f>
        <v/>
      </c>
      <c r="AG169" s="17">
        <f>IF(E169="금융","",IF(AND(ISNUMBER(P169),ISNUMBER(AF169),ISNUMBER(R169)),P169+AF169-R169,""))</f>
        <v/>
      </c>
      <c r="AH169" s="17">
        <f>IF(E169="금융","",IF(NOT(ISNUMBER(AG169)),"",IF(ISNUMBER(AA169),(AG169+AA169)/2,AG169)))</f>
        <v/>
      </c>
      <c r="AI169" s="19">
        <f>IF(AND(ISNUMBER(AE169),ISNUMBER(AH169),AH169&gt;0),AE169/AH169,"")</f>
        <v/>
      </c>
      <c r="AJ169" s="17">
        <f>IF(E169="금융","",IF(AND(ISNUMBER(P169),ISNUMBER(AF169)),P169+AF169,""))</f>
        <v/>
      </c>
      <c r="AK169" s="19">
        <f>IF(OR(NOT(ISNUMBER(AE169)),NOT(ISNUMBER(AJ169)),AJ169&lt;=0),"",IF(AND(ISNUMBER(G169),AJ169&lt;0.1*G169),"",AE169/AJ169))</f>
        <v/>
      </c>
      <c r="AL169" s="17">
        <f>IF(NOT(ISNUMBER(P169)),"",IF(ISNUMBER(Q169),(P169+Q169)/2,P169))</f>
        <v/>
      </c>
      <c r="AM169" s="19">
        <f>IF(AND(ISNUMBER(L169),ISNUMBER(AL169),AL169&gt;0),L169/AL169,"")</f>
        <v/>
      </c>
      <c r="AN169" s="19">
        <f>IF(AND(ISNUMBER(AM169),ISNUMBER({ROIC})),AM169-{ROIC},"")</f>
        <v/>
      </c>
      <c r="AO169" s="17">
        <f>IF(AND(ISNUMBER(AC169),ISNUMBER(M169)),AC169+M169,"")</f>
        <v/>
      </c>
      <c r="AP169" s="20">
        <f>IF(AND(ISNUMBER(AF169),ISNUMBER(R169),ISNUMBER(AO169),AO169&gt;0),(AF169-R169)/AO169,"")</f>
        <v/>
      </c>
      <c r="AQ169" s="20">
        <f>IF(AND(ISNUMBER(AC169),ISNUMBER(I169),I169&lt;&gt;0,AC169&gt;0),AC169/I169,"")</f>
        <v/>
      </c>
      <c r="AR169" s="17">
        <f>IF(AND(ISNUMBER(W169),ISNUMBER(Y169)),W169-IF(ISNUMBER(R169),R169,0)-(Y169-IF(ISNUMBER(T169),T169,0)),"")</f>
        <v/>
      </c>
      <c r="AS169" s="17">
        <f>IF(AND(ISNUMBER(X169),ISNUMBER(Z169)),X169-IF(ISNUMBER(S169),S169,0)-(Z169-IF(ISNUMBER(U169),U169,0)),"")</f>
        <v/>
      </c>
      <c r="AT169" s="17">
        <f>IF(AND(ISNUMBER(AR169),ISNUMBER(AS169)),AR169-AS169,"")</f>
        <v/>
      </c>
      <c r="AU169" s="17">
        <f>IF(E169="금융","",IF(AND(ISNUMBER(L169),ISNUMBER(M169),ISNUMBER(N169),ISNUMBER(AT169)),L169+M169-N169-AT169,IF(AND(ISNUMBER(O169),ISNUMBER(N169)),O169-N169,"")))</f>
        <v/>
      </c>
      <c r="AV169" s="8">
        <f>IF(E169="금융","금융업 - 정의되지 않음",IF(AND(ISNUMBER(L169),ISNUMBER(M169),ISNUMBER(N169),ISNUMBER(AT169)),"순이익+감가상각-설비투자-운전자본증감",IF(AND(ISNUMBER(O169),ISNUMBER(N169)),"영업현금흐름-설비투자","산출불가")))</f>
        <v/>
      </c>
      <c r="AW169" s="19">
        <f>IF(AND(ISNUMBER(AU169),ISNUMBER(G169),G169&lt;&gt;0),AU169/G169,"")</f>
        <v/>
      </c>
      <c r="AX169" s="19">
        <f>IF(AND(ISNUMBER(AC169),ISNUMBER(G169),G169&lt;&gt;0),AC169/G169,"")</f>
        <v/>
      </c>
    </row>
    <row r="170">
      <c r="A170" s="8" t="inlineStr">
        <is>
          <t>AMD</t>
        </is>
      </c>
      <c r="B170" s="8" t="inlineStr">
        <is>
          <t>ADVANCED MICRO DEVICES INC</t>
        </is>
      </c>
      <c r="C170" s="8" t="n">
        <v>2025</v>
      </c>
      <c r="D170" s="8" t="inlineStr">
        <is>
          <t>2025-12-27</t>
        </is>
      </c>
      <c r="E170" s="8" t="inlineStr">
        <is>
          <t>일반</t>
        </is>
      </c>
      <c r="F170" s="8" t="inlineStr">
        <is>
          <t>0000002488-26-000018</t>
        </is>
      </c>
      <c r="G170" s="15" t="n">
        <v>34.639</v>
      </c>
      <c r="H170" s="15" t="n">
        <v>4.166</v>
      </c>
      <c r="I170" s="15" t="n">
        <v>0.131</v>
      </c>
      <c r="J170" s="15" t="n">
        <v>-0.103</v>
      </c>
      <c r="K170" s="15" t="n">
        <v>3.694</v>
      </c>
      <c r="L170" s="15" t="n">
        <v>4.335</v>
      </c>
      <c r="M170" s="15" t="n">
        <v>0.521</v>
      </c>
      <c r="N170" s="15" t="n">
        <v>0.974</v>
      </c>
      <c r="O170" s="15" t="n">
        <v>7.709</v>
      </c>
      <c r="P170" s="15" t="n">
        <v>62.999</v>
      </c>
      <c r="Q170" s="15" t="n">
        <v>57.568</v>
      </c>
      <c r="R170" s="15" t="n">
        <v>10.552</v>
      </c>
      <c r="S170" s="15" t="n">
        <v>5.132</v>
      </c>
      <c r="T170" s="15" t="n">
        <v>0.874</v>
      </c>
      <c r="U170" s="15" t="n">
        <v>0</v>
      </c>
      <c r="V170" s="15" t="n">
        <v>2.348</v>
      </c>
      <c r="W170" s="15" t="n">
        <v>26.947</v>
      </c>
      <c r="X170" s="15" t="n">
        <v>19.049</v>
      </c>
      <c r="Y170" s="15" t="n">
        <v>9.455</v>
      </c>
      <c r="Z170" s="15" t="n">
        <v>7.281</v>
      </c>
      <c r="AA170" s="15" t="n">
        <v>54.157</v>
      </c>
      <c r="AB170" s="16" t="n">
        <v>1630</v>
      </c>
      <c r="AC170" s="17">
        <f>IF(AND(ISNUMBER(H170),ISNUMBER(I170)),H170+I170,IF(ISNUMBER(K170),K170,IF(ISNUMBER(H170),H170,"")))</f>
        <v/>
      </c>
      <c r="AD170" s="18">
        <f>IF(OR(NOT(ISNUMBER(J170)),NOT(ISNUMBER(H170)),H170&lt;=0),기준표!$B$8,MIN(MAX(J170/H170,기준표!$B$6),기준표!$B$7))</f>
        <v/>
      </c>
      <c r="AE170" s="17">
        <f>IF(ISNUMBER(AC170),AC170*(1-AD170),"")</f>
        <v/>
      </c>
      <c r="AF170" s="17">
        <f>IF(AND(NOT(ISNUMBER(T170)),NOT(ISNUMBER(V170))),"",IF(ISNUMBER(T170),T170,0)+IF(ISNUMBER(V170),V170,0))</f>
        <v/>
      </c>
      <c r="AG170" s="17">
        <f>IF(E170="금융","",IF(AND(ISNUMBER(P170),ISNUMBER(AF170),ISNUMBER(R170)),P170+AF170-R170,""))</f>
        <v/>
      </c>
      <c r="AH170" s="17">
        <f>IF(E170="금융","",IF(NOT(ISNUMBER(AG170)),"",IF(ISNUMBER(AA170),(AG170+AA170)/2,AG170)))</f>
        <v/>
      </c>
      <c r="AI170" s="19">
        <f>IF(AND(ISNUMBER(AE170),ISNUMBER(AH170),AH170&gt;0),AE170/AH170,"")</f>
        <v/>
      </c>
      <c r="AJ170" s="17">
        <f>IF(E170="금융","",IF(AND(ISNUMBER(P170),ISNUMBER(AF170)),P170+AF170,""))</f>
        <v/>
      </c>
      <c r="AK170" s="19">
        <f>IF(OR(NOT(ISNUMBER(AE170)),NOT(ISNUMBER(AJ170)),AJ170&lt;=0),"",IF(AND(ISNUMBER(G170),AJ170&lt;0.1*G170),"",AE170/AJ170))</f>
        <v/>
      </c>
      <c r="AL170" s="17">
        <f>IF(NOT(ISNUMBER(P170)),"",IF(ISNUMBER(Q170),(P170+Q170)/2,P170))</f>
        <v/>
      </c>
      <c r="AM170" s="19">
        <f>IF(AND(ISNUMBER(L170),ISNUMBER(AL170),AL170&gt;0),L170/AL170,"")</f>
        <v/>
      </c>
      <c r="AN170" s="19">
        <f>IF(AND(ISNUMBER(AM170),ISNUMBER({ROIC})),AM170-{ROIC},"")</f>
        <v/>
      </c>
      <c r="AO170" s="17">
        <f>IF(AND(ISNUMBER(AC170),ISNUMBER(M170)),AC170+M170,"")</f>
        <v/>
      </c>
      <c r="AP170" s="20">
        <f>IF(AND(ISNUMBER(AF170),ISNUMBER(R170),ISNUMBER(AO170),AO170&gt;0),(AF170-R170)/AO170,"")</f>
        <v/>
      </c>
      <c r="AQ170" s="20">
        <f>IF(AND(ISNUMBER(AC170),ISNUMBER(I170),I170&lt;&gt;0,AC170&gt;0),AC170/I170,"")</f>
        <v/>
      </c>
      <c r="AR170" s="17">
        <f>IF(AND(ISNUMBER(W170),ISNUMBER(Y170)),W170-IF(ISNUMBER(R170),R170,0)-(Y170-IF(ISNUMBER(T170),T170,0)),"")</f>
        <v/>
      </c>
      <c r="AS170" s="17">
        <f>IF(AND(ISNUMBER(X170),ISNUMBER(Z170)),X170-IF(ISNUMBER(S170),S170,0)-(Z170-IF(ISNUMBER(U170),U170,0)),"")</f>
        <v/>
      </c>
      <c r="AT170" s="17">
        <f>IF(AND(ISNUMBER(AR170),ISNUMBER(AS170)),AR170-AS170,"")</f>
        <v/>
      </c>
      <c r="AU170" s="17">
        <f>IF(E170="금융","",IF(AND(ISNUMBER(L170),ISNUMBER(M170),ISNUMBER(N170),ISNUMBER(AT170)),L170+M170-N170-AT170,IF(AND(ISNUMBER(O170),ISNUMBER(N170)),O170-N170,"")))</f>
        <v/>
      </c>
      <c r="AV170" s="8">
        <f>IF(E170="금융","금융업 - 정의되지 않음",IF(AND(ISNUMBER(L170),ISNUMBER(M170),ISNUMBER(N170),ISNUMBER(AT170)),"순이익+감가상각-설비투자-운전자본증감",IF(AND(ISNUMBER(O170),ISNUMBER(N170)),"영업현금흐름-설비투자","산출불가")))</f>
        <v/>
      </c>
      <c r="AW170" s="19">
        <f>IF(AND(ISNUMBER(AU170),ISNUMBER(G170),G170&lt;&gt;0),AU170/G170,"")</f>
        <v/>
      </c>
      <c r="AX170" s="19">
        <f>IF(AND(ISNUMBER(AC170),ISNUMBER(G170),G170&lt;&gt;0),AC170/G170,"")</f>
        <v/>
      </c>
    </row>
    <row r="171">
      <c r="A171" s="8" t="inlineStr">
        <is>
          <t>V</t>
        </is>
      </c>
      <c r="B171" s="8" t="inlineStr">
        <is>
          <t>VISA INC.</t>
        </is>
      </c>
      <c r="C171" s="8" t="n">
        <v>2014</v>
      </c>
      <c r="D171" s="8" t="inlineStr">
        <is>
          <t>2014-09-30</t>
        </is>
      </c>
      <c r="E171" s="8" t="inlineStr">
        <is>
          <t>일반</t>
        </is>
      </c>
      <c r="F171" s="8" t="inlineStr">
        <is>
          <t>0001403161-16-000058</t>
        </is>
      </c>
      <c r="G171" s="15" t="n"/>
      <c r="H171" s="15" t="n"/>
      <c r="I171" s="15" t="n"/>
      <c r="J171" s="15" t="n">
        <v>2.286</v>
      </c>
      <c r="K171" s="15" t="n">
        <v>7.697</v>
      </c>
      <c r="L171" s="15" t="n">
        <v>5.438</v>
      </c>
      <c r="M171" s="15" t="n">
        <v>0.435</v>
      </c>
      <c r="N171" s="15" t="n">
        <v>0.553</v>
      </c>
      <c r="O171" s="15" t="n">
        <v>7.205</v>
      </c>
      <c r="P171" s="15" t="n">
        <v>27.413</v>
      </c>
      <c r="Q171" s="15" t="n"/>
      <c r="R171" s="15" t="n">
        <v>1.971</v>
      </c>
      <c r="S171" s="15" t="n"/>
      <c r="T171" s="15" t="n"/>
      <c r="U171" s="15" t="n"/>
      <c r="V171" s="15" t="n"/>
      <c r="W171" s="15" t="n">
        <v>9.561999999999999</v>
      </c>
      <c r="X171" s="15" t="n"/>
      <c r="Y171" s="15" t="n">
        <v>6.006</v>
      </c>
      <c r="Z171" s="15" t="n"/>
      <c r="AA171" s="15" t="n"/>
      <c r="AB171" s="16" t="n"/>
      <c r="AC171" s="17">
        <f>IF(AND(ISNUMBER(H171),ISNUMBER(I171)),H171+I171,IF(ISNUMBER(K171),K171,IF(ISNUMBER(H171),H171,"")))</f>
        <v/>
      </c>
      <c r="AD171" s="18">
        <f>IF(OR(NOT(ISNUMBER(J171)),NOT(ISNUMBER(H171)),H171&lt;=0),기준표!$B$8,MIN(MAX(J171/H171,기준표!$B$6),기준표!$B$7))</f>
        <v/>
      </c>
      <c r="AE171" s="17">
        <f>IF(ISNUMBER(AC171),AC171*(1-AD171),"")</f>
        <v/>
      </c>
      <c r="AF171" s="17">
        <f>IF(AND(NOT(ISNUMBER(T171)),NOT(ISNUMBER(V171))),"",IF(ISNUMBER(T171),T171,0)+IF(ISNUMBER(V171),V171,0))</f>
        <v/>
      </c>
      <c r="AG171" s="17">
        <f>IF(E171="금융","",IF(AND(ISNUMBER(P171),ISNUMBER(AF171),ISNUMBER(R171)),P171+AF171-R171,""))</f>
        <v/>
      </c>
      <c r="AH171" s="17">
        <f>IF(E171="금융","",IF(NOT(ISNUMBER(AG171)),"",IF(ISNUMBER(AA171),(AG171+AA171)/2,AG171)))</f>
        <v/>
      </c>
      <c r="AI171" s="19">
        <f>IF(AND(ISNUMBER(AE171),ISNUMBER(AH171),AH171&gt;0),AE171/AH171,"")</f>
        <v/>
      </c>
      <c r="AJ171" s="17">
        <f>IF(E171="금융","",IF(AND(ISNUMBER(P171),ISNUMBER(AF171)),P171+AF171,""))</f>
        <v/>
      </c>
      <c r="AK171" s="19">
        <f>IF(OR(NOT(ISNUMBER(AE171)),NOT(ISNUMBER(AJ171)),AJ171&lt;=0),"",IF(AND(ISNUMBER(G171),AJ171&lt;0.1*G171),"",AE171/AJ171))</f>
        <v/>
      </c>
      <c r="AL171" s="17">
        <f>IF(NOT(ISNUMBER(P171)),"",IF(ISNUMBER(Q171),(P171+Q171)/2,P171))</f>
        <v/>
      </c>
      <c r="AM171" s="19">
        <f>IF(AND(ISNUMBER(L171),ISNUMBER(AL171),AL171&gt;0),L171/AL171,"")</f>
        <v/>
      </c>
      <c r="AN171" s="19">
        <f>IF(AND(ISNUMBER(AM171),ISNUMBER({ROIC})),AM171-{ROIC},"")</f>
        <v/>
      </c>
      <c r="AO171" s="17">
        <f>IF(AND(ISNUMBER(AC171),ISNUMBER(M171)),AC171+M171,"")</f>
        <v/>
      </c>
      <c r="AP171" s="20">
        <f>IF(AND(ISNUMBER(AF171),ISNUMBER(R171),ISNUMBER(AO171),AO171&gt;0),(AF171-R171)/AO171,"")</f>
        <v/>
      </c>
      <c r="AQ171" s="20">
        <f>IF(AND(ISNUMBER(AC171),ISNUMBER(I171),I171&lt;&gt;0,AC171&gt;0),AC171/I171,"")</f>
        <v/>
      </c>
      <c r="AR171" s="17">
        <f>IF(AND(ISNUMBER(W171),ISNUMBER(Y171)),W171-IF(ISNUMBER(R171),R171,0)-(Y171-IF(ISNUMBER(T171),T171,0)),"")</f>
        <v/>
      </c>
      <c r="AS171" s="17">
        <f>IF(AND(ISNUMBER(X171),ISNUMBER(Z171)),X171-IF(ISNUMBER(S171),S171,0)-(Z171-IF(ISNUMBER(U171),U171,0)),"")</f>
        <v/>
      </c>
      <c r="AT171" s="17">
        <f>IF(AND(ISNUMBER(AR171),ISNUMBER(AS171)),AR171-AS171,"")</f>
        <v/>
      </c>
      <c r="AU171" s="17">
        <f>IF(E171="금융","",IF(AND(ISNUMBER(L171),ISNUMBER(M171),ISNUMBER(N171),ISNUMBER(AT171)),L171+M171-N171-AT171,IF(AND(ISNUMBER(O171),ISNUMBER(N171)),O171-N171,"")))</f>
        <v/>
      </c>
      <c r="AV171" s="8">
        <f>IF(E171="금융","금융업 - 정의되지 않음",IF(AND(ISNUMBER(L171),ISNUMBER(M171),ISNUMBER(N171),ISNUMBER(AT171)),"순이익+감가상각-설비투자-운전자본증감",IF(AND(ISNUMBER(O171),ISNUMBER(N171)),"영업현금흐름-설비투자","산출불가")))</f>
        <v/>
      </c>
      <c r="AW171" s="19">
        <f>IF(AND(ISNUMBER(AU171),ISNUMBER(G171),G171&lt;&gt;0),AU171/G171,"")</f>
        <v/>
      </c>
      <c r="AX171" s="19">
        <f>IF(AND(ISNUMBER(AC171),ISNUMBER(G171),G171&lt;&gt;0),AC171/G171,"")</f>
        <v/>
      </c>
    </row>
    <row r="172">
      <c r="A172" s="8" t="inlineStr">
        <is>
          <t>V</t>
        </is>
      </c>
      <c r="B172" s="8" t="inlineStr">
        <is>
          <t>VISA INC.</t>
        </is>
      </c>
      <c r="C172" s="8" t="n">
        <v>2015</v>
      </c>
      <c r="D172" s="8" t="inlineStr">
        <is>
          <t>2015-09-30</t>
        </is>
      </c>
      <c r="E172" s="8" t="inlineStr">
        <is>
          <t>일반</t>
        </is>
      </c>
      <c r="F172" s="8" t="inlineStr">
        <is>
          <t>0001403161-17-000044</t>
        </is>
      </c>
      <c r="G172" s="15" t="n"/>
      <c r="H172" s="15" t="n">
        <v>8.994999999999999</v>
      </c>
      <c r="I172" s="15" t="n"/>
      <c r="J172" s="15" t="n">
        <v>2.667</v>
      </c>
      <c r="K172" s="15" t="n">
        <v>9.064</v>
      </c>
      <c r="L172" s="15" t="n">
        <v>6.328</v>
      </c>
      <c r="M172" s="15" t="n">
        <v>0.494</v>
      </c>
      <c r="N172" s="15" t="n">
        <v>0.414</v>
      </c>
      <c r="O172" s="15" t="n">
        <v>6.584</v>
      </c>
      <c r="P172" s="15" t="n">
        <v>29.842</v>
      </c>
      <c r="Q172" s="15" t="n">
        <v>27.413</v>
      </c>
      <c r="R172" s="15" t="n">
        <v>3.518</v>
      </c>
      <c r="S172" s="15" t="n">
        <v>1.971</v>
      </c>
      <c r="T172" s="15" t="n"/>
      <c r="U172" s="15" t="n"/>
      <c r="V172" s="15" t="n"/>
      <c r="W172" s="15" t="n">
        <v>10.021</v>
      </c>
      <c r="X172" s="15" t="n">
        <v>9.561999999999999</v>
      </c>
      <c r="Y172" s="15" t="n">
        <v>5.355</v>
      </c>
      <c r="Z172" s="15" t="n">
        <v>6.006</v>
      </c>
      <c r="AA172" s="15" t="n"/>
      <c r="AB172" s="16" t="n"/>
      <c r="AC172" s="17">
        <f>IF(AND(ISNUMBER(H172),ISNUMBER(I172)),H172+I172,IF(ISNUMBER(K172),K172,IF(ISNUMBER(H172),H172,"")))</f>
        <v/>
      </c>
      <c r="AD172" s="18">
        <f>IF(OR(NOT(ISNUMBER(J172)),NOT(ISNUMBER(H172)),H172&lt;=0),기준표!$B$8,MIN(MAX(J172/H172,기준표!$B$6),기준표!$B$7))</f>
        <v/>
      </c>
      <c r="AE172" s="17">
        <f>IF(ISNUMBER(AC172),AC172*(1-AD172),"")</f>
        <v/>
      </c>
      <c r="AF172" s="17">
        <f>IF(AND(NOT(ISNUMBER(T172)),NOT(ISNUMBER(V172))),"",IF(ISNUMBER(T172),T172,0)+IF(ISNUMBER(V172),V172,0))</f>
        <v/>
      </c>
      <c r="AG172" s="17">
        <f>IF(E172="금융","",IF(AND(ISNUMBER(P172),ISNUMBER(AF172),ISNUMBER(R172)),P172+AF172-R172,""))</f>
        <v/>
      </c>
      <c r="AH172" s="17">
        <f>IF(E172="금융","",IF(NOT(ISNUMBER(AG172)),"",IF(ISNUMBER(AA172),(AG172+AA172)/2,AG172)))</f>
        <v/>
      </c>
      <c r="AI172" s="19">
        <f>IF(AND(ISNUMBER(AE172),ISNUMBER(AH172),AH172&gt;0),AE172/AH172,"")</f>
        <v/>
      </c>
      <c r="AJ172" s="17">
        <f>IF(E172="금융","",IF(AND(ISNUMBER(P172),ISNUMBER(AF172)),P172+AF172,""))</f>
        <v/>
      </c>
      <c r="AK172" s="19">
        <f>IF(OR(NOT(ISNUMBER(AE172)),NOT(ISNUMBER(AJ172)),AJ172&lt;=0),"",IF(AND(ISNUMBER(G172),AJ172&lt;0.1*G172),"",AE172/AJ172))</f>
        <v/>
      </c>
      <c r="AL172" s="17">
        <f>IF(NOT(ISNUMBER(P172)),"",IF(ISNUMBER(Q172),(P172+Q172)/2,P172))</f>
        <v/>
      </c>
      <c r="AM172" s="19">
        <f>IF(AND(ISNUMBER(L172),ISNUMBER(AL172),AL172&gt;0),L172/AL172,"")</f>
        <v/>
      </c>
      <c r="AN172" s="19">
        <f>IF(AND(ISNUMBER(AM172),ISNUMBER({ROIC})),AM172-{ROIC},"")</f>
        <v/>
      </c>
      <c r="AO172" s="17">
        <f>IF(AND(ISNUMBER(AC172),ISNUMBER(M172)),AC172+M172,"")</f>
        <v/>
      </c>
      <c r="AP172" s="20">
        <f>IF(AND(ISNUMBER(AF172),ISNUMBER(R172),ISNUMBER(AO172),AO172&gt;0),(AF172-R172)/AO172,"")</f>
        <v/>
      </c>
      <c r="AQ172" s="20">
        <f>IF(AND(ISNUMBER(AC172),ISNUMBER(I172),I172&lt;&gt;0,AC172&gt;0),AC172/I172,"")</f>
        <v/>
      </c>
      <c r="AR172" s="17">
        <f>IF(AND(ISNUMBER(W172),ISNUMBER(Y172)),W172-IF(ISNUMBER(R172),R172,0)-(Y172-IF(ISNUMBER(T172),T172,0)),"")</f>
        <v/>
      </c>
      <c r="AS172" s="17">
        <f>IF(AND(ISNUMBER(X172),ISNUMBER(Z172)),X172-IF(ISNUMBER(S172),S172,0)-(Z172-IF(ISNUMBER(U172),U172,0)),"")</f>
        <v/>
      </c>
      <c r="AT172" s="17">
        <f>IF(AND(ISNUMBER(AR172),ISNUMBER(AS172)),AR172-AS172,"")</f>
        <v/>
      </c>
      <c r="AU172" s="17">
        <f>IF(E172="금융","",IF(AND(ISNUMBER(L172),ISNUMBER(M172),ISNUMBER(N172),ISNUMBER(AT172)),L172+M172-N172-AT172,IF(AND(ISNUMBER(O172),ISNUMBER(N172)),O172-N172,"")))</f>
        <v/>
      </c>
      <c r="AV172" s="8">
        <f>IF(E172="금융","금융업 - 정의되지 않음",IF(AND(ISNUMBER(L172),ISNUMBER(M172),ISNUMBER(N172),ISNUMBER(AT172)),"순이익+감가상각-설비투자-운전자본증감",IF(AND(ISNUMBER(O172),ISNUMBER(N172)),"영업현금흐름-설비투자","산출불가")))</f>
        <v/>
      </c>
      <c r="AW172" s="19">
        <f>IF(AND(ISNUMBER(AU172),ISNUMBER(G172),G172&lt;&gt;0),AU172/G172,"")</f>
        <v/>
      </c>
      <c r="AX172" s="19">
        <f>IF(AND(ISNUMBER(AC172),ISNUMBER(G172),G172&lt;&gt;0),AC172/G172,"")</f>
        <v/>
      </c>
    </row>
    <row r="173">
      <c r="A173" s="8" t="inlineStr">
        <is>
          <t>V</t>
        </is>
      </c>
      <c r="B173" s="8" t="inlineStr">
        <is>
          <t>VISA INC.</t>
        </is>
      </c>
      <c r="C173" s="8" t="n">
        <v>2016</v>
      </c>
      <c r="D173" s="8" t="inlineStr">
        <is>
          <t>2016-09-30</t>
        </is>
      </c>
      <c r="E173" s="8" t="inlineStr">
        <is>
          <t>일반</t>
        </is>
      </c>
      <c r="F173" s="8" t="inlineStr">
        <is>
          <t>0001403161-18-000055</t>
        </is>
      </c>
      <c r="G173" s="15" t="n"/>
      <c r="H173" s="15" t="n">
        <v>8.012</v>
      </c>
      <c r="I173" s="15" t="n"/>
      <c r="J173" s="15" t="n">
        <v>2.021</v>
      </c>
      <c r="K173" s="15" t="n">
        <v>7.883</v>
      </c>
      <c r="L173" s="15" t="n">
        <v>5.991</v>
      </c>
      <c r="M173" s="15" t="n">
        <v>0.502</v>
      </c>
      <c r="N173" s="15" t="n">
        <v>0.523</v>
      </c>
      <c r="O173" s="15" t="n">
        <v>5.574</v>
      </c>
      <c r="P173" s="15" t="n">
        <v>32.912</v>
      </c>
      <c r="Q173" s="15" t="n">
        <v>29.842</v>
      </c>
      <c r="R173" s="15" t="n">
        <v>5.619</v>
      </c>
      <c r="S173" s="15" t="n">
        <v>3.518</v>
      </c>
      <c r="T173" s="15" t="n">
        <v>0</v>
      </c>
      <c r="U173" s="15" t="n"/>
      <c r="V173" s="15" t="n"/>
      <c r="W173" s="15" t="n">
        <v>14.313</v>
      </c>
      <c r="X173" s="15" t="n">
        <v>10.021</v>
      </c>
      <c r="Y173" s="15" t="n">
        <v>8.045999999999999</v>
      </c>
      <c r="Z173" s="15" t="n">
        <v>5.355</v>
      </c>
      <c r="AA173" s="15" t="n"/>
      <c r="AB173" s="16" t="n"/>
      <c r="AC173" s="17">
        <f>IF(AND(ISNUMBER(H173),ISNUMBER(I173)),H173+I173,IF(ISNUMBER(K173),K173,IF(ISNUMBER(H173),H173,"")))</f>
        <v/>
      </c>
      <c r="AD173" s="18">
        <f>IF(OR(NOT(ISNUMBER(J173)),NOT(ISNUMBER(H173)),H173&lt;=0),기준표!$B$8,MIN(MAX(J173/H173,기준표!$B$6),기준표!$B$7))</f>
        <v/>
      </c>
      <c r="AE173" s="17">
        <f>IF(ISNUMBER(AC173),AC173*(1-AD173),"")</f>
        <v/>
      </c>
      <c r="AF173" s="17">
        <f>IF(AND(NOT(ISNUMBER(T173)),NOT(ISNUMBER(V173))),"",IF(ISNUMBER(T173),T173,0)+IF(ISNUMBER(V173),V173,0))</f>
        <v/>
      </c>
      <c r="AG173" s="17">
        <f>IF(E173="금융","",IF(AND(ISNUMBER(P173),ISNUMBER(AF173),ISNUMBER(R173)),P173+AF173-R173,""))</f>
        <v/>
      </c>
      <c r="AH173" s="17">
        <f>IF(E173="금융","",IF(NOT(ISNUMBER(AG173)),"",IF(ISNUMBER(AA173),(AG173+AA173)/2,AG173)))</f>
        <v/>
      </c>
      <c r="AI173" s="19">
        <f>IF(AND(ISNUMBER(AE173),ISNUMBER(AH173),AH173&gt;0),AE173/AH173,"")</f>
        <v/>
      </c>
      <c r="AJ173" s="17">
        <f>IF(E173="금융","",IF(AND(ISNUMBER(P173),ISNUMBER(AF173)),P173+AF173,""))</f>
        <v/>
      </c>
      <c r="AK173" s="19">
        <f>IF(OR(NOT(ISNUMBER(AE173)),NOT(ISNUMBER(AJ173)),AJ173&lt;=0),"",IF(AND(ISNUMBER(G173),AJ173&lt;0.1*G173),"",AE173/AJ173))</f>
        <v/>
      </c>
      <c r="AL173" s="17">
        <f>IF(NOT(ISNUMBER(P173)),"",IF(ISNUMBER(Q173),(P173+Q173)/2,P173))</f>
        <v/>
      </c>
      <c r="AM173" s="19">
        <f>IF(AND(ISNUMBER(L173),ISNUMBER(AL173),AL173&gt;0),L173/AL173,"")</f>
        <v/>
      </c>
      <c r="AN173" s="19">
        <f>IF(AND(ISNUMBER(AM173),ISNUMBER({ROIC})),AM173-{ROIC},"")</f>
        <v/>
      </c>
      <c r="AO173" s="17">
        <f>IF(AND(ISNUMBER(AC173),ISNUMBER(M173)),AC173+M173,"")</f>
        <v/>
      </c>
      <c r="AP173" s="20">
        <f>IF(AND(ISNUMBER(AF173),ISNUMBER(R173),ISNUMBER(AO173),AO173&gt;0),(AF173-R173)/AO173,"")</f>
        <v/>
      </c>
      <c r="AQ173" s="20">
        <f>IF(AND(ISNUMBER(AC173),ISNUMBER(I173),I173&lt;&gt;0,AC173&gt;0),AC173/I173,"")</f>
        <v/>
      </c>
      <c r="AR173" s="17">
        <f>IF(AND(ISNUMBER(W173),ISNUMBER(Y173)),W173-IF(ISNUMBER(R173),R173,0)-(Y173-IF(ISNUMBER(T173),T173,0)),"")</f>
        <v/>
      </c>
      <c r="AS173" s="17">
        <f>IF(AND(ISNUMBER(X173),ISNUMBER(Z173)),X173-IF(ISNUMBER(S173),S173,0)-(Z173-IF(ISNUMBER(U173),U173,0)),"")</f>
        <v/>
      </c>
      <c r="AT173" s="17">
        <f>IF(AND(ISNUMBER(AR173),ISNUMBER(AS173)),AR173-AS173,"")</f>
        <v/>
      </c>
      <c r="AU173" s="17">
        <f>IF(E173="금융","",IF(AND(ISNUMBER(L173),ISNUMBER(M173),ISNUMBER(N173),ISNUMBER(AT173)),L173+M173-N173-AT173,IF(AND(ISNUMBER(O173),ISNUMBER(N173)),O173-N173,"")))</f>
        <v/>
      </c>
      <c r="AV173" s="8">
        <f>IF(E173="금융","금융업 - 정의되지 않음",IF(AND(ISNUMBER(L173),ISNUMBER(M173),ISNUMBER(N173),ISNUMBER(AT173)),"순이익+감가상각-설비투자-운전자본증감",IF(AND(ISNUMBER(O173),ISNUMBER(N173)),"영업현금흐름-설비투자","산출불가")))</f>
        <v/>
      </c>
      <c r="AW173" s="19">
        <f>IF(AND(ISNUMBER(AU173),ISNUMBER(G173),G173&lt;&gt;0),AU173/G173,"")</f>
        <v/>
      </c>
      <c r="AX173" s="19">
        <f>IF(AND(ISNUMBER(AC173),ISNUMBER(G173),G173&lt;&gt;0),AC173/G173,"")</f>
        <v/>
      </c>
    </row>
    <row r="174">
      <c r="A174" s="8" t="inlineStr">
        <is>
          <t>V</t>
        </is>
      </c>
      <c r="B174" s="8" t="inlineStr">
        <is>
          <t>VISA INC.</t>
        </is>
      </c>
      <c r="C174" s="8" t="n">
        <v>2017</v>
      </c>
      <c r="D174" s="8" t="inlineStr">
        <is>
          <t>2017-09-30</t>
        </is>
      </c>
      <c r="E174" s="8" t="inlineStr">
        <is>
          <t>일반</t>
        </is>
      </c>
      <c r="F174" s="8" t="inlineStr">
        <is>
          <t>0001403161-19-000050</t>
        </is>
      </c>
      <c r="G174" s="15" t="n"/>
      <c r="H174" s="15" t="n">
        <v>11.694</v>
      </c>
      <c r="I174" s="15" t="n"/>
      <c r="J174" s="15" t="n">
        <v>4.995</v>
      </c>
      <c r="K174" s="15" t="n">
        <v>12.144</v>
      </c>
      <c r="L174" s="15" t="n">
        <v>6.699</v>
      </c>
      <c r="M174" s="15" t="n">
        <v>0.556</v>
      </c>
      <c r="N174" s="15" t="n">
        <v>0.707</v>
      </c>
      <c r="O174" s="15" t="n">
        <v>9.317</v>
      </c>
      <c r="P174" s="15" t="n">
        <v>32.76</v>
      </c>
      <c r="Q174" s="15" t="n">
        <v>32.912</v>
      </c>
      <c r="R174" s="15" t="n">
        <v>9.874000000000001</v>
      </c>
      <c r="S174" s="15" t="n">
        <v>5.619</v>
      </c>
      <c r="T174" s="15" t="n">
        <v>1.749</v>
      </c>
      <c r="U174" s="15" t="n">
        <v>0</v>
      </c>
      <c r="V174" s="15" t="n"/>
      <c r="W174" s="15" t="n">
        <v>19.023</v>
      </c>
      <c r="X174" s="15" t="n">
        <v>14.313</v>
      </c>
      <c r="Y174" s="15" t="n">
        <v>9.994</v>
      </c>
      <c r="Z174" s="15" t="n">
        <v>8.045999999999999</v>
      </c>
      <c r="AA174" s="15" t="n">
        <v>27.293</v>
      </c>
      <c r="AB174" s="16" t="n"/>
      <c r="AC174" s="17">
        <f>IF(AND(ISNUMBER(H174),ISNUMBER(I174)),H174+I174,IF(ISNUMBER(K174),K174,IF(ISNUMBER(H174),H174,"")))</f>
        <v/>
      </c>
      <c r="AD174" s="18">
        <f>IF(OR(NOT(ISNUMBER(J174)),NOT(ISNUMBER(H174)),H174&lt;=0),기준표!$B$8,MIN(MAX(J174/H174,기준표!$B$6),기준표!$B$7))</f>
        <v/>
      </c>
      <c r="AE174" s="17">
        <f>IF(ISNUMBER(AC174),AC174*(1-AD174),"")</f>
        <v/>
      </c>
      <c r="AF174" s="17">
        <f>IF(AND(NOT(ISNUMBER(T174)),NOT(ISNUMBER(V174))),"",IF(ISNUMBER(T174),T174,0)+IF(ISNUMBER(V174),V174,0))</f>
        <v/>
      </c>
      <c r="AG174" s="17">
        <f>IF(E174="금융","",IF(AND(ISNUMBER(P174),ISNUMBER(AF174),ISNUMBER(R174)),P174+AF174-R174,""))</f>
        <v/>
      </c>
      <c r="AH174" s="17">
        <f>IF(E174="금융","",IF(NOT(ISNUMBER(AG174)),"",IF(ISNUMBER(AA174),(AG174+AA174)/2,AG174)))</f>
        <v/>
      </c>
      <c r="AI174" s="19">
        <f>IF(AND(ISNUMBER(AE174),ISNUMBER(AH174),AH174&gt;0),AE174/AH174,"")</f>
        <v/>
      </c>
      <c r="AJ174" s="17">
        <f>IF(E174="금융","",IF(AND(ISNUMBER(P174),ISNUMBER(AF174)),P174+AF174,""))</f>
        <v/>
      </c>
      <c r="AK174" s="19">
        <f>IF(OR(NOT(ISNUMBER(AE174)),NOT(ISNUMBER(AJ174)),AJ174&lt;=0),"",IF(AND(ISNUMBER(G174),AJ174&lt;0.1*G174),"",AE174/AJ174))</f>
        <v/>
      </c>
      <c r="AL174" s="17">
        <f>IF(NOT(ISNUMBER(P174)),"",IF(ISNUMBER(Q174),(P174+Q174)/2,P174))</f>
        <v/>
      </c>
      <c r="AM174" s="19">
        <f>IF(AND(ISNUMBER(L174),ISNUMBER(AL174),AL174&gt;0),L174/AL174,"")</f>
        <v/>
      </c>
      <c r="AN174" s="19">
        <f>IF(AND(ISNUMBER(AM174),ISNUMBER({ROIC})),AM174-{ROIC},"")</f>
        <v/>
      </c>
      <c r="AO174" s="17">
        <f>IF(AND(ISNUMBER(AC174),ISNUMBER(M174)),AC174+M174,"")</f>
        <v/>
      </c>
      <c r="AP174" s="20">
        <f>IF(AND(ISNUMBER(AF174),ISNUMBER(R174),ISNUMBER(AO174),AO174&gt;0),(AF174-R174)/AO174,"")</f>
        <v/>
      </c>
      <c r="AQ174" s="20">
        <f>IF(AND(ISNUMBER(AC174),ISNUMBER(I174),I174&lt;&gt;0,AC174&gt;0),AC174/I174,"")</f>
        <v/>
      </c>
      <c r="AR174" s="17">
        <f>IF(AND(ISNUMBER(W174),ISNUMBER(Y174)),W174-IF(ISNUMBER(R174),R174,0)-(Y174-IF(ISNUMBER(T174),T174,0)),"")</f>
        <v/>
      </c>
      <c r="AS174" s="17">
        <f>IF(AND(ISNUMBER(X174),ISNUMBER(Z174)),X174-IF(ISNUMBER(S174),S174,0)-(Z174-IF(ISNUMBER(U174),U174,0)),"")</f>
        <v/>
      </c>
      <c r="AT174" s="17">
        <f>IF(AND(ISNUMBER(AR174),ISNUMBER(AS174)),AR174-AS174,"")</f>
        <v/>
      </c>
      <c r="AU174" s="17">
        <f>IF(E174="금융","",IF(AND(ISNUMBER(L174),ISNUMBER(M174),ISNUMBER(N174),ISNUMBER(AT174)),L174+M174-N174-AT174,IF(AND(ISNUMBER(O174),ISNUMBER(N174)),O174-N174,"")))</f>
        <v/>
      </c>
      <c r="AV174" s="8">
        <f>IF(E174="금융","금융업 - 정의되지 않음",IF(AND(ISNUMBER(L174),ISNUMBER(M174),ISNUMBER(N174),ISNUMBER(AT174)),"순이익+감가상각-설비투자-운전자본증감",IF(AND(ISNUMBER(O174),ISNUMBER(N174)),"영업현금흐름-설비투자","산출불가")))</f>
        <v/>
      </c>
      <c r="AW174" s="19">
        <f>IF(AND(ISNUMBER(AU174),ISNUMBER(G174),G174&lt;&gt;0),AU174/G174,"")</f>
        <v/>
      </c>
      <c r="AX174" s="19">
        <f>IF(AND(ISNUMBER(AC174),ISNUMBER(G174),G174&lt;&gt;0),AC174/G174,"")</f>
        <v/>
      </c>
    </row>
    <row r="175">
      <c r="A175" s="8" t="inlineStr">
        <is>
          <t>V</t>
        </is>
      </c>
      <c r="B175" s="8" t="inlineStr">
        <is>
          <t>VISA INC.</t>
        </is>
      </c>
      <c r="C175" s="8" t="n">
        <v>2018</v>
      </c>
      <c r="D175" s="8" t="inlineStr">
        <is>
          <t>2018-09-30</t>
        </is>
      </c>
      <c r="E175" s="8" t="inlineStr">
        <is>
          <t>일반</t>
        </is>
      </c>
      <c r="F175" s="8" t="inlineStr">
        <is>
          <t>0001403161-20-000070</t>
        </is>
      </c>
      <c r="G175" s="15" t="n"/>
      <c r="H175" s="15" t="n">
        <v>12.806</v>
      </c>
      <c r="I175" s="15" t="n"/>
      <c r="J175" s="15" t="n">
        <v>2.505</v>
      </c>
      <c r="K175" s="15" t="n">
        <v>12.954</v>
      </c>
      <c r="L175" s="15" t="n">
        <v>10.301</v>
      </c>
      <c r="M175" s="15" t="n">
        <v>0.613</v>
      </c>
      <c r="N175" s="15" t="n">
        <v>0.718</v>
      </c>
      <c r="O175" s="15" t="n">
        <v>12.941</v>
      </c>
      <c r="P175" s="15" t="n">
        <v>34.006</v>
      </c>
      <c r="Q175" s="15" t="n">
        <v>32.76</v>
      </c>
      <c r="R175" s="15" t="n">
        <v>11.596</v>
      </c>
      <c r="S175" s="15" t="n">
        <v>9.874000000000001</v>
      </c>
      <c r="T175" s="15" t="n">
        <v>0</v>
      </c>
      <c r="U175" s="15" t="n">
        <v>1.749</v>
      </c>
      <c r="V175" s="15" t="n"/>
      <c r="W175" s="15" t="n">
        <v>18.216</v>
      </c>
      <c r="X175" s="15" t="n">
        <v>19.023</v>
      </c>
      <c r="Y175" s="15" t="n">
        <v>11.305</v>
      </c>
      <c r="Z175" s="15" t="n">
        <v>9.994</v>
      </c>
      <c r="AA175" s="15" t="n">
        <v>24.635</v>
      </c>
      <c r="AB175" s="16" t="n"/>
      <c r="AC175" s="17">
        <f>IF(AND(ISNUMBER(H175),ISNUMBER(I175)),H175+I175,IF(ISNUMBER(K175),K175,IF(ISNUMBER(H175),H175,"")))</f>
        <v/>
      </c>
      <c r="AD175" s="18">
        <f>IF(OR(NOT(ISNUMBER(J175)),NOT(ISNUMBER(H175)),H175&lt;=0),기준표!$B$8,MIN(MAX(J175/H175,기준표!$B$6),기준표!$B$7))</f>
        <v/>
      </c>
      <c r="AE175" s="17">
        <f>IF(ISNUMBER(AC175),AC175*(1-AD175),"")</f>
        <v/>
      </c>
      <c r="AF175" s="17">
        <f>IF(AND(NOT(ISNUMBER(T175)),NOT(ISNUMBER(V175))),"",IF(ISNUMBER(T175),T175,0)+IF(ISNUMBER(V175),V175,0))</f>
        <v/>
      </c>
      <c r="AG175" s="17">
        <f>IF(E175="금융","",IF(AND(ISNUMBER(P175),ISNUMBER(AF175),ISNUMBER(R175)),P175+AF175-R175,""))</f>
        <v/>
      </c>
      <c r="AH175" s="17">
        <f>IF(E175="금융","",IF(NOT(ISNUMBER(AG175)),"",IF(ISNUMBER(AA175),(AG175+AA175)/2,AG175)))</f>
        <v/>
      </c>
      <c r="AI175" s="19">
        <f>IF(AND(ISNUMBER(AE175),ISNUMBER(AH175),AH175&gt;0),AE175/AH175,"")</f>
        <v/>
      </c>
      <c r="AJ175" s="17">
        <f>IF(E175="금융","",IF(AND(ISNUMBER(P175),ISNUMBER(AF175)),P175+AF175,""))</f>
        <v/>
      </c>
      <c r="AK175" s="19">
        <f>IF(OR(NOT(ISNUMBER(AE175)),NOT(ISNUMBER(AJ175)),AJ175&lt;=0),"",IF(AND(ISNUMBER(G175),AJ175&lt;0.1*G175),"",AE175/AJ175))</f>
        <v/>
      </c>
      <c r="AL175" s="17">
        <f>IF(NOT(ISNUMBER(P175)),"",IF(ISNUMBER(Q175),(P175+Q175)/2,P175))</f>
        <v/>
      </c>
      <c r="AM175" s="19">
        <f>IF(AND(ISNUMBER(L175),ISNUMBER(AL175),AL175&gt;0),L175/AL175,"")</f>
        <v/>
      </c>
      <c r="AN175" s="19">
        <f>IF(AND(ISNUMBER(AM175),ISNUMBER({ROIC})),AM175-{ROIC},"")</f>
        <v/>
      </c>
      <c r="AO175" s="17">
        <f>IF(AND(ISNUMBER(AC175),ISNUMBER(M175)),AC175+M175,"")</f>
        <v/>
      </c>
      <c r="AP175" s="20">
        <f>IF(AND(ISNUMBER(AF175),ISNUMBER(R175),ISNUMBER(AO175),AO175&gt;0),(AF175-R175)/AO175,"")</f>
        <v/>
      </c>
      <c r="AQ175" s="20">
        <f>IF(AND(ISNUMBER(AC175),ISNUMBER(I175),I175&lt;&gt;0,AC175&gt;0),AC175/I175,"")</f>
        <v/>
      </c>
      <c r="AR175" s="17">
        <f>IF(AND(ISNUMBER(W175),ISNUMBER(Y175)),W175-IF(ISNUMBER(R175),R175,0)-(Y175-IF(ISNUMBER(T175),T175,0)),"")</f>
        <v/>
      </c>
      <c r="AS175" s="17">
        <f>IF(AND(ISNUMBER(X175),ISNUMBER(Z175)),X175-IF(ISNUMBER(S175),S175,0)-(Z175-IF(ISNUMBER(U175),U175,0)),"")</f>
        <v/>
      </c>
      <c r="AT175" s="17">
        <f>IF(AND(ISNUMBER(AR175),ISNUMBER(AS175)),AR175-AS175,"")</f>
        <v/>
      </c>
      <c r="AU175" s="17">
        <f>IF(E175="금융","",IF(AND(ISNUMBER(L175),ISNUMBER(M175),ISNUMBER(N175),ISNUMBER(AT175)),L175+M175-N175-AT175,IF(AND(ISNUMBER(O175),ISNUMBER(N175)),O175-N175,"")))</f>
        <v/>
      </c>
      <c r="AV175" s="8">
        <f>IF(E175="금융","금융업 - 정의되지 않음",IF(AND(ISNUMBER(L175),ISNUMBER(M175),ISNUMBER(N175),ISNUMBER(AT175)),"순이익+감가상각-설비투자-운전자본증감",IF(AND(ISNUMBER(O175),ISNUMBER(N175)),"영업현금흐름-설비투자","산출불가")))</f>
        <v/>
      </c>
      <c r="AW175" s="19">
        <f>IF(AND(ISNUMBER(AU175),ISNUMBER(G175),G175&lt;&gt;0),AU175/G175,"")</f>
        <v/>
      </c>
      <c r="AX175" s="19">
        <f>IF(AND(ISNUMBER(AC175),ISNUMBER(G175),G175&lt;&gt;0),AC175/G175,"")</f>
        <v/>
      </c>
    </row>
    <row r="176">
      <c r="A176" s="8" t="inlineStr">
        <is>
          <t>V</t>
        </is>
      </c>
      <c r="B176" s="8" t="inlineStr">
        <is>
          <t>VISA INC.</t>
        </is>
      </c>
      <c r="C176" s="8" t="n">
        <v>2019</v>
      </c>
      <c r="D176" s="8" t="inlineStr">
        <is>
          <t>2019-09-30</t>
        </is>
      </c>
      <c r="E176" s="8" t="inlineStr">
        <is>
          <t>일반</t>
        </is>
      </c>
      <c r="F176" s="8" t="inlineStr">
        <is>
          <t>0001403161-21-000060</t>
        </is>
      </c>
      <c r="G176" s="15" t="n">
        <v>22.977</v>
      </c>
      <c r="H176" s="15" t="n">
        <v>14.884</v>
      </c>
      <c r="I176" s="15" t="n"/>
      <c r="J176" s="15" t="n">
        <v>2.804</v>
      </c>
      <c r="K176" s="15" t="n">
        <v>15.001</v>
      </c>
      <c r="L176" s="15" t="n">
        <v>12.08</v>
      </c>
      <c r="M176" s="15" t="n">
        <v>0.656</v>
      </c>
      <c r="N176" s="15" t="n">
        <v>0.756</v>
      </c>
      <c r="O176" s="15" t="n">
        <v>12.784</v>
      </c>
      <c r="P176" s="15" t="n">
        <v>34.684</v>
      </c>
      <c r="Q176" s="15" t="n">
        <v>34.006</v>
      </c>
      <c r="R176" s="15" t="n">
        <v>11.948</v>
      </c>
      <c r="S176" s="15" t="n">
        <v>11.596</v>
      </c>
      <c r="T176" s="15" t="n">
        <v>0</v>
      </c>
      <c r="U176" s="15" t="n">
        <v>0</v>
      </c>
      <c r="V176" s="15" t="n">
        <v>16.729</v>
      </c>
      <c r="W176" s="15" t="n">
        <v>20.97</v>
      </c>
      <c r="X176" s="15" t="n">
        <v>18.216</v>
      </c>
      <c r="Y176" s="15" t="n">
        <v>13.415</v>
      </c>
      <c r="Z176" s="15" t="n">
        <v>11.305</v>
      </c>
      <c r="AA176" s="15" t="n">
        <v>22.41</v>
      </c>
      <c r="AB176" s="16" t="n"/>
      <c r="AC176" s="17">
        <f>IF(AND(ISNUMBER(H176),ISNUMBER(I176)),H176+I176,IF(ISNUMBER(K176),K176,IF(ISNUMBER(H176),H176,"")))</f>
        <v/>
      </c>
      <c r="AD176" s="18">
        <f>IF(OR(NOT(ISNUMBER(J176)),NOT(ISNUMBER(H176)),H176&lt;=0),기준표!$B$8,MIN(MAX(J176/H176,기준표!$B$6),기준표!$B$7))</f>
        <v/>
      </c>
      <c r="AE176" s="17">
        <f>IF(ISNUMBER(AC176),AC176*(1-AD176),"")</f>
        <v/>
      </c>
      <c r="AF176" s="17">
        <f>IF(AND(NOT(ISNUMBER(T176)),NOT(ISNUMBER(V176))),"",IF(ISNUMBER(T176),T176,0)+IF(ISNUMBER(V176),V176,0))</f>
        <v/>
      </c>
      <c r="AG176" s="17">
        <f>IF(E176="금융","",IF(AND(ISNUMBER(P176),ISNUMBER(AF176),ISNUMBER(R176)),P176+AF176-R176,""))</f>
        <v/>
      </c>
      <c r="AH176" s="17">
        <f>IF(E176="금융","",IF(NOT(ISNUMBER(AG176)),"",IF(ISNUMBER(AA176),(AG176+AA176)/2,AG176)))</f>
        <v/>
      </c>
      <c r="AI176" s="19">
        <f>IF(AND(ISNUMBER(AE176),ISNUMBER(AH176),AH176&gt;0),AE176/AH176,"")</f>
        <v/>
      </c>
      <c r="AJ176" s="17">
        <f>IF(E176="금융","",IF(AND(ISNUMBER(P176),ISNUMBER(AF176)),P176+AF176,""))</f>
        <v/>
      </c>
      <c r="AK176" s="19">
        <f>IF(OR(NOT(ISNUMBER(AE176)),NOT(ISNUMBER(AJ176)),AJ176&lt;=0),"",IF(AND(ISNUMBER(G176),AJ176&lt;0.1*G176),"",AE176/AJ176))</f>
        <v/>
      </c>
      <c r="AL176" s="17">
        <f>IF(NOT(ISNUMBER(P176)),"",IF(ISNUMBER(Q176),(P176+Q176)/2,P176))</f>
        <v/>
      </c>
      <c r="AM176" s="19">
        <f>IF(AND(ISNUMBER(L176),ISNUMBER(AL176),AL176&gt;0),L176/AL176,"")</f>
        <v/>
      </c>
      <c r="AN176" s="19">
        <f>IF(AND(ISNUMBER(AM176),ISNUMBER({ROIC})),AM176-{ROIC},"")</f>
        <v/>
      </c>
      <c r="AO176" s="17">
        <f>IF(AND(ISNUMBER(AC176),ISNUMBER(M176)),AC176+M176,"")</f>
        <v/>
      </c>
      <c r="AP176" s="20">
        <f>IF(AND(ISNUMBER(AF176),ISNUMBER(R176),ISNUMBER(AO176),AO176&gt;0),(AF176-R176)/AO176,"")</f>
        <v/>
      </c>
      <c r="AQ176" s="20">
        <f>IF(AND(ISNUMBER(AC176),ISNUMBER(I176),I176&lt;&gt;0,AC176&gt;0),AC176/I176,"")</f>
        <v/>
      </c>
      <c r="AR176" s="17">
        <f>IF(AND(ISNUMBER(W176),ISNUMBER(Y176)),W176-IF(ISNUMBER(R176),R176,0)-(Y176-IF(ISNUMBER(T176),T176,0)),"")</f>
        <v/>
      </c>
      <c r="AS176" s="17">
        <f>IF(AND(ISNUMBER(X176),ISNUMBER(Z176)),X176-IF(ISNUMBER(S176),S176,0)-(Z176-IF(ISNUMBER(U176),U176,0)),"")</f>
        <v/>
      </c>
      <c r="AT176" s="17">
        <f>IF(AND(ISNUMBER(AR176),ISNUMBER(AS176)),AR176-AS176,"")</f>
        <v/>
      </c>
      <c r="AU176" s="17">
        <f>IF(E176="금융","",IF(AND(ISNUMBER(L176),ISNUMBER(M176),ISNUMBER(N176),ISNUMBER(AT176)),L176+M176-N176-AT176,IF(AND(ISNUMBER(O176),ISNUMBER(N176)),O176-N176,"")))</f>
        <v/>
      </c>
      <c r="AV176" s="8">
        <f>IF(E176="금융","금융업 - 정의되지 않음",IF(AND(ISNUMBER(L176),ISNUMBER(M176),ISNUMBER(N176),ISNUMBER(AT176)),"순이익+감가상각-설비투자-운전자본증감",IF(AND(ISNUMBER(O176),ISNUMBER(N176)),"영업현금흐름-설비투자","산출불가")))</f>
        <v/>
      </c>
      <c r="AW176" s="19">
        <f>IF(AND(ISNUMBER(AU176),ISNUMBER(G176),G176&lt;&gt;0),AU176/G176,"")</f>
        <v/>
      </c>
      <c r="AX176" s="19">
        <f>IF(AND(ISNUMBER(AC176),ISNUMBER(G176),G176&lt;&gt;0),AC176/G176,"")</f>
        <v/>
      </c>
    </row>
    <row r="177">
      <c r="A177" s="8" t="inlineStr">
        <is>
          <t>V</t>
        </is>
      </c>
      <c r="B177" s="8" t="inlineStr">
        <is>
          <t>VISA INC.</t>
        </is>
      </c>
      <c r="C177" s="8" t="n">
        <v>2020</v>
      </c>
      <c r="D177" s="8" t="inlineStr">
        <is>
          <t>2020-09-30</t>
        </is>
      </c>
      <c r="E177" s="8" t="inlineStr">
        <is>
          <t>일반</t>
        </is>
      </c>
      <c r="F177" s="8" t="inlineStr">
        <is>
          <t>0001403161-22-000081</t>
        </is>
      </c>
      <c r="G177" s="15" t="n">
        <v>21.846</v>
      </c>
      <c r="H177" s="15" t="n">
        <v>13.79</v>
      </c>
      <c r="I177" s="15" t="n"/>
      <c r="J177" s="15" t="n">
        <v>2.924</v>
      </c>
      <c r="K177" s="15" t="n">
        <v>14.081</v>
      </c>
      <c r="L177" s="15" t="n">
        <v>10.866</v>
      </c>
      <c r="M177" s="15" t="n">
        <v>0.767</v>
      </c>
      <c r="N177" s="15" t="n">
        <v>0.736</v>
      </c>
      <c r="O177" s="15" t="n">
        <v>10.44</v>
      </c>
      <c r="P177" s="15" t="n">
        <v>36.21</v>
      </c>
      <c r="Q177" s="15" t="n">
        <v>34.684</v>
      </c>
      <c r="R177" s="15" t="n">
        <v>19.893</v>
      </c>
      <c r="S177" s="15" t="n">
        <v>11.948</v>
      </c>
      <c r="T177" s="15" t="n">
        <v>2.999</v>
      </c>
      <c r="U177" s="15" t="n">
        <v>0</v>
      </c>
      <c r="V177" s="15" t="n">
        <v>21.071</v>
      </c>
      <c r="W177" s="15" t="n">
        <v>27.645</v>
      </c>
      <c r="X177" s="15" t="n">
        <v>20.97</v>
      </c>
      <c r="Y177" s="15" t="n">
        <v>14.51</v>
      </c>
      <c r="Z177" s="15" t="n">
        <v>13.415</v>
      </c>
      <c r="AA177" s="15" t="n">
        <v>39.465</v>
      </c>
      <c r="AB177" s="16" t="n"/>
      <c r="AC177" s="17">
        <f>IF(AND(ISNUMBER(H177),ISNUMBER(I177)),H177+I177,IF(ISNUMBER(K177),K177,IF(ISNUMBER(H177),H177,"")))</f>
        <v/>
      </c>
      <c r="AD177" s="18">
        <f>IF(OR(NOT(ISNUMBER(J177)),NOT(ISNUMBER(H177)),H177&lt;=0),기준표!$B$8,MIN(MAX(J177/H177,기준표!$B$6),기준표!$B$7))</f>
        <v/>
      </c>
      <c r="AE177" s="17">
        <f>IF(ISNUMBER(AC177),AC177*(1-AD177),"")</f>
        <v/>
      </c>
      <c r="AF177" s="17">
        <f>IF(AND(NOT(ISNUMBER(T177)),NOT(ISNUMBER(V177))),"",IF(ISNUMBER(T177),T177,0)+IF(ISNUMBER(V177),V177,0))</f>
        <v/>
      </c>
      <c r="AG177" s="17">
        <f>IF(E177="금융","",IF(AND(ISNUMBER(P177),ISNUMBER(AF177),ISNUMBER(R177)),P177+AF177-R177,""))</f>
        <v/>
      </c>
      <c r="AH177" s="17">
        <f>IF(E177="금융","",IF(NOT(ISNUMBER(AG177)),"",IF(ISNUMBER(AA177),(AG177+AA177)/2,AG177)))</f>
        <v/>
      </c>
      <c r="AI177" s="19">
        <f>IF(AND(ISNUMBER(AE177),ISNUMBER(AH177),AH177&gt;0),AE177/AH177,"")</f>
        <v/>
      </c>
      <c r="AJ177" s="17">
        <f>IF(E177="금융","",IF(AND(ISNUMBER(P177),ISNUMBER(AF177)),P177+AF177,""))</f>
        <v/>
      </c>
      <c r="AK177" s="19">
        <f>IF(OR(NOT(ISNUMBER(AE177)),NOT(ISNUMBER(AJ177)),AJ177&lt;=0),"",IF(AND(ISNUMBER(G177),AJ177&lt;0.1*G177),"",AE177/AJ177))</f>
        <v/>
      </c>
      <c r="AL177" s="17">
        <f>IF(NOT(ISNUMBER(P177)),"",IF(ISNUMBER(Q177),(P177+Q177)/2,P177))</f>
        <v/>
      </c>
      <c r="AM177" s="19">
        <f>IF(AND(ISNUMBER(L177),ISNUMBER(AL177),AL177&gt;0),L177/AL177,"")</f>
        <v/>
      </c>
      <c r="AN177" s="19">
        <f>IF(AND(ISNUMBER(AM177),ISNUMBER({ROIC})),AM177-{ROIC},"")</f>
        <v/>
      </c>
      <c r="AO177" s="17">
        <f>IF(AND(ISNUMBER(AC177),ISNUMBER(M177)),AC177+M177,"")</f>
        <v/>
      </c>
      <c r="AP177" s="20">
        <f>IF(AND(ISNUMBER(AF177),ISNUMBER(R177),ISNUMBER(AO177),AO177&gt;0),(AF177-R177)/AO177,"")</f>
        <v/>
      </c>
      <c r="AQ177" s="20">
        <f>IF(AND(ISNUMBER(AC177),ISNUMBER(I177),I177&lt;&gt;0,AC177&gt;0),AC177/I177,"")</f>
        <v/>
      </c>
      <c r="AR177" s="17">
        <f>IF(AND(ISNUMBER(W177),ISNUMBER(Y177)),W177-IF(ISNUMBER(R177),R177,0)-(Y177-IF(ISNUMBER(T177),T177,0)),"")</f>
        <v/>
      </c>
      <c r="AS177" s="17">
        <f>IF(AND(ISNUMBER(X177),ISNUMBER(Z177)),X177-IF(ISNUMBER(S177),S177,0)-(Z177-IF(ISNUMBER(U177),U177,0)),"")</f>
        <v/>
      </c>
      <c r="AT177" s="17">
        <f>IF(AND(ISNUMBER(AR177),ISNUMBER(AS177)),AR177-AS177,"")</f>
        <v/>
      </c>
      <c r="AU177" s="17">
        <f>IF(E177="금융","",IF(AND(ISNUMBER(L177),ISNUMBER(M177),ISNUMBER(N177),ISNUMBER(AT177)),L177+M177-N177-AT177,IF(AND(ISNUMBER(O177),ISNUMBER(N177)),O177-N177,"")))</f>
        <v/>
      </c>
      <c r="AV177" s="8">
        <f>IF(E177="금융","금융업 - 정의되지 않음",IF(AND(ISNUMBER(L177),ISNUMBER(M177),ISNUMBER(N177),ISNUMBER(AT177)),"순이익+감가상각-설비투자-운전자본증감",IF(AND(ISNUMBER(O177),ISNUMBER(N177)),"영업현금흐름-설비투자","산출불가")))</f>
        <v/>
      </c>
      <c r="AW177" s="19">
        <f>IF(AND(ISNUMBER(AU177),ISNUMBER(G177),G177&lt;&gt;0),AU177/G177,"")</f>
        <v/>
      </c>
      <c r="AX177" s="19">
        <f>IF(AND(ISNUMBER(AC177),ISNUMBER(G177),G177&lt;&gt;0),AC177/G177,"")</f>
        <v/>
      </c>
    </row>
    <row r="178">
      <c r="A178" s="8" t="inlineStr">
        <is>
          <t>V</t>
        </is>
      </c>
      <c r="B178" s="8" t="inlineStr">
        <is>
          <t>VISA INC.</t>
        </is>
      </c>
      <c r="C178" s="8" t="n">
        <v>2021</v>
      </c>
      <c r="D178" s="8" t="inlineStr">
        <is>
          <t>2021-09-30</t>
        </is>
      </c>
      <c r="E178" s="8" t="inlineStr">
        <is>
          <t>일반</t>
        </is>
      </c>
      <c r="F178" s="8" t="inlineStr">
        <is>
          <t>0001403161-23-000099</t>
        </is>
      </c>
      <c r="G178" s="15" t="n">
        <v>24.105</v>
      </c>
      <c r="H178" s="15" t="n">
        <v>16.063</v>
      </c>
      <c r="I178" s="15" t="n"/>
      <c r="J178" s="15" t="n">
        <v>3.752</v>
      </c>
      <c r="K178" s="15" t="n">
        <v>15.804</v>
      </c>
      <c r="L178" s="15" t="n">
        <v>12.311</v>
      </c>
      <c r="M178" s="15" t="n">
        <v>0.804</v>
      </c>
      <c r="N178" s="15" t="n">
        <v>0.705</v>
      </c>
      <c r="O178" s="15" t="n">
        <v>15.227</v>
      </c>
      <c r="P178" s="15" t="n">
        <v>37.589</v>
      </c>
      <c r="Q178" s="15" t="n">
        <v>36.21</v>
      </c>
      <c r="R178" s="15" t="n">
        <v>16.487</v>
      </c>
      <c r="S178" s="15" t="n">
        <v>19.893</v>
      </c>
      <c r="T178" s="15" t="n">
        <v>0.999</v>
      </c>
      <c r="U178" s="15" t="n">
        <v>2.999</v>
      </c>
      <c r="V178" s="15" t="n">
        <v>19.978</v>
      </c>
      <c r="W178" s="15" t="n">
        <v>27.607</v>
      </c>
      <c r="X178" s="15" t="n">
        <v>27.645</v>
      </c>
      <c r="Y178" s="15" t="n">
        <v>15.739</v>
      </c>
      <c r="Z178" s="15" t="n">
        <v>14.51</v>
      </c>
      <c r="AA178" s="15" t="n">
        <v>40.387</v>
      </c>
      <c r="AB178" s="16" t="n"/>
      <c r="AC178" s="17">
        <f>IF(AND(ISNUMBER(H178),ISNUMBER(I178)),H178+I178,IF(ISNUMBER(K178),K178,IF(ISNUMBER(H178),H178,"")))</f>
        <v/>
      </c>
      <c r="AD178" s="18">
        <f>IF(OR(NOT(ISNUMBER(J178)),NOT(ISNUMBER(H178)),H178&lt;=0),기준표!$B$8,MIN(MAX(J178/H178,기준표!$B$6),기준표!$B$7))</f>
        <v/>
      </c>
      <c r="AE178" s="17">
        <f>IF(ISNUMBER(AC178),AC178*(1-AD178),"")</f>
        <v/>
      </c>
      <c r="AF178" s="17">
        <f>IF(AND(NOT(ISNUMBER(T178)),NOT(ISNUMBER(V178))),"",IF(ISNUMBER(T178),T178,0)+IF(ISNUMBER(V178),V178,0))</f>
        <v/>
      </c>
      <c r="AG178" s="17">
        <f>IF(E178="금융","",IF(AND(ISNUMBER(P178),ISNUMBER(AF178),ISNUMBER(R178)),P178+AF178-R178,""))</f>
        <v/>
      </c>
      <c r="AH178" s="17">
        <f>IF(E178="금융","",IF(NOT(ISNUMBER(AG178)),"",IF(ISNUMBER(AA178),(AG178+AA178)/2,AG178)))</f>
        <v/>
      </c>
      <c r="AI178" s="19">
        <f>IF(AND(ISNUMBER(AE178),ISNUMBER(AH178),AH178&gt;0),AE178/AH178,"")</f>
        <v/>
      </c>
      <c r="AJ178" s="17">
        <f>IF(E178="금융","",IF(AND(ISNUMBER(P178),ISNUMBER(AF178)),P178+AF178,""))</f>
        <v/>
      </c>
      <c r="AK178" s="19">
        <f>IF(OR(NOT(ISNUMBER(AE178)),NOT(ISNUMBER(AJ178)),AJ178&lt;=0),"",IF(AND(ISNUMBER(G178),AJ178&lt;0.1*G178),"",AE178/AJ178))</f>
        <v/>
      </c>
      <c r="AL178" s="17">
        <f>IF(NOT(ISNUMBER(P178)),"",IF(ISNUMBER(Q178),(P178+Q178)/2,P178))</f>
        <v/>
      </c>
      <c r="AM178" s="19">
        <f>IF(AND(ISNUMBER(L178),ISNUMBER(AL178),AL178&gt;0),L178/AL178,"")</f>
        <v/>
      </c>
      <c r="AN178" s="19">
        <f>IF(AND(ISNUMBER(AM178),ISNUMBER({ROIC})),AM178-{ROIC},"")</f>
        <v/>
      </c>
      <c r="AO178" s="17">
        <f>IF(AND(ISNUMBER(AC178),ISNUMBER(M178)),AC178+M178,"")</f>
        <v/>
      </c>
      <c r="AP178" s="20">
        <f>IF(AND(ISNUMBER(AF178),ISNUMBER(R178),ISNUMBER(AO178),AO178&gt;0),(AF178-R178)/AO178,"")</f>
        <v/>
      </c>
      <c r="AQ178" s="20">
        <f>IF(AND(ISNUMBER(AC178),ISNUMBER(I178),I178&lt;&gt;0,AC178&gt;0),AC178/I178,"")</f>
        <v/>
      </c>
      <c r="AR178" s="17">
        <f>IF(AND(ISNUMBER(W178),ISNUMBER(Y178)),W178-IF(ISNUMBER(R178),R178,0)-(Y178-IF(ISNUMBER(T178),T178,0)),"")</f>
        <v/>
      </c>
      <c r="AS178" s="17">
        <f>IF(AND(ISNUMBER(X178),ISNUMBER(Z178)),X178-IF(ISNUMBER(S178),S178,0)-(Z178-IF(ISNUMBER(U178),U178,0)),"")</f>
        <v/>
      </c>
      <c r="AT178" s="17">
        <f>IF(AND(ISNUMBER(AR178),ISNUMBER(AS178)),AR178-AS178,"")</f>
        <v/>
      </c>
      <c r="AU178" s="17">
        <f>IF(E178="금융","",IF(AND(ISNUMBER(L178),ISNUMBER(M178),ISNUMBER(N178),ISNUMBER(AT178)),L178+M178-N178-AT178,IF(AND(ISNUMBER(O178),ISNUMBER(N178)),O178-N178,"")))</f>
        <v/>
      </c>
      <c r="AV178" s="8">
        <f>IF(E178="금융","금융업 - 정의되지 않음",IF(AND(ISNUMBER(L178),ISNUMBER(M178),ISNUMBER(N178),ISNUMBER(AT178)),"순이익+감가상각-설비투자-운전자본증감",IF(AND(ISNUMBER(O178),ISNUMBER(N178)),"영업현금흐름-설비투자","산출불가")))</f>
        <v/>
      </c>
      <c r="AW178" s="19">
        <f>IF(AND(ISNUMBER(AU178),ISNUMBER(G178),G178&lt;&gt;0),AU178/G178,"")</f>
        <v/>
      </c>
      <c r="AX178" s="19">
        <f>IF(AND(ISNUMBER(AC178),ISNUMBER(G178),G178&lt;&gt;0),AC178/G178,"")</f>
        <v/>
      </c>
    </row>
    <row r="179">
      <c r="A179" s="8" t="inlineStr">
        <is>
          <t>V</t>
        </is>
      </c>
      <c r="B179" s="8" t="inlineStr">
        <is>
          <t>VISA INC.</t>
        </is>
      </c>
      <c r="C179" s="8" t="n">
        <v>2022</v>
      </c>
      <c r="D179" s="8" t="inlineStr">
        <is>
          <t>2022-09-30</t>
        </is>
      </c>
      <c r="E179" s="8" t="inlineStr">
        <is>
          <t>일반</t>
        </is>
      </c>
      <c r="F179" s="8" t="inlineStr">
        <is>
          <t>0001403161-24-000058</t>
        </is>
      </c>
      <c r="G179" s="15" t="n">
        <v>29.31</v>
      </c>
      <c r="H179" s="15" t="n">
        <v>18.136</v>
      </c>
      <c r="I179" s="15" t="n">
        <v>0.538</v>
      </c>
      <c r="J179" s="15" t="n">
        <v>3.179</v>
      </c>
      <c r="K179" s="15" t="n">
        <v>18.813</v>
      </c>
      <c r="L179" s="15" t="n">
        <v>14.957</v>
      </c>
      <c r="M179" s="15" t="n">
        <v>0.861</v>
      </c>
      <c r="N179" s="15" t="n">
        <v>0.97</v>
      </c>
      <c r="O179" s="15" t="n">
        <v>18.849</v>
      </c>
      <c r="P179" s="15" t="n">
        <v>35.581</v>
      </c>
      <c r="Q179" s="15" t="n">
        <v>37.589</v>
      </c>
      <c r="R179" s="15" t="n">
        <v>15.689</v>
      </c>
      <c r="S179" s="15" t="n">
        <v>16.487</v>
      </c>
      <c r="T179" s="15" t="n">
        <v>2.25</v>
      </c>
      <c r="U179" s="15" t="n">
        <v>0.999</v>
      </c>
      <c r="V179" s="15" t="n">
        <v>20.2</v>
      </c>
      <c r="W179" s="15" t="n">
        <v>30.205</v>
      </c>
      <c r="X179" s="15" t="n">
        <v>27.607</v>
      </c>
      <c r="Y179" s="15" t="n">
        <v>20.853</v>
      </c>
      <c r="Z179" s="15" t="n">
        <v>15.739</v>
      </c>
      <c r="AA179" s="15" t="n">
        <v>42.079</v>
      </c>
      <c r="AB179" s="16" t="n"/>
      <c r="AC179" s="17">
        <f>IF(AND(ISNUMBER(H179),ISNUMBER(I179)),H179+I179,IF(ISNUMBER(K179),K179,IF(ISNUMBER(H179),H179,"")))</f>
        <v/>
      </c>
      <c r="AD179" s="18">
        <f>IF(OR(NOT(ISNUMBER(J179)),NOT(ISNUMBER(H179)),H179&lt;=0),기준표!$B$8,MIN(MAX(J179/H179,기준표!$B$6),기준표!$B$7))</f>
        <v/>
      </c>
      <c r="AE179" s="17">
        <f>IF(ISNUMBER(AC179),AC179*(1-AD179),"")</f>
        <v/>
      </c>
      <c r="AF179" s="17">
        <f>IF(AND(NOT(ISNUMBER(T179)),NOT(ISNUMBER(V179))),"",IF(ISNUMBER(T179),T179,0)+IF(ISNUMBER(V179),V179,0))</f>
        <v/>
      </c>
      <c r="AG179" s="17">
        <f>IF(E179="금융","",IF(AND(ISNUMBER(P179),ISNUMBER(AF179),ISNUMBER(R179)),P179+AF179-R179,""))</f>
        <v/>
      </c>
      <c r="AH179" s="17">
        <f>IF(E179="금융","",IF(NOT(ISNUMBER(AG179)),"",IF(ISNUMBER(AA179),(AG179+AA179)/2,AG179)))</f>
        <v/>
      </c>
      <c r="AI179" s="19">
        <f>IF(AND(ISNUMBER(AE179),ISNUMBER(AH179),AH179&gt;0),AE179/AH179,"")</f>
        <v/>
      </c>
      <c r="AJ179" s="17">
        <f>IF(E179="금융","",IF(AND(ISNUMBER(P179),ISNUMBER(AF179)),P179+AF179,""))</f>
        <v/>
      </c>
      <c r="AK179" s="19">
        <f>IF(OR(NOT(ISNUMBER(AE179)),NOT(ISNUMBER(AJ179)),AJ179&lt;=0),"",IF(AND(ISNUMBER(G179),AJ179&lt;0.1*G179),"",AE179/AJ179))</f>
        <v/>
      </c>
      <c r="AL179" s="17">
        <f>IF(NOT(ISNUMBER(P179)),"",IF(ISNUMBER(Q179),(P179+Q179)/2,P179))</f>
        <v/>
      </c>
      <c r="AM179" s="19">
        <f>IF(AND(ISNUMBER(L179),ISNUMBER(AL179),AL179&gt;0),L179/AL179,"")</f>
        <v/>
      </c>
      <c r="AN179" s="19">
        <f>IF(AND(ISNUMBER(AM179),ISNUMBER({ROIC})),AM179-{ROIC},"")</f>
        <v/>
      </c>
      <c r="AO179" s="17">
        <f>IF(AND(ISNUMBER(AC179),ISNUMBER(M179)),AC179+M179,"")</f>
        <v/>
      </c>
      <c r="AP179" s="20">
        <f>IF(AND(ISNUMBER(AF179),ISNUMBER(R179),ISNUMBER(AO179),AO179&gt;0),(AF179-R179)/AO179,"")</f>
        <v/>
      </c>
      <c r="AQ179" s="20">
        <f>IF(AND(ISNUMBER(AC179),ISNUMBER(I179),I179&lt;&gt;0,AC179&gt;0),AC179/I179,"")</f>
        <v/>
      </c>
      <c r="AR179" s="17">
        <f>IF(AND(ISNUMBER(W179),ISNUMBER(Y179)),W179-IF(ISNUMBER(R179),R179,0)-(Y179-IF(ISNUMBER(T179),T179,0)),"")</f>
        <v/>
      </c>
      <c r="AS179" s="17">
        <f>IF(AND(ISNUMBER(X179),ISNUMBER(Z179)),X179-IF(ISNUMBER(S179),S179,0)-(Z179-IF(ISNUMBER(U179),U179,0)),"")</f>
        <v/>
      </c>
      <c r="AT179" s="17">
        <f>IF(AND(ISNUMBER(AR179),ISNUMBER(AS179)),AR179-AS179,"")</f>
        <v/>
      </c>
      <c r="AU179" s="17">
        <f>IF(E179="금융","",IF(AND(ISNUMBER(L179),ISNUMBER(M179),ISNUMBER(N179),ISNUMBER(AT179)),L179+M179-N179-AT179,IF(AND(ISNUMBER(O179),ISNUMBER(N179)),O179-N179,"")))</f>
        <v/>
      </c>
      <c r="AV179" s="8">
        <f>IF(E179="금융","금융업 - 정의되지 않음",IF(AND(ISNUMBER(L179),ISNUMBER(M179),ISNUMBER(N179),ISNUMBER(AT179)),"순이익+감가상각-설비투자-운전자본증감",IF(AND(ISNUMBER(O179),ISNUMBER(N179)),"영업현금흐름-설비투자","산출불가")))</f>
        <v/>
      </c>
      <c r="AW179" s="19">
        <f>IF(AND(ISNUMBER(AU179),ISNUMBER(G179),G179&lt;&gt;0),AU179/G179,"")</f>
        <v/>
      </c>
      <c r="AX179" s="19">
        <f>IF(AND(ISNUMBER(AC179),ISNUMBER(G179),G179&lt;&gt;0),AC179/G179,"")</f>
        <v/>
      </c>
    </row>
    <row r="180">
      <c r="A180" s="8" t="inlineStr">
        <is>
          <t>V</t>
        </is>
      </c>
      <c r="B180" s="8" t="inlineStr">
        <is>
          <t>VISA INC.</t>
        </is>
      </c>
      <c r="C180" s="8" t="n">
        <v>2023</v>
      </c>
      <c r="D180" s="8" t="inlineStr">
        <is>
          <t>2023-09-30</t>
        </is>
      </c>
      <c r="E180" s="8" t="inlineStr">
        <is>
          <t>일반</t>
        </is>
      </c>
      <c r="F180" s="8" t="inlineStr">
        <is>
          <t>0001403161-25-000089</t>
        </is>
      </c>
      <c r="G180" s="15" t="n">
        <v>32.653</v>
      </c>
      <c r="H180" s="15" t="n">
        <v>21.037</v>
      </c>
      <c r="I180" s="15" t="n">
        <v>0.644</v>
      </c>
      <c r="J180" s="15" t="n">
        <v>3.764</v>
      </c>
      <c r="K180" s="15" t="n">
        <v>21</v>
      </c>
      <c r="L180" s="15" t="n">
        <v>17.273</v>
      </c>
      <c r="M180" s="15" t="n">
        <v>0.9429999999999999</v>
      </c>
      <c r="N180" s="15" t="n">
        <v>1.059</v>
      </c>
      <c r="O180" s="15" t="n">
        <v>20.755</v>
      </c>
      <c r="P180" s="15" t="n">
        <v>38.733</v>
      </c>
      <c r="Q180" s="15" t="n">
        <v>35.581</v>
      </c>
      <c r="R180" s="15" t="n">
        <v>16.286</v>
      </c>
      <c r="S180" s="15" t="n">
        <v>15.689</v>
      </c>
      <c r="T180" s="15" t="n">
        <v>0</v>
      </c>
      <c r="U180" s="15" t="n">
        <v>2.25</v>
      </c>
      <c r="V180" s="15" t="n">
        <v>20.463</v>
      </c>
      <c r="W180" s="15" t="n">
        <v>33.532</v>
      </c>
      <c r="X180" s="15" t="n">
        <v>30.205</v>
      </c>
      <c r="Y180" s="15" t="n">
        <v>23.098</v>
      </c>
      <c r="Z180" s="15" t="n">
        <v>20.853</v>
      </c>
      <c r="AA180" s="15" t="n">
        <v>42.342</v>
      </c>
      <c r="AB180" s="16" t="n"/>
      <c r="AC180" s="17">
        <f>IF(AND(ISNUMBER(H180),ISNUMBER(I180)),H180+I180,IF(ISNUMBER(K180),K180,IF(ISNUMBER(H180),H180,"")))</f>
        <v/>
      </c>
      <c r="AD180" s="18">
        <f>IF(OR(NOT(ISNUMBER(J180)),NOT(ISNUMBER(H180)),H180&lt;=0),기준표!$B$8,MIN(MAX(J180/H180,기준표!$B$6),기준표!$B$7))</f>
        <v/>
      </c>
      <c r="AE180" s="17">
        <f>IF(ISNUMBER(AC180),AC180*(1-AD180),"")</f>
        <v/>
      </c>
      <c r="AF180" s="17">
        <f>IF(AND(NOT(ISNUMBER(T180)),NOT(ISNUMBER(V180))),"",IF(ISNUMBER(T180),T180,0)+IF(ISNUMBER(V180),V180,0))</f>
        <v/>
      </c>
      <c r="AG180" s="17">
        <f>IF(E180="금융","",IF(AND(ISNUMBER(P180),ISNUMBER(AF180),ISNUMBER(R180)),P180+AF180-R180,""))</f>
        <v/>
      </c>
      <c r="AH180" s="17">
        <f>IF(E180="금융","",IF(NOT(ISNUMBER(AG180)),"",IF(ISNUMBER(AA180),(AG180+AA180)/2,AG180)))</f>
        <v/>
      </c>
      <c r="AI180" s="19">
        <f>IF(AND(ISNUMBER(AE180),ISNUMBER(AH180),AH180&gt;0),AE180/AH180,"")</f>
        <v/>
      </c>
      <c r="AJ180" s="17">
        <f>IF(E180="금융","",IF(AND(ISNUMBER(P180),ISNUMBER(AF180)),P180+AF180,""))</f>
        <v/>
      </c>
      <c r="AK180" s="19">
        <f>IF(OR(NOT(ISNUMBER(AE180)),NOT(ISNUMBER(AJ180)),AJ180&lt;=0),"",IF(AND(ISNUMBER(G180),AJ180&lt;0.1*G180),"",AE180/AJ180))</f>
        <v/>
      </c>
      <c r="AL180" s="17">
        <f>IF(NOT(ISNUMBER(P180)),"",IF(ISNUMBER(Q180),(P180+Q180)/2,P180))</f>
        <v/>
      </c>
      <c r="AM180" s="19">
        <f>IF(AND(ISNUMBER(L180),ISNUMBER(AL180),AL180&gt;0),L180/AL180,"")</f>
        <v/>
      </c>
      <c r="AN180" s="19">
        <f>IF(AND(ISNUMBER(AM180),ISNUMBER({ROIC})),AM180-{ROIC},"")</f>
        <v/>
      </c>
      <c r="AO180" s="17">
        <f>IF(AND(ISNUMBER(AC180),ISNUMBER(M180)),AC180+M180,"")</f>
        <v/>
      </c>
      <c r="AP180" s="20">
        <f>IF(AND(ISNUMBER(AF180),ISNUMBER(R180),ISNUMBER(AO180),AO180&gt;0),(AF180-R180)/AO180,"")</f>
        <v/>
      </c>
      <c r="AQ180" s="20">
        <f>IF(AND(ISNUMBER(AC180),ISNUMBER(I180),I180&lt;&gt;0,AC180&gt;0),AC180/I180,"")</f>
        <v/>
      </c>
      <c r="AR180" s="17">
        <f>IF(AND(ISNUMBER(W180),ISNUMBER(Y180)),W180-IF(ISNUMBER(R180),R180,0)-(Y180-IF(ISNUMBER(T180),T180,0)),"")</f>
        <v/>
      </c>
      <c r="AS180" s="17">
        <f>IF(AND(ISNUMBER(X180),ISNUMBER(Z180)),X180-IF(ISNUMBER(S180),S180,0)-(Z180-IF(ISNUMBER(U180),U180,0)),"")</f>
        <v/>
      </c>
      <c r="AT180" s="17">
        <f>IF(AND(ISNUMBER(AR180),ISNUMBER(AS180)),AR180-AS180,"")</f>
        <v/>
      </c>
      <c r="AU180" s="17">
        <f>IF(E180="금융","",IF(AND(ISNUMBER(L180),ISNUMBER(M180),ISNUMBER(N180),ISNUMBER(AT180)),L180+M180-N180-AT180,IF(AND(ISNUMBER(O180),ISNUMBER(N180)),O180-N180,"")))</f>
        <v/>
      </c>
      <c r="AV180" s="8">
        <f>IF(E180="금융","금융업 - 정의되지 않음",IF(AND(ISNUMBER(L180),ISNUMBER(M180),ISNUMBER(N180),ISNUMBER(AT180)),"순이익+감가상각-설비투자-운전자본증감",IF(AND(ISNUMBER(O180),ISNUMBER(N180)),"영업현금흐름-설비투자","산출불가")))</f>
        <v/>
      </c>
      <c r="AW180" s="19">
        <f>IF(AND(ISNUMBER(AU180),ISNUMBER(G180),G180&lt;&gt;0),AU180/G180,"")</f>
        <v/>
      </c>
      <c r="AX180" s="19">
        <f>IF(AND(ISNUMBER(AC180),ISNUMBER(G180),G180&lt;&gt;0),AC180/G180,"")</f>
        <v/>
      </c>
    </row>
    <row r="181">
      <c r="A181" s="8" t="inlineStr">
        <is>
          <t>V</t>
        </is>
      </c>
      <c r="B181" s="8" t="inlineStr">
        <is>
          <t>VISA INC.</t>
        </is>
      </c>
      <c r="C181" s="8" t="n">
        <v>2024</v>
      </c>
      <c r="D181" s="8" t="inlineStr">
        <is>
          <t>2024-09-30</t>
        </is>
      </c>
      <c r="E181" s="8" t="inlineStr">
        <is>
          <t>일반</t>
        </is>
      </c>
      <c r="F181" s="8" t="inlineStr">
        <is>
          <t>0001403161-25-000089</t>
        </is>
      </c>
      <c r="G181" s="15" t="n">
        <v>35.926</v>
      </c>
      <c r="H181" s="15" t="n">
        <v>23.916</v>
      </c>
      <c r="I181" s="15" t="n">
        <v>0.641</v>
      </c>
      <c r="J181" s="15" t="n">
        <v>4.173</v>
      </c>
      <c r="K181" s="15" t="n">
        <v>23.595</v>
      </c>
      <c r="L181" s="15" t="n">
        <v>19.743</v>
      </c>
      <c r="M181" s="15" t="n">
        <v>1.034</v>
      </c>
      <c r="N181" s="15" t="n">
        <v>1.257</v>
      </c>
      <c r="O181" s="15" t="n">
        <v>19.95</v>
      </c>
      <c r="P181" s="15" t="n">
        <v>39.137</v>
      </c>
      <c r="Q181" s="15" t="n">
        <v>38.733</v>
      </c>
      <c r="R181" s="15" t="n">
        <v>11.975</v>
      </c>
      <c r="S181" s="15" t="n">
        <v>16.286</v>
      </c>
      <c r="T181" s="15" t="n">
        <v>0</v>
      </c>
      <c r="U181" s="15" t="n">
        <v>0</v>
      </c>
      <c r="V181" s="15" t="n">
        <v>20.836</v>
      </c>
      <c r="W181" s="15" t="n">
        <v>34.033</v>
      </c>
      <c r="X181" s="15" t="n">
        <v>33.532</v>
      </c>
      <c r="Y181" s="15" t="n">
        <v>26.517</v>
      </c>
      <c r="Z181" s="15" t="n">
        <v>23.098</v>
      </c>
      <c r="AA181" s="15" t="n">
        <v>42.91</v>
      </c>
      <c r="AB181" s="16" t="n"/>
      <c r="AC181" s="17">
        <f>IF(AND(ISNUMBER(H181),ISNUMBER(I181)),H181+I181,IF(ISNUMBER(K181),K181,IF(ISNUMBER(H181),H181,"")))</f>
        <v/>
      </c>
      <c r="AD181" s="18">
        <f>IF(OR(NOT(ISNUMBER(J181)),NOT(ISNUMBER(H181)),H181&lt;=0),기준표!$B$8,MIN(MAX(J181/H181,기준표!$B$6),기준표!$B$7))</f>
        <v/>
      </c>
      <c r="AE181" s="17">
        <f>IF(ISNUMBER(AC181),AC181*(1-AD181),"")</f>
        <v/>
      </c>
      <c r="AF181" s="17">
        <f>IF(AND(NOT(ISNUMBER(T181)),NOT(ISNUMBER(V181))),"",IF(ISNUMBER(T181),T181,0)+IF(ISNUMBER(V181),V181,0))</f>
        <v/>
      </c>
      <c r="AG181" s="17">
        <f>IF(E181="금융","",IF(AND(ISNUMBER(P181),ISNUMBER(AF181),ISNUMBER(R181)),P181+AF181-R181,""))</f>
        <v/>
      </c>
      <c r="AH181" s="17">
        <f>IF(E181="금융","",IF(NOT(ISNUMBER(AG181)),"",IF(ISNUMBER(AA181),(AG181+AA181)/2,AG181)))</f>
        <v/>
      </c>
      <c r="AI181" s="19">
        <f>IF(AND(ISNUMBER(AE181),ISNUMBER(AH181),AH181&gt;0),AE181/AH181,"")</f>
        <v/>
      </c>
      <c r="AJ181" s="17">
        <f>IF(E181="금융","",IF(AND(ISNUMBER(P181),ISNUMBER(AF181)),P181+AF181,""))</f>
        <v/>
      </c>
      <c r="AK181" s="19">
        <f>IF(OR(NOT(ISNUMBER(AE181)),NOT(ISNUMBER(AJ181)),AJ181&lt;=0),"",IF(AND(ISNUMBER(G181),AJ181&lt;0.1*G181),"",AE181/AJ181))</f>
        <v/>
      </c>
      <c r="AL181" s="17">
        <f>IF(NOT(ISNUMBER(P181)),"",IF(ISNUMBER(Q181),(P181+Q181)/2,P181))</f>
        <v/>
      </c>
      <c r="AM181" s="19">
        <f>IF(AND(ISNUMBER(L181),ISNUMBER(AL181),AL181&gt;0),L181/AL181,"")</f>
        <v/>
      </c>
      <c r="AN181" s="19">
        <f>IF(AND(ISNUMBER(AM181),ISNUMBER({ROIC})),AM181-{ROIC},"")</f>
        <v/>
      </c>
      <c r="AO181" s="17">
        <f>IF(AND(ISNUMBER(AC181),ISNUMBER(M181)),AC181+M181,"")</f>
        <v/>
      </c>
      <c r="AP181" s="20">
        <f>IF(AND(ISNUMBER(AF181),ISNUMBER(R181),ISNUMBER(AO181),AO181&gt;0),(AF181-R181)/AO181,"")</f>
        <v/>
      </c>
      <c r="AQ181" s="20">
        <f>IF(AND(ISNUMBER(AC181),ISNUMBER(I181),I181&lt;&gt;0,AC181&gt;0),AC181/I181,"")</f>
        <v/>
      </c>
      <c r="AR181" s="17">
        <f>IF(AND(ISNUMBER(W181),ISNUMBER(Y181)),W181-IF(ISNUMBER(R181),R181,0)-(Y181-IF(ISNUMBER(T181),T181,0)),"")</f>
        <v/>
      </c>
      <c r="AS181" s="17">
        <f>IF(AND(ISNUMBER(X181),ISNUMBER(Z181)),X181-IF(ISNUMBER(S181),S181,0)-(Z181-IF(ISNUMBER(U181),U181,0)),"")</f>
        <v/>
      </c>
      <c r="AT181" s="17">
        <f>IF(AND(ISNUMBER(AR181),ISNUMBER(AS181)),AR181-AS181,"")</f>
        <v/>
      </c>
      <c r="AU181" s="17">
        <f>IF(E181="금융","",IF(AND(ISNUMBER(L181),ISNUMBER(M181),ISNUMBER(N181),ISNUMBER(AT181)),L181+M181-N181-AT181,IF(AND(ISNUMBER(O181),ISNUMBER(N181)),O181-N181,"")))</f>
        <v/>
      </c>
      <c r="AV181" s="8">
        <f>IF(E181="금융","금융업 - 정의되지 않음",IF(AND(ISNUMBER(L181),ISNUMBER(M181),ISNUMBER(N181),ISNUMBER(AT181)),"순이익+감가상각-설비투자-운전자본증감",IF(AND(ISNUMBER(O181),ISNUMBER(N181)),"영업현금흐름-설비투자","산출불가")))</f>
        <v/>
      </c>
      <c r="AW181" s="19">
        <f>IF(AND(ISNUMBER(AU181),ISNUMBER(G181),G181&lt;&gt;0),AU181/G181,"")</f>
        <v/>
      </c>
      <c r="AX181" s="19">
        <f>IF(AND(ISNUMBER(AC181),ISNUMBER(G181),G181&lt;&gt;0),AC181/G181,"")</f>
        <v/>
      </c>
    </row>
    <row r="182">
      <c r="A182" s="8" t="inlineStr">
        <is>
          <t>V</t>
        </is>
      </c>
      <c r="B182" s="8" t="inlineStr">
        <is>
          <t>VISA INC.</t>
        </is>
      </c>
      <c r="C182" s="8" t="n">
        <v>2025</v>
      </c>
      <c r="D182" s="8" t="inlineStr">
        <is>
          <t>2025-09-30</t>
        </is>
      </c>
      <c r="E182" s="8" t="inlineStr">
        <is>
          <t>일반</t>
        </is>
      </c>
      <c r="F182" s="8" t="inlineStr">
        <is>
          <t>0001403161-25-000089</t>
        </is>
      </c>
      <c r="G182" s="15" t="n">
        <v>40</v>
      </c>
      <c r="H182" s="15" t="n">
        <v>24.194</v>
      </c>
      <c r="I182" s="15" t="n">
        <v>0.589</v>
      </c>
      <c r="J182" s="15" t="n">
        <v>4.136</v>
      </c>
      <c r="K182" s="15" t="n">
        <v>23.994</v>
      </c>
      <c r="L182" s="15" t="n">
        <v>20.058</v>
      </c>
      <c r="M182" s="15" t="n">
        <v>1.22</v>
      </c>
      <c r="N182" s="15" t="n">
        <v>1.482</v>
      </c>
      <c r="O182" s="15" t="n">
        <v>23.059</v>
      </c>
      <c r="P182" s="15" t="n">
        <v>37.909</v>
      </c>
      <c r="Q182" s="15" t="n">
        <v>39.137</v>
      </c>
      <c r="R182" s="15" t="n">
        <v>17.164</v>
      </c>
      <c r="S182" s="15" t="n">
        <v>11.975</v>
      </c>
      <c r="T182" s="15" t="n">
        <v>5.569</v>
      </c>
      <c r="U182" s="15" t="n">
        <v>0</v>
      </c>
      <c r="V182" s="15" t="n">
        <v>19.602</v>
      </c>
      <c r="W182" s="15" t="n">
        <v>37.766</v>
      </c>
      <c r="X182" s="15" t="n">
        <v>34.033</v>
      </c>
      <c r="Y182" s="15" t="n">
        <v>35.048</v>
      </c>
      <c r="Z182" s="15" t="n">
        <v>26.517</v>
      </c>
      <c r="AA182" s="15" t="n">
        <v>47.998</v>
      </c>
      <c r="AB182" s="16" t="n"/>
      <c r="AC182" s="17">
        <f>IF(AND(ISNUMBER(H182),ISNUMBER(I182)),H182+I182,IF(ISNUMBER(K182),K182,IF(ISNUMBER(H182),H182,"")))</f>
        <v/>
      </c>
      <c r="AD182" s="18">
        <f>IF(OR(NOT(ISNUMBER(J182)),NOT(ISNUMBER(H182)),H182&lt;=0),기준표!$B$8,MIN(MAX(J182/H182,기준표!$B$6),기준표!$B$7))</f>
        <v/>
      </c>
      <c r="AE182" s="17">
        <f>IF(ISNUMBER(AC182),AC182*(1-AD182),"")</f>
        <v/>
      </c>
      <c r="AF182" s="17">
        <f>IF(AND(NOT(ISNUMBER(T182)),NOT(ISNUMBER(V182))),"",IF(ISNUMBER(T182),T182,0)+IF(ISNUMBER(V182),V182,0))</f>
        <v/>
      </c>
      <c r="AG182" s="17">
        <f>IF(E182="금융","",IF(AND(ISNUMBER(P182),ISNUMBER(AF182),ISNUMBER(R182)),P182+AF182-R182,""))</f>
        <v/>
      </c>
      <c r="AH182" s="17">
        <f>IF(E182="금융","",IF(NOT(ISNUMBER(AG182)),"",IF(ISNUMBER(AA182),(AG182+AA182)/2,AG182)))</f>
        <v/>
      </c>
      <c r="AI182" s="19">
        <f>IF(AND(ISNUMBER(AE182),ISNUMBER(AH182),AH182&gt;0),AE182/AH182,"")</f>
        <v/>
      </c>
      <c r="AJ182" s="17">
        <f>IF(E182="금융","",IF(AND(ISNUMBER(P182),ISNUMBER(AF182)),P182+AF182,""))</f>
        <v/>
      </c>
      <c r="AK182" s="19">
        <f>IF(OR(NOT(ISNUMBER(AE182)),NOT(ISNUMBER(AJ182)),AJ182&lt;=0),"",IF(AND(ISNUMBER(G182),AJ182&lt;0.1*G182),"",AE182/AJ182))</f>
        <v/>
      </c>
      <c r="AL182" s="17">
        <f>IF(NOT(ISNUMBER(P182)),"",IF(ISNUMBER(Q182),(P182+Q182)/2,P182))</f>
        <v/>
      </c>
      <c r="AM182" s="19">
        <f>IF(AND(ISNUMBER(L182),ISNUMBER(AL182),AL182&gt;0),L182/AL182,"")</f>
        <v/>
      </c>
      <c r="AN182" s="19">
        <f>IF(AND(ISNUMBER(AM182),ISNUMBER({ROIC})),AM182-{ROIC},"")</f>
        <v/>
      </c>
      <c r="AO182" s="17">
        <f>IF(AND(ISNUMBER(AC182),ISNUMBER(M182)),AC182+M182,"")</f>
        <v/>
      </c>
      <c r="AP182" s="20">
        <f>IF(AND(ISNUMBER(AF182),ISNUMBER(R182),ISNUMBER(AO182),AO182&gt;0),(AF182-R182)/AO182,"")</f>
        <v/>
      </c>
      <c r="AQ182" s="20">
        <f>IF(AND(ISNUMBER(AC182),ISNUMBER(I182),I182&lt;&gt;0,AC182&gt;0),AC182/I182,"")</f>
        <v/>
      </c>
      <c r="AR182" s="17">
        <f>IF(AND(ISNUMBER(W182),ISNUMBER(Y182)),W182-IF(ISNUMBER(R182),R182,0)-(Y182-IF(ISNUMBER(T182),T182,0)),"")</f>
        <v/>
      </c>
      <c r="AS182" s="17">
        <f>IF(AND(ISNUMBER(X182),ISNUMBER(Z182)),X182-IF(ISNUMBER(S182),S182,0)-(Z182-IF(ISNUMBER(U182),U182,0)),"")</f>
        <v/>
      </c>
      <c r="AT182" s="17">
        <f>IF(AND(ISNUMBER(AR182),ISNUMBER(AS182)),AR182-AS182,"")</f>
        <v/>
      </c>
      <c r="AU182" s="17">
        <f>IF(E182="금융","",IF(AND(ISNUMBER(L182),ISNUMBER(M182),ISNUMBER(N182),ISNUMBER(AT182)),L182+M182-N182-AT182,IF(AND(ISNUMBER(O182),ISNUMBER(N182)),O182-N182,"")))</f>
        <v/>
      </c>
      <c r="AV182" s="8">
        <f>IF(E182="금융","금융업 - 정의되지 않음",IF(AND(ISNUMBER(L182),ISNUMBER(M182),ISNUMBER(N182),ISNUMBER(AT182)),"순이익+감가상각-설비투자-운전자본증감",IF(AND(ISNUMBER(O182),ISNUMBER(N182)),"영업현금흐름-설비투자","산출불가")))</f>
        <v/>
      </c>
      <c r="AW182" s="19">
        <f>IF(AND(ISNUMBER(AU182),ISNUMBER(G182),G182&lt;&gt;0),AU182/G182,"")</f>
        <v/>
      </c>
      <c r="AX182" s="19">
        <f>IF(AND(ISNUMBER(AC182),ISNUMBER(G182),G182&lt;&gt;0),AC182/G182,"")</f>
        <v/>
      </c>
    </row>
    <row r="183">
      <c r="A183" s="8" t="inlineStr">
        <is>
          <t>XOM</t>
        </is>
      </c>
      <c r="B183" s="8" t="inlineStr">
        <is>
          <t>EXXON MOBIL CORP</t>
        </is>
      </c>
      <c r="C183" s="8" t="n">
        <v>2014</v>
      </c>
      <c r="D183" s="8" t="inlineStr">
        <is>
          <t>2014-12-31</t>
        </is>
      </c>
      <c r="E183" s="8" t="inlineStr">
        <is>
          <t>일반</t>
        </is>
      </c>
      <c r="F183" s="8" t="inlineStr">
        <is>
          <t>0000034088-17-000017</t>
        </is>
      </c>
      <c r="G183" s="15" t="n">
        <v>394.105</v>
      </c>
      <c r="H183" s="15" t="n">
        <v>51.63</v>
      </c>
      <c r="I183" s="15" t="n">
        <v>0.286</v>
      </c>
      <c r="J183" s="15" t="n">
        <v>18.015</v>
      </c>
      <c r="K183" s="15" t="n"/>
      <c r="L183" s="15" t="n">
        <v>32.52</v>
      </c>
      <c r="M183" s="15" t="n">
        <v>17.297</v>
      </c>
      <c r="N183" s="15" t="n">
        <v>32.952</v>
      </c>
      <c r="O183" s="15" t="n">
        <v>45.116</v>
      </c>
      <c r="P183" s="15" t="n">
        <v>174.399</v>
      </c>
      <c r="Q183" s="15" t="n"/>
      <c r="R183" s="15" t="n">
        <v>4.616</v>
      </c>
      <c r="S183" s="15" t="n"/>
      <c r="T183" s="15" t="n">
        <v>17.468</v>
      </c>
      <c r="U183" s="15" t="n"/>
      <c r="V183" s="15" t="n">
        <v>11.653</v>
      </c>
      <c r="W183" s="15" t="n">
        <v>52.91</v>
      </c>
      <c r="X183" s="15" t="n"/>
      <c r="Y183" s="15" t="n">
        <v>64.633</v>
      </c>
      <c r="Z183" s="15" t="n"/>
      <c r="AA183" s="15" t="n"/>
      <c r="AB183" s="16" t="n">
        <v>4201</v>
      </c>
      <c r="AC183" s="17">
        <f>IF(AND(ISNUMBER(H183),ISNUMBER(I183)),H183+I183,IF(ISNUMBER(K183),K183,IF(ISNUMBER(H183),H183,"")))</f>
        <v/>
      </c>
      <c r="AD183" s="18">
        <f>IF(OR(NOT(ISNUMBER(J183)),NOT(ISNUMBER(H183)),H183&lt;=0),기준표!$B$8,MIN(MAX(J183/H183,기준표!$B$6),기준표!$B$7))</f>
        <v/>
      </c>
      <c r="AE183" s="17">
        <f>IF(ISNUMBER(AC183),AC183*(1-AD183),"")</f>
        <v/>
      </c>
      <c r="AF183" s="17">
        <f>IF(AND(NOT(ISNUMBER(T183)),NOT(ISNUMBER(V183))),"",IF(ISNUMBER(T183),T183,0)+IF(ISNUMBER(V183),V183,0))</f>
        <v/>
      </c>
      <c r="AG183" s="17">
        <f>IF(E183="금융","",IF(AND(ISNUMBER(P183),ISNUMBER(AF183),ISNUMBER(R183)),P183+AF183-R183,""))</f>
        <v/>
      </c>
      <c r="AH183" s="17">
        <f>IF(E183="금융","",IF(NOT(ISNUMBER(AG183)),"",IF(ISNUMBER(AA183),(AG183+AA183)/2,AG183)))</f>
        <v/>
      </c>
      <c r="AI183" s="19">
        <f>IF(AND(ISNUMBER(AE183),ISNUMBER(AH183),AH183&gt;0),AE183/AH183,"")</f>
        <v/>
      </c>
      <c r="AJ183" s="17">
        <f>IF(E183="금융","",IF(AND(ISNUMBER(P183),ISNUMBER(AF183)),P183+AF183,""))</f>
        <v/>
      </c>
      <c r="AK183" s="19">
        <f>IF(OR(NOT(ISNUMBER(AE183)),NOT(ISNUMBER(AJ183)),AJ183&lt;=0),"",IF(AND(ISNUMBER(G183),AJ183&lt;0.1*G183),"",AE183/AJ183))</f>
        <v/>
      </c>
      <c r="AL183" s="17">
        <f>IF(NOT(ISNUMBER(P183)),"",IF(ISNUMBER(Q183),(P183+Q183)/2,P183))</f>
        <v/>
      </c>
      <c r="AM183" s="19">
        <f>IF(AND(ISNUMBER(L183),ISNUMBER(AL183),AL183&gt;0),L183/AL183,"")</f>
        <v/>
      </c>
      <c r="AN183" s="19">
        <f>IF(AND(ISNUMBER(AM183),ISNUMBER({ROIC})),AM183-{ROIC},"")</f>
        <v/>
      </c>
      <c r="AO183" s="17">
        <f>IF(AND(ISNUMBER(AC183),ISNUMBER(M183)),AC183+M183,"")</f>
        <v/>
      </c>
      <c r="AP183" s="20">
        <f>IF(AND(ISNUMBER(AF183),ISNUMBER(R183),ISNUMBER(AO183),AO183&gt;0),(AF183-R183)/AO183,"")</f>
        <v/>
      </c>
      <c r="AQ183" s="20">
        <f>IF(AND(ISNUMBER(AC183),ISNUMBER(I183),I183&lt;&gt;0,AC183&gt;0),AC183/I183,"")</f>
        <v/>
      </c>
      <c r="AR183" s="17">
        <f>IF(AND(ISNUMBER(W183),ISNUMBER(Y183)),W183-IF(ISNUMBER(R183),R183,0)-(Y183-IF(ISNUMBER(T183),T183,0)),"")</f>
        <v/>
      </c>
      <c r="AS183" s="17">
        <f>IF(AND(ISNUMBER(X183),ISNUMBER(Z183)),X183-IF(ISNUMBER(S183),S183,0)-(Z183-IF(ISNUMBER(U183),U183,0)),"")</f>
        <v/>
      </c>
      <c r="AT183" s="17">
        <f>IF(AND(ISNUMBER(AR183),ISNUMBER(AS183)),AR183-AS183,"")</f>
        <v/>
      </c>
      <c r="AU183" s="17">
        <f>IF(E183="금융","",IF(AND(ISNUMBER(L183),ISNUMBER(M183),ISNUMBER(N183),ISNUMBER(AT183)),L183+M183-N183-AT183,IF(AND(ISNUMBER(O183),ISNUMBER(N183)),O183-N183,"")))</f>
        <v/>
      </c>
      <c r="AV183" s="8">
        <f>IF(E183="금융","금융업 - 정의되지 않음",IF(AND(ISNUMBER(L183),ISNUMBER(M183),ISNUMBER(N183),ISNUMBER(AT183)),"순이익+감가상각-설비투자-운전자본증감",IF(AND(ISNUMBER(O183),ISNUMBER(N183)),"영업현금흐름-설비투자","산출불가")))</f>
        <v/>
      </c>
      <c r="AW183" s="19">
        <f>IF(AND(ISNUMBER(AU183),ISNUMBER(G183),G183&lt;&gt;0),AU183/G183,"")</f>
        <v/>
      </c>
      <c r="AX183" s="19">
        <f>IF(AND(ISNUMBER(AC183),ISNUMBER(G183),G183&lt;&gt;0),AC183/G183,"")</f>
        <v/>
      </c>
    </row>
    <row r="184">
      <c r="A184" s="8" t="inlineStr">
        <is>
          <t>XOM</t>
        </is>
      </c>
      <c r="B184" s="8" t="inlineStr">
        <is>
          <t>EXXON MOBIL CORP</t>
        </is>
      </c>
      <c r="C184" s="8" t="n">
        <v>2015</v>
      </c>
      <c r="D184" s="8" t="inlineStr">
        <is>
          <t>2015-12-31</t>
        </is>
      </c>
      <c r="E184" s="8" t="inlineStr">
        <is>
          <t>일반</t>
        </is>
      </c>
      <c r="F184" s="8" t="inlineStr">
        <is>
          <t>0000034088-18-000015</t>
        </is>
      </c>
      <c r="G184" s="15" t="n">
        <v>239.854</v>
      </c>
      <c r="H184" s="15" t="n">
        <v>21.966</v>
      </c>
      <c r="I184" s="15" t="n">
        <v>0.311</v>
      </c>
      <c r="J184" s="15" t="n">
        <v>5.415</v>
      </c>
      <c r="K184" s="15" t="n"/>
      <c r="L184" s="15" t="n">
        <v>16.15</v>
      </c>
      <c r="M184" s="15" t="n">
        <v>18.048</v>
      </c>
      <c r="N184" s="15" t="n">
        <v>26.49</v>
      </c>
      <c r="O184" s="15" t="n">
        <v>30.344</v>
      </c>
      <c r="P184" s="15" t="n">
        <v>170.811</v>
      </c>
      <c r="Q184" s="15" t="n">
        <v>174.399</v>
      </c>
      <c r="R184" s="15" t="n">
        <v>3.705</v>
      </c>
      <c r="S184" s="15" t="n">
        <v>4.616</v>
      </c>
      <c r="T184" s="15" t="n">
        <v>18.762</v>
      </c>
      <c r="U184" s="15" t="n">
        <v>17.468</v>
      </c>
      <c r="V184" s="15" t="n">
        <v>19.925</v>
      </c>
      <c r="W184" s="15" t="n">
        <v>42.623</v>
      </c>
      <c r="X184" s="15" t="n">
        <v>52.91</v>
      </c>
      <c r="Y184" s="15" t="n">
        <v>53.976</v>
      </c>
      <c r="Z184" s="15" t="n">
        <v>64.633</v>
      </c>
      <c r="AA184" s="15" t="n">
        <v>198.904</v>
      </c>
      <c r="AB184" s="16" t="n">
        <v>4156</v>
      </c>
      <c r="AC184" s="17">
        <f>IF(AND(ISNUMBER(H184),ISNUMBER(I184)),H184+I184,IF(ISNUMBER(K184),K184,IF(ISNUMBER(H184),H184,"")))</f>
        <v/>
      </c>
      <c r="AD184" s="18">
        <f>IF(OR(NOT(ISNUMBER(J184)),NOT(ISNUMBER(H184)),H184&lt;=0),기준표!$B$8,MIN(MAX(J184/H184,기준표!$B$6),기준표!$B$7))</f>
        <v/>
      </c>
      <c r="AE184" s="17">
        <f>IF(ISNUMBER(AC184),AC184*(1-AD184),"")</f>
        <v/>
      </c>
      <c r="AF184" s="17">
        <f>IF(AND(NOT(ISNUMBER(T184)),NOT(ISNUMBER(V184))),"",IF(ISNUMBER(T184),T184,0)+IF(ISNUMBER(V184),V184,0))</f>
        <v/>
      </c>
      <c r="AG184" s="17">
        <f>IF(E184="금융","",IF(AND(ISNUMBER(P184),ISNUMBER(AF184),ISNUMBER(R184)),P184+AF184-R184,""))</f>
        <v/>
      </c>
      <c r="AH184" s="17">
        <f>IF(E184="금융","",IF(NOT(ISNUMBER(AG184)),"",IF(ISNUMBER(AA184),(AG184+AA184)/2,AG184)))</f>
        <v/>
      </c>
      <c r="AI184" s="19">
        <f>IF(AND(ISNUMBER(AE184),ISNUMBER(AH184),AH184&gt;0),AE184/AH184,"")</f>
        <v/>
      </c>
      <c r="AJ184" s="17">
        <f>IF(E184="금융","",IF(AND(ISNUMBER(P184),ISNUMBER(AF184)),P184+AF184,""))</f>
        <v/>
      </c>
      <c r="AK184" s="19">
        <f>IF(OR(NOT(ISNUMBER(AE184)),NOT(ISNUMBER(AJ184)),AJ184&lt;=0),"",IF(AND(ISNUMBER(G184),AJ184&lt;0.1*G184),"",AE184/AJ184))</f>
        <v/>
      </c>
      <c r="AL184" s="17">
        <f>IF(NOT(ISNUMBER(P184)),"",IF(ISNUMBER(Q184),(P184+Q184)/2,P184))</f>
        <v/>
      </c>
      <c r="AM184" s="19">
        <f>IF(AND(ISNUMBER(L184),ISNUMBER(AL184),AL184&gt;0),L184/AL184,"")</f>
        <v/>
      </c>
      <c r="AN184" s="19">
        <f>IF(AND(ISNUMBER(AM184),ISNUMBER({ROIC})),AM184-{ROIC},"")</f>
        <v/>
      </c>
      <c r="AO184" s="17">
        <f>IF(AND(ISNUMBER(AC184),ISNUMBER(M184)),AC184+M184,"")</f>
        <v/>
      </c>
      <c r="AP184" s="20">
        <f>IF(AND(ISNUMBER(AF184),ISNUMBER(R184),ISNUMBER(AO184),AO184&gt;0),(AF184-R184)/AO184,"")</f>
        <v/>
      </c>
      <c r="AQ184" s="20">
        <f>IF(AND(ISNUMBER(AC184),ISNUMBER(I184),I184&lt;&gt;0,AC184&gt;0),AC184/I184,"")</f>
        <v/>
      </c>
      <c r="AR184" s="17">
        <f>IF(AND(ISNUMBER(W184),ISNUMBER(Y184)),W184-IF(ISNUMBER(R184),R184,0)-(Y184-IF(ISNUMBER(T184),T184,0)),"")</f>
        <v/>
      </c>
      <c r="AS184" s="17">
        <f>IF(AND(ISNUMBER(X184),ISNUMBER(Z184)),X184-IF(ISNUMBER(S184),S184,0)-(Z184-IF(ISNUMBER(U184),U184,0)),"")</f>
        <v/>
      </c>
      <c r="AT184" s="17">
        <f>IF(AND(ISNUMBER(AR184),ISNUMBER(AS184)),AR184-AS184,"")</f>
        <v/>
      </c>
      <c r="AU184" s="17">
        <f>IF(E184="금융","",IF(AND(ISNUMBER(L184),ISNUMBER(M184),ISNUMBER(N184),ISNUMBER(AT184)),L184+M184-N184-AT184,IF(AND(ISNUMBER(O184),ISNUMBER(N184)),O184-N184,"")))</f>
        <v/>
      </c>
      <c r="AV184" s="8">
        <f>IF(E184="금융","금융업 - 정의되지 않음",IF(AND(ISNUMBER(L184),ISNUMBER(M184),ISNUMBER(N184),ISNUMBER(AT184)),"순이익+감가상각-설비투자-운전자본증감",IF(AND(ISNUMBER(O184),ISNUMBER(N184)),"영업현금흐름-설비투자","산출불가")))</f>
        <v/>
      </c>
      <c r="AW184" s="19">
        <f>IF(AND(ISNUMBER(AU184),ISNUMBER(G184),G184&lt;&gt;0),AU184/G184,"")</f>
        <v/>
      </c>
      <c r="AX184" s="19">
        <f>IF(AND(ISNUMBER(AC184),ISNUMBER(G184),G184&lt;&gt;0),AC184/G184,"")</f>
        <v/>
      </c>
    </row>
    <row r="185">
      <c r="A185" s="8" t="inlineStr">
        <is>
          <t>XOM</t>
        </is>
      </c>
      <c r="B185" s="8" t="inlineStr">
        <is>
          <t>EXXON MOBIL CORP</t>
        </is>
      </c>
      <c r="C185" s="8" t="n">
        <v>2016</v>
      </c>
      <c r="D185" s="8" t="inlineStr">
        <is>
          <t>2016-12-31</t>
        </is>
      </c>
      <c r="E185" s="8" t="inlineStr">
        <is>
          <t>일반</t>
        </is>
      </c>
      <c r="F185" s="8" t="inlineStr">
        <is>
          <t>0000034088-19-000010</t>
        </is>
      </c>
      <c r="G185" s="15" t="n">
        <v>200.628</v>
      </c>
      <c r="H185" s="15" t="n">
        <v>7.969</v>
      </c>
      <c r="I185" s="15" t="n">
        <v>0.453</v>
      </c>
      <c r="J185" s="15" t="n">
        <v>-0.406</v>
      </c>
      <c r="K185" s="15" t="n"/>
      <c r="L185" s="15" t="n">
        <v>7.84</v>
      </c>
      <c r="M185" s="15" t="n">
        <v>22.308</v>
      </c>
      <c r="N185" s="15" t="n">
        <v>16.163</v>
      </c>
      <c r="O185" s="15" t="n">
        <v>22.082</v>
      </c>
      <c r="P185" s="15" t="n">
        <v>167.325</v>
      </c>
      <c r="Q185" s="15" t="n">
        <v>170.811</v>
      </c>
      <c r="R185" s="15" t="n">
        <v>3.657</v>
      </c>
      <c r="S185" s="15" t="n">
        <v>3.705</v>
      </c>
      <c r="T185" s="15" t="n">
        <v>13.83</v>
      </c>
      <c r="U185" s="15" t="n">
        <v>18.762</v>
      </c>
      <c r="V185" s="15" t="n">
        <v>28.932</v>
      </c>
      <c r="W185" s="15" t="n">
        <v>41.416</v>
      </c>
      <c r="X185" s="15" t="n">
        <v>42.623</v>
      </c>
      <c r="Y185" s="15" t="n">
        <v>47.638</v>
      </c>
      <c r="Z185" s="15" t="n">
        <v>53.976</v>
      </c>
      <c r="AA185" s="15" t="n">
        <v>205.793</v>
      </c>
      <c r="AB185" s="16" t="n">
        <v>4148</v>
      </c>
      <c r="AC185" s="17">
        <f>IF(AND(ISNUMBER(H185),ISNUMBER(I185)),H185+I185,IF(ISNUMBER(K185),K185,IF(ISNUMBER(H185),H185,"")))</f>
        <v/>
      </c>
      <c r="AD185" s="18">
        <f>IF(OR(NOT(ISNUMBER(J185)),NOT(ISNUMBER(H185)),H185&lt;=0),기준표!$B$8,MIN(MAX(J185/H185,기준표!$B$6),기준표!$B$7))</f>
        <v/>
      </c>
      <c r="AE185" s="17">
        <f>IF(ISNUMBER(AC185),AC185*(1-AD185),"")</f>
        <v/>
      </c>
      <c r="AF185" s="17">
        <f>IF(AND(NOT(ISNUMBER(T185)),NOT(ISNUMBER(V185))),"",IF(ISNUMBER(T185),T185,0)+IF(ISNUMBER(V185),V185,0))</f>
        <v/>
      </c>
      <c r="AG185" s="17">
        <f>IF(E185="금융","",IF(AND(ISNUMBER(P185),ISNUMBER(AF185),ISNUMBER(R185)),P185+AF185-R185,""))</f>
        <v/>
      </c>
      <c r="AH185" s="17">
        <f>IF(E185="금융","",IF(NOT(ISNUMBER(AG185)),"",IF(ISNUMBER(AA185),(AG185+AA185)/2,AG185)))</f>
        <v/>
      </c>
      <c r="AI185" s="19">
        <f>IF(AND(ISNUMBER(AE185),ISNUMBER(AH185),AH185&gt;0),AE185/AH185,"")</f>
        <v/>
      </c>
      <c r="AJ185" s="17">
        <f>IF(E185="금융","",IF(AND(ISNUMBER(P185),ISNUMBER(AF185)),P185+AF185,""))</f>
        <v/>
      </c>
      <c r="AK185" s="19">
        <f>IF(OR(NOT(ISNUMBER(AE185)),NOT(ISNUMBER(AJ185)),AJ185&lt;=0),"",IF(AND(ISNUMBER(G185),AJ185&lt;0.1*G185),"",AE185/AJ185))</f>
        <v/>
      </c>
      <c r="AL185" s="17">
        <f>IF(NOT(ISNUMBER(P185)),"",IF(ISNUMBER(Q185),(P185+Q185)/2,P185))</f>
        <v/>
      </c>
      <c r="AM185" s="19">
        <f>IF(AND(ISNUMBER(L185),ISNUMBER(AL185),AL185&gt;0),L185/AL185,"")</f>
        <v/>
      </c>
      <c r="AN185" s="19">
        <f>IF(AND(ISNUMBER(AM185),ISNUMBER({ROIC})),AM185-{ROIC},"")</f>
        <v/>
      </c>
      <c r="AO185" s="17">
        <f>IF(AND(ISNUMBER(AC185),ISNUMBER(M185)),AC185+M185,"")</f>
        <v/>
      </c>
      <c r="AP185" s="20">
        <f>IF(AND(ISNUMBER(AF185),ISNUMBER(R185),ISNUMBER(AO185),AO185&gt;0),(AF185-R185)/AO185,"")</f>
        <v/>
      </c>
      <c r="AQ185" s="20">
        <f>IF(AND(ISNUMBER(AC185),ISNUMBER(I185),I185&lt;&gt;0,AC185&gt;0),AC185/I185,"")</f>
        <v/>
      </c>
      <c r="AR185" s="17">
        <f>IF(AND(ISNUMBER(W185),ISNUMBER(Y185)),W185-IF(ISNUMBER(R185),R185,0)-(Y185-IF(ISNUMBER(T185),T185,0)),"")</f>
        <v/>
      </c>
      <c r="AS185" s="17">
        <f>IF(AND(ISNUMBER(X185),ISNUMBER(Z185)),X185-IF(ISNUMBER(S185),S185,0)-(Z185-IF(ISNUMBER(U185),U185,0)),"")</f>
        <v/>
      </c>
      <c r="AT185" s="17">
        <f>IF(AND(ISNUMBER(AR185),ISNUMBER(AS185)),AR185-AS185,"")</f>
        <v/>
      </c>
      <c r="AU185" s="17">
        <f>IF(E185="금융","",IF(AND(ISNUMBER(L185),ISNUMBER(M185),ISNUMBER(N185),ISNUMBER(AT185)),L185+M185-N185-AT185,IF(AND(ISNUMBER(O185),ISNUMBER(N185)),O185-N185,"")))</f>
        <v/>
      </c>
      <c r="AV185" s="8">
        <f>IF(E185="금융","금융업 - 정의되지 않음",IF(AND(ISNUMBER(L185),ISNUMBER(M185),ISNUMBER(N185),ISNUMBER(AT185)),"순이익+감가상각-설비투자-운전자본증감",IF(AND(ISNUMBER(O185),ISNUMBER(N185)),"영업현금흐름-설비투자","산출불가")))</f>
        <v/>
      </c>
      <c r="AW185" s="19">
        <f>IF(AND(ISNUMBER(AU185),ISNUMBER(G185),G185&lt;&gt;0),AU185/G185,"")</f>
        <v/>
      </c>
      <c r="AX185" s="19">
        <f>IF(AND(ISNUMBER(AC185),ISNUMBER(G185),G185&lt;&gt;0),AC185/G185,"")</f>
        <v/>
      </c>
    </row>
    <row r="186">
      <c r="A186" s="8" t="inlineStr">
        <is>
          <t>XOM</t>
        </is>
      </c>
      <c r="B186" s="8" t="inlineStr">
        <is>
          <t>EXXON MOBIL CORP</t>
        </is>
      </c>
      <c r="C186" s="8" t="n">
        <v>2017</v>
      </c>
      <c r="D186" s="8" t="inlineStr">
        <is>
          <t>2017-12-31</t>
        </is>
      </c>
      <c r="E186" s="8" t="inlineStr">
        <is>
          <t>일반</t>
        </is>
      </c>
      <c r="F186" s="8" t="inlineStr">
        <is>
          <t>0000034088-20-000016</t>
        </is>
      </c>
      <c r="G186" s="15" t="n">
        <v>244.363</v>
      </c>
      <c r="H186" s="15" t="n">
        <v>18.674</v>
      </c>
      <c r="I186" s="15" t="n">
        <v>0.601</v>
      </c>
      <c r="J186" s="15" t="n">
        <v>-1.174</v>
      </c>
      <c r="K186" s="15" t="n"/>
      <c r="L186" s="15" t="n">
        <v>19.71</v>
      </c>
      <c r="M186" s="15" t="n">
        <v>19.893</v>
      </c>
      <c r="N186" s="15" t="n">
        <v>15.402</v>
      </c>
      <c r="O186" s="15" t="n">
        <v>30.066</v>
      </c>
      <c r="P186" s="15" t="n">
        <v>187.688</v>
      </c>
      <c r="Q186" s="15" t="n">
        <v>167.325</v>
      </c>
      <c r="R186" s="15" t="n">
        <v>3.177</v>
      </c>
      <c r="S186" s="15" t="n">
        <v>3.657</v>
      </c>
      <c r="T186" s="15" t="n">
        <v>17.93</v>
      </c>
      <c r="U186" s="15" t="n">
        <v>13.83</v>
      </c>
      <c r="V186" s="15" t="n">
        <v>24.406</v>
      </c>
      <c r="W186" s="15" t="n">
        <v>47.134</v>
      </c>
      <c r="X186" s="15" t="n">
        <v>41.416</v>
      </c>
      <c r="Y186" s="15" t="n">
        <v>57.771</v>
      </c>
      <c r="Z186" s="15" t="n">
        <v>47.638</v>
      </c>
      <c r="AA186" s="15" t="n">
        <v>206.43</v>
      </c>
      <c r="AB186" s="16" t="n">
        <v>4239</v>
      </c>
      <c r="AC186" s="17">
        <f>IF(AND(ISNUMBER(H186),ISNUMBER(I186)),H186+I186,IF(ISNUMBER(K186),K186,IF(ISNUMBER(H186),H186,"")))</f>
        <v/>
      </c>
      <c r="AD186" s="18">
        <f>IF(OR(NOT(ISNUMBER(J186)),NOT(ISNUMBER(H186)),H186&lt;=0),기준표!$B$8,MIN(MAX(J186/H186,기준표!$B$6),기준표!$B$7))</f>
        <v/>
      </c>
      <c r="AE186" s="17">
        <f>IF(ISNUMBER(AC186),AC186*(1-AD186),"")</f>
        <v/>
      </c>
      <c r="AF186" s="17">
        <f>IF(AND(NOT(ISNUMBER(T186)),NOT(ISNUMBER(V186))),"",IF(ISNUMBER(T186),T186,0)+IF(ISNUMBER(V186),V186,0))</f>
        <v/>
      </c>
      <c r="AG186" s="17">
        <f>IF(E186="금융","",IF(AND(ISNUMBER(P186),ISNUMBER(AF186),ISNUMBER(R186)),P186+AF186-R186,""))</f>
        <v/>
      </c>
      <c r="AH186" s="17">
        <f>IF(E186="금융","",IF(NOT(ISNUMBER(AG186)),"",IF(ISNUMBER(AA186),(AG186+AA186)/2,AG186)))</f>
        <v/>
      </c>
      <c r="AI186" s="19">
        <f>IF(AND(ISNUMBER(AE186),ISNUMBER(AH186),AH186&gt;0),AE186/AH186,"")</f>
        <v/>
      </c>
      <c r="AJ186" s="17">
        <f>IF(E186="금융","",IF(AND(ISNUMBER(P186),ISNUMBER(AF186)),P186+AF186,""))</f>
        <v/>
      </c>
      <c r="AK186" s="19">
        <f>IF(OR(NOT(ISNUMBER(AE186)),NOT(ISNUMBER(AJ186)),AJ186&lt;=0),"",IF(AND(ISNUMBER(G186),AJ186&lt;0.1*G186),"",AE186/AJ186))</f>
        <v/>
      </c>
      <c r="AL186" s="17">
        <f>IF(NOT(ISNUMBER(P186)),"",IF(ISNUMBER(Q186),(P186+Q186)/2,P186))</f>
        <v/>
      </c>
      <c r="AM186" s="19">
        <f>IF(AND(ISNUMBER(L186),ISNUMBER(AL186),AL186&gt;0),L186/AL186,"")</f>
        <v/>
      </c>
      <c r="AN186" s="19">
        <f>IF(AND(ISNUMBER(AM186),ISNUMBER({ROIC})),AM186-{ROIC},"")</f>
        <v/>
      </c>
      <c r="AO186" s="17">
        <f>IF(AND(ISNUMBER(AC186),ISNUMBER(M186)),AC186+M186,"")</f>
        <v/>
      </c>
      <c r="AP186" s="20">
        <f>IF(AND(ISNUMBER(AF186),ISNUMBER(R186),ISNUMBER(AO186),AO186&gt;0),(AF186-R186)/AO186,"")</f>
        <v/>
      </c>
      <c r="AQ186" s="20">
        <f>IF(AND(ISNUMBER(AC186),ISNUMBER(I186),I186&lt;&gt;0,AC186&gt;0),AC186/I186,"")</f>
        <v/>
      </c>
      <c r="AR186" s="17">
        <f>IF(AND(ISNUMBER(W186),ISNUMBER(Y186)),W186-IF(ISNUMBER(R186),R186,0)-(Y186-IF(ISNUMBER(T186),T186,0)),"")</f>
        <v/>
      </c>
      <c r="AS186" s="17">
        <f>IF(AND(ISNUMBER(X186),ISNUMBER(Z186)),X186-IF(ISNUMBER(S186),S186,0)-(Z186-IF(ISNUMBER(U186),U186,0)),"")</f>
        <v/>
      </c>
      <c r="AT186" s="17">
        <f>IF(AND(ISNUMBER(AR186),ISNUMBER(AS186)),AR186-AS186,"")</f>
        <v/>
      </c>
      <c r="AU186" s="17">
        <f>IF(E186="금융","",IF(AND(ISNUMBER(L186),ISNUMBER(M186),ISNUMBER(N186),ISNUMBER(AT186)),L186+M186-N186-AT186,IF(AND(ISNUMBER(O186),ISNUMBER(N186)),O186-N186,"")))</f>
        <v/>
      </c>
      <c r="AV186" s="8">
        <f>IF(E186="금융","금융업 - 정의되지 않음",IF(AND(ISNUMBER(L186),ISNUMBER(M186),ISNUMBER(N186),ISNUMBER(AT186)),"순이익+감가상각-설비투자-운전자본증감",IF(AND(ISNUMBER(O186),ISNUMBER(N186)),"영업현금흐름-설비투자","산출불가")))</f>
        <v/>
      </c>
      <c r="AW186" s="19">
        <f>IF(AND(ISNUMBER(AU186),ISNUMBER(G186),G186&lt;&gt;0),AU186/G186,"")</f>
        <v/>
      </c>
      <c r="AX186" s="19">
        <f>IF(AND(ISNUMBER(AC186),ISNUMBER(G186),G186&lt;&gt;0),AC186/G186,"")</f>
        <v/>
      </c>
    </row>
    <row r="187">
      <c r="A187" s="8" t="inlineStr">
        <is>
          <t>XOM</t>
        </is>
      </c>
      <c r="B187" s="8" t="inlineStr">
        <is>
          <t>EXXON MOBIL CORP</t>
        </is>
      </c>
      <c r="C187" s="8" t="n">
        <v>2018</v>
      </c>
      <c r="D187" s="8" t="inlineStr">
        <is>
          <t>2018-12-31</t>
        </is>
      </c>
      <c r="E187" s="8" t="inlineStr">
        <is>
          <t>일반</t>
        </is>
      </c>
      <c r="F187" s="8" t="inlineStr">
        <is>
          <t>0000034088-21-000012</t>
        </is>
      </c>
      <c r="G187" s="15" t="n">
        <v>290.212</v>
      </c>
      <c r="H187" s="15" t="n">
        <v>30.953</v>
      </c>
      <c r="I187" s="15" t="n">
        <v>0.766</v>
      </c>
      <c r="J187" s="15" t="n">
        <v>9.532</v>
      </c>
      <c r="K187" s="15" t="n"/>
      <c r="L187" s="15" t="n">
        <v>20.84</v>
      </c>
      <c r="M187" s="15" t="n">
        <v>18.745</v>
      </c>
      <c r="N187" s="15" t="n">
        <v>19.574</v>
      </c>
      <c r="O187" s="15" t="n">
        <v>36.014</v>
      </c>
      <c r="P187" s="15" t="n">
        <v>191.794</v>
      </c>
      <c r="Q187" s="15" t="n">
        <v>187.688</v>
      </c>
      <c r="R187" s="15" t="n">
        <v>3.042</v>
      </c>
      <c r="S187" s="15" t="n">
        <v>3.177</v>
      </c>
      <c r="T187" s="15" t="n">
        <v>17.258</v>
      </c>
      <c r="U187" s="15" t="n">
        <v>17.93</v>
      </c>
      <c r="V187" s="15" t="n">
        <v>20.538</v>
      </c>
      <c r="W187" s="15" t="n">
        <v>47.973</v>
      </c>
      <c r="X187" s="15" t="n">
        <v>47.134</v>
      </c>
      <c r="Y187" s="15" t="n">
        <v>57.138</v>
      </c>
      <c r="Z187" s="15" t="n">
        <v>57.771</v>
      </c>
      <c r="AA187" s="15" t="n">
        <v>226.847</v>
      </c>
      <c r="AB187" s="16" t="n">
        <v>4237</v>
      </c>
      <c r="AC187" s="17">
        <f>IF(AND(ISNUMBER(H187),ISNUMBER(I187)),H187+I187,IF(ISNUMBER(K187),K187,IF(ISNUMBER(H187),H187,"")))</f>
        <v/>
      </c>
      <c r="AD187" s="18">
        <f>IF(OR(NOT(ISNUMBER(J187)),NOT(ISNUMBER(H187)),H187&lt;=0),기준표!$B$8,MIN(MAX(J187/H187,기준표!$B$6),기준표!$B$7))</f>
        <v/>
      </c>
      <c r="AE187" s="17">
        <f>IF(ISNUMBER(AC187),AC187*(1-AD187),"")</f>
        <v/>
      </c>
      <c r="AF187" s="17">
        <f>IF(AND(NOT(ISNUMBER(T187)),NOT(ISNUMBER(V187))),"",IF(ISNUMBER(T187),T187,0)+IF(ISNUMBER(V187),V187,0))</f>
        <v/>
      </c>
      <c r="AG187" s="17">
        <f>IF(E187="금융","",IF(AND(ISNUMBER(P187),ISNUMBER(AF187),ISNUMBER(R187)),P187+AF187-R187,""))</f>
        <v/>
      </c>
      <c r="AH187" s="17">
        <f>IF(E187="금융","",IF(NOT(ISNUMBER(AG187)),"",IF(ISNUMBER(AA187),(AG187+AA187)/2,AG187)))</f>
        <v/>
      </c>
      <c r="AI187" s="19">
        <f>IF(AND(ISNUMBER(AE187),ISNUMBER(AH187),AH187&gt;0),AE187/AH187,"")</f>
        <v/>
      </c>
      <c r="AJ187" s="17">
        <f>IF(E187="금융","",IF(AND(ISNUMBER(P187),ISNUMBER(AF187)),P187+AF187,""))</f>
        <v/>
      </c>
      <c r="AK187" s="19">
        <f>IF(OR(NOT(ISNUMBER(AE187)),NOT(ISNUMBER(AJ187)),AJ187&lt;=0),"",IF(AND(ISNUMBER(G187),AJ187&lt;0.1*G187),"",AE187/AJ187))</f>
        <v/>
      </c>
      <c r="AL187" s="17">
        <f>IF(NOT(ISNUMBER(P187)),"",IF(ISNUMBER(Q187),(P187+Q187)/2,P187))</f>
        <v/>
      </c>
      <c r="AM187" s="19">
        <f>IF(AND(ISNUMBER(L187),ISNUMBER(AL187),AL187&gt;0),L187/AL187,"")</f>
        <v/>
      </c>
      <c r="AN187" s="19">
        <f>IF(AND(ISNUMBER(AM187),ISNUMBER({ROIC})),AM187-{ROIC},"")</f>
        <v/>
      </c>
      <c r="AO187" s="17">
        <f>IF(AND(ISNUMBER(AC187),ISNUMBER(M187)),AC187+M187,"")</f>
        <v/>
      </c>
      <c r="AP187" s="20">
        <f>IF(AND(ISNUMBER(AF187),ISNUMBER(R187),ISNUMBER(AO187),AO187&gt;0),(AF187-R187)/AO187,"")</f>
        <v/>
      </c>
      <c r="AQ187" s="20">
        <f>IF(AND(ISNUMBER(AC187),ISNUMBER(I187),I187&lt;&gt;0,AC187&gt;0),AC187/I187,"")</f>
        <v/>
      </c>
      <c r="AR187" s="17">
        <f>IF(AND(ISNUMBER(W187),ISNUMBER(Y187)),W187-IF(ISNUMBER(R187),R187,0)-(Y187-IF(ISNUMBER(T187),T187,0)),"")</f>
        <v/>
      </c>
      <c r="AS187" s="17">
        <f>IF(AND(ISNUMBER(X187),ISNUMBER(Z187)),X187-IF(ISNUMBER(S187),S187,0)-(Z187-IF(ISNUMBER(U187),U187,0)),"")</f>
        <v/>
      </c>
      <c r="AT187" s="17">
        <f>IF(AND(ISNUMBER(AR187),ISNUMBER(AS187)),AR187-AS187,"")</f>
        <v/>
      </c>
      <c r="AU187" s="17">
        <f>IF(E187="금융","",IF(AND(ISNUMBER(L187),ISNUMBER(M187),ISNUMBER(N187),ISNUMBER(AT187)),L187+M187-N187-AT187,IF(AND(ISNUMBER(O187),ISNUMBER(N187)),O187-N187,"")))</f>
        <v/>
      </c>
      <c r="AV187" s="8">
        <f>IF(E187="금융","금융업 - 정의되지 않음",IF(AND(ISNUMBER(L187),ISNUMBER(M187),ISNUMBER(N187),ISNUMBER(AT187)),"순이익+감가상각-설비투자-운전자본증감",IF(AND(ISNUMBER(O187),ISNUMBER(N187)),"영업현금흐름-설비투자","산출불가")))</f>
        <v/>
      </c>
      <c r="AW187" s="19">
        <f>IF(AND(ISNUMBER(AU187),ISNUMBER(G187),G187&lt;&gt;0),AU187/G187,"")</f>
        <v/>
      </c>
      <c r="AX187" s="19">
        <f>IF(AND(ISNUMBER(AC187),ISNUMBER(G187),G187&lt;&gt;0),AC187/G187,"")</f>
        <v/>
      </c>
    </row>
    <row r="188">
      <c r="A188" s="8" t="inlineStr">
        <is>
          <t>XOM</t>
        </is>
      </c>
      <c r="B188" s="8" t="inlineStr">
        <is>
          <t>EXXON MOBIL CORP</t>
        </is>
      </c>
      <c r="C188" s="8" t="n">
        <v>2019</v>
      </c>
      <c r="D188" s="8" t="inlineStr">
        <is>
          <t>2019-12-31</t>
        </is>
      </c>
      <c r="E188" s="8" t="inlineStr">
        <is>
          <t>일반</t>
        </is>
      </c>
      <c r="F188" s="8" t="inlineStr">
        <is>
          <t>0000034088-22-000011</t>
        </is>
      </c>
      <c r="G188" s="15" t="n">
        <v>264.938</v>
      </c>
      <c r="H188" s="15" t="n">
        <v>20.056</v>
      </c>
      <c r="I188" s="15" t="n">
        <v>0.83</v>
      </c>
      <c r="J188" s="15" t="n">
        <v>5.282</v>
      </c>
      <c r="K188" s="15" t="n"/>
      <c r="L188" s="15" t="n">
        <v>14.34</v>
      </c>
      <c r="M188" s="15" t="n">
        <v>18.998</v>
      </c>
      <c r="N188" s="15" t="n">
        <v>24.361</v>
      </c>
      <c r="O188" s="15" t="n">
        <v>29.716</v>
      </c>
      <c r="P188" s="15" t="n">
        <v>191.65</v>
      </c>
      <c r="Q188" s="15" t="n">
        <v>191.794</v>
      </c>
      <c r="R188" s="15" t="n">
        <v>3.089</v>
      </c>
      <c r="S188" s="15" t="n">
        <v>3.042</v>
      </c>
      <c r="T188" s="15" t="n">
        <v>20.578</v>
      </c>
      <c r="U188" s="15" t="n">
        <v>17.258</v>
      </c>
      <c r="V188" s="15" t="n">
        <v>26.342</v>
      </c>
      <c r="W188" s="15" t="n">
        <v>50.052</v>
      </c>
      <c r="X188" s="15" t="n">
        <v>47.973</v>
      </c>
      <c r="Y188" s="15" t="n">
        <v>63.989</v>
      </c>
      <c r="Z188" s="15" t="n">
        <v>57.138</v>
      </c>
      <c r="AA188" s="15" t="n">
        <v>226.548</v>
      </c>
      <c r="AB188" s="16" t="n">
        <v>4234</v>
      </c>
      <c r="AC188" s="17">
        <f>IF(AND(ISNUMBER(H188),ISNUMBER(I188)),H188+I188,IF(ISNUMBER(K188),K188,IF(ISNUMBER(H188),H188,"")))</f>
        <v/>
      </c>
      <c r="AD188" s="18">
        <f>IF(OR(NOT(ISNUMBER(J188)),NOT(ISNUMBER(H188)),H188&lt;=0),기준표!$B$8,MIN(MAX(J188/H188,기준표!$B$6),기준표!$B$7))</f>
        <v/>
      </c>
      <c r="AE188" s="17">
        <f>IF(ISNUMBER(AC188),AC188*(1-AD188),"")</f>
        <v/>
      </c>
      <c r="AF188" s="17">
        <f>IF(AND(NOT(ISNUMBER(T188)),NOT(ISNUMBER(V188))),"",IF(ISNUMBER(T188),T188,0)+IF(ISNUMBER(V188),V188,0))</f>
        <v/>
      </c>
      <c r="AG188" s="17">
        <f>IF(E188="금융","",IF(AND(ISNUMBER(P188),ISNUMBER(AF188),ISNUMBER(R188)),P188+AF188-R188,""))</f>
        <v/>
      </c>
      <c r="AH188" s="17">
        <f>IF(E188="금융","",IF(NOT(ISNUMBER(AG188)),"",IF(ISNUMBER(AA188),(AG188+AA188)/2,AG188)))</f>
        <v/>
      </c>
      <c r="AI188" s="19">
        <f>IF(AND(ISNUMBER(AE188),ISNUMBER(AH188),AH188&gt;0),AE188/AH188,"")</f>
        <v/>
      </c>
      <c r="AJ188" s="17">
        <f>IF(E188="금융","",IF(AND(ISNUMBER(P188),ISNUMBER(AF188)),P188+AF188,""))</f>
        <v/>
      </c>
      <c r="AK188" s="19">
        <f>IF(OR(NOT(ISNUMBER(AE188)),NOT(ISNUMBER(AJ188)),AJ188&lt;=0),"",IF(AND(ISNUMBER(G188),AJ188&lt;0.1*G188),"",AE188/AJ188))</f>
        <v/>
      </c>
      <c r="AL188" s="17">
        <f>IF(NOT(ISNUMBER(P188)),"",IF(ISNUMBER(Q188),(P188+Q188)/2,P188))</f>
        <v/>
      </c>
      <c r="AM188" s="19">
        <f>IF(AND(ISNUMBER(L188),ISNUMBER(AL188),AL188&gt;0),L188/AL188,"")</f>
        <v/>
      </c>
      <c r="AN188" s="19">
        <f>IF(AND(ISNUMBER(AM188),ISNUMBER({ROIC})),AM188-{ROIC},"")</f>
        <v/>
      </c>
      <c r="AO188" s="17">
        <f>IF(AND(ISNUMBER(AC188),ISNUMBER(M188)),AC188+M188,"")</f>
        <v/>
      </c>
      <c r="AP188" s="20">
        <f>IF(AND(ISNUMBER(AF188),ISNUMBER(R188),ISNUMBER(AO188),AO188&gt;0),(AF188-R188)/AO188,"")</f>
        <v/>
      </c>
      <c r="AQ188" s="20">
        <f>IF(AND(ISNUMBER(AC188),ISNUMBER(I188),I188&lt;&gt;0,AC188&gt;0),AC188/I188,"")</f>
        <v/>
      </c>
      <c r="AR188" s="17">
        <f>IF(AND(ISNUMBER(W188),ISNUMBER(Y188)),W188-IF(ISNUMBER(R188),R188,0)-(Y188-IF(ISNUMBER(T188),T188,0)),"")</f>
        <v/>
      </c>
      <c r="AS188" s="17">
        <f>IF(AND(ISNUMBER(X188),ISNUMBER(Z188)),X188-IF(ISNUMBER(S188),S188,0)-(Z188-IF(ISNUMBER(U188),U188,0)),"")</f>
        <v/>
      </c>
      <c r="AT188" s="17">
        <f>IF(AND(ISNUMBER(AR188),ISNUMBER(AS188)),AR188-AS188,"")</f>
        <v/>
      </c>
      <c r="AU188" s="17">
        <f>IF(E188="금융","",IF(AND(ISNUMBER(L188),ISNUMBER(M188),ISNUMBER(N188),ISNUMBER(AT188)),L188+M188-N188-AT188,IF(AND(ISNUMBER(O188),ISNUMBER(N188)),O188-N188,"")))</f>
        <v/>
      </c>
      <c r="AV188" s="8">
        <f>IF(E188="금융","금융업 - 정의되지 않음",IF(AND(ISNUMBER(L188),ISNUMBER(M188),ISNUMBER(N188),ISNUMBER(AT188)),"순이익+감가상각-설비투자-운전자본증감",IF(AND(ISNUMBER(O188),ISNUMBER(N188)),"영업현금흐름-설비투자","산출불가")))</f>
        <v/>
      </c>
      <c r="AW188" s="19">
        <f>IF(AND(ISNUMBER(AU188),ISNUMBER(G188),G188&lt;&gt;0),AU188/G188,"")</f>
        <v/>
      </c>
      <c r="AX188" s="19">
        <f>IF(AND(ISNUMBER(AC188),ISNUMBER(G188),G188&lt;&gt;0),AC188/G188,"")</f>
        <v/>
      </c>
    </row>
    <row r="189">
      <c r="A189" s="8" t="inlineStr">
        <is>
          <t>XOM</t>
        </is>
      </c>
      <c r="B189" s="8" t="inlineStr">
        <is>
          <t>EXXON MOBIL CORP</t>
        </is>
      </c>
      <c r="C189" s="8" t="n">
        <v>2020</v>
      </c>
      <c r="D189" s="8" t="inlineStr">
        <is>
          <t>2020-12-31</t>
        </is>
      </c>
      <c r="E189" s="8" t="inlineStr">
        <is>
          <t>일반</t>
        </is>
      </c>
      <c r="F189" s="8" t="inlineStr">
        <is>
          <t>0000034088-23-000020</t>
        </is>
      </c>
      <c r="G189" s="15" t="n">
        <v>181.502</v>
      </c>
      <c r="H189" s="15" t="n">
        <v>-28.883</v>
      </c>
      <c r="I189" s="15" t="n">
        <v>1.158</v>
      </c>
      <c r="J189" s="15" t="n">
        <v>-5.632</v>
      </c>
      <c r="K189" s="15" t="n"/>
      <c r="L189" s="15" t="n">
        <v>-22.44</v>
      </c>
      <c r="M189" s="15" t="n">
        <v>46.009</v>
      </c>
      <c r="N189" s="15" t="n">
        <v>17.282</v>
      </c>
      <c r="O189" s="15" t="n">
        <v>14.668</v>
      </c>
      <c r="P189" s="15" t="n">
        <v>157.15</v>
      </c>
      <c r="Q189" s="15" t="n">
        <v>191.65</v>
      </c>
      <c r="R189" s="15" t="n">
        <v>4.364</v>
      </c>
      <c r="S189" s="15" t="n">
        <v>3.089</v>
      </c>
      <c r="T189" s="15" t="n">
        <v>20.458</v>
      </c>
      <c r="U189" s="15" t="n">
        <v>20.578</v>
      </c>
      <c r="V189" s="15" t="n">
        <v>47.182</v>
      </c>
      <c r="W189" s="15" t="n">
        <v>44.893</v>
      </c>
      <c r="X189" s="15" t="n">
        <v>50.052</v>
      </c>
      <c r="Y189" s="15" t="n">
        <v>56.363</v>
      </c>
      <c r="Z189" s="15" t="n">
        <v>63.989</v>
      </c>
      <c r="AA189" s="15" t="n">
        <v>235.481</v>
      </c>
      <c r="AB189" s="16" t="n">
        <v>4233</v>
      </c>
      <c r="AC189" s="17">
        <f>IF(AND(ISNUMBER(H189),ISNUMBER(I189)),H189+I189,IF(ISNUMBER(K189),K189,IF(ISNUMBER(H189),H189,"")))</f>
        <v/>
      </c>
      <c r="AD189" s="18">
        <f>IF(OR(NOT(ISNUMBER(J189)),NOT(ISNUMBER(H189)),H189&lt;=0),기준표!$B$8,MIN(MAX(J189/H189,기준표!$B$6),기준표!$B$7))</f>
        <v/>
      </c>
      <c r="AE189" s="17">
        <f>IF(ISNUMBER(AC189),AC189*(1-AD189),"")</f>
        <v/>
      </c>
      <c r="AF189" s="17">
        <f>IF(AND(NOT(ISNUMBER(T189)),NOT(ISNUMBER(V189))),"",IF(ISNUMBER(T189),T189,0)+IF(ISNUMBER(V189),V189,0))</f>
        <v/>
      </c>
      <c r="AG189" s="17">
        <f>IF(E189="금융","",IF(AND(ISNUMBER(P189),ISNUMBER(AF189),ISNUMBER(R189)),P189+AF189-R189,""))</f>
        <v/>
      </c>
      <c r="AH189" s="17">
        <f>IF(E189="금융","",IF(NOT(ISNUMBER(AG189)),"",IF(ISNUMBER(AA189),(AG189+AA189)/2,AG189)))</f>
        <v/>
      </c>
      <c r="AI189" s="19">
        <f>IF(AND(ISNUMBER(AE189),ISNUMBER(AH189),AH189&gt;0),AE189/AH189,"")</f>
        <v/>
      </c>
      <c r="AJ189" s="17">
        <f>IF(E189="금융","",IF(AND(ISNUMBER(P189),ISNUMBER(AF189)),P189+AF189,""))</f>
        <v/>
      </c>
      <c r="AK189" s="19">
        <f>IF(OR(NOT(ISNUMBER(AE189)),NOT(ISNUMBER(AJ189)),AJ189&lt;=0),"",IF(AND(ISNUMBER(G189),AJ189&lt;0.1*G189),"",AE189/AJ189))</f>
        <v/>
      </c>
      <c r="AL189" s="17">
        <f>IF(NOT(ISNUMBER(P189)),"",IF(ISNUMBER(Q189),(P189+Q189)/2,P189))</f>
        <v/>
      </c>
      <c r="AM189" s="19">
        <f>IF(AND(ISNUMBER(L189),ISNUMBER(AL189),AL189&gt;0),L189/AL189,"")</f>
        <v/>
      </c>
      <c r="AN189" s="19">
        <f>IF(AND(ISNUMBER(AM189),ISNUMBER({ROIC})),AM189-{ROIC},"")</f>
        <v/>
      </c>
      <c r="AO189" s="17">
        <f>IF(AND(ISNUMBER(AC189),ISNUMBER(M189)),AC189+M189,"")</f>
        <v/>
      </c>
      <c r="AP189" s="20">
        <f>IF(AND(ISNUMBER(AF189),ISNUMBER(R189),ISNUMBER(AO189),AO189&gt;0),(AF189-R189)/AO189,"")</f>
        <v/>
      </c>
      <c r="AQ189" s="20">
        <f>IF(AND(ISNUMBER(AC189),ISNUMBER(I189),I189&lt;&gt;0,AC189&gt;0),AC189/I189,"")</f>
        <v/>
      </c>
      <c r="AR189" s="17">
        <f>IF(AND(ISNUMBER(W189),ISNUMBER(Y189)),W189-IF(ISNUMBER(R189),R189,0)-(Y189-IF(ISNUMBER(T189),T189,0)),"")</f>
        <v/>
      </c>
      <c r="AS189" s="17">
        <f>IF(AND(ISNUMBER(X189),ISNUMBER(Z189)),X189-IF(ISNUMBER(S189),S189,0)-(Z189-IF(ISNUMBER(U189),U189,0)),"")</f>
        <v/>
      </c>
      <c r="AT189" s="17">
        <f>IF(AND(ISNUMBER(AR189),ISNUMBER(AS189)),AR189-AS189,"")</f>
        <v/>
      </c>
      <c r="AU189" s="17">
        <f>IF(E189="금융","",IF(AND(ISNUMBER(L189),ISNUMBER(M189),ISNUMBER(N189),ISNUMBER(AT189)),L189+M189-N189-AT189,IF(AND(ISNUMBER(O189),ISNUMBER(N189)),O189-N189,"")))</f>
        <v/>
      </c>
      <c r="AV189" s="8">
        <f>IF(E189="금융","금융업 - 정의되지 않음",IF(AND(ISNUMBER(L189),ISNUMBER(M189),ISNUMBER(N189),ISNUMBER(AT189)),"순이익+감가상각-설비투자-운전자본증감",IF(AND(ISNUMBER(O189),ISNUMBER(N189)),"영업현금흐름-설비투자","산출불가")))</f>
        <v/>
      </c>
      <c r="AW189" s="19">
        <f>IF(AND(ISNUMBER(AU189),ISNUMBER(G189),G189&lt;&gt;0),AU189/G189,"")</f>
        <v/>
      </c>
      <c r="AX189" s="19">
        <f>IF(AND(ISNUMBER(AC189),ISNUMBER(G189),G189&lt;&gt;0),AC189/G189,"")</f>
        <v/>
      </c>
    </row>
    <row r="190">
      <c r="A190" s="8" t="inlineStr">
        <is>
          <t>XOM</t>
        </is>
      </c>
      <c r="B190" s="8" t="inlineStr">
        <is>
          <t>EXXON MOBIL CORP</t>
        </is>
      </c>
      <c r="C190" s="8" t="n">
        <v>2021</v>
      </c>
      <c r="D190" s="8" t="inlineStr">
        <is>
          <t>2021-12-31</t>
        </is>
      </c>
      <c r="E190" s="8" t="inlineStr">
        <is>
          <t>일반</t>
        </is>
      </c>
      <c r="F190" s="8" t="inlineStr">
        <is>
          <t>0000034088-24-000018</t>
        </is>
      </c>
      <c r="G190" s="15" t="n">
        <v>285.64</v>
      </c>
      <c r="H190" s="15" t="n">
        <v>31.234</v>
      </c>
      <c r="I190" s="15" t="n">
        <v>0.947</v>
      </c>
      <c r="J190" s="15" t="n">
        <v>7.636</v>
      </c>
      <c r="K190" s="15" t="n"/>
      <c r="L190" s="15" t="n">
        <v>23.04</v>
      </c>
      <c r="M190" s="15" t="n">
        <v>20.607</v>
      </c>
      <c r="N190" s="15" t="n">
        <v>12.076</v>
      </c>
      <c r="O190" s="15" t="n">
        <v>48.129</v>
      </c>
      <c r="P190" s="15" t="n">
        <v>168.577</v>
      </c>
      <c r="Q190" s="15" t="n">
        <v>157.15</v>
      </c>
      <c r="R190" s="15" t="n">
        <v>6.802</v>
      </c>
      <c r="S190" s="15" t="n">
        <v>4.364</v>
      </c>
      <c r="T190" s="15" t="n">
        <v>4.276</v>
      </c>
      <c r="U190" s="15" t="n">
        <v>20.458</v>
      </c>
      <c r="V190" s="15" t="n">
        <v>43.428</v>
      </c>
      <c r="W190" s="15" t="n">
        <v>59.154</v>
      </c>
      <c r="X190" s="15" t="n">
        <v>44.893</v>
      </c>
      <c r="Y190" s="15" t="n">
        <v>56.643</v>
      </c>
      <c r="Z190" s="15" t="n">
        <v>56.363</v>
      </c>
      <c r="AA190" s="15" t="n">
        <v>220.426</v>
      </c>
      <c r="AB190" s="16" t="n">
        <v>4239</v>
      </c>
      <c r="AC190" s="17">
        <f>IF(AND(ISNUMBER(H190),ISNUMBER(I190)),H190+I190,IF(ISNUMBER(K190),K190,IF(ISNUMBER(H190),H190,"")))</f>
        <v/>
      </c>
      <c r="AD190" s="18">
        <f>IF(OR(NOT(ISNUMBER(J190)),NOT(ISNUMBER(H190)),H190&lt;=0),기준표!$B$8,MIN(MAX(J190/H190,기준표!$B$6),기준표!$B$7))</f>
        <v/>
      </c>
      <c r="AE190" s="17">
        <f>IF(ISNUMBER(AC190),AC190*(1-AD190),"")</f>
        <v/>
      </c>
      <c r="AF190" s="17">
        <f>IF(AND(NOT(ISNUMBER(T190)),NOT(ISNUMBER(V190))),"",IF(ISNUMBER(T190),T190,0)+IF(ISNUMBER(V190),V190,0))</f>
        <v/>
      </c>
      <c r="AG190" s="17">
        <f>IF(E190="금융","",IF(AND(ISNUMBER(P190),ISNUMBER(AF190),ISNUMBER(R190)),P190+AF190-R190,""))</f>
        <v/>
      </c>
      <c r="AH190" s="17">
        <f>IF(E190="금융","",IF(NOT(ISNUMBER(AG190)),"",IF(ISNUMBER(AA190),(AG190+AA190)/2,AG190)))</f>
        <v/>
      </c>
      <c r="AI190" s="19">
        <f>IF(AND(ISNUMBER(AE190),ISNUMBER(AH190),AH190&gt;0),AE190/AH190,"")</f>
        <v/>
      </c>
      <c r="AJ190" s="17">
        <f>IF(E190="금융","",IF(AND(ISNUMBER(P190),ISNUMBER(AF190)),P190+AF190,""))</f>
        <v/>
      </c>
      <c r="AK190" s="19">
        <f>IF(OR(NOT(ISNUMBER(AE190)),NOT(ISNUMBER(AJ190)),AJ190&lt;=0),"",IF(AND(ISNUMBER(G190),AJ190&lt;0.1*G190),"",AE190/AJ190))</f>
        <v/>
      </c>
      <c r="AL190" s="17">
        <f>IF(NOT(ISNUMBER(P190)),"",IF(ISNUMBER(Q190),(P190+Q190)/2,P190))</f>
        <v/>
      </c>
      <c r="AM190" s="19">
        <f>IF(AND(ISNUMBER(L190),ISNUMBER(AL190),AL190&gt;0),L190/AL190,"")</f>
        <v/>
      </c>
      <c r="AN190" s="19">
        <f>IF(AND(ISNUMBER(AM190),ISNUMBER({ROIC})),AM190-{ROIC},"")</f>
        <v/>
      </c>
      <c r="AO190" s="17">
        <f>IF(AND(ISNUMBER(AC190),ISNUMBER(M190)),AC190+M190,"")</f>
        <v/>
      </c>
      <c r="AP190" s="20">
        <f>IF(AND(ISNUMBER(AF190),ISNUMBER(R190),ISNUMBER(AO190),AO190&gt;0),(AF190-R190)/AO190,"")</f>
        <v/>
      </c>
      <c r="AQ190" s="20">
        <f>IF(AND(ISNUMBER(AC190),ISNUMBER(I190),I190&lt;&gt;0,AC190&gt;0),AC190/I190,"")</f>
        <v/>
      </c>
      <c r="AR190" s="17">
        <f>IF(AND(ISNUMBER(W190),ISNUMBER(Y190)),W190-IF(ISNUMBER(R190),R190,0)-(Y190-IF(ISNUMBER(T190),T190,0)),"")</f>
        <v/>
      </c>
      <c r="AS190" s="17">
        <f>IF(AND(ISNUMBER(X190),ISNUMBER(Z190)),X190-IF(ISNUMBER(S190),S190,0)-(Z190-IF(ISNUMBER(U190),U190,0)),"")</f>
        <v/>
      </c>
      <c r="AT190" s="17">
        <f>IF(AND(ISNUMBER(AR190),ISNUMBER(AS190)),AR190-AS190,"")</f>
        <v/>
      </c>
      <c r="AU190" s="17">
        <f>IF(E190="금융","",IF(AND(ISNUMBER(L190),ISNUMBER(M190),ISNUMBER(N190),ISNUMBER(AT190)),L190+M190-N190-AT190,IF(AND(ISNUMBER(O190),ISNUMBER(N190)),O190-N190,"")))</f>
        <v/>
      </c>
      <c r="AV190" s="8">
        <f>IF(E190="금융","금융업 - 정의되지 않음",IF(AND(ISNUMBER(L190),ISNUMBER(M190),ISNUMBER(N190),ISNUMBER(AT190)),"순이익+감가상각-설비투자-운전자본증감",IF(AND(ISNUMBER(O190),ISNUMBER(N190)),"영업현금흐름-설비투자","산출불가")))</f>
        <v/>
      </c>
      <c r="AW190" s="19">
        <f>IF(AND(ISNUMBER(AU190),ISNUMBER(G190),G190&lt;&gt;0),AU190/G190,"")</f>
        <v/>
      </c>
      <c r="AX190" s="19">
        <f>IF(AND(ISNUMBER(AC190),ISNUMBER(G190),G190&lt;&gt;0),AC190/G190,"")</f>
        <v/>
      </c>
    </row>
    <row r="191">
      <c r="A191" s="8" t="inlineStr">
        <is>
          <t>XOM</t>
        </is>
      </c>
      <c r="B191" s="8" t="inlineStr">
        <is>
          <t>EXXON MOBIL CORP</t>
        </is>
      </c>
      <c r="C191" s="8" t="n">
        <v>2022</v>
      </c>
      <c r="D191" s="8" t="inlineStr">
        <is>
          <t>2022-12-31</t>
        </is>
      </c>
      <c r="E191" s="8" t="inlineStr">
        <is>
          <t>일반</t>
        </is>
      </c>
      <c r="F191" s="8" t="inlineStr">
        <is>
          <t>0000034088-25-000010</t>
        </is>
      </c>
      <c r="G191" s="15" t="n">
        <v>413.68</v>
      </c>
      <c r="H191" s="15" t="n">
        <v>77.753</v>
      </c>
      <c r="I191" s="15" t="n">
        <v>0.798</v>
      </c>
      <c r="J191" s="15" t="n">
        <v>20.176</v>
      </c>
      <c r="K191" s="15" t="n"/>
      <c r="L191" s="15" t="n">
        <v>55.74</v>
      </c>
      <c r="M191" s="15" t="n">
        <v>24.04</v>
      </c>
      <c r="N191" s="15" t="n">
        <v>18.407</v>
      </c>
      <c r="O191" s="15" t="n">
        <v>76.797</v>
      </c>
      <c r="P191" s="15" t="n">
        <v>195.049</v>
      </c>
      <c r="Q191" s="15" t="n">
        <v>168.577</v>
      </c>
      <c r="R191" s="15" t="n">
        <v>29.64</v>
      </c>
      <c r="S191" s="15" t="n">
        <v>6.802</v>
      </c>
      <c r="T191" s="15" t="n">
        <v>0.634</v>
      </c>
      <c r="U191" s="15" t="n">
        <v>4.276</v>
      </c>
      <c r="V191" s="15" t="n">
        <v>40.559</v>
      </c>
      <c r="W191" s="15" t="n">
        <v>97.631</v>
      </c>
      <c r="X191" s="15" t="n">
        <v>59.154</v>
      </c>
      <c r="Y191" s="15" t="n">
        <v>69.045</v>
      </c>
      <c r="Z191" s="15" t="n">
        <v>56.643</v>
      </c>
      <c r="AA191" s="15" t="n">
        <v>209.479</v>
      </c>
      <c r="AB191" s="16" t="n">
        <v>4082</v>
      </c>
      <c r="AC191" s="17">
        <f>IF(AND(ISNUMBER(H191),ISNUMBER(I191)),H191+I191,IF(ISNUMBER(K191),K191,IF(ISNUMBER(H191),H191,"")))</f>
        <v/>
      </c>
      <c r="AD191" s="18">
        <f>IF(OR(NOT(ISNUMBER(J191)),NOT(ISNUMBER(H191)),H191&lt;=0),기준표!$B$8,MIN(MAX(J191/H191,기준표!$B$6),기준표!$B$7))</f>
        <v/>
      </c>
      <c r="AE191" s="17">
        <f>IF(ISNUMBER(AC191),AC191*(1-AD191),"")</f>
        <v/>
      </c>
      <c r="AF191" s="17">
        <f>IF(AND(NOT(ISNUMBER(T191)),NOT(ISNUMBER(V191))),"",IF(ISNUMBER(T191),T191,0)+IF(ISNUMBER(V191),V191,0))</f>
        <v/>
      </c>
      <c r="AG191" s="17">
        <f>IF(E191="금융","",IF(AND(ISNUMBER(P191),ISNUMBER(AF191),ISNUMBER(R191)),P191+AF191-R191,""))</f>
        <v/>
      </c>
      <c r="AH191" s="17">
        <f>IF(E191="금융","",IF(NOT(ISNUMBER(AG191)),"",IF(ISNUMBER(AA191),(AG191+AA191)/2,AG191)))</f>
        <v/>
      </c>
      <c r="AI191" s="19">
        <f>IF(AND(ISNUMBER(AE191),ISNUMBER(AH191),AH191&gt;0),AE191/AH191,"")</f>
        <v/>
      </c>
      <c r="AJ191" s="17">
        <f>IF(E191="금융","",IF(AND(ISNUMBER(P191),ISNUMBER(AF191)),P191+AF191,""))</f>
        <v/>
      </c>
      <c r="AK191" s="19">
        <f>IF(OR(NOT(ISNUMBER(AE191)),NOT(ISNUMBER(AJ191)),AJ191&lt;=0),"",IF(AND(ISNUMBER(G191),AJ191&lt;0.1*G191),"",AE191/AJ191))</f>
        <v/>
      </c>
      <c r="AL191" s="17">
        <f>IF(NOT(ISNUMBER(P191)),"",IF(ISNUMBER(Q191),(P191+Q191)/2,P191))</f>
        <v/>
      </c>
      <c r="AM191" s="19">
        <f>IF(AND(ISNUMBER(L191),ISNUMBER(AL191),AL191&gt;0),L191/AL191,"")</f>
        <v/>
      </c>
      <c r="AN191" s="19">
        <f>IF(AND(ISNUMBER(AM191),ISNUMBER({ROIC})),AM191-{ROIC},"")</f>
        <v/>
      </c>
      <c r="AO191" s="17">
        <f>IF(AND(ISNUMBER(AC191),ISNUMBER(M191)),AC191+M191,"")</f>
        <v/>
      </c>
      <c r="AP191" s="20">
        <f>IF(AND(ISNUMBER(AF191),ISNUMBER(R191),ISNUMBER(AO191),AO191&gt;0),(AF191-R191)/AO191,"")</f>
        <v/>
      </c>
      <c r="AQ191" s="20">
        <f>IF(AND(ISNUMBER(AC191),ISNUMBER(I191),I191&lt;&gt;0,AC191&gt;0),AC191/I191,"")</f>
        <v/>
      </c>
      <c r="AR191" s="17">
        <f>IF(AND(ISNUMBER(W191),ISNUMBER(Y191)),W191-IF(ISNUMBER(R191),R191,0)-(Y191-IF(ISNUMBER(T191),T191,0)),"")</f>
        <v/>
      </c>
      <c r="AS191" s="17">
        <f>IF(AND(ISNUMBER(X191),ISNUMBER(Z191)),X191-IF(ISNUMBER(S191),S191,0)-(Z191-IF(ISNUMBER(U191),U191,0)),"")</f>
        <v/>
      </c>
      <c r="AT191" s="17">
        <f>IF(AND(ISNUMBER(AR191),ISNUMBER(AS191)),AR191-AS191,"")</f>
        <v/>
      </c>
      <c r="AU191" s="17">
        <f>IF(E191="금융","",IF(AND(ISNUMBER(L191),ISNUMBER(M191),ISNUMBER(N191),ISNUMBER(AT191)),L191+M191-N191-AT191,IF(AND(ISNUMBER(O191),ISNUMBER(N191)),O191-N191,"")))</f>
        <v/>
      </c>
      <c r="AV191" s="8">
        <f>IF(E191="금융","금융업 - 정의되지 않음",IF(AND(ISNUMBER(L191),ISNUMBER(M191),ISNUMBER(N191),ISNUMBER(AT191)),"순이익+감가상각-설비투자-운전자본증감",IF(AND(ISNUMBER(O191),ISNUMBER(N191)),"영업현금흐름-설비투자","산출불가")))</f>
        <v/>
      </c>
      <c r="AW191" s="19">
        <f>IF(AND(ISNUMBER(AU191),ISNUMBER(G191),G191&lt;&gt;0),AU191/G191,"")</f>
        <v/>
      </c>
      <c r="AX191" s="19">
        <f>IF(AND(ISNUMBER(AC191),ISNUMBER(G191),G191&lt;&gt;0),AC191/G191,"")</f>
        <v/>
      </c>
    </row>
    <row r="192">
      <c r="A192" s="8" t="inlineStr">
        <is>
          <t>XOM</t>
        </is>
      </c>
      <c r="B192" s="8" t="inlineStr">
        <is>
          <t>EXXON MOBIL CORP</t>
        </is>
      </c>
      <c r="C192" s="8" t="n">
        <v>2023</v>
      </c>
      <c r="D192" s="8" t="inlineStr">
        <is>
          <t>2023-12-31</t>
        </is>
      </c>
      <c r="E192" s="8" t="inlineStr">
        <is>
          <t>일반</t>
        </is>
      </c>
      <c r="F192" s="8" t="inlineStr">
        <is>
          <t>0000034088-26-000045</t>
        </is>
      </c>
      <c r="G192" s="15" t="n">
        <v>344.582</v>
      </c>
      <c r="H192" s="15" t="n">
        <v>52.783</v>
      </c>
      <c r="I192" s="15" t="n">
        <v>0.849</v>
      </c>
      <c r="J192" s="15" t="n">
        <v>15.429</v>
      </c>
      <c r="K192" s="15" t="n"/>
      <c r="L192" s="15" t="n">
        <v>36.01</v>
      </c>
      <c r="M192" s="15" t="n">
        <v>20.641</v>
      </c>
      <c r="N192" s="15" t="n">
        <v>21.919</v>
      </c>
      <c r="O192" s="15" t="n">
        <v>55.369</v>
      </c>
      <c r="P192" s="15" t="n">
        <v>204.802</v>
      </c>
      <c r="Q192" s="15" t="n">
        <v>195.049</v>
      </c>
      <c r="R192" s="15" t="n">
        <v>31.539</v>
      </c>
      <c r="S192" s="15" t="n">
        <v>29.64</v>
      </c>
      <c r="T192" s="15" t="n">
        <v>4.09</v>
      </c>
      <c r="U192" s="15" t="n">
        <v>0.634</v>
      </c>
      <c r="V192" s="15" t="n">
        <v>37.483</v>
      </c>
      <c r="W192" s="15" t="n">
        <v>96.60899999999999</v>
      </c>
      <c r="X192" s="15" t="n">
        <v>97.631</v>
      </c>
      <c r="Y192" s="15" t="n">
        <v>65.316</v>
      </c>
      <c r="Z192" s="15" t="n">
        <v>69.045</v>
      </c>
      <c r="AA192" s="15" t="n">
        <v>206.602</v>
      </c>
      <c r="AB192" s="16" t="n">
        <v>3971</v>
      </c>
      <c r="AC192" s="17">
        <f>IF(AND(ISNUMBER(H192),ISNUMBER(I192)),H192+I192,IF(ISNUMBER(K192),K192,IF(ISNUMBER(H192),H192,"")))</f>
        <v/>
      </c>
      <c r="AD192" s="18">
        <f>IF(OR(NOT(ISNUMBER(J192)),NOT(ISNUMBER(H192)),H192&lt;=0),기준표!$B$8,MIN(MAX(J192/H192,기준표!$B$6),기준표!$B$7))</f>
        <v/>
      </c>
      <c r="AE192" s="17">
        <f>IF(ISNUMBER(AC192),AC192*(1-AD192),"")</f>
        <v/>
      </c>
      <c r="AF192" s="17">
        <f>IF(AND(NOT(ISNUMBER(T192)),NOT(ISNUMBER(V192))),"",IF(ISNUMBER(T192),T192,0)+IF(ISNUMBER(V192),V192,0))</f>
        <v/>
      </c>
      <c r="AG192" s="17">
        <f>IF(E192="금융","",IF(AND(ISNUMBER(P192),ISNUMBER(AF192),ISNUMBER(R192)),P192+AF192-R192,""))</f>
        <v/>
      </c>
      <c r="AH192" s="17">
        <f>IF(E192="금융","",IF(NOT(ISNUMBER(AG192)),"",IF(ISNUMBER(AA192),(AG192+AA192)/2,AG192)))</f>
        <v/>
      </c>
      <c r="AI192" s="19">
        <f>IF(AND(ISNUMBER(AE192),ISNUMBER(AH192),AH192&gt;0),AE192/AH192,"")</f>
        <v/>
      </c>
      <c r="AJ192" s="17">
        <f>IF(E192="금융","",IF(AND(ISNUMBER(P192),ISNUMBER(AF192)),P192+AF192,""))</f>
        <v/>
      </c>
      <c r="AK192" s="19">
        <f>IF(OR(NOT(ISNUMBER(AE192)),NOT(ISNUMBER(AJ192)),AJ192&lt;=0),"",IF(AND(ISNUMBER(G192),AJ192&lt;0.1*G192),"",AE192/AJ192))</f>
        <v/>
      </c>
      <c r="AL192" s="17">
        <f>IF(NOT(ISNUMBER(P192)),"",IF(ISNUMBER(Q192),(P192+Q192)/2,P192))</f>
        <v/>
      </c>
      <c r="AM192" s="19">
        <f>IF(AND(ISNUMBER(L192),ISNUMBER(AL192),AL192&gt;0),L192/AL192,"")</f>
        <v/>
      </c>
      <c r="AN192" s="19">
        <f>IF(AND(ISNUMBER(AM192),ISNUMBER({ROIC})),AM192-{ROIC},"")</f>
        <v/>
      </c>
      <c r="AO192" s="17">
        <f>IF(AND(ISNUMBER(AC192),ISNUMBER(M192)),AC192+M192,"")</f>
        <v/>
      </c>
      <c r="AP192" s="20">
        <f>IF(AND(ISNUMBER(AF192),ISNUMBER(R192),ISNUMBER(AO192),AO192&gt;0),(AF192-R192)/AO192,"")</f>
        <v/>
      </c>
      <c r="AQ192" s="20">
        <f>IF(AND(ISNUMBER(AC192),ISNUMBER(I192),I192&lt;&gt;0,AC192&gt;0),AC192/I192,"")</f>
        <v/>
      </c>
      <c r="AR192" s="17">
        <f>IF(AND(ISNUMBER(W192),ISNUMBER(Y192)),W192-IF(ISNUMBER(R192),R192,0)-(Y192-IF(ISNUMBER(T192),T192,0)),"")</f>
        <v/>
      </c>
      <c r="AS192" s="17">
        <f>IF(AND(ISNUMBER(X192),ISNUMBER(Z192)),X192-IF(ISNUMBER(S192),S192,0)-(Z192-IF(ISNUMBER(U192),U192,0)),"")</f>
        <v/>
      </c>
      <c r="AT192" s="17">
        <f>IF(AND(ISNUMBER(AR192),ISNUMBER(AS192)),AR192-AS192,"")</f>
        <v/>
      </c>
      <c r="AU192" s="17">
        <f>IF(E192="금융","",IF(AND(ISNUMBER(L192),ISNUMBER(M192),ISNUMBER(N192),ISNUMBER(AT192)),L192+M192-N192-AT192,IF(AND(ISNUMBER(O192),ISNUMBER(N192)),O192-N192,"")))</f>
        <v/>
      </c>
      <c r="AV192" s="8">
        <f>IF(E192="금융","금융업 - 정의되지 않음",IF(AND(ISNUMBER(L192),ISNUMBER(M192),ISNUMBER(N192),ISNUMBER(AT192)),"순이익+감가상각-설비투자-운전자본증감",IF(AND(ISNUMBER(O192),ISNUMBER(N192)),"영업현금흐름-설비투자","산출불가")))</f>
        <v/>
      </c>
      <c r="AW192" s="19">
        <f>IF(AND(ISNUMBER(AU192),ISNUMBER(G192),G192&lt;&gt;0),AU192/G192,"")</f>
        <v/>
      </c>
      <c r="AX192" s="19">
        <f>IF(AND(ISNUMBER(AC192),ISNUMBER(G192),G192&lt;&gt;0),AC192/G192,"")</f>
        <v/>
      </c>
    </row>
    <row r="193">
      <c r="A193" s="8" t="inlineStr">
        <is>
          <t>XOM</t>
        </is>
      </c>
      <c r="B193" s="8" t="inlineStr">
        <is>
          <t>EXXON MOBIL CORP</t>
        </is>
      </c>
      <c r="C193" s="8" t="n">
        <v>2024</v>
      </c>
      <c r="D193" s="8" t="inlineStr">
        <is>
          <t>2024-12-31</t>
        </is>
      </c>
      <c r="E193" s="8" t="inlineStr">
        <is>
          <t>일반</t>
        </is>
      </c>
      <c r="F193" s="8" t="inlineStr">
        <is>
          <t>0000034088-26-000045</t>
        </is>
      </c>
      <c r="G193" s="15" t="n">
        <v>349.585</v>
      </c>
      <c r="H193" s="15" t="n">
        <v>48.873</v>
      </c>
      <c r="I193" s="15" t="n">
        <v>0.996</v>
      </c>
      <c r="J193" s="15" t="n">
        <v>13.81</v>
      </c>
      <c r="K193" s="15" t="n"/>
      <c r="L193" s="15" t="n">
        <v>33.68</v>
      </c>
      <c r="M193" s="15" t="n">
        <v>23.442</v>
      </c>
      <c r="N193" s="15" t="n">
        <v>24.306</v>
      </c>
      <c r="O193" s="15" t="n">
        <v>55.022</v>
      </c>
      <c r="P193" s="15" t="n">
        <v>263.705</v>
      </c>
      <c r="Q193" s="15" t="n">
        <v>204.802</v>
      </c>
      <c r="R193" s="15" t="n">
        <v>23.029</v>
      </c>
      <c r="S193" s="15" t="n">
        <v>31.539</v>
      </c>
      <c r="T193" s="15" t="n">
        <v>4.955</v>
      </c>
      <c r="U193" s="15" t="n">
        <v>4.09</v>
      </c>
      <c r="V193" s="15" t="n">
        <v>36.755</v>
      </c>
      <c r="W193" s="15" t="n">
        <v>91.98999999999999</v>
      </c>
      <c r="X193" s="15" t="n">
        <v>96.60899999999999</v>
      </c>
      <c r="Y193" s="15" t="n">
        <v>70.307</v>
      </c>
      <c r="Z193" s="15" t="n">
        <v>65.316</v>
      </c>
      <c r="AA193" s="15" t="n">
        <v>214.836</v>
      </c>
      <c r="AB193" s="16" t="n">
        <v>4353</v>
      </c>
      <c r="AC193" s="17">
        <f>IF(AND(ISNUMBER(H193),ISNUMBER(I193)),H193+I193,IF(ISNUMBER(K193),K193,IF(ISNUMBER(H193),H193,"")))</f>
        <v/>
      </c>
      <c r="AD193" s="18">
        <f>IF(OR(NOT(ISNUMBER(J193)),NOT(ISNUMBER(H193)),H193&lt;=0),기준표!$B$8,MIN(MAX(J193/H193,기준표!$B$6),기준표!$B$7))</f>
        <v/>
      </c>
      <c r="AE193" s="17">
        <f>IF(ISNUMBER(AC193),AC193*(1-AD193),"")</f>
        <v/>
      </c>
      <c r="AF193" s="17">
        <f>IF(AND(NOT(ISNUMBER(T193)),NOT(ISNUMBER(V193))),"",IF(ISNUMBER(T193),T193,0)+IF(ISNUMBER(V193),V193,0))</f>
        <v/>
      </c>
      <c r="AG193" s="17">
        <f>IF(E193="금융","",IF(AND(ISNUMBER(P193),ISNUMBER(AF193),ISNUMBER(R193)),P193+AF193-R193,""))</f>
        <v/>
      </c>
      <c r="AH193" s="17">
        <f>IF(E193="금융","",IF(NOT(ISNUMBER(AG193)),"",IF(ISNUMBER(AA193),(AG193+AA193)/2,AG193)))</f>
        <v/>
      </c>
      <c r="AI193" s="19">
        <f>IF(AND(ISNUMBER(AE193),ISNUMBER(AH193),AH193&gt;0),AE193/AH193,"")</f>
        <v/>
      </c>
      <c r="AJ193" s="17">
        <f>IF(E193="금융","",IF(AND(ISNUMBER(P193),ISNUMBER(AF193)),P193+AF193,""))</f>
        <v/>
      </c>
      <c r="AK193" s="19">
        <f>IF(OR(NOT(ISNUMBER(AE193)),NOT(ISNUMBER(AJ193)),AJ193&lt;=0),"",IF(AND(ISNUMBER(G193),AJ193&lt;0.1*G193),"",AE193/AJ193))</f>
        <v/>
      </c>
      <c r="AL193" s="17">
        <f>IF(NOT(ISNUMBER(P193)),"",IF(ISNUMBER(Q193),(P193+Q193)/2,P193))</f>
        <v/>
      </c>
      <c r="AM193" s="19">
        <f>IF(AND(ISNUMBER(L193),ISNUMBER(AL193),AL193&gt;0),L193/AL193,"")</f>
        <v/>
      </c>
      <c r="AN193" s="19">
        <f>IF(AND(ISNUMBER(AM193),ISNUMBER({ROIC})),AM193-{ROIC},"")</f>
        <v/>
      </c>
      <c r="AO193" s="17">
        <f>IF(AND(ISNUMBER(AC193),ISNUMBER(M193)),AC193+M193,"")</f>
        <v/>
      </c>
      <c r="AP193" s="20">
        <f>IF(AND(ISNUMBER(AF193),ISNUMBER(R193),ISNUMBER(AO193),AO193&gt;0),(AF193-R193)/AO193,"")</f>
        <v/>
      </c>
      <c r="AQ193" s="20">
        <f>IF(AND(ISNUMBER(AC193),ISNUMBER(I193),I193&lt;&gt;0,AC193&gt;0),AC193/I193,"")</f>
        <v/>
      </c>
      <c r="AR193" s="17">
        <f>IF(AND(ISNUMBER(W193),ISNUMBER(Y193)),W193-IF(ISNUMBER(R193),R193,0)-(Y193-IF(ISNUMBER(T193),T193,0)),"")</f>
        <v/>
      </c>
      <c r="AS193" s="17">
        <f>IF(AND(ISNUMBER(X193),ISNUMBER(Z193)),X193-IF(ISNUMBER(S193),S193,0)-(Z193-IF(ISNUMBER(U193),U193,0)),"")</f>
        <v/>
      </c>
      <c r="AT193" s="17">
        <f>IF(AND(ISNUMBER(AR193),ISNUMBER(AS193)),AR193-AS193,"")</f>
        <v/>
      </c>
      <c r="AU193" s="17">
        <f>IF(E193="금융","",IF(AND(ISNUMBER(L193),ISNUMBER(M193),ISNUMBER(N193),ISNUMBER(AT193)),L193+M193-N193-AT193,IF(AND(ISNUMBER(O193),ISNUMBER(N193)),O193-N193,"")))</f>
        <v/>
      </c>
      <c r="AV193" s="8">
        <f>IF(E193="금융","금융업 - 정의되지 않음",IF(AND(ISNUMBER(L193),ISNUMBER(M193),ISNUMBER(N193),ISNUMBER(AT193)),"순이익+감가상각-설비투자-운전자본증감",IF(AND(ISNUMBER(O193),ISNUMBER(N193)),"영업현금흐름-설비투자","산출불가")))</f>
        <v/>
      </c>
      <c r="AW193" s="19">
        <f>IF(AND(ISNUMBER(AU193),ISNUMBER(G193),G193&lt;&gt;0),AU193/G193,"")</f>
        <v/>
      </c>
      <c r="AX193" s="19">
        <f>IF(AND(ISNUMBER(AC193),ISNUMBER(G193),G193&lt;&gt;0),AC193/G193,"")</f>
        <v/>
      </c>
    </row>
    <row r="194">
      <c r="A194" s="8" t="inlineStr">
        <is>
          <t>XOM</t>
        </is>
      </c>
      <c r="B194" s="8" t="inlineStr">
        <is>
          <t>EXXON MOBIL CORP</t>
        </is>
      </c>
      <c r="C194" s="8" t="n">
        <v>2025</v>
      </c>
      <c r="D194" s="8" t="inlineStr">
        <is>
          <t>2025-12-31</t>
        </is>
      </c>
      <c r="E194" s="8" t="inlineStr">
        <is>
          <t>일반</t>
        </is>
      </c>
      <c r="F194" s="8" t="inlineStr">
        <is>
          <t>0000034088-26-000045</t>
        </is>
      </c>
      <c r="G194" s="15" t="n">
        <v>332.238</v>
      </c>
      <c r="H194" s="15" t="n">
        <v>41.268</v>
      </c>
      <c r="I194" s="15" t="n">
        <v>0.603</v>
      </c>
      <c r="J194" s="15" t="n">
        <v>11.504</v>
      </c>
      <c r="K194" s="15" t="n"/>
      <c r="L194" s="15" t="n">
        <v>28.844</v>
      </c>
      <c r="M194" s="15" t="n">
        <v>25.993</v>
      </c>
      <c r="N194" s="15" t="n">
        <v>28.358</v>
      </c>
      <c r="O194" s="15" t="n">
        <v>51.97</v>
      </c>
      <c r="P194" s="15" t="n">
        <v>259.386</v>
      </c>
      <c r="Q194" s="15" t="n">
        <v>263.705</v>
      </c>
      <c r="R194" s="15" t="n">
        <v>10.681</v>
      </c>
      <c r="S194" s="15" t="n">
        <v>23.029</v>
      </c>
      <c r="T194" s="15" t="n">
        <v>9.295999999999999</v>
      </c>
      <c r="U194" s="15" t="n">
        <v>4.955</v>
      </c>
      <c r="V194" s="15" t="n">
        <v>34.241</v>
      </c>
      <c r="W194" s="15" t="n">
        <v>83.38200000000001</v>
      </c>
      <c r="X194" s="15" t="n">
        <v>91.98999999999999</v>
      </c>
      <c r="Y194" s="15" t="n">
        <v>72.33</v>
      </c>
      <c r="Z194" s="15" t="n">
        <v>70.307</v>
      </c>
      <c r="AA194" s="15" t="n">
        <v>282.386</v>
      </c>
      <c r="AB194" s="16" t="n">
        <v>4179</v>
      </c>
      <c r="AC194" s="17">
        <f>IF(AND(ISNUMBER(H194),ISNUMBER(I194)),H194+I194,IF(ISNUMBER(K194),K194,IF(ISNUMBER(H194),H194,"")))</f>
        <v/>
      </c>
      <c r="AD194" s="18">
        <f>IF(OR(NOT(ISNUMBER(J194)),NOT(ISNUMBER(H194)),H194&lt;=0),기준표!$B$8,MIN(MAX(J194/H194,기준표!$B$6),기준표!$B$7))</f>
        <v/>
      </c>
      <c r="AE194" s="17">
        <f>IF(ISNUMBER(AC194),AC194*(1-AD194),"")</f>
        <v/>
      </c>
      <c r="AF194" s="17">
        <f>IF(AND(NOT(ISNUMBER(T194)),NOT(ISNUMBER(V194))),"",IF(ISNUMBER(T194),T194,0)+IF(ISNUMBER(V194),V194,0))</f>
        <v/>
      </c>
      <c r="AG194" s="17">
        <f>IF(E194="금융","",IF(AND(ISNUMBER(P194),ISNUMBER(AF194),ISNUMBER(R194)),P194+AF194-R194,""))</f>
        <v/>
      </c>
      <c r="AH194" s="17">
        <f>IF(E194="금융","",IF(NOT(ISNUMBER(AG194)),"",IF(ISNUMBER(AA194),(AG194+AA194)/2,AG194)))</f>
        <v/>
      </c>
      <c r="AI194" s="19">
        <f>IF(AND(ISNUMBER(AE194),ISNUMBER(AH194),AH194&gt;0),AE194/AH194,"")</f>
        <v/>
      </c>
      <c r="AJ194" s="17">
        <f>IF(E194="금융","",IF(AND(ISNUMBER(P194),ISNUMBER(AF194)),P194+AF194,""))</f>
        <v/>
      </c>
      <c r="AK194" s="19">
        <f>IF(OR(NOT(ISNUMBER(AE194)),NOT(ISNUMBER(AJ194)),AJ194&lt;=0),"",IF(AND(ISNUMBER(G194),AJ194&lt;0.1*G194),"",AE194/AJ194))</f>
        <v/>
      </c>
      <c r="AL194" s="17">
        <f>IF(NOT(ISNUMBER(P194)),"",IF(ISNUMBER(Q194),(P194+Q194)/2,P194))</f>
        <v/>
      </c>
      <c r="AM194" s="19">
        <f>IF(AND(ISNUMBER(L194),ISNUMBER(AL194),AL194&gt;0),L194/AL194,"")</f>
        <v/>
      </c>
      <c r="AN194" s="19">
        <f>IF(AND(ISNUMBER(AM194),ISNUMBER({ROIC})),AM194-{ROIC},"")</f>
        <v/>
      </c>
      <c r="AO194" s="17">
        <f>IF(AND(ISNUMBER(AC194),ISNUMBER(M194)),AC194+M194,"")</f>
        <v/>
      </c>
      <c r="AP194" s="20">
        <f>IF(AND(ISNUMBER(AF194),ISNUMBER(R194),ISNUMBER(AO194),AO194&gt;0),(AF194-R194)/AO194,"")</f>
        <v/>
      </c>
      <c r="AQ194" s="20">
        <f>IF(AND(ISNUMBER(AC194),ISNUMBER(I194),I194&lt;&gt;0,AC194&gt;0),AC194/I194,"")</f>
        <v/>
      </c>
      <c r="AR194" s="17">
        <f>IF(AND(ISNUMBER(W194),ISNUMBER(Y194)),W194-IF(ISNUMBER(R194),R194,0)-(Y194-IF(ISNUMBER(T194),T194,0)),"")</f>
        <v/>
      </c>
      <c r="AS194" s="17">
        <f>IF(AND(ISNUMBER(X194),ISNUMBER(Z194)),X194-IF(ISNUMBER(S194),S194,0)-(Z194-IF(ISNUMBER(U194),U194,0)),"")</f>
        <v/>
      </c>
      <c r="AT194" s="17">
        <f>IF(AND(ISNUMBER(AR194),ISNUMBER(AS194)),AR194-AS194,"")</f>
        <v/>
      </c>
      <c r="AU194" s="17">
        <f>IF(E194="금융","",IF(AND(ISNUMBER(L194),ISNUMBER(M194),ISNUMBER(N194),ISNUMBER(AT194)),L194+M194-N194-AT194,IF(AND(ISNUMBER(O194),ISNUMBER(N194)),O194-N194,"")))</f>
        <v/>
      </c>
      <c r="AV194" s="8">
        <f>IF(E194="금융","금융업 - 정의되지 않음",IF(AND(ISNUMBER(L194),ISNUMBER(M194),ISNUMBER(N194),ISNUMBER(AT194)),"순이익+감가상각-설비투자-운전자본증감",IF(AND(ISNUMBER(O194),ISNUMBER(N194)),"영업현금흐름-설비투자","산출불가")))</f>
        <v/>
      </c>
      <c r="AW194" s="19">
        <f>IF(AND(ISNUMBER(AU194),ISNUMBER(G194),G194&lt;&gt;0),AU194/G194,"")</f>
        <v/>
      </c>
      <c r="AX194" s="19">
        <f>IF(AND(ISNUMBER(AC194),ISNUMBER(G194),G194&lt;&gt;0),AC194/G194,"")</f>
        <v/>
      </c>
    </row>
    <row r="195">
      <c r="A195" s="8" t="inlineStr">
        <is>
          <t>JNJ</t>
        </is>
      </c>
      <c r="B195" s="8" t="inlineStr">
        <is>
          <t>JOHNSON &amp; JOHNSON</t>
        </is>
      </c>
      <c r="C195" s="8" t="n">
        <v>2014</v>
      </c>
      <c r="D195" s="8" t="inlineStr">
        <is>
          <t>2014-12-28</t>
        </is>
      </c>
      <c r="E195" s="8" t="inlineStr">
        <is>
          <t>일반</t>
        </is>
      </c>
      <c r="F195" s="8" t="inlineStr">
        <is>
          <t>0000200406-17-000006</t>
        </is>
      </c>
      <c r="G195" s="15" t="n"/>
      <c r="H195" s="15" t="n"/>
      <c r="I195" s="15" t="n"/>
      <c r="J195" s="15" t="n">
        <v>4.24</v>
      </c>
      <c r="K195" s="15" t="n">
        <v>21.59</v>
      </c>
      <c r="L195" s="15" t="n">
        <v>16.323</v>
      </c>
      <c r="M195" s="15" t="n">
        <v>3.895</v>
      </c>
      <c r="N195" s="15" t="n">
        <v>3.714</v>
      </c>
      <c r="O195" s="15" t="n">
        <v>18.71</v>
      </c>
      <c r="P195" s="15" t="n">
        <v>69.752</v>
      </c>
      <c r="Q195" s="15" t="n"/>
      <c r="R195" s="15" t="n">
        <v>33.089</v>
      </c>
      <c r="S195" s="15" t="n"/>
      <c r="T195" s="15" t="n">
        <v>3.6</v>
      </c>
      <c r="U195" s="15" t="n"/>
      <c r="V195" s="15" t="n">
        <v>15.122</v>
      </c>
      <c r="W195" s="15" t="n">
        <v>55.744</v>
      </c>
      <c r="X195" s="15" t="n"/>
      <c r="Y195" s="15" t="n">
        <v>25.031</v>
      </c>
      <c r="Z195" s="15" t="n"/>
      <c r="AA195" s="15" t="n"/>
      <c r="AB195" s="16" t="n">
        <v>2863.9</v>
      </c>
      <c r="AC195" s="17">
        <f>IF(AND(ISNUMBER(H195),ISNUMBER(I195)),H195+I195,IF(ISNUMBER(K195),K195,IF(ISNUMBER(H195),H195,"")))</f>
        <v/>
      </c>
      <c r="AD195" s="18">
        <f>IF(OR(NOT(ISNUMBER(J195)),NOT(ISNUMBER(H195)),H195&lt;=0),기준표!$B$8,MIN(MAX(J195/H195,기준표!$B$6),기준표!$B$7))</f>
        <v/>
      </c>
      <c r="AE195" s="17">
        <f>IF(ISNUMBER(AC195),AC195*(1-AD195),"")</f>
        <v/>
      </c>
      <c r="AF195" s="17">
        <f>IF(AND(NOT(ISNUMBER(T195)),NOT(ISNUMBER(V195))),"",IF(ISNUMBER(T195),T195,0)+IF(ISNUMBER(V195),V195,0))</f>
        <v/>
      </c>
      <c r="AG195" s="17">
        <f>IF(E195="금융","",IF(AND(ISNUMBER(P195),ISNUMBER(AF195),ISNUMBER(R195)),P195+AF195-R195,""))</f>
        <v/>
      </c>
      <c r="AH195" s="17">
        <f>IF(E195="금융","",IF(NOT(ISNUMBER(AG195)),"",IF(ISNUMBER(AA195),(AG195+AA195)/2,AG195)))</f>
        <v/>
      </c>
      <c r="AI195" s="19">
        <f>IF(AND(ISNUMBER(AE195),ISNUMBER(AH195),AH195&gt;0),AE195/AH195,"")</f>
        <v/>
      </c>
      <c r="AJ195" s="17">
        <f>IF(E195="금융","",IF(AND(ISNUMBER(P195),ISNUMBER(AF195)),P195+AF195,""))</f>
        <v/>
      </c>
      <c r="AK195" s="19">
        <f>IF(OR(NOT(ISNUMBER(AE195)),NOT(ISNUMBER(AJ195)),AJ195&lt;=0),"",IF(AND(ISNUMBER(G195),AJ195&lt;0.1*G195),"",AE195/AJ195))</f>
        <v/>
      </c>
      <c r="AL195" s="17">
        <f>IF(NOT(ISNUMBER(P195)),"",IF(ISNUMBER(Q195),(P195+Q195)/2,P195))</f>
        <v/>
      </c>
      <c r="AM195" s="19">
        <f>IF(AND(ISNUMBER(L195),ISNUMBER(AL195),AL195&gt;0),L195/AL195,"")</f>
        <v/>
      </c>
      <c r="AN195" s="19">
        <f>IF(AND(ISNUMBER(AM195),ISNUMBER({ROIC})),AM195-{ROIC},"")</f>
        <v/>
      </c>
      <c r="AO195" s="17">
        <f>IF(AND(ISNUMBER(AC195),ISNUMBER(M195)),AC195+M195,"")</f>
        <v/>
      </c>
      <c r="AP195" s="20">
        <f>IF(AND(ISNUMBER(AF195),ISNUMBER(R195),ISNUMBER(AO195),AO195&gt;0),(AF195-R195)/AO195,"")</f>
        <v/>
      </c>
      <c r="AQ195" s="20">
        <f>IF(AND(ISNUMBER(AC195),ISNUMBER(I195),I195&lt;&gt;0,AC195&gt;0),AC195/I195,"")</f>
        <v/>
      </c>
      <c r="AR195" s="17">
        <f>IF(AND(ISNUMBER(W195),ISNUMBER(Y195)),W195-IF(ISNUMBER(R195),R195,0)-(Y195-IF(ISNUMBER(T195),T195,0)),"")</f>
        <v/>
      </c>
      <c r="AS195" s="17">
        <f>IF(AND(ISNUMBER(X195),ISNUMBER(Z195)),X195-IF(ISNUMBER(S195),S195,0)-(Z195-IF(ISNUMBER(U195),U195,0)),"")</f>
        <v/>
      </c>
      <c r="AT195" s="17">
        <f>IF(AND(ISNUMBER(AR195),ISNUMBER(AS195)),AR195-AS195,"")</f>
        <v/>
      </c>
      <c r="AU195" s="17">
        <f>IF(E195="금융","",IF(AND(ISNUMBER(L195),ISNUMBER(M195),ISNUMBER(N195),ISNUMBER(AT195)),L195+M195-N195-AT195,IF(AND(ISNUMBER(O195),ISNUMBER(N195)),O195-N195,"")))</f>
        <v/>
      </c>
      <c r="AV195" s="8">
        <f>IF(E195="금융","금융업 - 정의되지 않음",IF(AND(ISNUMBER(L195),ISNUMBER(M195),ISNUMBER(N195),ISNUMBER(AT195)),"순이익+감가상각-설비투자-운전자본증감",IF(AND(ISNUMBER(O195),ISNUMBER(N195)),"영업현금흐름-설비투자","산출불가")))</f>
        <v/>
      </c>
      <c r="AW195" s="19">
        <f>IF(AND(ISNUMBER(AU195),ISNUMBER(G195),G195&lt;&gt;0),AU195/G195,"")</f>
        <v/>
      </c>
      <c r="AX195" s="19">
        <f>IF(AND(ISNUMBER(AC195),ISNUMBER(G195),G195&lt;&gt;0),AC195/G195,"")</f>
        <v/>
      </c>
    </row>
    <row r="196">
      <c r="A196" s="8" t="inlineStr">
        <is>
          <t>JNJ</t>
        </is>
      </c>
      <c r="B196" s="8" t="inlineStr">
        <is>
          <t>JOHNSON &amp; JOHNSON</t>
        </is>
      </c>
      <c r="C196" s="8" t="n">
        <v>2015</v>
      </c>
      <c r="D196" s="8" t="inlineStr">
        <is>
          <t>2016-01-03</t>
        </is>
      </c>
      <c r="E196" s="8" t="inlineStr">
        <is>
          <t>일반</t>
        </is>
      </c>
      <c r="F196" s="8" t="inlineStr">
        <is>
          <t>0000200406-18-000005</t>
        </is>
      </c>
      <c r="G196" s="15" t="n"/>
      <c r="H196" s="15" t="n"/>
      <c r="I196" s="15" t="n"/>
      <c r="J196" s="15" t="n">
        <v>3.787</v>
      </c>
      <c r="K196" s="15" t="n"/>
      <c r="L196" s="15" t="n">
        <v>15.409</v>
      </c>
      <c r="M196" s="15" t="n">
        <v>3.746</v>
      </c>
      <c r="N196" s="15" t="n">
        <v>3.463</v>
      </c>
      <c r="O196" s="15" t="n">
        <v>19.569</v>
      </c>
      <c r="P196" s="15" t="n">
        <v>71.15000000000001</v>
      </c>
      <c r="Q196" s="15" t="n">
        <v>69.752</v>
      </c>
      <c r="R196" s="15" t="n">
        <v>38.376</v>
      </c>
      <c r="S196" s="15" t="n">
        <v>33.089</v>
      </c>
      <c r="T196" s="15" t="n">
        <v>7</v>
      </c>
      <c r="U196" s="15" t="n">
        <v>3.6</v>
      </c>
      <c r="V196" s="15" t="n">
        <v>12.857</v>
      </c>
      <c r="W196" s="15" t="n">
        <v>60.21</v>
      </c>
      <c r="X196" s="15" t="n">
        <v>55.744</v>
      </c>
      <c r="Y196" s="15" t="n">
        <v>27.747</v>
      </c>
      <c r="Z196" s="15" t="n">
        <v>25.031</v>
      </c>
      <c r="AA196" s="15" t="n">
        <v>55.385</v>
      </c>
      <c r="AB196" s="16" t="n">
        <v>2812.9</v>
      </c>
      <c r="AC196" s="17">
        <f>IF(AND(ISNUMBER(H196),ISNUMBER(I196)),H196+I196,IF(ISNUMBER(K196),K196,IF(ISNUMBER(H196),H196,"")))</f>
        <v/>
      </c>
      <c r="AD196" s="18">
        <f>IF(OR(NOT(ISNUMBER(J196)),NOT(ISNUMBER(H196)),H196&lt;=0),기준표!$B$8,MIN(MAX(J196/H196,기준표!$B$6),기준표!$B$7))</f>
        <v/>
      </c>
      <c r="AE196" s="17">
        <f>IF(ISNUMBER(AC196),AC196*(1-AD196),"")</f>
        <v/>
      </c>
      <c r="AF196" s="17">
        <f>IF(AND(NOT(ISNUMBER(T196)),NOT(ISNUMBER(V196))),"",IF(ISNUMBER(T196),T196,0)+IF(ISNUMBER(V196),V196,0))</f>
        <v/>
      </c>
      <c r="AG196" s="17">
        <f>IF(E196="금융","",IF(AND(ISNUMBER(P196),ISNUMBER(AF196),ISNUMBER(R196)),P196+AF196-R196,""))</f>
        <v/>
      </c>
      <c r="AH196" s="17">
        <f>IF(E196="금융","",IF(NOT(ISNUMBER(AG196)),"",IF(ISNUMBER(AA196),(AG196+AA196)/2,AG196)))</f>
        <v/>
      </c>
      <c r="AI196" s="19">
        <f>IF(AND(ISNUMBER(AE196),ISNUMBER(AH196),AH196&gt;0),AE196/AH196,"")</f>
        <v/>
      </c>
      <c r="AJ196" s="17">
        <f>IF(E196="금융","",IF(AND(ISNUMBER(P196),ISNUMBER(AF196)),P196+AF196,""))</f>
        <v/>
      </c>
      <c r="AK196" s="19">
        <f>IF(OR(NOT(ISNUMBER(AE196)),NOT(ISNUMBER(AJ196)),AJ196&lt;=0),"",IF(AND(ISNUMBER(G196),AJ196&lt;0.1*G196),"",AE196/AJ196))</f>
        <v/>
      </c>
      <c r="AL196" s="17">
        <f>IF(NOT(ISNUMBER(P196)),"",IF(ISNUMBER(Q196),(P196+Q196)/2,P196))</f>
        <v/>
      </c>
      <c r="AM196" s="19">
        <f>IF(AND(ISNUMBER(L196),ISNUMBER(AL196),AL196&gt;0),L196/AL196,"")</f>
        <v/>
      </c>
      <c r="AN196" s="19">
        <f>IF(AND(ISNUMBER(AM196),ISNUMBER({ROIC})),AM196-{ROIC},"")</f>
        <v/>
      </c>
      <c r="AO196" s="17">
        <f>IF(AND(ISNUMBER(AC196),ISNUMBER(M196)),AC196+M196,"")</f>
        <v/>
      </c>
      <c r="AP196" s="20">
        <f>IF(AND(ISNUMBER(AF196),ISNUMBER(R196),ISNUMBER(AO196),AO196&gt;0),(AF196-R196)/AO196,"")</f>
        <v/>
      </c>
      <c r="AQ196" s="20">
        <f>IF(AND(ISNUMBER(AC196),ISNUMBER(I196),I196&lt;&gt;0,AC196&gt;0),AC196/I196,"")</f>
        <v/>
      </c>
      <c r="AR196" s="17">
        <f>IF(AND(ISNUMBER(W196),ISNUMBER(Y196)),W196-IF(ISNUMBER(R196),R196,0)-(Y196-IF(ISNUMBER(T196),T196,0)),"")</f>
        <v/>
      </c>
      <c r="AS196" s="17">
        <f>IF(AND(ISNUMBER(X196),ISNUMBER(Z196)),X196-IF(ISNUMBER(S196),S196,0)-(Z196-IF(ISNUMBER(U196),U196,0)),"")</f>
        <v/>
      </c>
      <c r="AT196" s="17">
        <f>IF(AND(ISNUMBER(AR196),ISNUMBER(AS196)),AR196-AS196,"")</f>
        <v/>
      </c>
      <c r="AU196" s="17">
        <f>IF(E196="금융","",IF(AND(ISNUMBER(L196),ISNUMBER(M196),ISNUMBER(N196),ISNUMBER(AT196)),L196+M196-N196-AT196,IF(AND(ISNUMBER(O196),ISNUMBER(N196)),O196-N196,"")))</f>
        <v/>
      </c>
      <c r="AV196" s="8">
        <f>IF(E196="금융","금융업 - 정의되지 않음",IF(AND(ISNUMBER(L196),ISNUMBER(M196),ISNUMBER(N196),ISNUMBER(AT196)),"순이익+감가상각-설비투자-운전자본증감",IF(AND(ISNUMBER(O196),ISNUMBER(N196)),"영업현금흐름-설비투자","산출불가")))</f>
        <v/>
      </c>
      <c r="AW196" s="19">
        <f>IF(AND(ISNUMBER(AU196),ISNUMBER(G196),G196&lt;&gt;0),AU196/G196,"")</f>
        <v/>
      </c>
      <c r="AX196" s="19">
        <f>IF(AND(ISNUMBER(AC196),ISNUMBER(G196),G196&lt;&gt;0),AC196/G196,"")</f>
        <v/>
      </c>
    </row>
    <row r="197">
      <c r="A197" s="8" t="inlineStr">
        <is>
          <t>JNJ</t>
        </is>
      </c>
      <c r="B197" s="8" t="inlineStr">
        <is>
          <t>JOHNSON &amp; JOHNSON</t>
        </is>
      </c>
      <c r="C197" s="8" t="n">
        <v>2016</v>
      </c>
      <c r="D197" s="8" t="inlineStr">
        <is>
          <t>2017-01-01</t>
        </is>
      </c>
      <c r="E197" s="8" t="inlineStr">
        <is>
          <t>일반</t>
        </is>
      </c>
      <c r="F197" s="8" t="inlineStr">
        <is>
          <t>0000200406-19-000009</t>
        </is>
      </c>
      <c r="G197" s="15" t="n">
        <v>71.89</v>
      </c>
      <c r="H197" s="15" t="n"/>
      <c r="I197" s="15" t="n"/>
      <c r="J197" s="15" t="n">
        <v>3.263</v>
      </c>
      <c r="K197" s="15" t="n"/>
      <c r="L197" s="15" t="n">
        <v>16.54</v>
      </c>
      <c r="M197" s="15" t="n">
        <v>3.754</v>
      </c>
      <c r="N197" s="15" t="n">
        <v>3.226</v>
      </c>
      <c r="O197" s="15" t="n">
        <v>18.767</v>
      </c>
      <c r="P197" s="15" t="n">
        <v>70.41800000000001</v>
      </c>
      <c r="Q197" s="15" t="n">
        <v>71.15000000000001</v>
      </c>
      <c r="R197" s="15" t="n">
        <v>41.907</v>
      </c>
      <c r="S197" s="15" t="n">
        <v>38.376</v>
      </c>
      <c r="T197" s="15" t="n">
        <v>4.7</v>
      </c>
      <c r="U197" s="15" t="n">
        <v>7</v>
      </c>
      <c r="V197" s="15" t="n">
        <v>22.442</v>
      </c>
      <c r="W197" s="15" t="n">
        <v>65.032</v>
      </c>
      <c r="X197" s="15" t="n">
        <v>60.21</v>
      </c>
      <c r="Y197" s="15" t="n">
        <v>26.287</v>
      </c>
      <c r="Z197" s="15" t="n">
        <v>27.747</v>
      </c>
      <c r="AA197" s="15" t="n">
        <v>52.631</v>
      </c>
      <c r="AB197" s="16" t="n">
        <v>2788.9</v>
      </c>
      <c r="AC197" s="17">
        <f>IF(AND(ISNUMBER(H197),ISNUMBER(I197)),H197+I197,IF(ISNUMBER(K197),K197,IF(ISNUMBER(H197),H197,"")))</f>
        <v/>
      </c>
      <c r="AD197" s="18">
        <f>IF(OR(NOT(ISNUMBER(J197)),NOT(ISNUMBER(H197)),H197&lt;=0),기준표!$B$8,MIN(MAX(J197/H197,기준표!$B$6),기준표!$B$7))</f>
        <v/>
      </c>
      <c r="AE197" s="17">
        <f>IF(ISNUMBER(AC197),AC197*(1-AD197),"")</f>
        <v/>
      </c>
      <c r="AF197" s="17">
        <f>IF(AND(NOT(ISNUMBER(T197)),NOT(ISNUMBER(V197))),"",IF(ISNUMBER(T197),T197,0)+IF(ISNUMBER(V197),V197,0))</f>
        <v/>
      </c>
      <c r="AG197" s="17">
        <f>IF(E197="금융","",IF(AND(ISNUMBER(P197),ISNUMBER(AF197),ISNUMBER(R197)),P197+AF197-R197,""))</f>
        <v/>
      </c>
      <c r="AH197" s="17">
        <f>IF(E197="금융","",IF(NOT(ISNUMBER(AG197)),"",IF(ISNUMBER(AA197),(AG197+AA197)/2,AG197)))</f>
        <v/>
      </c>
      <c r="AI197" s="19">
        <f>IF(AND(ISNUMBER(AE197),ISNUMBER(AH197),AH197&gt;0),AE197/AH197,"")</f>
        <v/>
      </c>
      <c r="AJ197" s="17">
        <f>IF(E197="금융","",IF(AND(ISNUMBER(P197),ISNUMBER(AF197)),P197+AF197,""))</f>
        <v/>
      </c>
      <c r="AK197" s="19">
        <f>IF(OR(NOT(ISNUMBER(AE197)),NOT(ISNUMBER(AJ197)),AJ197&lt;=0),"",IF(AND(ISNUMBER(G197),AJ197&lt;0.1*G197),"",AE197/AJ197))</f>
        <v/>
      </c>
      <c r="AL197" s="17">
        <f>IF(NOT(ISNUMBER(P197)),"",IF(ISNUMBER(Q197),(P197+Q197)/2,P197))</f>
        <v/>
      </c>
      <c r="AM197" s="19">
        <f>IF(AND(ISNUMBER(L197),ISNUMBER(AL197),AL197&gt;0),L197/AL197,"")</f>
        <v/>
      </c>
      <c r="AN197" s="19">
        <f>IF(AND(ISNUMBER(AM197),ISNUMBER({ROIC})),AM197-{ROIC},"")</f>
        <v/>
      </c>
      <c r="AO197" s="17">
        <f>IF(AND(ISNUMBER(AC197),ISNUMBER(M197)),AC197+M197,"")</f>
        <v/>
      </c>
      <c r="AP197" s="20">
        <f>IF(AND(ISNUMBER(AF197),ISNUMBER(R197),ISNUMBER(AO197),AO197&gt;0),(AF197-R197)/AO197,"")</f>
        <v/>
      </c>
      <c r="AQ197" s="20">
        <f>IF(AND(ISNUMBER(AC197),ISNUMBER(I197),I197&lt;&gt;0,AC197&gt;0),AC197/I197,"")</f>
        <v/>
      </c>
      <c r="AR197" s="17">
        <f>IF(AND(ISNUMBER(W197),ISNUMBER(Y197)),W197-IF(ISNUMBER(R197),R197,0)-(Y197-IF(ISNUMBER(T197),T197,0)),"")</f>
        <v/>
      </c>
      <c r="AS197" s="17">
        <f>IF(AND(ISNUMBER(X197),ISNUMBER(Z197)),X197-IF(ISNUMBER(S197),S197,0)-(Z197-IF(ISNUMBER(U197),U197,0)),"")</f>
        <v/>
      </c>
      <c r="AT197" s="17">
        <f>IF(AND(ISNUMBER(AR197),ISNUMBER(AS197)),AR197-AS197,"")</f>
        <v/>
      </c>
      <c r="AU197" s="17">
        <f>IF(E197="금융","",IF(AND(ISNUMBER(L197),ISNUMBER(M197),ISNUMBER(N197),ISNUMBER(AT197)),L197+M197-N197-AT197,IF(AND(ISNUMBER(O197),ISNUMBER(N197)),O197-N197,"")))</f>
        <v/>
      </c>
      <c r="AV197" s="8">
        <f>IF(E197="금융","금융업 - 정의되지 않음",IF(AND(ISNUMBER(L197),ISNUMBER(M197),ISNUMBER(N197),ISNUMBER(AT197)),"순이익+감가상각-설비투자-운전자본증감",IF(AND(ISNUMBER(O197),ISNUMBER(N197)),"영업현금흐름-설비투자","산출불가")))</f>
        <v/>
      </c>
      <c r="AW197" s="19">
        <f>IF(AND(ISNUMBER(AU197),ISNUMBER(G197),G197&lt;&gt;0),AU197/G197,"")</f>
        <v/>
      </c>
      <c r="AX197" s="19">
        <f>IF(AND(ISNUMBER(AC197),ISNUMBER(G197),G197&lt;&gt;0),AC197/G197,"")</f>
        <v/>
      </c>
    </row>
    <row r="198">
      <c r="A198" s="8" t="inlineStr">
        <is>
          <t>JNJ</t>
        </is>
      </c>
      <c r="B198" s="8" t="inlineStr">
        <is>
          <t>JOHNSON &amp; JOHNSON</t>
        </is>
      </c>
      <c r="C198" s="8" t="n">
        <v>2017</v>
      </c>
      <c r="D198" s="8" t="inlineStr">
        <is>
          <t>2017-12-31</t>
        </is>
      </c>
      <c r="E198" s="8" t="inlineStr">
        <is>
          <t>일반</t>
        </is>
      </c>
      <c r="F198" s="8" t="inlineStr">
        <is>
          <t>0000200406-20-000010</t>
        </is>
      </c>
      <c r="G198" s="15" t="n">
        <v>76.45</v>
      </c>
      <c r="H198" s="15" t="n"/>
      <c r="I198" s="15" t="n"/>
      <c r="J198" s="15" t="n">
        <v>16.373</v>
      </c>
      <c r="K198" s="15" t="n"/>
      <c r="L198" s="15" t="n">
        <v>1.3</v>
      </c>
      <c r="M198" s="15" t="n">
        <v>5.642</v>
      </c>
      <c r="N198" s="15" t="n">
        <v>3.279</v>
      </c>
      <c r="O198" s="15" t="n">
        <v>21.056</v>
      </c>
      <c r="P198" s="15" t="n">
        <v>60.16</v>
      </c>
      <c r="Q198" s="15" t="n">
        <v>70.41800000000001</v>
      </c>
      <c r="R198" s="15" t="n">
        <v>18.296</v>
      </c>
      <c r="S198" s="15" t="n">
        <v>41.907</v>
      </c>
      <c r="T198" s="15" t="n">
        <v>3.9</v>
      </c>
      <c r="U198" s="15" t="n">
        <v>4.7</v>
      </c>
      <c r="V198" s="15" t="n">
        <v>30.675</v>
      </c>
      <c r="W198" s="15" t="n">
        <v>43.088</v>
      </c>
      <c r="X198" s="15" t="n">
        <v>65.032</v>
      </c>
      <c r="Y198" s="15" t="n">
        <v>30.537</v>
      </c>
      <c r="Z198" s="15" t="n">
        <v>26.287</v>
      </c>
      <c r="AA198" s="15" t="n">
        <v>55.653</v>
      </c>
      <c r="AB198" s="16" t="n">
        <v>2745.3</v>
      </c>
      <c r="AC198" s="17">
        <f>IF(AND(ISNUMBER(H198),ISNUMBER(I198)),H198+I198,IF(ISNUMBER(K198),K198,IF(ISNUMBER(H198),H198,"")))</f>
        <v/>
      </c>
      <c r="AD198" s="18">
        <f>IF(OR(NOT(ISNUMBER(J198)),NOT(ISNUMBER(H198)),H198&lt;=0),기준표!$B$8,MIN(MAX(J198/H198,기준표!$B$6),기준표!$B$7))</f>
        <v/>
      </c>
      <c r="AE198" s="17">
        <f>IF(ISNUMBER(AC198),AC198*(1-AD198),"")</f>
        <v/>
      </c>
      <c r="AF198" s="17">
        <f>IF(AND(NOT(ISNUMBER(T198)),NOT(ISNUMBER(V198))),"",IF(ISNUMBER(T198),T198,0)+IF(ISNUMBER(V198),V198,0))</f>
        <v/>
      </c>
      <c r="AG198" s="17">
        <f>IF(E198="금융","",IF(AND(ISNUMBER(P198),ISNUMBER(AF198),ISNUMBER(R198)),P198+AF198-R198,""))</f>
        <v/>
      </c>
      <c r="AH198" s="17">
        <f>IF(E198="금융","",IF(NOT(ISNUMBER(AG198)),"",IF(ISNUMBER(AA198),(AG198+AA198)/2,AG198)))</f>
        <v/>
      </c>
      <c r="AI198" s="19">
        <f>IF(AND(ISNUMBER(AE198),ISNUMBER(AH198),AH198&gt;0),AE198/AH198,"")</f>
        <v/>
      </c>
      <c r="AJ198" s="17">
        <f>IF(E198="금융","",IF(AND(ISNUMBER(P198),ISNUMBER(AF198)),P198+AF198,""))</f>
        <v/>
      </c>
      <c r="AK198" s="19">
        <f>IF(OR(NOT(ISNUMBER(AE198)),NOT(ISNUMBER(AJ198)),AJ198&lt;=0),"",IF(AND(ISNUMBER(G198),AJ198&lt;0.1*G198),"",AE198/AJ198))</f>
        <v/>
      </c>
      <c r="AL198" s="17">
        <f>IF(NOT(ISNUMBER(P198)),"",IF(ISNUMBER(Q198),(P198+Q198)/2,P198))</f>
        <v/>
      </c>
      <c r="AM198" s="19">
        <f>IF(AND(ISNUMBER(L198),ISNUMBER(AL198),AL198&gt;0),L198/AL198,"")</f>
        <v/>
      </c>
      <c r="AN198" s="19">
        <f>IF(AND(ISNUMBER(AM198),ISNUMBER({ROIC})),AM198-{ROIC},"")</f>
        <v/>
      </c>
      <c r="AO198" s="17">
        <f>IF(AND(ISNUMBER(AC198),ISNUMBER(M198)),AC198+M198,"")</f>
        <v/>
      </c>
      <c r="AP198" s="20">
        <f>IF(AND(ISNUMBER(AF198),ISNUMBER(R198),ISNUMBER(AO198),AO198&gt;0),(AF198-R198)/AO198,"")</f>
        <v/>
      </c>
      <c r="AQ198" s="20">
        <f>IF(AND(ISNUMBER(AC198),ISNUMBER(I198),I198&lt;&gt;0,AC198&gt;0),AC198/I198,"")</f>
        <v/>
      </c>
      <c r="AR198" s="17">
        <f>IF(AND(ISNUMBER(W198),ISNUMBER(Y198)),W198-IF(ISNUMBER(R198),R198,0)-(Y198-IF(ISNUMBER(T198),T198,0)),"")</f>
        <v/>
      </c>
      <c r="AS198" s="17">
        <f>IF(AND(ISNUMBER(X198),ISNUMBER(Z198)),X198-IF(ISNUMBER(S198),S198,0)-(Z198-IF(ISNUMBER(U198),U198,0)),"")</f>
        <v/>
      </c>
      <c r="AT198" s="17">
        <f>IF(AND(ISNUMBER(AR198),ISNUMBER(AS198)),AR198-AS198,"")</f>
        <v/>
      </c>
      <c r="AU198" s="17">
        <f>IF(E198="금융","",IF(AND(ISNUMBER(L198),ISNUMBER(M198),ISNUMBER(N198),ISNUMBER(AT198)),L198+M198-N198-AT198,IF(AND(ISNUMBER(O198),ISNUMBER(N198)),O198-N198,"")))</f>
        <v/>
      </c>
      <c r="AV198" s="8">
        <f>IF(E198="금융","금융업 - 정의되지 않음",IF(AND(ISNUMBER(L198),ISNUMBER(M198),ISNUMBER(N198),ISNUMBER(AT198)),"순이익+감가상각-설비투자-운전자본증감",IF(AND(ISNUMBER(O198),ISNUMBER(N198)),"영업현금흐름-설비투자","산출불가")))</f>
        <v/>
      </c>
      <c r="AW198" s="19">
        <f>IF(AND(ISNUMBER(AU198),ISNUMBER(G198),G198&lt;&gt;0),AU198/G198,"")</f>
        <v/>
      </c>
      <c r="AX198" s="19">
        <f>IF(AND(ISNUMBER(AC198),ISNUMBER(G198),G198&lt;&gt;0),AC198/G198,"")</f>
        <v/>
      </c>
    </row>
    <row r="199">
      <c r="A199" s="8" t="inlineStr">
        <is>
          <t>JNJ</t>
        </is>
      </c>
      <c r="B199" s="8" t="inlineStr">
        <is>
          <t>JOHNSON &amp; JOHNSON</t>
        </is>
      </c>
      <c r="C199" s="8" t="n">
        <v>2018</v>
      </c>
      <c r="D199" s="8" t="inlineStr">
        <is>
          <t>2018-12-30</t>
        </is>
      </c>
      <c r="E199" s="8" t="inlineStr">
        <is>
          <t>일반</t>
        </is>
      </c>
      <c r="F199" s="8" t="inlineStr">
        <is>
          <t>0000200406-21-000008</t>
        </is>
      </c>
      <c r="G199" s="15" t="n">
        <v>81.581</v>
      </c>
      <c r="H199" s="15" t="n"/>
      <c r="I199" s="15" t="n"/>
      <c r="J199" s="15" t="n">
        <v>2.702</v>
      </c>
      <c r="K199" s="15" t="n"/>
      <c r="L199" s="15" t="n">
        <v>15.297</v>
      </c>
      <c r="M199" s="15" t="n">
        <v>6.929</v>
      </c>
      <c r="N199" s="15" t="n">
        <v>3.67</v>
      </c>
      <c r="O199" s="15" t="n">
        <v>22.201</v>
      </c>
      <c r="P199" s="15" t="n">
        <v>59.752</v>
      </c>
      <c r="Q199" s="15" t="n">
        <v>60.16</v>
      </c>
      <c r="R199" s="15" t="n">
        <v>19.687</v>
      </c>
      <c r="S199" s="15" t="n">
        <v>18.296</v>
      </c>
      <c r="T199" s="15" t="n">
        <v>2.8</v>
      </c>
      <c r="U199" s="15" t="n">
        <v>3.9</v>
      </c>
      <c r="V199" s="15" t="n">
        <v>27.684</v>
      </c>
      <c r="W199" s="15" t="n">
        <v>46.033</v>
      </c>
      <c r="X199" s="15" t="n">
        <v>43.088</v>
      </c>
      <c r="Y199" s="15" t="n">
        <v>31.23</v>
      </c>
      <c r="Z199" s="15" t="n">
        <v>30.537</v>
      </c>
      <c r="AA199" s="15" t="n">
        <v>76.43899999999999</v>
      </c>
      <c r="AB199" s="16" t="n">
        <v>2728.7</v>
      </c>
      <c r="AC199" s="17">
        <f>IF(AND(ISNUMBER(H199),ISNUMBER(I199)),H199+I199,IF(ISNUMBER(K199),K199,IF(ISNUMBER(H199),H199,"")))</f>
        <v/>
      </c>
      <c r="AD199" s="18">
        <f>IF(OR(NOT(ISNUMBER(J199)),NOT(ISNUMBER(H199)),H199&lt;=0),기준표!$B$8,MIN(MAX(J199/H199,기준표!$B$6),기준표!$B$7))</f>
        <v/>
      </c>
      <c r="AE199" s="17">
        <f>IF(ISNUMBER(AC199),AC199*(1-AD199),"")</f>
        <v/>
      </c>
      <c r="AF199" s="17">
        <f>IF(AND(NOT(ISNUMBER(T199)),NOT(ISNUMBER(V199))),"",IF(ISNUMBER(T199),T199,0)+IF(ISNUMBER(V199),V199,0))</f>
        <v/>
      </c>
      <c r="AG199" s="17">
        <f>IF(E199="금융","",IF(AND(ISNUMBER(P199),ISNUMBER(AF199),ISNUMBER(R199)),P199+AF199-R199,""))</f>
        <v/>
      </c>
      <c r="AH199" s="17">
        <f>IF(E199="금융","",IF(NOT(ISNUMBER(AG199)),"",IF(ISNUMBER(AA199),(AG199+AA199)/2,AG199)))</f>
        <v/>
      </c>
      <c r="AI199" s="19">
        <f>IF(AND(ISNUMBER(AE199),ISNUMBER(AH199),AH199&gt;0),AE199/AH199,"")</f>
        <v/>
      </c>
      <c r="AJ199" s="17">
        <f>IF(E199="금융","",IF(AND(ISNUMBER(P199),ISNUMBER(AF199)),P199+AF199,""))</f>
        <v/>
      </c>
      <c r="AK199" s="19">
        <f>IF(OR(NOT(ISNUMBER(AE199)),NOT(ISNUMBER(AJ199)),AJ199&lt;=0),"",IF(AND(ISNUMBER(G199),AJ199&lt;0.1*G199),"",AE199/AJ199))</f>
        <v/>
      </c>
      <c r="AL199" s="17">
        <f>IF(NOT(ISNUMBER(P199)),"",IF(ISNUMBER(Q199),(P199+Q199)/2,P199))</f>
        <v/>
      </c>
      <c r="AM199" s="19">
        <f>IF(AND(ISNUMBER(L199),ISNUMBER(AL199),AL199&gt;0),L199/AL199,"")</f>
        <v/>
      </c>
      <c r="AN199" s="19">
        <f>IF(AND(ISNUMBER(AM199),ISNUMBER({ROIC})),AM199-{ROIC},"")</f>
        <v/>
      </c>
      <c r="AO199" s="17">
        <f>IF(AND(ISNUMBER(AC199),ISNUMBER(M199)),AC199+M199,"")</f>
        <v/>
      </c>
      <c r="AP199" s="20">
        <f>IF(AND(ISNUMBER(AF199),ISNUMBER(R199),ISNUMBER(AO199),AO199&gt;0),(AF199-R199)/AO199,"")</f>
        <v/>
      </c>
      <c r="AQ199" s="20">
        <f>IF(AND(ISNUMBER(AC199),ISNUMBER(I199),I199&lt;&gt;0,AC199&gt;0),AC199/I199,"")</f>
        <v/>
      </c>
      <c r="AR199" s="17">
        <f>IF(AND(ISNUMBER(W199),ISNUMBER(Y199)),W199-IF(ISNUMBER(R199),R199,0)-(Y199-IF(ISNUMBER(T199),T199,0)),"")</f>
        <v/>
      </c>
      <c r="AS199" s="17">
        <f>IF(AND(ISNUMBER(X199),ISNUMBER(Z199)),X199-IF(ISNUMBER(S199),S199,0)-(Z199-IF(ISNUMBER(U199),U199,0)),"")</f>
        <v/>
      </c>
      <c r="AT199" s="17">
        <f>IF(AND(ISNUMBER(AR199),ISNUMBER(AS199)),AR199-AS199,"")</f>
        <v/>
      </c>
      <c r="AU199" s="17">
        <f>IF(E199="금융","",IF(AND(ISNUMBER(L199),ISNUMBER(M199),ISNUMBER(N199),ISNUMBER(AT199)),L199+M199-N199-AT199,IF(AND(ISNUMBER(O199),ISNUMBER(N199)),O199-N199,"")))</f>
        <v/>
      </c>
      <c r="AV199" s="8">
        <f>IF(E199="금융","금융업 - 정의되지 않음",IF(AND(ISNUMBER(L199),ISNUMBER(M199),ISNUMBER(N199),ISNUMBER(AT199)),"순이익+감가상각-설비투자-운전자본증감",IF(AND(ISNUMBER(O199),ISNUMBER(N199)),"영업현금흐름-설비투자","산출불가")))</f>
        <v/>
      </c>
      <c r="AW199" s="19">
        <f>IF(AND(ISNUMBER(AU199),ISNUMBER(G199),G199&lt;&gt;0),AU199/G199,"")</f>
        <v/>
      </c>
      <c r="AX199" s="19">
        <f>IF(AND(ISNUMBER(AC199),ISNUMBER(G199),G199&lt;&gt;0),AC199/G199,"")</f>
        <v/>
      </c>
    </row>
    <row r="200">
      <c r="A200" s="8" t="inlineStr">
        <is>
          <t>JNJ</t>
        </is>
      </c>
      <c r="B200" s="8" t="inlineStr">
        <is>
          <t>JOHNSON &amp; JOHNSON</t>
        </is>
      </c>
      <c r="C200" s="8" t="n">
        <v>2019</v>
      </c>
      <c r="D200" s="8" t="inlineStr">
        <is>
          <t>2019-12-29</t>
        </is>
      </c>
      <c r="E200" s="8" t="inlineStr">
        <is>
          <t>일반</t>
        </is>
      </c>
      <c r="F200" s="8" t="inlineStr">
        <is>
          <t>0000200406-22-000022</t>
        </is>
      </c>
      <c r="G200" s="15" t="n">
        <v>82.059</v>
      </c>
      <c r="H200" s="15" t="n">
        <v>17.328</v>
      </c>
      <c r="I200" s="15" t="n"/>
      <c r="J200" s="15" t="n">
        <v>2.209</v>
      </c>
      <c r="K200" s="15" t="n"/>
      <c r="L200" s="15" t="n">
        <v>15.119</v>
      </c>
      <c r="M200" s="15" t="n">
        <v>7.009</v>
      </c>
      <c r="N200" s="15" t="n">
        <v>3.498</v>
      </c>
      <c r="O200" s="15" t="n">
        <v>23.416</v>
      </c>
      <c r="P200" s="15" t="n">
        <v>59.471</v>
      </c>
      <c r="Q200" s="15" t="n">
        <v>59.752</v>
      </c>
      <c r="R200" s="15" t="n">
        <v>19.287</v>
      </c>
      <c r="S200" s="15" t="n">
        <v>19.687</v>
      </c>
      <c r="T200" s="15" t="n">
        <v>1.2</v>
      </c>
      <c r="U200" s="15" t="n">
        <v>2.8</v>
      </c>
      <c r="V200" s="15" t="n">
        <v>26.494</v>
      </c>
      <c r="W200" s="15" t="n">
        <v>45.274</v>
      </c>
      <c r="X200" s="15" t="n">
        <v>46.033</v>
      </c>
      <c r="Y200" s="15" t="n">
        <v>35.964</v>
      </c>
      <c r="Z200" s="15" t="n">
        <v>31.23</v>
      </c>
      <c r="AA200" s="15" t="n">
        <v>70.54900000000001</v>
      </c>
      <c r="AB200" s="16" t="n">
        <v>2684.3</v>
      </c>
      <c r="AC200" s="17">
        <f>IF(AND(ISNUMBER(H200),ISNUMBER(I200)),H200+I200,IF(ISNUMBER(K200),K200,IF(ISNUMBER(H200),H200,"")))</f>
        <v/>
      </c>
      <c r="AD200" s="18">
        <f>IF(OR(NOT(ISNUMBER(J200)),NOT(ISNUMBER(H200)),H200&lt;=0),기준표!$B$8,MIN(MAX(J200/H200,기준표!$B$6),기준표!$B$7))</f>
        <v/>
      </c>
      <c r="AE200" s="17">
        <f>IF(ISNUMBER(AC200),AC200*(1-AD200),"")</f>
        <v/>
      </c>
      <c r="AF200" s="17">
        <f>IF(AND(NOT(ISNUMBER(T200)),NOT(ISNUMBER(V200))),"",IF(ISNUMBER(T200),T200,0)+IF(ISNUMBER(V200),V200,0))</f>
        <v/>
      </c>
      <c r="AG200" s="17">
        <f>IF(E200="금융","",IF(AND(ISNUMBER(P200),ISNUMBER(AF200),ISNUMBER(R200)),P200+AF200-R200,""))</f>
        <v/>
      </c>
      <c r="AH200" s="17">
        <f>IF(E200="금융","",IF(NOT(ISNUMBER(AG200)),"",IF(ISNUMBER(AA200),(AG200+AA200)/2,AG200)))</f>
        <v/>
      </c>
      <c r="AI200" s="19">
        <f>IF(AND(ISNUMBER(AE200),ISNUMBER(AH200),AH200&gt;0),AE200/AH200,"")</f>
        <v/>
      </c>
      <c r="AJ200" s="17">
        <f>IF(E200="금융","",IF(AND(ISNUMBER(P200),ISNUMBER(AF200)),P200+AF200,""))</f>
        <v/>
      </c>
      <c r="AK200" s="19">
        <f>IF(OR(NOT(ISNUMBER(AE200)),NOT(ISNUMBER(AJ200)),AJ200&lt;=0),"",IF(AND(ISNUMBER(G200),AJ200&lt;0.1*G200),"",AE200/AJ200))</f>
        <v/>
      </c>
      <c r="AL200" s="17">
        <f>IF(NOT(ISNUMBER(P200)),"",IF(ISNUMBER(Q200),(P200+Q200)/2,P200))</f>
        <v/>
      </c>
      <c r="AM200" s="19">
        <f>IF(AND(ISNUMBER(L200),ISNUMBER(AL200),AL200&gt;0),L200/AL200,"")</f>
        <v/>
      </c>
      <c r="AN200" s="19">
        <f>IF(AND(ISNUMBER(AM200),ISNUMBER({ROIC})),AM200-{ROIC},"")</f>
        <v/>
      </c>
      <c r="AO200" s="17">
        <f>IF(AND(ISNUMBER(AC200),ISNUMBER(M200)),AC200+M200,"")</f>
        <v/>
      </c>
      <c r="AP200" s="20">
        <f>IF(AND(ISNUMBER(AF200),ISNUMBER(R200),ISNUMBER(AO200),AO200&gt;0),(AF200-R200)/AO200,"")</f>
        <v/>
      </c>
      <c r="AQ200" s="20">
        <f>IF(AND(ISNUMBER(AC200),ISNUMBER(I200),I200&lt;&gt;0,AC200&gt;0),AC200/I200,"")</f>
        <v/>
      </c>
      <c r="AR200" s="17">
        <f>IF(AND(ISNUMBER(W200),ISNUMBER(Y200)),W200-IF(ISNUMBER(R200),R200,0)-(Y200-IF(ISNUMBER(T200),T200,0)),"")</f>
        <v/>
      </c>
      <c r="AS200" s="17">
        <f>IF(AND(ISNUMBER(X200),ISNUMBER(Z200)),X200-IF(ISNUMBER(S200),S200,0)-(Z200-IF(ISNUMBER(U200),U200,0)),"")</f>
        <v/>
      </c>
      <c r="AT200" s="17">
        <f>IF(AND(ISNUMBER(AR200),ISNUMBER(AS200)),AR200-AS200,"")</f>
        <v/>
      </c>
      <c r="AU200" s="17">
        <f>IF(E200="금융","",IF(AND(ISNUMBER(L200),ISNUMBER(M200),ISNUMBER(N200),ISNUMBER(AT200)),L200+M200-N200-AT200,IF(AND(ISNUMBER(O200),ISNUMBER(N200)),O200-N200,"")))</f>
        <v/>
      </c>
      <c r="AV200" s="8">
        <f>IF(E200="금융","금융업 - 정의되지 않음",IF(AND(ISNUMBER(L200),ISNUMBER(M200),ISNUMBER(N200),ISNUMBER(AT200)),"순이익+감가상각-설비투자-운전자본증감",IF(AND(ISNUMBER(O200),ISNUMBER(N200)),"영업현금흐름-설비투자","산출불가")))</f>
        <v/>
      </c>
      <c r="AW200" s="19">
        <f>IF(AND(ISNUMBER(AU200),ISNUMBER(G200),G200&lt;&gt;0),AU200/G200,"")</f>
        <v/>
      </c>
      <c r="AX200" s="19">
        <f>IF(AND(ISNUMBER(AC200),ISNUMBER(G200),G200&lt;&gt;0),AC200/G200,"")</f>
        <v/>
      </c>
    </row>
    <row r="201">
      <c r="A201" s="8" t="inlineStr">
        <is>
          <t>JNJ</t>
        </is>
      </c>
      <c r="B201" s="8" t="inlineStr">
        <is>
          <t>JOHNSON &amp; JOHNSON</t>
        </is>
      </c>
      <c r="C201" s="8" t="n">
        <v>2020</v>
      </c>
      <c r="D201" s="8" t="inlineStr">
        <is>
          <t>2021-01-03</t>
        </is>
      </c>
      <c r="E201" s="8" t="inlineStr">
        <is>
          <t>일반</t>
        </is>
      </c>
      <c r="F201" s="8" t="inlineStr">
        <is>
          <t>0000200406-23-000016</t>
        </is>
      </c>
      <c r="G201" s="15" t="n">
        <v>82.584</v>
      </c>
      <c r="H201" s="15" t="n">
        <v>16.497</v>
      </c>
      <c r="I201" s="15" t="n"/>
      <c r="J201" s="15" t="n">
        <v>1.783</v>
      </c>
      <c r="K201" s="15" t="n"/>
      <c r="L201" s="15" t="n">
        <v>14.714</v>
      </c>
      <c r="M201" s="15" t="n">
        <v>7.231</v>
      </c>
      <c r="N201" s="15" t="n">
        <v>3.347</v>
      </c>
      <c r="O201" s="15" t="n">
        <v>23.536</v>
      </c>
      <c r="P201" s="15" t="n">
        <v>63.278</v>
      </c>
      <c r="Q201" s="15" t="n">
        <v>59.471</v>
      </c>
      <c r="R201" s="15" t="n">
        <v>25.185</v>
      </c>
      <c r="S201" s="15" t="n">
        <v>19.287</v>
      </c>
      <c r="T201" s="15" t="n">
        <v>2.6</v>
      </c>
      <c r="U201" s="15" t="n">
        <v>1.2</v>
      </c>
      <c r="V201" s="15" t="n">
        <v>32.635</v>
      </c>
      <c r="W201" s="15" t="n">
        <v>51.237</v>
      </c>
      <c r="X201" s="15" t="n">
        <v>45.274</v>
      </c>
      <c r="Y201" s="15" t="n">
        <v>42.493</v>
      </c>
      <c r="Z201" s="15" t="n">
        <v>35.964</v>
      </c>
      <c r="AA201" s="15" t="n">
        <v>67.878</v>
      </c>
      <c r="AB201" s="16" t="n">
        <v>2670.7</v>
      </c>
      <c r="AC201" s="17">
        <f>IF(AND(ISNUMBER(H201),ISNUMBER(I201)),H201+I201,IF(ISNUMBER(K201),K201,IF(ISNUMBER(H201),H201,"")))</f>
        <v/>
      </c>
      <c r="AD201" s="18">
        <f>IF(OR(NOT(ISNUMBER(J201)),NOT(ISNUMBER(H201)),H201&lt;=0),기준표!$B$8,MIN(MAX(J201/H201,기준표!$B$6),기준표!$B$7))</f>
        <v/>
      </c>
      <c r="AE201" s="17">
        <f>IF(ISNUMBER(AC201),AC201*(1-AD201),"")</f>
        <v/>
      </c>
      <c r="AF201" s="17">
        <f>IF(AND(NOT(ISNUMBER(T201)),NOT(ISNUMBER(V201))),"",IF(ISNUMBER(T201),T201,0)+IF(ISNUMBER(V201),V201,0))</f>
        <v/>
      </c>
      <c r="AG201" s="17">
        <f>IF(E201="금융","",IF(AND(ISNUMBER(P201),ISNUMBER(AF201),ISNUMBER(R201)),P201+AF201-R201,""))</f>
        <v/>
      </c>
      <c r="AH201" s="17">
        <f>IF(E201="금융","",IF(NOT(ISNUMBER(AG201)),"",IF(ISNUMBER(AA201),(AG201+AA201)/2,AG201)))</f>
        <v/>
      </c>
      <c r="AI201" s="19">
        <f>IF(AND(ISNUMBER(AE201),ISNUMBER(AH201),AH201&gt;0),AE201/AH201,"")</f>
        <v/>
      </c>
      <c r="AJ201" s="17">
        <f>IF(E201="금융","",IF(AND(ISNUMBER(P201),ISNUMBER(AF201)),P201+AF201,""))</f>
        <v/>
      </c>
      <c r="AK201" s="19">
        <f>IF(OR(NOT(ISNUMBER(AE201)),NOT(ISNUMBER(AJ201)),AJ201&lt;=0),"",IF(AND(ISNUMBER(G201),AJ201&lt;0.1*G201),"",AE201/AJ201))</f>
        <v/>
      </c>
      <c r="AL201" s="17">
        <f>IF(NOT(ISNUMBER(P201)),"",IF(ISNUMBER(Q201),(P201+Q201)/2,P201))</f>
        <v/>
      </c>
      <c r="AM201" s="19">
        <f>IF(AND(ISNUMBER(L201),ISNUMBER(AL201),AL201&gt;0),L201/AL201,"")</f>
        <v/>
      </c>
      <c r="AN201" s="19">
        <f>IF(AND(ISNUMBER(AM201),ISNUMBER({ROIC})),AM201-{ROIC},"")</f>
        <v/>
      </c>
      <c r="AO201" s="17">
        <f>IF(AND(ISNUMBER(AC201),ISNUMBER(M201)),AC201+M201,"")</f>
        <v/>
      </c>
      <c r="AP201" s="20">
        <f>IF(AND(ISNUMBER(AF201),ISNUMBER(R201),ISNUMBER(AO201),AO201&gt;0),(AF201-R201)/AO201,"")</f>
        <v/>
      </c>
      <c r="AQ201" s="20">
        <f>IF(AND(ISNUMBER(AC201),ISNUMBER(I201),I201&lt;&gt;0,AC201&gt;0),AC201/I201,"")</f>
        <v/>
      </c>
      <c r="AR201" s="17">
        <f>IF(AND(ISNUMBER(W201),ISNUMBER(Y201)),W201-IF(ISNUMBER(R201),R201,0)-(Y201-IF(ISNUMBER(T201),T201,0)),"")</f>
        <v/>
      </c>
      <c r="AS201" s="17">
        <f>IF(AND(ISNUMBER(X201),ISNUMBER(Z201)),X201-IF(ISNUMBER(S201),S201,0)-(Z201-IF(ISNUMBER(U201),U201,0)),"")</f>
        <v/>
      </c>
      <c r="AT201" s="17">
        <f>IF(AND(ISNUMBER(AR201),ISNUMBER(AS201)),AR201-AS201,"")</f>
        <v/>
      </c>
      <c r="AU201" s="17">
        <f>IF(E201="금융","",IF(AND(ISNUMBER(L201),ISNUMBER(M201),ISNUMBER(N201),ISNUMBER(AT201)),L201+M201-N201-AT201,IF(AND(ISNUMBER(O201),ISNUMBER(N201)),O201-N201,"")))</f>
        <v/>
      </c>
      <c r="AV201" s="8">
        <f>IF(E201="금융","금융업 - 정의되지 않음",IF(AND(ISNUMBER(L201),ISNUMBER(M201),ISNUMBER(N201),ISNUMBER(AT201)),"순이익+감가상각-설비투자-운전자본증감",IF(AND(ISNUMBER(O201),ISNUMBER(N201)),"영업현금흐름-설비투자","산출불가")))</f>
        <v/>
      </c>
      <c r="AW201" s="19">
        <f>IF(AND(ISNUMBER(AU201),ISNUMBER(G201),G201&lt;&gt;0),AU201/G201,"")</f>
        <v/>
      </c>
      <c r="AX201" s="19">
        <f>IF(AND(ISNUMBER(AC201),ISNUMBER(G201),G201&lt;&gt;0),AC201/G201,"")</f>
        <v/>
      </c>
    </row>
    <row r="202">
      <c r="A202" s="8" t="inlineStr">
        <is>
          <t>JNJ</t>
        </is>
      </c>
      <c r="B202" s="8" t="inlineStr">
        <is>
          <t>JOHNSON &amp; JOHNSON</t>
        </is>
      </c>
      <c r="C202" s="8" t="n">
        <v>2021</v>
      </c>
      <c r="D202" s="8" t="inlineStr">
        <is>
          <t>2022-01-02</t>
        </is>
      </c>
      <c r="E202" s="8" t="inlineStr">
        <is>
          <t>일반</t>
        </is>
      </c>
      <c r="F202" s="8" t="inlineStr">
        <is>
          <t>0000200406-24-000013</t>
        </is>
      </c>
      <c r="G202" s="15" t="n">
        <v>78.73999999999999</v>
      </c>
      <c r="H202" s="15" t="n">
        <v>19.178</v>
      </c>
      <c r="I202" s="15" t="n"/>
      <c r="J202" s="15" t="n">
        <v>1.377</v>
      </c>
      <c r="K202" s="15" t="n"/>
      <c r="L202" s="15" t="n">
        <v>20.878</v>
      </c>
      <c r="M202" s="15" t="n">
        <v>7.39</v>
      </c>
      <c r="N202" s="15" t="n">
        <v>3.652</v>
      </c>
      <c r="O202" s="15" t="n">
        <v>23.41</v>
      </c>
      <c r="P202" s="15" t="n">
        <v>74.023</v>
      </c>
      <c r="Q202" s="15" t="n">
        <v>63.278</v>
      </c>
      <c r="R202" s="15" t="n">
        <v>31.608</v>
      </c>
      <c r="S202" s="15" t="n">
        <v>25.185</v>
      </c>
      <c r="T202" s="15" t="n">
        <v>3.8</v>
      </c>
      <c r="U202" s="15" t="n">
        <v>2.6</v>
      </c>
      <c r="V202" s="15" t="n">
        <v>29.985</v>
      </c>
      <c r="W202" s="15" t="n">
        <v>60.979</v>
      </c>
      <c r="X202" s="15" t="n">
        <v>51.237</v>
      </c>
      <c r="Y202" s="15" t="n">
        <v>45.226</v>
      </c>
      <c r="Z202" s="15" t="n">
        <v>42.493</v>
      </c>
      <c r="AA202" s="15" t="n">
        <v>73.328</v>
      </c>
      <c r="AB202" s="16" t="n">
        <v>2674</v>
      </c>
      <c r="AC202" s="17">
        <f>IF(AND(ISNUMBER(H202),ISNUMBER(I202)),H202+I202,IF(ISNUMBER(K202),K202,IF(ISNUMBER(H202),H202,"")))</f>
        <v/>
      </c>
      <c r="AD202" s="18">
        <f>IF(OR(NOT(ISNUMBER(J202)),NOT(ISNUMBER(H202)),H202&lt;=0),기준표!$B$8,MIN(MAX(J202/H202,기준표!$B$6),기준표!$B$7))</f>
        <v/>
      </c>
      <c r="AE202" s="17">
        <f>IF(ISNUMBER(AC202),AC202*(1-AD202),"")</f>
        <v/>
      </c>
      <c r="AF202" s="17">
        <f>IF(AND(NOT(ISNUMBER(T202)),NOT(ISNUMBER(V202))),"",IF(ISNUMBER(T202),T202,0)+IF(ISNUMBER(V202),V202,0))</f>
        <v/>
      </c>
      <c r="AG202" s="17">
        <f>IF(E202="금융","",IF(AND(ISNUMBER(P202),ISNUMBER(AF202),ISNUMBER(R202)),P202+AF202-R202,""))</f>
        <v/>
      </c>
      <c r="AH202" s="17">
        <f>IF(E202="금융","",IF(NOT(ISNUMBER(AG202)),"",IF(ISNUMBER(AA202),(AG202+AA202)/2,AG202)))</f>
        <v/>
      </c>
      <c r="AI202" s="19">
        <f>IF(AND(ISNUMBER(AE202),ISNUMBER(AH202),AH202&gt;0),AE202/AH202,"")</f>
        <v/>
      </c>
      <c r="AJ202" s="17">
        <f>IF(E202="금융","",IF(AND(ISNUMBER(P202),ISNUMBER(AF202)),P202+AF202,""))</f>
        <v/>
      </c>
      <c r="AK202" s="19">
        <f>IF(OR(NOT(ISNUMBER(AE202)),NOT(ISNUMBER(AJ202)),AJ202&lt;=0),"",IF(AND(ISNUMBER(G202),AJ202&lt;0.1*G202),"",AE202/AJ202))</f>
        <v/>
      </c>
      <c r="AL202" s="17">
        <f>IF(NOT(ISNUMBER(P202)),"",IF(ISNUMBER(Q202),(P202+Q202)/2,P202))</f>
        <v/>
      </c>
      <c r="AM202" s="19">
        <f>IF(AND(ISNUMBER(L202),ISNUMBER(AL202),AL202&gt;0),L202/AL202,"")</f>
        <v/>
      </c>
      <c r="AN202" s="19">
        <f>IF(AND(ISNUMBER(AM202),ISNUMBER({ROIC})),AM202-{ROIC},"")</f>
        <v/>
      </c>
      <c r="AO202" s="17">
        <f>IF(AND(ISNUMBER(AC202),ISNUMBER(M202)),AC202+M202,"")</f>
        <v/>
      </c>
      <c r="AP202" s="20">
        <f>IF(AND(ISNUMBER(AF202),ISNUMBER(R202),ISNUMBER(AO202),AO202&gt;0),(AF202-R202)/AO202,"")</f>
        <v/>
      </c>
      <c r="AQ202" s="20">
        <f>IF(AND(ISNUMBER(AC202),ISNUMBER(I202),I202&lt;&gt;0,AC202&gt;0),AC202/I202,"")</f>
        <v/>
      </c>
      <c r="AR202" s="17">
        <f>IF(AND(ISNUMBER(W202),ISNUMBER(Y202)),W202-IF(ISNUMBER(R202),R202,0)-(Y202-IF(ISNUMBER(T202),T202,0)),"")</f>
        <v/>
      </c>
      <c r="AS202" s="17">
        <f>IF(AND(ISNUMBER(X202),ISNUMBER(Z202)),X202-IF(ISNUMBER(S202),S202,0)-(Z202-IF(ISNUMBER(U202),U202,0)),"")</f>
        <v/>
      </c>
      <c r="AT202" s="17">
        <f>IF(AND(ISNUMBER(AR202),ISNUMBER(AS202)),AR202-AS202,"")</f>
        <v/>
      </c>
      <c r="AU202" s="17">
        <f>IF(E202="금융","",IF(AND(ISNUMBER(L202),ISNUMBER(M202),ISNUMBER(N202),ISNUMBER(AT202)),L202+M202-N202-AT202,IF(AND(ISNUMBER(O202),ISNUMBER(N202)),O202-N202,"")))</f>
        <v/>
      </c>
      <c r="AV202" s="8">
        <f>IF(E202="금융","금융업 - 정의되지 않음",IF(AND(ISNUMBER(L202),ISNUMBER(M202),ISNUMBER(N202),ISNUMBER(AT202)),"순이익+감가상각-설비투자-운전자본증감",IF(AND(ISNUMBER(O202),ISNUMBER(N202)),"영업현금흐름-설비투자","산출불가")))</f>
        <v/>
      </c>
      <c r="AW202" s="19">
        <f>IF(AND(ISNUMBER(AU202),ISNUMBER(G202),G202&lt;&gt;0),AU202/G202,"")</f>
        <v/>
      </c>
      <c r="AX202" s="19">
        <f>IF(AND(ISNUMBER(AC202),ISNUMBER(G202),G202&lt;&gt;0),AC202/G202,"")</f>
        <v/>
      </c>
    </row>
    <row r="203">
      <c r="A203" s="8" t="inlineStr">
        <is>
          <t>JNJ</t>
        </is>
      </c>
      <c r="B203" s="8" t="inlineStr">
        <is>
          <t>JOHNSON &amp; JOHNSON</t>
        </is>
      </c>
      <c r="C203" s="8" t="n">
        <v>2022</v>
      </c>
      <c r="D203" s="8" t="inlineStr">
        <is>
          <t>2023-01-01</t>
        </is>
      </c>
      <c r="E203" s="8" t="inlineStr">
        <is>
          <t>일반</t>
        </is>
      </c>
      <c r="F203" s="8" t="inlineStr">
        <is>
          <t>0000200406-25-000038</t>
        </is>
      </c>
      <c r="G203" s="15" t="n">
        <v>79.98999999999999</v>
      </c>
      <c r="H203" s="15" t="n">
        <v>19.359</v>
      </c>
      <c r="I203" s="15" t="n">
        <v>0.276</v>
      </c>
      <c r="J203" s="15" t="n">
        <v>2.989</v>
      </c>
      <c r="K203" s="15" t="n"/>
      <c r="L203" s="15" t="n">
        <v>17.941</v>
      </c>
      <c r="M203" s="15" t="n">
        <v>6.97</v>
      </c>
      <c r="N203" s="15" t="n">
        <v>4.009</v>
      </c>
      <c r="O203" s="15" t="n">
        <v>21.194</v>
      </c>
      <c r="P203" s="15" t="n">
        <v>76.804</v>
      </c>
      <c r="Q203" s="15" t="n">
        <v>74.023</v>
      </c>
      <c r="R203" s="15" t="n">
        <v>22.281</v>
      </c>
      <c r="S203" s="15" t="n">
        <v>31.608</v>
      </c>
      <c r="T203" s="15" t="n">
        <v>12.8</v>
      </c>
      <c r="U203" s="15" t="n">
        <v>3.8</v>
      </c>
      <c r="V203" s="15" t="n">
        <v>26.886</v>
      </c>
      <c r="W203" s="15" t="n">
        <v>55.294</v>
      </c>
      <c r="X203" s="15" t="n">
        <v>60.979</v>
      </c>
      <c r="Y203" s="15" t="n">
        <v>55.802</v>
      </c>
      <c r="Z203" s="15" t="n">
        <v>45.226</v>
      </c>
      <c r="AA203" s="15" t="n">
        <v>76.2</v>
      </c>
      <c r="AB203" s="16" t="n">
        <v>2663.9</v>
      </c>
      <c r="AC203" s="17">
        <f>IF(AND(ISNUMBER(H203),ISNUMBER(I203)),H203+I203,IF(ISNUMBER(K203),K203,IF(ISNUMBER(H203),H203,"")))</f>
        <v/>
      </c>
      <c r="AD203" s="18">
        <f>IF(OR(NOT(ISNUMBER(J203)),NOT(ISNUMBER(H203)),H203&lt;=0),기준표!$B$8,MIN(MAX(J203/H203,기준표!$B$6),기준표!$B$7))</f>
        <v/>
      </c>
      <c r="AE203" s="17">
        <f>IF(ISNUMBER(AC203),AC203*(1-AD203),"")</f>
        <v/>
      </c>
      <c r="AF203" s="17">
        <f>IF(AND(NOT(ISNUMBER(T203)),NOT(ISNUMBER(V203))),"",IF(ISNUMBER(T203),T203,0)+IF(ISNUMBER(V203),V203,0))</f>
        <v/>
      </c>
      <c r="AG203" s="17">
        <f>IF(E203="금융","",IF(AND(ISNUMBER(P203),ISNUMBER(AF203),ISNUMBER(R203)),P203+AF203-R203,""))</f>
        <v/>
      </c>
      <c r="AH203" s="17">
        <f>IF(E203="금융","",IF(NOT(ISNUMBER(AG203)),"",IF(ISNUMBER(AA203),(AG203+AA203)/2,AG203)))</f>
        <v/>
      </c>
      <c r="AI203" s="19">
        <f>IF(AND(ISNUMBER(AE203),ISNUMBER(AH203),AH203&gt;0),AE203/AH203,"")</f>
        <v/>
      </c>
      <c r="AJ203" s="17">
        <f>IF(E203="금융","",IF(AND(ISNUMBER(P203),ISNUMBER(AF203)),P203+AF203,""))</f>
        <v/>
      </c>
      <c r="AK203" s="19">
        <f>IF(OR(NOT(ISNUMBER(AE203)),NOT(ISNUMBER(AJ203)),AJ203&lt;=0),"",IF(AND(ISNUMBER(G203),AJ203&lt;0.1*G203),"",AE203/AJ203))</f>
        <v/>
      </c>
      <c r="AL203" s="17">
        <f>IF(NOT(ISNUMBER(P203)),"",IF(ISNUMBER(Q203),(P203+Q203)/2,P203))</f>
        <v/>
      </c>
      <c r="AM203" s="19">
        <f>IF(AND(ISNUMBER(L203),ISNUMBER(AL203),AL203&gt;0),L203/AL203,"")</f>
        <v/>
      </c>
      <c r="AN203" s="19">
        <f>IF(AND(ISNUMBER(AM203),ISNUMBER({ROIC})),AM203-{ROIC},"")</f>
        <v/>
      </c>
      <c r="AO203" s="17">
        <f>IF(AND(ISNUMBER(AC203),ISNUMBER(M203)),AC203+M203,"")</f>
        <v/>
      </c>
      <c r="AP203" s="20">
        <f>IF(AND(ISNUMBER(AF203),ISNUMBER(R203),ISNUMBER(AO203),AO203&gt;0),(AF203-R203)/AO203,"")</f>
        <v/>
      </c>
      <c r="AQ203" s="20">
        <f>IF(AND(ISNUMBER(AC203),ISNUMBER(I203),I203&lt;&gt;0,AC203&gt;0),AC203/I203,"")</f>
        <v/>
      </c>
      <c r="AR203" s="17">
        <f>IF(AND(ISNUMBER(W203),ISNUMBER(Y203)),W203-IF(ISNUMBER(R203),R203,0)-(Y203-IF(ISNUMBER(T203),T203,0)),"")</f>
        <v/>
      </c>
      <c r="AS203" s="17">
        <f>IF(AND(ISNUMBER(X203),ISNUMBER(Z203)),X203-IF(ISNUMBER(S203),S203,0)-(Z203-IF(ISNUMBER(U203),U203,0)),"")</f>
        <v/>
      </c>
      <c r="AT203" s="17">
        <f>IF(AND(ISNUMBER(AR203),ISNUMBER(AS203)),AR203-AS203,"")</f>
        <v/>
      </c>
      <c r="AU203" s="17">
        <f>IF(E203="금융","",IF(AND(ISNUMBER(L203),ISNUMBER(M203),ISNUMBER(N203),ISNUMBER(AT203)),L203+M203-N203-AT203,IF(AND(ISNUMBER(O203),ISNUMBER(N203)),O203-N203,"")))</f>
        <v/>
      </c>
      <c r="AV203" s="8">
        <f>IF(E203="금융","금융업 - 정의되지 않음",IF(AND(ISNUMBER(L203),ISNUMBER(M203),ISNUMBER(N203),ISNUMBER(AT203)),"순이익+감가상각-설비투자-운전자본증감",IF(AND(ISNUMBER(O203),ISNUMBER(N203)),"영업현금흐름-설비투자","산출불가")))</f>
        <v/>
      </c>
      <c r="AW203" s="19">
        <f>IF(AND(ISNUMBER(AU203),ISNUMBER(G203),G203&lt;&gt;0),AU203/G203,"")</f>
        <v/>
      </c>
      <c r="AX203" s="19">
        <f>IF(AND(ISNUMBER(AC203),ISNUMBER(G203),G203&lt;&gt;0),AC203/G203,"")</f>
        <v/>
      </c>
    </row>
    <row r="204">
      <c r="A204" s="8" t="inlineStr">
        <is>
          <t>JNJ</t>
        </is>
      </c>
      <c r="B204" s="8" t="inlineStr">
        <is>
          <t>JOHNSON &amp; JOHNSON</t>
        </is>
      </c>
      <c r="C204" s="8" t="n">
        <v>2023</v>
      </c>
      <c r="D204" s="8" t="inlineStr">
        <is>
          <t>2023-12-31</t>
        </is>
      </c>
      <c r="E204" s="8" t="inlineStr">
        <is>
          <t>일반</t>
        </is>
      </c>
      <c r="F204" s="8" t="inlineStr">
        <is>
          <t>0000200406-26-000016</t>
        </is>
      </c>
      <c r="G204" s="15" t="n">
        <v>85.15900000000001</v>
      </c>
      <c r="H204" s="15" t="n">
        <v>15.062</v>
      </c>
      <c r="I204" s="15" t="n">
        <v>0.772</v>
      </c>
      <c r="J204" s="15" t="n">
        <v>1.736</v>
      </c>
      <c r="K204" s="15" t="n"/>
      <c r="L204" s="15" t="n">
        <v>35.153</v>
      </c>
      <c r="M204" s="15" t="n">
        <v>7.486</v>
      </c>
      <c r="N204" s="15" t="n">
        <v>4.543</v>
      </c>
      <c r="O204" s="15" t="n">
        <v>22.791</v>
      </c>
      <c r="P204" s="15" t="n">
        <v>68.774</v>
      </c>
      <c r="Q204" s="15" t="n">
        <v>76.804</v>
      </c>
      <c r="R204" s="15" t="n">
        <v>22.927</v>
      </c>
      <c r="S204" s="15" t="n">
        <v>22.281</v>
      </c>
      <c r="T204" s="15" t="n">
        <v>3.5</v>
      </c>
      <c r="U204" s="15" t="n">
        <v>12.8</v>
      </c>
      <c r="V204" s="15" t="n">
        <v>25.881</v>
      </c>
      <c r="W204" s="15" t="n">
        <v>53.495</v>
      </c>
      <c r="X204" s="15" t="n">
        <v>55.294</v>
      </c>
      <c r="Y204" s="15" t="n">
        <v>46.282</v>
      </c>
      <c r="Z204" s="15" t="n">
        <v>55.802</v>
      </c>
      <c r="AA204" s="15" t="n">
        <v>94.209</v>
      </c>
      <c r="AB204" s="16" t="n">
        <v>2560.4</v>
      </c>
      <c r="AC204" s="17">
        <f>IF(AND(ISNUMBER(H204),ISNUMBER(I204)),H204+I204,IF(ISNUMBER(K204),K204,IF(ISNUMBER(H204),H204,"")))</f>
        <v/>
      </c>
      <c r="AD204" s="18">
        <f>IF(OR(NOT(ISNUMBER(J204)),NOT(ISNUMBER(H204)),H204&lt;=0),기준표!$B$8,MIN(MAX(J204/H204,기준표!$B$6),기준표!$B$7))</f>
        <v/>
      </c>
      <c r="AE204" s="17">
        <f>IF(ISNUMBER(AC204),AC204*(1-AD204),"")</f>
        <v/>
      </c>
      <c r="AF204" s="17">
        <f>IF(AND(NOT(ISNUMBER(T204)),NOT(ISNUMBER(V204))),"",IF(ISNUMBER(T204),T204,0)+IF(ISNUMBER(V204),V204,0))</f>
        <v/>
      </c>
      <c r="AG204" s="17">
        <f>IF(E204="금융","",IF(AND(ISNUMBER(P204),ISNUMBER(AF204),ISNUMBER(R204)),P204+AF204-R204,""))</f>
        <v/>
      </c>
      <c r="AH204" s="17">
        <f>IF(E204="금융","",IF(NOT(ISNUMBER(AG204)),"",IF(ISNUMBER(AA204),(AG204+AA204)/2,AG204)))</f>
        <v/>
      </c>
      <c r="AI204" s="19">
        <f>IF(AND(ISNUMBER(AE204),ISNUMBER(AH204),AH204&gt;0),AE204/AH204,"")</f>
        <v/>
      </c>
      <c r="AJ204" s="17">
        <f>IF(E204="금융","",IF(AND(ISNUMBER(P204),ISNUMBER(AF204)),P204+AF204,""))</f>
        <v/>
      </c>
      <c r="AK204" s="19">
        <f>IF(OR(NOT(ISNUMBER(AE204)),NOT(ISNUMBER(AJ204)),AJ204&lt;=0),"",IF(AND(ISNUMBER(G204),AJ204&lt;0.1*G204),"",AE204/AJ204))</f>
        <v/>
      </c>
      <c r="AL204" s="17">
        <f>IF(NOT(ISNUMBER(P204)),"",IF(ISNUMBER(Q204),(P204+Q204)/2,P204))</f>
        <v/>
      </c>
      <c r="AM204" s="19">
        <f>IF(AND(ISNUMBER(L204),ISNUMBER(AL204),AL204&gt;0),L204/AL204,"")</f>
        <v/>
      </c>
      <c r="AN204" s="19">
        <f>IF(AND(ISNUMBER(AM204),ISNUMBER({ROIC})),AM204-{ROIC},"")</f>
        <v/>
      </c>
      <c r="AO204" s="17">
        <f>IF(AND(ISNUMBER(AC204),ISNUMBER(M204)),AC204+M204,"")</f>
        <v/>
      </c>
      <c r="AP204" s="20">
        <f>IF(AND(ISNUMBER(AF204),ISNUMBER(R204),ISNUMBER(AO204),AO204&gt;0),(AF204-R204)/AO204,"")</f>
        <v/>
      </c>
      <c r="AQ204" s="20">
        <f>IF(AND(ISNUMBER(AC204),ISNUMBER(I204),I204&lt;&gt;0,AC204&gt;0),AC204/I204,"")</f>
        <v/>
      </c>
      <c r="AR204" s="17">
        <f>IF(AND(ISNUMBER(W204),ISNUMBER(Y204)),W204-IF(ISNUMBER(R204),R204,0)-(Y204-IF(ISNUMBER(T204),T204,0)),"")</f>
        <v/>
      </c>
      <c r="AS204" s="17">
        <f>IF(AND(ISNUMBER(X204),ISNUMBER(Z204)),X204-IF(ISNUMBER(S204),S204,0)-(Z204-IF(ISNUMBER(U204),U204,0)),"")</f>
        <v/>
      </c>
      <c r="AT204" s="17">
        <f>IF(AND(ISNUMBER(AR204),ISNUMBER(AS204)),AR204-AS204,"")</f>
        <v/>
      </c>
      <c r="AU204" s="17">
        <f>IF(E204="금융","",IF(AND(ISNUMBER(L204),ISNUMBER(M204),ISNUMBER(N204),ISNUMBER(AT204)),L204+M204-N204-AT204,IF(AND(ISNUMBER(O204),ISNUMBER(N204)),O204-N204,"")))</f>
        <v/>
      </c>
      <c r="AV204" s="8">
        <f>IF(E204="금융","금융업 - 정의되지 않음",IF(AND(ISNUMBER(L204),ISNUMBER(M204),ISNUMBER(N204),ISNUMBER(AT204)),"순이익+감가상각-설비투자-운전자본증감",IF(AND(ISNUMBER(O204),ISNUMBER(N204)),"영업현금흐름-설비투자","산출불가")))</f>
        <v/>
      </c>
      <c r="AW204" s="19">
        <f>IF(AND(ISNUMBER(AU204),ISNUMBER(G204),G204&lt;&gt;0),AU204/G204,"")</f>
        <v/>
      </c>
      <c r="AX204" s="19">
        <f>IF(AND(ISNUMBER(AC204),ISNUMBER(G204),G204&lt;&gt;0),AC204/G204,"")</f>
        <v/>
      </c>
    </row>
    <row r="205">
      <c r="A205" s="8" t="inlineStr">
        <is>
          <t>JNJ</t>
        </is>
      </c>
      <c r="B205" s="8" t="inlineStr">
        <is>
          <t>JOHNSON &amp; JOHNSON</t>
        </is>
      </c>
      <c r="C205" s="8" t="n">
        <v>2024</v>
      </c>
      <c r="D205" s="8" t="inlineStr">
        <is>
          <t>2024-12-29</t>
        </is>
      </c>
      <c r="E205" s="8" t="inlineStr">
        <is>
          <t>일반</t>
        </is>
      </c>
      <c r="F205" s="8" t="inlineStr">
        <is>
          <t>0000200406-26-000016</t>
        </is>
      </c>
      <c r="G205" s="15" t="n">
        <v>88.821</v>
      </c>
      <c r="H205" s="15" t="n">
        <v>16.687</v>
      </c>
      <c r="I205" s="15" t="n">
        <v>0.755</v>
      </c>
      <c r="J205" s="15" t="n">
        <v>2.621</v>
      </c>
      <c r="K205" s="15" t="n"/>
      <c r="L205" s="15" t="n">
        <v>14.066</v>
      </c>
      <c r="M205" s="15" t="n">
        <v>7.339</v>
      </c>
      <c r="N205" s="15" t="n">
        <v>4.424</v>
      </c>
      <c r="O205" s="15" t="n">
        <v>24.266</v>
      </c>
      <c r="P205" s="15" t="n">
        <v>71.48999999999999</v>
      </c>
      <c r="Q205" s="15" t="n">
        <v>68.774</v>
      </c>
      <c r="R205" s="15" t="n">
        <v>24.522</v>
      </c>
      <c r="S205" s="15" t="n">
        <v>22.927</v>
      </c>
      <c r="T205" s="15" t="n">
        <v>6</v>
      </c>
      <c r="U205" s="15" t="n">
        <v>3.5</v>
      </c>
      <c r="V205" s="15" t="n">
        <v>30.651</v>
      </c>
      <c r="W205" s="15" t="n">
        <v>55.893</v>
      </c>
      <c r="X205" s="15" t="n">
        <v>53.495</v>
      </c>
      <c r="Y205" s="15" t="n">
        <v>50.321</v>
      </c>
      <c r="Z205" s="15" t="n">
        <v>46.282</v>
      </c>
      <c r="AA205" s="15" t="n">
        <v>75.22799999999999</v>
      </c>
      <c r="AB205" s="16" t="n">
        <v>2429.4</v>
      </c>
      <c r="AC205" s="17">
        <f>IF(AND(ISNUMBER(H205),ISNUMBER(I205)),H205+I205,IF(ISNUMBER(K205),K205,IF(ISNUMBER(H205),H205,"")))</f>
        <v/>
      </c>
      <c r="AD205" s="18">
        <f>IF(OR(NOT(ISNUMBER(J205)),NOT(ISNUMBER(H205)),H205&lt;=0),기준표!$B$8,MIN(MAX(J205/H205,기준표!$B$6),기준표!$B$7))</f>
        <v/>
      </c>
      <c r="AE205" s="17">
        <f>IF(ISNUMBER(AC205),AC205*(1-AD205),"")</f>
        <v/>
      </c>
      <c r="AF205" s="17">
        <f>IF(AND(NOT(ISNUMBER(T205)),NOT(ISNUMBER(V205))),"",IF(ISNUMBER(T205),T205,0)+IF(ISNUMBER(V205),V205,0))</f>
        <v/>
      </c>
      <c r="AG205" s="17">
        <f>IF(E205="금융","",IF(AND(ISNUMBER(P205),ISNUMBER(AF205),ISNUMBER(R205)),P205+AF205-R205,""))</f>
        <v/>
      </c>
      <c r="AH205" s="17">
        <f>IF(E205="금융","",IF(NOT(ISNUMBER(AG205)),"",IF(ISNUMBER(AA205),(AG205+AA205)/2,AG205)))</f>
        <v/>
      </c>
      <c r="AI205" s="19">
        <f>IF(AND(ISNUMBER(AE205),ISNUMBER(AH205),AH205&gt;0),AE205/AH205,"")</f>
        <v/>
      </c>
      <c r="AJ205" s="17">
        <f>IF(E205="금융","",IF(AND(ISNUMBER(P205),ISNUMBER(AF205)),P205+AF205,""))</f>
        <v/>
      </c>
      <c r="AK205" s="19">
        <f>IF(OR(NOT(ISNUMBER(AE205)),NOT(ISNUMBER(AJ205)),AJ205&lt;=0),"",IF(AND(ISNUMBER(G205),AJ205&lt;0.1*G205),"",AE205/AJ205))</f>
        <v/>
      </c>
      <c r="AL205" s="17">
        <f>IF(NOT(ISNUMBER(P205)),"",IF(ISNUMBER(Q205),(P205+Q205)/2,P205))</f>
        <v/>
      </c>
      <c r="AM205" s="19">
        <f>IF(AND(ISNUMBER(L205),ISNUMBER(AL205),AL205&gt;0),L205/AL205,"")</f>
        <v/>
      </c>
      <c r="AN205" s="19">
        <f>IF(AND(ISNUMBER(AM205),ISNUMBER({ROIC})),AM205-{ROIC},"")</f>
        <v/>
      </c>
      <c r="AO205" s="17">
        <f>IF(AND(ISNUMBER(AC205),ISNUMBER(M205)),AC205+M205,"")</f>
        <v/>
      </c>
      <c r="AP205" s="20">
        <f>IF(AND(ISNUMBER(AF205),ISNUMBER(R205),ISNUMBER(AO205),AO205&gt;0),(AF205-R205)/AO205,"")</f>
        <v/>
      </c>
      <c r="AQ205" s="20">
        <f>IF(AND(ISNUMBER(AC205),ISNUMBER(I205),I205&lt;&gt;0,AC205&gt;0),AC205/I205,"")</f>
        <v/>
      </c>
      <c r="AR205" s="17">
        <f>IF(AND(ISNUMBER(W205),ISNUMBER(Y205)),W205-IF(ISNUMBER(R205),R205,0)-(Y205-IF(ISNUMBER(T205),T205,0)),"")</f>
        <v/>
      </c>
      <c r="AS205" s="17">
        <f>IF(AND(ISNUMBER(X205),ISNUMBER(Z205)),X205-IF(ISNUMBER(S205),S205,0)-(Z205-IF(ISNUMBER(U205),U205,0)),"")</f>
        <v/>
      </c>
      <c r="AT205" s="17">
        <f>IF(AND(ISNUMBER(AR205),ISNUMBER(AS205)),AR205-AS205,"")</f>
        <v/>
      </c>
      <c r="AU205" s="17">
        <f>IF(E205="금융","",IF(AND(ISNUMBER(L205),ISNUMBER(M205),ISNUMBER(N205),ISNUMBER(AT205)),L205+M205-N205-AT205,IF(AND(ISNUMBER(O205),ISNUMBER(N205)),O205-N205,"")))</f>
        <v/>
      </c>
      <c r="AV205" s="8">
        <f>IF(E205="금융","금융업 - 정의되지 않음",IF(AND(ISNUMBER(L205),ISNUMBER(M205),ISNUMBER(N205),ISNUMBER(AT205)),"순이익+감가상각-설비투자-운전자본증감",IF(AND(ISNUMBER(O205),ISNUMBER(N205)),"영업현금흐름-설비투자","산출불가")))</f>
        <v/>
      </c>
      <c r="AW205" s="19">
        <f>IF(AND(ISNUMBER(AU205),ISNUMBER(G205),G205&lt;&gt;0),AU205/G205,"")</f>
        <v/>
      </c>
      <c r="AX205" s="19">
        <f>IF(AND(ISNUMBER(AC205),ISNUMBER(G205),G205&lt;&gt;0),AC205/G205,"")</f>
        <v/>
      </c>
    </row>
    <row r="206">
      <c r="A206" s="8" t="inlineStr">
        <is>
          <t>JNJ</t>
        </is>
      </c>
      <c r="B206" s="8" t="inlineStr">
        <is>
          <t>JOHNSON &amp; JOHNSON</t>
        </is>
      </c>
      <c r="C206" s="8" t="n">
        <v>2025</v>
      </c>
      <c r="D206" s="8" t="inlineStr">
        <is>
          <t>2025-12-28</t>
        </is>
      </c>
      <c r="E206" s="8" t="inlineStr">
        <is>
          <t>일반</t>
        </is>
      </c>
      <c r="F206" s="8" t="inlineStr">
        <is>
          <t>0000200406-26-000016</t>
        </is>
      </c>
      <c r="G206" s="15" t="n">
        <v>94.193</v>
      </c>
      <c r="H206" s="15" t="n">
        <v>32.581</v>
      </c>
      <c r="I206" s="15" t="n">
        <v>0.971</v>
      </c>
      <c r="J206" s="15" t="n">
        <v>5.777</v>
      </c>
      <c r="K206" s="15" t="n"/>
      <c r="L206" s="15" t="n">
        <v>26.804</v>
      </c>
      <c r="M206" s="15" t="n">
        <v>7.503</v>
      </c>
      <c r="N206" s="15" t="n">
        <v>4.832</v>
      </c>
      <c r="O206" s="15" t="n">
        <v>24.53</v>
      </c>
      <c r="P206" s="15" t="n">
        <v>81.544</v>
      </c>
      <c r="Q206" s="15" t="n">
        <v>71.48999999999999</v>
      </c>
      <c r="R206" s="15" t="n">
        <v>20.102</v>
      </c>
      <c r="S206" s="15" t="n">
        <v>24.522</v>
      </c>
      <c r="T206" s="15" t="n">
        <v>8.5</v>
      </c>
      <c r="U206" s="15" t="n">
        <v>6</v>
      </c>
      <c r="V206" s="15" t="n">
        <v>39.438</v>
      </c>
      <c r="W206" s="15" t="n">
        <v>55.624</v>
      </c>
      <c r="X206" s="15" t="n">
        <v>55.893</v>
      </c>
      <c r="Y206" s="15" t="n">
        <v>54.126</v>
      </c>
      <c r="Z206" s="15" t="n">
        <v>50.321</v>
      </c>
      <c r="AA206" s="15" t="n">
        <v>83.619</v>
      </c>
      <c r="AB206" s="16" t="n">
        <v>2429.4</v>
      </c>
      <c r="AC206" s="17">
        <f>IF(AND(ISNUMBER(H206),ISNUMBER(I206)),H206+I206,IF(ISNUMBER(K206),K206,IF(ISNUMBER(H206),H206,"")))</f>
        <v/>
      </c>
      <c r="AD206" s="18">
        <f>IF(OR(NOT(ISNUMBER(J206)),NOT(ISNUMBER(H206)),H206&lt;=0),기준표!$B$8,MIN(MAX(J206/H206,기준표!$B$6),기준표!$B$7))</f>
        <v/>
      </c>
      <c r="AE206" s="17">
        <f>IF(ISNUMBER(AC206),AC206*(1-AD206),"")</f>
        <v/>
      </c>
      <c r="AF206" s="17">
        <f>IF(AND(NOT(ISNUMBER(T206)),NOT(ISNUMBER(V206))),"",IF(ISNUMBER(T206),T206,0)+IF(ISNUMBER(V206),V206,0))</f>
        <v/>
      </c>
      <c r="AG206" s="17">
        <f>IF(E206="금융","",IF(AND(ISNUMBER(P206),ISNUMBER(AF206),ISNUMBER(R206)),P206+AF206-R206,""))</f>
        <v/>
      </c>
      <c r="AH206" s="17">
        <f>IF(E206="금융","",IF(NOT(ISNUMBER(AG206)),"",IF(ISNUMBER(AA206),(AG206+AA206)/2,AG206)))</f>
        <v/>
      </c>
      <c r="AI206" s="19">
        <f>IF(AND(ISNUMBER(AE206),ISNUMBER(AH206),AH206&gt;0),AE206/AH206,"")</f>
        <v/>
      </c>
      <c r="AJ206" s="17">
        <f>IF(E206="금융","",IF(AND(ISNUMBER(P206),ISNUMBER(AF206)),P206+AF206,""))</f>
        <v/>
      </c>
      <c r="AK206" s="19">
        <f>IF(OR(NOT(ISNUMBER(AE206)),NOT(ISNUMBER(AJ206)),AJ206&lt;=0),"",IF(AND(ISNUMBER(G206),AJ206&lt;0.1*G206),"",AE206/AJ206))</f>
        <v/>
      </c>
      <c r="AL206" s="17">
        <f>IF(NOT(ISNUMBER(P206)),"",IF(ISNUMBER(Q206),(P206+Q206)/2,P206))</f>
        <v/>
      </c>
      <c r="AM206" s="19">
        <f>IF(AND(ISNUMBER(L206),ISNUMBER(AL206),AL206&gt;0),L206/AL206,"")</f>
        <v/>
      </c>
      <c r="AN206" s="19">
        <f>IF(AND(ISNUMBER(AM206),ISNUMBER({ROIC})),AM206-{ROIC},"")</f>
        <v/>
      </c>
      <c r="AO206" s="17">
        <f>IF(AND(ISNUMBER(AC206),ISNUMBER(M206)),AC206+M206,"")</f>
        <v/>
      </c>
      <c r="AP206" s="20">
        <f>IF(AND(ISNUMBER(AF206),ISNUMBER(R206),ISNUMBER(AO206),AO206&gt;0),(AF206-R206)/AO206,"")</f>
        <v/>
      </c>
      <c r="AQ206" s="20">
        <f>IF(AND(ISNUMBER(AC206),ISNUMBER(I206),I206&lt;&gt;0,AC206&gt;0),AC206/I206,"")</f>
        <v/>
      </c>
      <c r="AR206" s="17">
        <f>IF(AND(ISNUMBER(W206),ISNUMBER(Y206)),W206-IF(ISNUMBER(R206),R206,0)-(Y206-IF(ISNUMBER(T206),T206,0)),"")</f>
        <v/>
      </c>
      <c r="AS206" s="17">
        <f>IF(AND(ISNUMBER(X206),ISNUMBER(Z206)),X206-IF(ISNUMBER(S206),S206,0)-(Z206-IF(ISNUMBER(U206),U206,0)),"")</f>
        <v/>
      </c>
      <c r="AT206" s="17">
        <f>IF(AND(ISNUMBER(AR206),ISNUMBER(AS206)),AR206-AS206,"")</f>
        <v/>
      </c>
      <c r="AU206" s="17">
        <f>IF(E206="금융","",IF(AND(ISNUMBER(L206),ISNUMBER(M206),ISNUMBER(N206),ISNUMBER(AT206)),L206+M206-N206-AT206,IF(AND(ISNUMBER(O206),ISNUMBER(N206)),O206-N206,"")))</f>
        <v/>
      </c>
      <c r="AV206" s="8">
        <f>IF(E206="금융","금융업 - 정의되지 않음",IF(AND(ISNUMBER(L206),ISNUMBER(M206),ISNUMBER(N206),ISNUMBER(AT206)),"순이익+감가상각-설비투자-운전자본증감",IF(AND(ISNUMBER(O206),ISNUMBER(N206)),"영업현금흐름-설비투자","산출불가")))</f>
        <v/>
      </c>
      <c r="AW206" s="19">
        <f>IF(AND(ISNUMBER(AU206),ISNUMBER(G206),G206&lt;&gt;0),AU206/G206,"")</f>
        <v/>
      </c>
      <c r="AX206" s="19">
        <f>IF(AND(ISNUMBER(AC206),ISNUMBER(G206),G206&lt;&gt;0),AC206/G206,"")</f>
        <v/>
      </c>
    </row>
    <row r="207">
      <c r="A207" s="8" t="inlineStr">
        <is>
          <t>INTC</t>
        </is>
      </c>
      <c r="B207" s="8" t="inlineStr">
        <is>
          <t>INTEL CORP</t>
        </is>
      </c>
      <c r="C207" s="8" t="n">
        <v>2014</v>
      </c>
      <c r="D207" s="8" t="inlineStr">
        <is>
          <t>2014-12-27</t>
        </is>
      </c>
      <c r="E207" s="8" t="inlineStr">
        <is>
          <t>일반</t>
        </is>
      </c>
      <c r="F207" s="8" t="inlineStr">
        <is>
          <t>0000050863-17-000012</t>
        </is>
      </c>
      <c r="G207" s="15" t="n"/>
      <c r="H207" s="15" t="n">
        <v>15.801</v>
      </c>
      <c r="I207" s="15" t="n"/>
      <c r="J207" s="15" t="n">
        <v>4.097</v>
      </c>
      <c r="K207" s="15" t="n">
        <v>15.347</v>
      </c>
      <c r="L207" s="15" t="n">
        <v>11.704</v>
      </c>
      <c r="M207" s="15" t="n">
        <v>7.38</v>
      </c>
      <c r="N207" s="15" t="n">
        <v>10.105</v>
      </c>
      <c r="O207" s="15" t="n">
        <v>20.418</v>
      </c>
      <c r="P207" s="15" t="n">
        <v>55.865</v>
      </c>
      <c r="Q207" s="15" t="n"/>
      <c r="R207" s="15" t="n"/>
      <c r="S207" s="15" t="n"/>
      <c r="T207" s="15" t="n">
        <v>1.596</v>
      </c>
      <c r="U207" s="15" t="n"/>
      <c r="V207" s="15" t="n">
        <v>12.059</v>
      </c>
      <c r="W207" s="15" t="n">
        <v>27.73</v>
      </c>
      <c r="X207" s="15" t="n"/>
      <c r="Y207" s="15" t="n">
        <v>16.011</v>
      </c>
      <c r="Z207" s="15" t="n"/>
      <c r="AA207" s="15" t="n"/>
      <c r="AB207" s="16" t="n">
        <v>4748</v>
      </c>
      <c r="AC207" s="17">
        <f>IF(AND(ISNUMBER(H207),ISNUMBER(I207)),H207+I207,IF(ISNUMBER(K207),K207,IF(ISNUMBER(H207),H207,"")))</f>
        <v/>
      </c>
      <c r="AD207" s="18">
        <f>IF(OR(NOT(ISNUMBER(J207)),NOT(ISNUMBER(H207)),H207&lt;=0),기준표!$B$8,MIN(MAX(J207/H207,기준표!$B$6),기준표!$B$7))</f>
        <v/>
      </c>
      <c r="AE207" s="17">
        <f>IF(ISNUMBER(AC207),AC207*(1-AD207),"")</f>
        <v/>
      </c>
      <c r="AF207" s="17">
        <f>IF(AND(NOT(ISNUMBER(T207)),NOT(ISNUMBER(V207))),"",IF(ISNUMBER(T207),T207,0)+IF(ISNUMBER(V207),V207,0))</f>
        <v/>
      </c>
      <c r="AG207" s="17">
        <f>IF(E207="금융","",IF(AND(ISNUMBER(P207),ISNUMBER(AF207),ISNUMBER(R207)),P207+AF207-R207,""))</f>
        <v/>
      </c>
      <c r="AH207" s="17">
        <f>IF(E207="금융","",IF(NOT(ISNUMBER(AG207)),"",IF(ISNUMBER(AA207),(AG207+AA207)/2,AG207)))</f>
        <v/>
      </c>
      <c r="AI207" s="19">
        <f>IF(AND(ISNUMBER(AE207),ISNUMBER(AH207),AH207&gt;0),AE207/AH207,"")</f>
        <v/>
      </c>
      <c r="AJ207" s="17">
        <f>IF(E207="금융","",IF(AND(ISNUMBER(P207),ISNUMBER(AF207)),P207+AF207,""))</f>
        <v/>
      </c>
      <c r="AK207" s="19">
        <f>IF(OR(NOT(ISNUMBER(AE207)),NOT(ISNUMBER(AJ207)),AJ207&lt;=0),"",IF(AND(ISNUMBER(G207),AJ207&lt;0.1*G207),"",AE207/AJ207))</f>
        <v/>
      </c>
      <c r="AL207" s="17">
        <f>IF(NOT(ISNUMBER(P207)),"",IF(ISNUMBER(Q207),(P207+Q207)/2,P207))</f>
        <v/>
      </c>
      <c r="AM207" s="19">
        <f>IF(AND(ISNUMBER(L207),ISNUMBER(AL207),AL207&gt;0),L207/AL207,"")</f>
        <v/>
      </c>
      <c r="AN207" s="19">
        <f>IF(AND(ISNUMBER(AM207),ISNUMBER({ROIC})),AM207-{ROIC},"")</f>
        <v/>
      </c>
      <c r="AO207" s="17">
        <f>IF(AND(ISNUMBER(AC207),ISNUMBER(M207)),AC207+M207,"")</f>
        <v/>
      </c>
      <c r="AP207" s="20">
        <f>IF(AND(ISNUMBER(AF207),ISNUMBER(R207),ISNUMBER(AO207),AO207&gt;0),(AF207-R207)/AO207,"")</f>
        <v/>
      </c>
      <c r="AQ207" s="20">
        <f>IF(AND(ISNUMBER(AC207),ISNUMBER(I207),I207&lt;&gt;0,AC207&gt;0),AC207/I207,"")</f>
        <v/>
      </c>
      <c r="AR207" s="17">
        <f>IF(AND(ISNUMBER(W207),ISNUMBER(Y207)),W207-IF(ISNUMBER(R207),R207,0)-(Y207-IF(ISNUMBER(T207),T207,0)),"")</f>
        <v/>
      </c>
      <c r="AS207" s="17">
        <f>IF(AND(ISNUMBER(X207),ISNUMBER(Z207)),X207-IF(ISNUMBER(S207),S207,0)-(Z207-IF(ISNUMBER(U207),U207,0)),"")</f>
        <v/>
      </c>
      <c r="AT207" s="17">
        <f>IF(AND(ISNUMBER(AR207),ISNUMBER(AS207)),AR207-AS207,"")</f>
        <v/>
      </c>
      <c r="AU207" s="17">
        <f>IF(E207="금융","",IF(AND(ISNUMBER(L207),ISNUMBER(M207),ISNUMBER(N207),ISNUMBER(AT207)),L207+M207-N207-AT207,IF(AND(ISNUMBER(O207),ISNUMBER(N207)),O207-N207,"")))</f>
        <v/>
      </c>
      <c r="AV207" s="8">
        <f>IF(E207="금융","금융업 - 정의되지 않음",IF(AND(ISNUMBER(L207),ISNUMBER(M207),ISNUMBER(N207),ISNUMBER(AT207)),"순이익+감가상각-설비투자-운전자본증감",IF(AND(ISNUMBER(O207),ISNUMBER(N207)),"영업현금흐름-설비투자","산출불가")))</f>
        <v/>
      </c>
      <c r="AW207" s="19">
        <f>IF(AND(ISNUMBER(AU207),ISNUMBER(G207),G207&lt;&gt;0),AU207/G207,"")</f>
        <v/>
      </c>
      <c r="AX207" s="19">
        <f>IF(AND(ISNUMBER(AC207),ISNUMBER(G207),G207&lt;&gt;0),AC207/G207,"")</f>
        <v/>
      </c>
    </row>
    <row r="208">
      <c r="A208" s="8" t="inlineStr">
        <is>
          <t>INTC</t>
        </is>
      </c>
      <c r="B208" s="8" t="inlineStr">
        <is>
          <t>INTEL CORP</t>
        </is>
      </c>
      <c r="C208" s="8" t="n">
        <v>2015</v>
      </c>
      <c r="D208" s="8" t="inlineStr">
        <is>
          <t>2015-12-26</t>
        </is>
      </c>
      <c r="E208" s="8" t="inlineStr">
        <is>
          <t>일반</t>
        </is>
      </c>
      <c r="F208" s="8" t="inlineStr">
        <is>
          <t>0000050863-18-000007</t>
        </is>
      </c>
      <c r="G208" s="15" t="n"/>
      <c r="H208" s="15" t="n">
        <v>14.212</v>
      </c>
      <c r="I208" s="15" t="n"/>
      <c r="J208" s="15" t="n">
        <v>2.792</v>
      </c>
      <c r="K208" s="15" t="n">
        <v>14.002</v>
      </c>
      <c r="L208" s="15" t="n">
        <v>11.42</v>
      </c>
      <c r="M208" s="15" t="n">
        <v>7.821</v>
      </c>
      <c r="N208" s="15" t="n">
        <v>7.326</v>
      </c>
      <c r="O208" s="15" t="n">
        <v>19.018</v>
      </c>
      <c r="P208" s="15" t="n">
        <v>61.085</v>
      </c>
      <c r="Q208" s="15" t="n">
        <v>55.865</v>
      </c>
      <c r="R208" s="15" t="n"/>
      <c r="S208" s="15" t="n"/>
      <c r="T208" s="15" t="n">
        <v>2.634</v>
      </c>
      <c r="U208" s="15" t="n">
        <v>1.596</v>
      </c>
      <c r="V208" s="15" t="n">
        <v>20.036</v>
      </c>
      <c r="W208" s="15" t="n">
        <v>38.32</v>
      </c>
      <c r="X208" s="15" t="n">
        <v>27.73</v>
      </c>
      <c r="Y208" s="15" t="n">
        <v>15.646</v>
      </c>
      <c r="Z208" s="15" t="n">
        <v>16.011</v>
      </c>
      <c r="AA208" s="15" t="n"/>
      <c r="AB208" s="16" t="n">
        <v>4725</v>
      </c>
      <c r="AC208" s="17">
        <f>IF(AND(ISNUMBER(H208),ISNUMBER(I208)),H208+I208,IF(ISNUMBER(K208),K208,IF(ISNUMBER(H208),H208,"")))</f>
        <v/>
      </c>
      <c r="AD208" s="18">
        <f>IF(OR(NOT(ISNUMBER(J208)),NOT(ISNUMBER(H208)),H208&lt;=0),기준표!$B$8,MIN(MAX(J208/H208,기준표!$B$6),기준표!$B$7))</f>
        <v/>
      </c>
      <c r="AE208" s="17">
        <f>IF(ISNUMBER(AC208),AC208*(1-AD208),"")</f>
        <v/>
      </c>
      <c r="AF208" s="17">
        <f>IF(AND(NOT(ISNUMBER(T208)),NOT(ISNUMBER(V208))),"",IF(ISNUMBER(T208),T208,0)+IF(ISNUMBER(V208),V208,0))</f>
        <v/>
      </c>
      <c r="AG208" s="17">
        <f>IF(E208="금융","",IF(AND(ISNUMBER(P208),ISNUMBER(AF208),ISNUMBER(R208)),P208+AF208-R208,""))</f>
        <v/>
      </c>
      <c r="AH208" s="17">
        <f>IF(E208="금융","",IF(NOT(ISNUMBER(AG208)),"",IF(ISNUMBER(AA208),(AG208+AA208)/2,AG208)))</f>
        <v/>
      </c>
      <c r="AI208" s="19">
        <f>IF(AND(ISNUMBER(AE208),ISNUMBER(AH208),AH208&gt;0),AE208/AH208,"")</f>
        <v/>
      </c>
      <c r="AJ208" s="17">
        <f>IF(E208="금융","",IF(AND(ISNUMBER(P208),ISNUMBER(AF208)),P208+AF208,""))</f>
        <v/>
      </c>
      <c r="AK208" s="19">
        <f>IF(OR(NOT(ISNUMBER(AE208)),NOT(ISNUMBER(AJ208)),AJ208&lt;=0),"",IF(AND(ISNUMBER(G208),AJ208&lt;0.1*G208),"",AE208/AJ208))</f>
        <v/>
      </c>
      <c r="AL208" s="17">
        <f>IF(NOT(ISNUMBER(P208)),"",IF(ISNUMBER(Q208),(P208+Q208)/2,P208))</f>
        <v/>
      </c>
      <c r="AM208" s="19">
        <f>IF(AND(ISNUMBER(L208),ISNUMBER(AL208),AL208&gt;0),L208/AL208,"")</f>
        <v/>
      </c>
      <c r="AN208" s="19">
        <f>IF(AND(ISNUMBER(AM208),ISNUMBER({ROIC})),AM208-{ROIC},"")</f>
        <v/>
      </c>
      <c r="AO208" s="17">
        <f>IF(AND(ISNUMBER(AC208),ISNUMBER(M208)),AC208+M208,"")</f>
        <v/>
      </c>
      <c r="AP208" s="20">
        <f>IF(AND(ISNUMBER(AF208),ISNUMBER(R208),ISNUMBER(AO208),AO208&gt;0),(AF208-R208)/AO208,"")</f>
        <v/>
      </c>
      <c r="AQ208" s="20">
        <f>IF(AND(ISNUMBER(AC208),ISNUMBER(I208),I208&lt;&gt;0,AC208&gt;0),AC208/I208,"")</f>
        <v/>
      </c>
      <c r="AR208" s="17">
        <f>IF(AND(ISNUMBER(W208),ISNUMBER(Y208)),W208-IF(ISNUMBER(R208),R208,0)-(Y208-IF(ISNUMBER(T208),T208,0)),"")</f>
        <v/>
      </c>
      <c r="AS208" s="17">
        <f>IF(AND(ISNUMBER(X208),ISNUMBER(Z208)),X208-IF(ISNUMBER(S208),S208,0)-(Z208-IF(ISNUMBER(U208),U208,0)),"")</f>
        <v/>
      </c>
      <c r="AT208" s="17">
        <f>IF(AND(ISNUMBER(AR208),ISNUMBER(AS208)),AR208-AS208,"")</f>
        <v/>
      </c>
      <c r="AU208" s="17">
        <f>IF(E208="금융","",IF(AND(ISNUMBER(L208),ISNUMBER(M208),ISNUMBER(N208),ISNUMBER(AT208)),L208+M208-N208-AT208,IF(AND(ISNUMBER(O208),ISNUMBER(N208)),O208-N208,"")))</f>
        <v/>
      </c>
      <c r="AV208" s="8">
        <f>IF(E208="금융","금융업 - 정의되지 않음",IF(AND(ISNUMBER(L208),ISNUMBER(M208),ISNUMBER(N208),ISNUMBER(AT208)),"순이익+감가상각-설비투자-운전자본증감",IF(AND(ISNUMBER(O208),ISNUMBER(N208)),"영업현금흐름-설비투자","산출불가")))</f>
        <v/>
      </c>
      <c r="AW208" s="19">
        <f>IF(AND(ISNUMBER(AU208),ISNUMBER(G208),G208&lt;&gt;0),AU208/G208,"")</f>
        <v/>
      </c>
      <c r="AX208" s="19">
        <f>IF(AND(ISNUMBER(AC208),ISNUMBER(G208),G208&lt;&gt;0),AC208/G208,"")</f>
        <v/>
      </c>
    </row>
    <row r="209">
      <c r="A209" s="8" t="inlineStr">
        <is>
          <t>INTC</t>
        </is>
      </c>
      <c r="B209" s="8" t="inlineStr">
        <is>
          <t>INTEL CORP</t>
        </is>
      </c>
      <c r="C209" s="8" t="n">
        <v>2016</v>
      </c>
      <c r="D209" s="8" t="inlineStr">
        <is>
          <t>2016-12-31</t>
        </is>
      </c>
      <c r="E209" s="8" t="inlineStr">
        <is>
          <t>일반</t>
        </is>
      </c>
      <c r="F209" s="8" t="inlineStr">
        <is>
          <t>0000050863-19-000007</t>
        </is>
      </c>
      <c r="G209" s="15" t="n">
        <v>59.387</v>
      </c>
      <c r="H209" s="15" t="n">
        <v>12.936</v>
      </c>
      <c r="I209" s="15" t="n"/>
      <c r="J209" s="15" t="n">
        <v>2.62</v>
      </c>
      <c r="K209" s="15" t="n">
        <v>13.133</v>
      </c>
      <c r="L209" s="15" t="n">
        <v>10.316</v>
      </c>
      <c r="M209" s="15" t="n">
        <v>6.266</v>
      </c>
      <c r="N209" s="15" t="n">
        <v>9.625</v>
      </c>
      <c r="O209" s="15" t="n">
        <v>21.808</v>
      </c>
      <c r="P209" s="15" t="n">
        <v>66.226</v>
      </c>
      <c r="Q209" s="15" t="n">
        <v>61.085</v>
      </c>
      <c r="R209" s="15" t="n">
        <v>8.785</v>
      </c>
      <c r="S209" s="15" t="n"/>
      <c r="T209" s="15" t="n">
        <v>4.634</v>
      </c>
      <c r="U209" s="15" t="n">
        <v>2.634</v>
      </c>
      <c r="V209" s="15" t="n">
        <v>20.649</v>
      </c>
      <c r="W209" s="15" t="n">
        <v>35.508</v>
      </c>
      <c r="X209" s="15" t="n">
        <v>38.32</v>
      </c>
      <c r="Y209" s="15" t="n">
        <v>20.302</v>
      </c>
      <c r="Z209" s="15" t="n">
        <v>15.646</v>
      </c>
      <c r="AA209" s="15" t="n"/>
      <c r="AB209" s="16" t="n">
        <v>4730</v>
      </c>
      <c r="AC209" s="17">
        <f>IF(AND(ISNUMBER(H209),ISNUMBER(I209)),H209+I209,IF(ISNUMBER(K209),K209,IF(ISNUMBER(H209),H209,"")))</f>
        <v/>
      </c>
      <c r="AD209" s="18">
        <f>IF(OR(NOT(ISNUMBER(J209)),NOT(ISNUMBER(H209)),H209&lt;=0),기준표!$B$8,MIN(MAX(J209/H209,기준표!$B$6),기준표!$B$7))</f>
        <v/>
      </c>
      <c r="AE209" s="17">
        <f>IF(ISNUMBER(AC209),AC209*(1-AD209),"")</f>
        <v/>
      </c>
      <c r="AF209" s="17">
        <f>IF(AND(NOT(ISNUMBER(T209)),NOT(ISNUMBER(V209))),"",IF(ISNUMBER(T209),T209,0)+IF(ISNUMBER(V209),V209,0))</f>
        <v/>
      </c>
      <c r="AG209" s="17">
        <f>IF(E209="금융","",IF(AND(ISNUMBER(P209),ISNUMBER(AF209),ISNUMBER(R209)),P209+AF209-R209,""))</f>
        <v/>
      </c>
      <c r="AH209" s="17">
        <f>IF(E209="금융","",IF(NOT(ISNUMBER(AG209)),"",IF(ISNUMBER(AA209),(AG209+AA209)/2,AG209)))</f>
        <v/>
      </c>
      <c r="AI209" s="19">
        <f>IF(AND(ISNUMBER(AE209),ISNUMBER(AH209),AH209&gt;0),AE209/AH209,"")</f>
        <v/>
      </c>
      <c r="AJ209" s="17">
        <f>IF(E209="금융","",IF(AND(ISNUMBER(P209),ISNUMBER(AF209)),P209+AF209,""))</f>
        <v/>
      </c>
      <c r="AK209" s="19">
        <f>IF(OR(NOT(ISNUMBER(AE209)),NOT(ISNUMBER(AJ209)),AJ209&lt;=0),"",IF(AND(ISNUMBER(G209),AJ209&lt;0.1*G209),"",AE209/AJ209))</f>
        <v/>
      </c>
      <c r="AL209" s="17">
        <f>IF(NOT(ISNUMBER(P209)),"",IF(ISNUMBER(Q209),(P209+Q209)/2,P209))</f>
        <v/>
      </c>
      <c r="AM209" s="19">
        <f>IF(AND(ISNUMBER(L209),ISNUMBER(AL209),AL209&gt;0),L209/AL209,"")</f>
        <v/>
      </c>
      <c r="AN209" s="19">
        <f>IF(AND(ISNUMBER(AM209),ISNUMBER({ROIC})),AM209-{ROIC},"")</f>
        <v/>
      </c>
      <c r="AO209" s="17">
        <f>IF(AND(ISNUMBER(AC209),ISNUMBER(M209)),AC209+M209,"")</f>
        <v/>
      </c>
      <c r="AP209" s="20">
        <f>IF(AND(ISNUMBER(AF209),ISNUMBER(R209),ISNUMBER(AO209),AO209&gt;0),(AF209-R209)/AO209,"")</f>
        <v/>
      </c>
      <c r="AQ209" s="20">
        <f>IF(AND(ISNUMBER(AC209),ISNUMBER(I209),I209&lt;&gt;0,AC209&gt;0),AC209/I209,"")</f>
        <v/>
      </c>
      <c r="AR209" s="17">
        <f>IF(AND(ISNUMBER(W209),ISNUMBER(Y209)),W209-IF(ISNUMBER(R209),R209,0)-(Y209-IF(ISNUMBER(T209),T209,0)),"")</f>
        <v/>
      </c>
      <c r="AS209" s="17">
        <f>IF(AND(ISNUMBER(X209),ISNUMBER(Z209)),X209-IF(ISNUMBER(S209),S209,0)-(Z209-IF(ISNUMBER(U209),U209,0)),"")</f>
        <v/>
      </c>
      <c r="AT209" s="17">
        <f>IF(AND(ISNUMBER(AR209),ISNUMBER(AS209)),AR209-AS209,"")</f>
        <v/>
      </c>
      <c r="AU209" s="17">
        <f>IF(E209="금융","",IF(AND(ISNUMBER(L209),ISNUMBER(M209),ISNUMBER(N209),ISNUMBER(AT209)),L209+M209-N209-AT209,IF(AND(ISNUMBER(O209),ISNUMBER(N209)),O209-N209,"")))</f>
        <v/>
      </c>
      <c r="AV209" s="8">
        <f>IF(E209="금융","금융업 - 정의되지 않음",IF(AND(ISNUMBER(L209),ISNUMBER(M209),ISNUMBER(N209),ISNUMBER(AT209)),"순이익+감가상각-설비투자-운전자본증감",IF(AND(ISNUMBER(O209),ISNUMBER(N209)),"영업현금흐름-설비투자","산출불가")))</f>
        <v/>
      </c>
      <c r="AW209" s="19">
        <f>IF(AND(ISNUMBER(AU209),ISNUMBER(G209),G209&lt;&gt;0),AU209/G209,"")</f>
        <v/>
      </c>
      <c r="AX209" s="19">
        <f>IF(AND(ISNUMBER(AC209),ISNUMBER(G209),G209&lt;&gt;0),AC209/G209,"")</f>
        <v/>
      </c>
    </row>
    <row r="210">
      <c r="A210" s="8" t="inlineStr">
        <is>
          <t>INTC</t>
        </is>
      </c>
      <c r="B210" s="8" t="inlineStr">
        <is>
          <t>INTEL CORP</t>
        </is>
      </c>
      <c r="C210" s="8" t="n">
        <v>2017</v>
      </c>
      <c r="D210" s="8" t="inlineStr">
        <is>
          <t>2017-12-30</t>
        </is>
      </c>
      <c r="E210" s="8" t="inlineStr">
        <is>
          <t>일반</t>
        </is>
      </c>
      <c r="F210" s="8" t="inlineStr">
        <is>
          <t>0000050863-20-000011</t>
        </is>
      </c>
      <c r="G210" s="15" t="n">
        <v>62.761</v>
      </c>
      <c r="H210" s="15" t="n">
        <v>20.352</v>
      </c>
      <c r="I210" s="15" t="n"/>
      <c r="J210" s="15" t="n">
        <v>10.751</v>
      </c>
      <c r="K210" s="15" t="n">
        <v>18.05</v>
      </c>
      <c r="L210" s="15" t="n">
        <v>9.601000000000001</v>
      </c>
      <c r="M210" s="15" t="n">
        <v>6.752</v>
      </c>
      <c r="N210" s="15" t="n">
        <v>11.778</v>
      </c>
      <c r="O210" s="15" t="n">
        <v>22.11</v>
      </c>
      <c r="P210" s="15" t="n">
        <v>69.65300000000001</v>
      </c>
      <c r="Q210" s="15" t="n">
        <v>66.226</v>
      </c>
      <c r="R210" s="15" t="n">
        <v>5.247</v>
      </c>
      <c r="S210" s="15" t="n">
        <v>8.785</v>
      </c>
      <c r="T210" s="15" t="n">
        <v>1.776</v>
      </c>
      <c r="U210" s="15" t="n">
        <v>4.634</v>
      </c>
      <c r="V210" s="15" t="n">
        <v>25.037</v>
      </c>
      <c r="W210" s="15" t="n">
        <v>29.5</v>
      </c>
      <c r="X210" s="15" t="n">
        <v>35.508</v>
      </c>
      <c r="Y210" s="15" t="n">
        <v>17.421</v>
      </c>
      <c r="Z210" s="15" t="n">
        <v>20.302</v>
      </c>
      <c r="AA210" s="15" t="n">
        <v>82.724</v>
      </c>
      <c r="AB210" s="16" t="n">
        <v>4687</v>
      </c>
      <c r="AC210" s="17">
        <f>IF(AND(ISNUMBER(H210),ISNUMBER(I210)),H210+I210,IF(ISNUMBER(K210),K210,IF(ISNUMBER(H210),H210,"")))</f>
        <v/>
      </c>
      <c r="AD210" s="18">
        <f>IF(OR(NOT(ISNUMBER(J210)),NOT(ISNUMBER(H210)),H210&lt;=0),기준표!$B$8,MIN(MAX(J210/H210,기준표!$B$6),기준표!$B$7))</f>
        <v/>
      </c>
      <c r="AE210" s="17">
        <f>IF(ISNUMBER(AC210),AC210*(1-AD210),"")</f>
        <v/>
      </c>
      <c r="AF210" s="17">
        <f>IF(AND(NOT(ISNUMBER(T210)),NOT(ISNUMBER(V210))),"",IF(ISNUMBER(T210),T210,0)+IF(ISNUMBER(V210),V210,0))</f>
        <v/>
      </c>
      <c r="AG210" s="17">
        <f>IF(E210="금융","",IF(AND(ISNUMBER(P210),ISNUMBER(AF210),ISNUMBER(R210)),P210+AF210-R210,""))</f>
        <v/>
      </c>
      <c r="AH210" s="17">
        <f>IF(E210="금융","",IF(NOT(ISNUMBER(AG210)),"",IF(ISNUMBER(AA210),(AG210+AA210)/2,AG210)))</f>
        <v/>
      </c>
      <c r="AI210" s="19">
        <f>IF(AND(ISNUMBER(AE210),ISNUMBER(AH210),AH210&gt;0),AE210/AH210,"")</f>
        <v/>
      </c>
      <c r="AJ210" s="17">
        <f>IF(E210="금융","",IF(AND(ISNUMBER(P210),ISNUMBER(AF210)),P210+AF210,""))</f>
        <v/>
      </c>
      <c r="AK210" s="19">
        <f>IF(OR(NOT(ISNUMBER(AE210)),NOT(ISNUMBER(AJ210)),AJ210&lt;=0),"",IF(AND(ISNUMBER(G210),AJ210&lt;0.1*G210),"",AE210/AJ210))</f>
        <v/>
      </c>
      <c r="AL210" s="17">
        <f>IF(NOT(ISNUMBER(P210)),"",IF(ISNUMBER(Q210),(P210+Q210)/2,P210))</f>
        <v/>
      </c>
      <c r="AM210" s="19">
        <f>IF(AND(ISNUMBER(L210),ISNUMBER(AL210),AL210&gt;0),L210/AL210,"")</f>
        <v/>
      </c>
      <c r="AN210" s="19">
        <f>IF(AND(ISNUMBER(AM210),ISNUMBER({ROIC})),AM210-{ROIC},"")</f>
        <v/>
      </c>
      <c r="AO210" s="17">
        <f>IF(AND(ISNUMBER(AC210),ISNUMBER(M210)),AC210+M210,"")</f>
        <v/>
      </c>
      <c r="AP210" s="20">
        <f>IF(AND(ISNUMBER(AF210),ISNUMBER(R210),ISNUMBER(AO210),AO210&gt;0),(AF210-R210)/AO210,"")</f>
        <v/>
      </c>
      <c r="AQ210" s="20">
        <f>IF(AND(ISNUMBER(AC210),ISNUMBER(I210),I210&lt;&gt;0,AC210&gt;0),AC210/I210,"")</f>
        <v/>
      </c>
      <c r="AR210" s="17">
        <f>IF(AND(ISNUMBER(W210),ISNUMBER(Y210)),W210-IF(ISNUMBER(R210),R210,0)-(Y210-IF(ISNUMBER(T210),T210,0)),"")</f>
        <v/>
      </c>
      <c r="AS210" s="17">
        <f>IF(AND(ISNUMBER(X210),ISNUMBER(Z210)),X210-IF(ISNUMBER(S210),S210,0)-(Z210-IF(ISNUMBER(U210),U210,0)),"")</f>
        <v/>
      </c>
      <c r="AT210" s="17">
        <f>IF(AND(ISNUMBER(AR210),ISNUMBER(AS210)),AR210-AS210,"")</f>
        <v/>
      </c>
      <c r="AU210" s="17">
        <f>IF(E210="금융","",IF(AND(ISNUMBER(L210),ISNUMBER(M210),ISNUMBER(N210),ISNUMBER(AT210)),L210+M210-N210-AT210,IF(AND(ISNUMBER(O210),ISNUMBER(N210)),O210-N210,"")))</f>
        <v/>
      </c>
      <c r="AV210" s="8">
        <f>IF(E210="금융","금융업 - 정의되지 않음",IF(AND(ISNUMBER(L210),ISNUMBER(M210),ISNUMBER(N210),ISNUMBER(AT210)),"순이익+감가상각-설비투자-운전자본증감",IF(AND(ISNUMBER(O210),ISNUMBER(N210)),"영업현금흐름-설비투자","산출불가")))</f>
        <v/>
      </c>
      <c r="AW210" s="19">
        <f>IF(AND(ISNUMBER(AU210),ISNUMBER(G210),G210&lt;&gt;0),AU210/G210,"")</f>
        <v/>
      </c>
      <c r="AX210" s="19">
        <f>IF(AND(ISNUMBER(AC210),ISNUMBER(G210),G210&lt;&gt;0),AC210/G210,"")</f>
        <v/>
      </c>
    </row>
    <row r="211">
      <c r="A211" s="8" t="inlineStr">
        <is>
          <t>INTC</t>
        </is>
      </c>
      <c r="B211" s="8" t="inlineStr">
        <is>
          <t>INTEL CORP</t>
        </is>
      </c>
      <c r="C211" s="8" t="n">
        <v>2018</v>
      </c>
      <c r="D211" s="8" t="inlineStr">
        <is>
          <t>2018-12-29</t>
        </is>
      </c>
      <c r="E211" s="8" t="inlineStr">
        <is>
          <t>일반</t>
        </is>
      </c>
      <c r="F211" s="8" t="inlineStr">
        <is>
          <t>0000050863-21-000010</t>
        </is>
      </c>
      <c r="G211" s="15" t="n">
        <v>70.848</v>
      </c>
      <c r="H211" s="15" t="n">
        <v>23.317</v>
      </c>
      <c r="I211" s="15" t="n"/>
      <c r="J211" s="15" t="n">
        <v>2.264</v>
      </c>
      <c r="K211" s="15" t="n">
        <v>23.316</v>
      </c>
      <c r="L211" s="15" t="n">
        <v>21.053</v>
      </c>
      <c r="M211" s="15" t="n">
        <v>7.52</v>
      </c>
      <c r="N211" s="15" t="n">
        <v>15.181</v>
      </c>
      <c r="O211" s="15" t="n">
        <v>29.432</v>
      </c>
      <c r="P211" s="15" t="n">
        <v>74.563</v>
      </c>
      <c r="Q211" s="15" t="n">
        <v>69.65300000000001</v>
      </c>
      <c r="R211" s="15" t="n">
        <v>5.807</v>
      </c>
      <c r="S211" s="15" t="n">
        <v>5.247</v>
      </c>
      <c r="T211" s="15" t="n">
        <v>1.261</v>
      </c>
      <c r="U211" s="15" t="n">
        <v>1.776</v>
      </c>
      <c r="V211" s="15" t="n">
        <v>25.098</v>
      </c>
      <c r="W211" s="15" t="n">
        <v>28.787</v>
      </c>
      <c r="X211" s="15" t="n">
        <v>29.5</v>
      </c>
      <c r="Y211" s="15" t="n">
        <v>16.626</v>
      </c>
      <c r="Z211" s="15" t="n">
        <v>17.421</v>
      </c>
      <c r="AA211" s="15" t="n">
        <v>91.21899999999999</v>
      </c>
      <c r="AB211" s="16" t="n">
        <v>4516</v>
      </c>
      <c r="AC211" s="17">
        <f>IF(AND(ISNUMBER(H211),ISNUMBER(I211)),H211+I211,IF(ISNUMBER(K211),K211,IF(ISNUMBER(H211),H211,"")))</f>
        <v/>
      </c>
      <c r="AD211" s="18">
        <f>IF(OR(NOT(ISNUMBER(J211)),NOT(ISNUMBER(H211)),H211&lt;=0),기준표!$B$8,MIN(MAX(J211/H211,기준표!$B$6),기준표!$B$7))</f>
        <v/>
      </c>
      <c r="AE211" s="17">
        <f>IF(ISNUMBER(AC211),AC211*(1-AD211),"")</f>
        <v/>
      </c>
      <c r="AF211" s="17">
        <f>IF(AND(NOT(ISNUMBER(T211)),NOT(ISNUMBER(V211))),"",IF(ISNUMBER(T211),T211,0)+IF(ISNUMBER(V211),V211,0))</f>
        <v/>
      </c>
      <c r="AG211" s="17">
        <f>IF(E211="금융","",IF(AND(ISNUMBER(P211),ISNUMBER(AF211),ISNUMBER(R211)),P211+AF211-R211,""))</f>
        <v/>
      </c>
      <c r="AH211" s="17">
        <f>IF(E211="금융","",IF(NOT(ISNUMBER(AG211)),"",IF(ISNUMBER(AA211),(AG211+AA211)/2,AG211)))</f>
        <v/>
      </c>
      <c r="AI211" s="19">
        <f>IF(AND(ISNUMBER(AE211),ISNUMBER(AH211),AH211&gt;0),AE211/AH211,"")</f>
        <v/>
      </c>
      <c r="AJ211" s="17">
        <f>IF(E211="금융","",IF(AND(ISNUMBER(P211),ISNUMBER(AF211)),P211+AF211,""))</f>
        <v/>
      </c>
      <c r="AK211" s="19">
        <f>IF(OR(NOT(ISNUMBER(AE211)),NOT(ISNUMBER(AJ211)),AJ211&lt;=0),"",IF(AND(ISNUMBER(G211),AJ211&lt;0.1*G211),"",AE211/AJ211))</f>
        <v/>
      </c>
      <c r="AL211" s="17">
        <f>IF(NOT(ISNUMBER(P211)),"",IF(ISNUMBER(Q211),(P211+Q211)/2,P211))</f>
        <v/>
      </c>
      <c r="AM211" s="19">
        <f>IF(AND(ISNUMBER(L211),ISNUMBER(AL211),AL211&gt;0),L211/AL211,"")</f>
        <v/>
      </c>
      <c r="AN211" s="19">
        <f>IF(AND(ISNUMBER(AM211),ISNUMBER({ROIC})),AM211-{ROIC},"")</f>
        <v/>
      </c>
      <c r="AO211" s="17">
        <f>IF(AND(ISNUMBER(AC211),ISNUMBER(M211)),AC211+M211,"")</f>
        <v/>
      </c>
      <c r="AP211" s="20">
        <f>IF(AND(ISNUMBER(AF211),ISNUMBER(R211),ISNUMBER(AO211),AO211&gt;0),(AF211-R211)/AO211,"")</f>
        <v/>
      </c>
      <c r="AQ211" s="20">
        <f>IF(AND(ISNUMBER(AC211),ISNUMBER(I211),I211&lt;&gt;0,AC211&gt;0),AC211/I211,"")</f>
        <v/>
      </c>
      <c r="AR211" s="17">
        <f>IF(AND(ISNUMBER(W211),ISNUMBER(Y211)),W211-IF(ISNUMBER(R211),R211,0)-(Y211-IF(ISNUMBER(T211),T211,0)),"")</f>
        <v/>
      </c>
      <c r="AS211" s="17">
        <f>IF(AND(ISNUMBER(X211),ISNUMBER(Z211)),X211-IF(ISNUMBER(S211),S211,0)-(Z211-IF(ISNUMBER(U211),U211,0)),"")</f>
        <v/>
      </c>
      <c r="AT211" s="17">
        <f>IF(AND(ISNUMBER(AR211),ISNUMBER(AS211)),AR211-AS211,"")</f>
        <v/>
      </c>
      <c r="AU211" s="17">
        <f>IF(E211="금융","",IF(AND(ISNUMBER(L211),ISNUMBER(M211),ISNUMBER(N211),ISNUMBER(AT211)),L211+M211-N211-AT211,IF(AND(ISNUMBER(O211),ISNUMBER(N211)),O211-N211,"")))</f>
        <v/>
      </c>
      <c r="AV211" s="8">
        <f>IF(E211="금융","금융업 - 정의되지 않음",IF(AND(ISNUMBER(L211),ISNUMBER(M211),ISNUMBER(N211),ISNUMBER(AT211)),"순이익+감가상각-설비투자-운전자본증감",IF(AND(ISNUMBER(O211),ISNUMBER(N211)),"영업현금흐름-설비투자","산출불가")))</f>
        <v/>
      </c>
      <c r="AW211" s="19">
        <f>IF(AND(ISNUMBER(AU211),ISNUMBER(G211),G211&lt;&gt;0),AU211/G211,"")</f>
        <v/>
      </c>
      <c r="AX211" s="19">
        <f>IF(AND(ISNUMBER(AC211),ISNUMBER(G211),G211&lt;&gt;0),AC211/G211,"")</f>
        <v/>
      </c>
    </row>
    <row r="212">
      <c r="A212" s="8" t="inlineStr">
        <is>
          <t>INTC</t>
        </is>
      </c>
      <c r="B212" s="8" t="inlineStr">
        <is>
          <t>INTEL CORP</t>
        </is>
      </c>
      <c r="C212" s="8" t="n">
        <v>2019</v>
      </c>
      <c r="D212" s="8" t="inlineStr">
        <is>
          <t>2019-12-28</t>
        </is>
      </c>
      <c r="E212" s="8" t="inlineStr">
        <is>
          <t>일반</t>
        </is>
      </c>
      <c r="F212" s="8" t="inlineStr">
        <is>
          <t>0000050863-22-000007</t>
        </is>
      </c>
      <c r="G212" s="15" t="n">
        <v>71.965</v>
      </c>
      <c r="H212" s="15" t="n">
        <v>24.058</v>
      </c>
      <c r="I212" s="15" t="n"/>
      <c r="J212" s="15" t="n">
        <v>3.01</v>
      </c>
      <c r="K212" s="15" t="n">
        <v>22.035</v>
      </c>
      <c r="L212" s="15" t="n">
        <v>21.048</v>
      </c>
      <c r="M212" s="15" t="n">
        <v>9.204000000000001</v>
      </c>
      <c r="N212" s="15" t="n">
        <v>16.213</v>
      </c>
      <c r="O212" s="15" t="n">
        <v>33.145</v>
      </c>
      <c r="P212" s="15" t="n">
        <v>77.504</v>
      </c>
      <c r="Q212" s="15" t="n">
        <v>74.563</v>
      </c>
      <c r="R212" s="15" t="n">
        <v>5.276</v>
      </c>
      <c r="S212" s="15" t="n">
        <v>5.807</v>
      </c>
      <c r="T212" s="15" t="n">
        <v>3.693</v>
      </c>
      <c r="U212" s="15" t="n">
        <v>1.261</v>
      </c>
      <c r="V212" s="15" t="n">
        <v>25.308</v>
      </c>
      <c r="W212" s="15" t="n">
        <v>31.239</v>
      </c>
      <c r="X212" s="15" t="n">
        <v>28.787</v>
      </c>
      <c r="Y212" s="15" t="n">
        <v>22.31</v>
      </c>
      <c r="Z212" s="15" t="n">
        <v>16.626</v>
      </c>
      <c r="AA212" s="15" t="n">
        <v>95.11499999999999</v>
      </c>
      <c r="AB212" s="16" t="n">
        <v>4290</v>
      </c>
      <c r="AC212" s="17">
        <f>IF(AND(ISNUMBER(H212),ISNUMBER(I212)),H212+I212,IF(ISNUMBER(K212),K212,IF(ISNUMBER(H212),H212,"")))</f>
        <v/>
      </c>
      <c r="AD212" s="18">
        <f>IF(OR(NOT(ISNUMBER(J212)),NOT(ISNUMBER(H212)),H212&lt;=0),기준표!$B$8,MIN(MAX(J212/H212,기준표!$B$6),기준표!$B$7))</f>
        <v/>
      </c>
      <c r="AE212" s="17">
        <f>IF(ISNUMBER(AC212),AC212*(1-AD212),"")</f>
        <v/>
      </c>
      <c r="AF212" s="17">
        <f>IF(AND(NOT(ISNUMBER(T212)),NOT(ISNUMBER(V212))),"",IF(ISNUMBER(T212),T212,0)+IF(ISNUMBER(V212),V212,0))</f>
        <v/>
      </c>
      <c r="AG212" s="17">
        <f>IF(E212="금융","",IF(AND(ISNUMBER(P212),ISNUMBER(AF212),ISNUMBER(R212)),P212+AF212-R212,""))</f>
        <v/>
      </c>
      <c r="AH212" s="17">
        <f>IF(E212="금융","",IF(NOT(ISNUMBER(AG212)),"",IF(ISNUMBER(AA212),(AG212+AA212)/2,AG212)))</f>
        <v/>
      </c>
      <c r="AI212" s="19">
        <f>IF(AND(ISNUMBER(AE212),ISNUMBER(AH212),AH212&gt;0),AE212/AH212,"")</f>
        <v/>
      </c>
      <c r="AJ212" s="17">
        <f>IF(E212="금융","",IF(AND(ISNUMBER(P212),ISNUMBER(AF212)),P212+AF212,""))</f>
        <v/>
      </c>
      <c r="AK212" s="19">
        <f>IF(OR(NOT(ISNUMBER(AE212)),NOT(ISNUMBER(AJ212)),AJ212&lt;=0),"",IF(AND(ISNUMBER(G212),AJ212&lt;0.1*G212),"",AE212/AJ212))</f>
        <v/>
      </c>
      <c r="AL212" s="17">
        <f>IF(NOT(ISNUMBER(P212)),"",IF(ISNUMBER(Q212),(P212+Q212)/2,P212))</f>
        <v/>
      </c>
      <c r="AM212" s="19">
        <f>IF(AND(ISNUMBER(L212),ISNUMBER(AL212),AL212&gt;0),L212/AL212,"")</f>
        <v/>
      </c>
      <c r="AN212" s="19">
        <f>IF(AND(ISNUMBER(AM212),ISNUMBER({ROIC})),AM212-{ROIC},"")</f>
        <v/>
      </c>
      <c r="AO212" s="17">
        <f>IF(AND(ISNUMBER(AC212),ISNUMBER(M212)),AC212+M212,"")</f>
        <v/>
      </c>
      <c r="AP212" s="20">
        <f>IF(AND(ISNUMBER(AF212),ISNUMBER(R212),ISNUMBER(AO212),AO212&gt;0),(AF212-R212)/AO212,"")</f>
        <v/>
      </c>
      <c r="AQ212" s="20">
        <f>IF(AND(ISNUMBER(AC212),ISNUMBER(I212),I212&lt;&gt;0,AC212&gt;0),AC212/I212,"")</f>
        <v/>
      </c>
      <c r="AR212" s="17">
        <f>IF(AND(ISNUMBER(W212),ISNUMBER(Y212)),W212-IF(ISNUMBER(R212),R212,0)-(Y212-IF(ISNUMBER(T212),T212,0)),"")</f>
        <v/>
      </c>
      <c r="AS212" s="17">
        <f>IF(AND(ISNUMBER(X212),ISNUMBER(Z212)),X212-IF(ISNUMBER(S212),S212,0)-(Z212-IF(ISNUMBER(U212),U212,0)),"")</f>
        <v/>
      </c>
      <c r="AT212" s="17">
        <f>IF(AND(ISNUMBER(AR212),ISNUMBER(AS212)),AR212-AS212,"")</f>
        <v/>
      </c>
      <c r="AU212" s="17">
        <f>IF(E212="금융","",IF(AND(ISNUMBER(L212),ISNUMBER(M212),ISNUMBER(N212),ISNUMBER(AT212)),L212+M212-N212-AT212,IF(AND(ISNUMBER(O212),ISNUMBER(N212)),O212-N212,"")))</f>
        <v/>
      </c>
      <c r="AV212" s="8">
        <f>IF(E212="금융","금융업 - 정의되지 않음",IF(AND(ISNUMBER(L212),ISNUMBER(M212),ISNUMBER(N212),ISNUMBER(AT212)),"순이익+감가상각-설비투자-운전자본증감",IF(AND(ISNUMBER(O212),ISNUMBER(N212)),"영업현금흐름-설비투자","산출불가")))</f>
        <v/>
      </c>
      <c r="AW212" s="19">
        <f>IF(AND(ISNUMBER(AU212),ISNUMBER(G212),G212&lt;&gt;0),AU212/G212,"")</f>
        <v/>
      </c>
      <c r="AX212" s="19">
        <f>IF(AND(ISNUMBER(AC212),ISNUMBER(G212),G212&lt;&gt;0),AC212/G212,"")</f>
        <v/>
      </c>
    </row>
    <row r="213">
      <c r="A213" s="8" t="inlineStr">
        <is>
          <t>INTC</t>
        </is>
      </c>
      <c r="B213" s="8" t="inlineStr">
        <is>
          <t>INTEL CORP</t>
        </is>
      </c>
      <c r="C213" s="8" t="n">
        <v>2020</v>
      </c>
      <c r="D213" s="8" t="inlineStr">
        <is>
          <t>2020-12-26</t>
        </is>
      </c>
      <c r="E213" s="8" t="inlineStr">
        <is>
          <t>일반</t>
        </is>
      </c>
      <c r="F213" s="8" t="inlineStr">
        <is>
          <t>0000050863-23-000006</t>
        </is>
      </c>
      <c r="G213" s="15" t="n">
        <v>77.867</v>
      </c>
      <c r="H213" s="15" t="n">
        <v>25.078</v>
      </c>
      <c r="I213" s="15" t="n"/>
      <c r="J213" s="15" t="n">
        <v>4.179</v>
      </c>
      <c r="K213" s="15" t="n">
        <v>23.678</v>
      </c>
      <c r="L213" s="15" t="n">
        <v>20.899</v>
      </c>
      <c r="M213" s="15" t="n">
        <v>10.482</v>
      </c>
      <c r="N213" s="15" t="n">
        <v>14.259</v>
      </c>
      <c r="O213" s="15" t="n">
        <v>35.864</v>
      </c>
      <c r="P213" s="15" t="n">
        <v>81.038</v>
      </c>
      <c r="Q213" s="15" t="n">
        <v>77.504</v>
      </c>
      <c r="R213" s="15" t="n">
        <v>8.157</v>
      </c>
      <c r="S213" s="15" t="n">
        <v>5.276</v>
      </c>
      <c r="T213" s="15" t="n">
        <v>2.504</v>
      </c>
      <c r="U213" s="15" t="n">
        <v>3.693</v>
      </c>
      <c r="V213" s="15" t="n">
        <v>33.897</v>
      </c>
      <c r="W213" s="15" t="n">
        <v>47.249</v>
      </c>
      <c r="X213" s="15" t="n">
        <v>31.239</v>
      </c>
      <c r="Y213" s="15" t="n">
        <v>24.754</v>
      </c>
      <c r="Z213" s="15" t="n">
        <v>22.31</v>
      </c>
      <c r="AA213" s="15" t="n">
        <v>101.229</v>
      </c>
      <c r="AB213" s="16" t="n">
        <v>4062</v>
      </c>
      <c r="AC213" s="17">
        <f>IF(AND(ISNUMBER(H213),ISNUMBER(I213)),H213+I213,IF(ISNUMBER(K213),K213,IF(ISNUMBER(H213),H213,"")))</f>
        <v/>
      </c>
      <c r="AD213" s="18">
        <f>IF(OR(NOT(ISNUMBER(J213)),NOT(ISNUMBER(H213)),H213&lt;=0),기준표!$B$8,MIN(MAX(J213/H213,기준표!$B$6),기준표!$B$7))</f>
        <v/>
      </c>
      <c r="AE213" s="17">
        <f>IF(ISNUMBER(AC213),AC213*(1-AD213),"")</f>
        <v/>
      </c>
      <c r="AF213" s="17">
        <f>IF(AND(NOT(ISNUMBER(T213)),NOT(ISNUMBER(V213))),"",IF(ISNUMBER(T213),T213,0)+IF(ISNUMBER(V213),V213,0))</f>
        <v/>
      </c>
      <c r="AG213" s="17">
        <f>IF(E213="금융","",IF(AND(ISNUMBER(P213),ISNUMBER(AF213),ISNUMBER(R213)),P213+AF213-R213,""))</f>
        <v/>
      </c>
      <c r="AH213" s="17">
        <f>IF(E213="금융","",IF(NOT(ISNUMBER(AG213)),"",IF(ISNUMBER(AA213),(AG213+AA213)/2,AG213)))</f>
        <v/>
      </c>
      <c r="AI213" s="19">
        <f>IF(AND(ISNUMBER(AE213),ISNUMBER(AH213),AH213&gt;0),AE213/AH213,"")</f>
        <v/>
      </c>
      <c r="AJ213" s="17">
        <f>IF(E213="금융","",IF(AND(ISNUMBER(P213),ISNUMBER(AF213)),P213+AF213,""))</f>
        <v/>
      </c>
      <c r="AK213" s="19">
        <f>IF(OR(NOT(ISNUMBER(AE213)),NOT(ISNUMBER(AJ213)),AJ213&lt;=0),"",IF(AND(ISNUMBER(G213),AJ213&lt;0.1*G213),"",AE213/AJ213))</f>
        <v/>
      </c>
      <c r="AL213" s="17">
        <f>IF(NOT(ISNUMBER(P213)),"",IF(ISNUMBER(Q213),(P213+Q213)/2,P213))</f>
        <v/>
      </c>
      <c r="AM213" s="19">
        <f>IF(AND(ISNUMBER(L213),ISNUMBER(AL213),AL213&gt;0),L213/AL213,"")</f>
        <v/>
      </c>
      <c r="AN213" s="19">
        <f>IF(AND(ISNUMBER(AM213),ISNUMBER({ROIC})),AM213-{ROIC},"")</f>
        <v/>
      </c>
      <c r="AO213" s="17">
        <f>IF(AND(ISNUMBER(AC213),ISNUMBER(M213)),AC213+M213,"")</f>
        <v/>
      </c>
      <c r="AP213" s="20">
        <f>IF(AND(ISNUMBER(AF213),ISNUMBER(R213),ISNUMBER(AO213),AO213&gt;0),(AF213-R213)/AO213,"")</f>
        <v/>
      </c>
      <c r="AQ213" s="20">
        <f>IF(AND(ISNUMBER(AC213),ISNUMBER(I213),I213&lt;&gt;0,AC213&gt;0),AC213/I213,"")</f>
        <v/>
      </c>
      <c r="AR213" s="17">
        <f>IF(AND(ISNUMBER(W213),ISNUMBER(Y213)),W213-IF(ISNUMBER(R213),R213,0)-(Y213-IF(ISNUMBER(T213),T213,0)),"")</f>
        <v/>
      </c>
      <c r="AS213" s="17">
        <f>IF(AND(ISNUMBER(X213),ISNUMBER(Z213)),X213-IF(ISNUMBER(S213),S213,0)-(Z213-IF(ISNUMBER(U213),U213,0)),"")</f>
        <v/>
      </c>
      <c r="AT213" s="17">
        <f>IF(AND(ISNUMBER(AR213),ISNUMBER(AS213)),AR213-AS213,"")</f>
        <v/>
      </c>
      <c r="AU213" s="17">
        <f>IF(E213="금융","",IF(AND(ISNUMBER(L213),ISNUMBER(M213),ISNUMBER(N213),ISNUMBER(AT213)),L213+M213-N213-AT213,IF(AND(ISNUMBER(O213),ISNUMBER(N213)),O213-N213,"")))</f>
        <v/>
      </c>
      <c r="AV213" s="8">
        <f>IF(E213="금융","금융업 - 정의되지 않음",IF(AND(ISNUMBER(L213),ISNUMBER(M213),ISNUMBER(N213),ISNUMBER(AT213)),"순이익+감가상각-설비투자-운전자본증감",IF(AND(ISNUMBER(O213),ISNUMBER(N213)),"영업현금흐름-설비투자","산출불가")))</f>
        <v/>
      </c>
      <c r="AW213" s="19">
        <f>IF(AND(ISNUMBER(AU213),ISNUMBER(G213),G213&lt;&gt;0),AU213/G213,"")</f>
        <v/>
      </c>
      <c r="AX213" s="19">
        <f>IF(AND(ISNUMBER(AC213),ISNUMBER(G213),G213&lt;&gt;0),AC213/G213,"")</f>
        <v/>
      </c>
    </row>
    <row r="214">
      <c r="A214" s="8" t="inlineStr">
        <is>
          <t>INTC</t>
        </is>
      </c>
      <c r="B214" s="8" t="inlineStr">
        <is>
          <t>INTEL CORP</t>
        </is>
      </c>
      <c r="C214" s="8" t="n">
        <v>2021</v>
      </c>
      <c r="D214" s="8" t="inlineStr">
        <is>
          <t>2021-12-25</t>
        </is>
      </c>
      <c r="E214" s="8" t="inlineStr">
        <is>
          <t>일반</t>
        </is>
      </c>
      <c r="F214" s="8" t="inlineStr">
        <is>
          <t>0000050863-24-000010</t>
        </is>
      </c>
      <c r="G214" s="15" t="n">
        <v>79.024</v>
      </c>
      <c r="H214" s="15" t="n">
        <v>21.703</v>
      </c>
      <c r="I214" s="15" t="n"/>
      <c r="J214" s="15" t="n">
        <v>1.835</v>
      </c>
      <c r="K214" s="15" t="n">
        <v>19.456</v>
      </c>
      <c r="L214" s="15" t="n">
        <v>19.868</v>
      </c>
      <c r="M214" s="15" t="n">
        <v>9.952999999999999</v>
      </c>
      <c r="N214" s="15" t="n">
        <v>18.733</v>
      </c>
      <c r="O214" s="15" t="n">
        <v>29.456</v>
      </c>
      <c r="P214" s="15" t="n">
        <v>95.39100000000001</v>
      </c>
      <c r="Q214" s="15" t="n">
        <v>81.038</v>
      </c>
      <c r="R214" s="15" t="n">
        <v>29.253</v>
      </c>
      <c r="S214" s="15" t="n">
        <v>8.157</v>
      </c>
      <c r="T214" s="15" t="n">
        <v>4.591</v>
      </c>
      <c r="U214" s="15" t="n">
        <v>2.504</v>
      </c>
      <c r="V214" s="15" t="n">
        <v>33.51</v>
      </c>
      <c r="W214" s="15" t="n">
        <v>58.558</v>
      </c>
      <c r="X214" s="15" t="n">
        <v>47.249</v>
      </c>
      <c r="Y214" s="15" t="n">
        <v>27.462</v>
      </c>
      <c r="Z214" s="15" t="n">
        <v>24.754</v>
      </c>
      <c r="AA214" s="15" t="n">
        <v>109.282</v>
      </c>
      <c r="AB214" s="16" t="n">
        <v>4070</v>
      </c>
      <c r="AC214" s="17">
        <f>IF(AND(ISNUMBER(H214),ISNUMBER(I214)),H214+I214,IF(ISNUMBER(K214),K214,IF(ISNUMBER(H214),H214,"")))</f>
        <v/>
      </c>
      <c r="AD214" s="18">
        <f>IF(OR(NOT(ISNUMBER(J214)),NOT(ISNUMBER(H214)),H214&lt;=0),기준표!$B$8,MIN(MAX(J214/H214,기준표!$B$6),기준표!$B$7))</f>
        <v/>
      </c>
      <c r="AE214" s="17">
        <f>IF(ISNUMBER(AC214),AC214*(1-AD214),"")</f>
        <v/>
      </c>
      <c r="AF214" s="17">
        <f>IF(AND(NOT(ISNUMBER(T214)),NOT(ISNUMBER(V214))),"",IF(ISNUMBER(T214),T214,0)+IF(ISNUMBER(V214),V214,0))</f>
        <v/>
      </c>
      <c r="AG214" s="17">
        <f>IF(E214="금융","",IF(AND(ISNUMBER(P214),ISNUMBER(AF214),ISNUMBER(R214)),P214+AF214-R214,""))</f>
        <v/>
      </c>
      <c r="AH214" s="17">
        <f>IF(E214="금융","",IF(NOT(ISNUMBER(AG214)),"",IF(ISNUMBER(AA214),(AG214+AA214)/2,AG214)))</f>
        <v/>
      </c>
      <c r="AI214" s="19">
        <f>IF(AND(ISNUMBER(AE214),ISNUMBER(AH214),AH214&gt;0),AE214/AH214,"")</f>
        <v/>
      </c>
      <c r="AJ214" s="17">
        <f>IF(E214="금융","",IF(AND(ISNUMBER(P214),ISNUMBER(AF214)),P214+AF214,""))</f>
        <v/>
      </c>
      <c r="AK214" s="19">
        <f>IF(OR(NOT(ISNUMBER(AE214)),NOT(ISNUMBER(AJ214)),AJ214&lt;=0),"",IF(AND(ISNUMBER(G214),AJ214&lt;0.1*G214),"",AE214/AJ214))</f>
        <v/>
      </c>
      <c r="AL214" s="17">
        <f>IF(NOT(ISNUMBER(P214)),"",IF(ISNUMBER(Q214),(P214+Q214)/2,P214))</f>
        <v/>
      </c>
      <c r="AM214" s="19">
        <f>IF(AND(ISNUMBER(L214),ISNUMBER(AL214),AL214&gt;0),L214/AL214,"")</f>
        <v/>
      </c>
      <c r="AN214" s="19">
        <f>IF(AND(ISNUMBER(AM214),ISNUMBER({ROIC})),AM214-{ROIC},"")</f>
        <v/>
      </c>
      <c r="AO214" s="17">
        <f>IF(AND(ISNUMBER(AC214),ISNUMBER(M214)),AC214+M214,"")</f>
        <v/>
      </c>
      <c r="AP214" s="20">
        <f>IF(AND(ISNUMBER(AF214),ISNUMBER(R214),ISNUMBER(AO214),AO214&gt;0),(AF214-R214)/AO214,"")</f>
        <v/>
      </c>
      <c r="AQ214" s="20">
        <f>IF(AND(ISNUMBER(AC214),ISNUMBER(I214),I214&lt;&gt;0,AC214&gt;0),AC214/I214,"")</f>
        <v/>
      </c>
      <c r="AR214" s="17">
        <f>IF(AND(ISNUMBER(W214),ISNUMBER(Y214)),W214-IF(ISNUMBER(R214),R214,0)-(Y214-IF(ISNUMBER(T214),T214,0)),"")</f>
        <v/>
      </c>
      <c r="AS214" s="17">
        <f>IF(AND(ISNUMBER(X214),ISNUMBER(Z214)),X214-IF(ISNUMBER(S214),S214,0)-(Z214-IF(ISNUMBER(U214),U214,0)),"")</f>
        <v/>
      </c>
      <c r="AT214" s="17">
        <f>IF(AND(ISNUMBER(AR214),ISNUMBER(AS214)),AR214-AS214,"")</f>
        <v/>
      </c>
      <c r="AU214" s="17">
        <f>IF(E214="금융","",IF(AND(ISNUMBER(L214),ISNUMBER(M214),ISNUMBER(N214),ISNUMBER(AT214)),L214+M214-N214-AT214,IF(AND(ISNUMBER(O214),ISNUMBER(N214)),O214-N214,"")))</f>
        <v/>
      </c>
      <c r="AV214" s="8">
        <f>IF(E214="금융","금융업 - 정의되지 않음",IF(AND(ISNUMBER(L214),ISNUMBER(M214),ISNUMBER(N214),ISNUMBER(AT214)),"순이익+감가상각-설비투자-운전자본증감",IF(AND(ISNUMBER(O214),ISNUMBER(N214)),"영업현금흐름-설비투자","산출불가")))</f>
        <v/>
      </c>
      <c r="AW214" s="19">
        <f>IF(AND(ISNUMBER(AU214),ISNUMBER(G214),G214&lt;&gt;0),AU214/G214,"")</f>
        <v/>
      </c>
      <c r="AX214" s="19">
        <f>IF(AND(ISNUMBER(AC214),ISNUMBER(G214),G214&lt;&gt;0),AC214/G214,"")</f>
        <v/>
      </c>
    </row>
    <row r="215">
      <c r="A215" s="8" t="inlineStr">
        <is>
          <t>INTC</t>
        </is>
      </c>
      <c r="B215" s="8" t="inlineStr">
        <is>
          <t>INTEL CORP</t>
        </is>
      </c>
      <c r="C215" s="8" t="n">
        <v>2022</v>
      </c>
      <c r="D215" s="8" t="inlineStr">
        <is>
          <t>2022-12-31</t>
        </is>
      </c>
      <c r="E215" s="8" t="inlineStr">
        <is>
          <t>일반</t>
        </is>
      </c>
      <c r="F215" s="8" t="inlineStr">
        <is>
          <t>0000050863-25-000009</t>
        </is>
      </c>
      <c r="G215" s="15" t="n">
        <v>63.054</v>
      </c>
      <c r="H215" s="15" t="n">
        <v>7.768</v>
      </c>
      <c r="I215" s="15" t="n">
        <v>0.496</v>
      </c>
      <c r="J215" s="15" t="n">
        <v>-0.249</v>
      </c>
      <c r="K215" s="15" t="n">
        <v>2.334</v>
      </c>
      <c r="L215" s="15" t="n">
        <v>8.013999999999999</v>
      </c>
      <c r="M215" s="15" t="n">
        <v>11.128</v>
      </c>
      <c r="N215" s="15" t="n">
        <v>24.844</v>
      </c>
      <c r="O215" s="15" t="n">
        <v>15.433</v>
      </c>
      <c r="P215" s="15" t="n">
        <v>101.423</v>
      </c>
      <c r="Q215" s="15" t="n">
        <v>95.39100000000001</v>
      </c>
      <c r="R215" s="15" t="n">
        <v>28.338</v>
      </c>
      <c r="S215" s="15" t="n">
        <v>29.253</v>
      </c>
      <c r="T215" s="15" t="n">
        <v>4.367</v>
      </c>
      <c r="U215" s="15" t="n">
        <v>4.591</v>
      </c>
      <c r="V215" s="15" t="n">
        <v>37.684</v>
      </c>
      <c r="W215" s="15" t="n">
        <v>50.407</v>
      </c>
      <c r="X215" s="15" t="n">
        <v>58.558</v>
      </c>
      <c r="Y215" s="15" t="n">
        <v>32.155</v>
      </c>
      <c r="Z215" s="15" t="n">
        <v>27.462</v>
      </c>
      <c r="AA215" s="15" t="n">
        <v>104.239</v>
      </c>
      <c r="AB215" s="16" t="n">
        <v>4137</v>
      </c>
      <c r="AC215" s="17">
        <f>IF(AND(ISNUMBER(H215),ISNUMBER(I215)),H215+I215,IF(ISNUMBER(K215),K215,IF(ISNUMBER(H215),H215,"")))</f>
        <v/>
      </c>
      <c r="AD215" s="18">
        <f>IF(OR(NOT(ISNUMBER(J215)),NOT(ISNUMBER(H215)),H215&lt;=0),기준표!$B$8,MIN(MAX(J215/H215,기준표!$B$6),기준표!$B$7))</f>
        <v/>
      </c>
      <c r="AE215" s="17">
        <f>IF(ISNUMBER(AC215),AC215*(1-AD215),"")</f>
        <v/>
      </c>
      <c r="AF215" s="17">
        <f>IF(AND(NOT(ISNUMBER(T215)),NOT(ISNUMBER(V215))),"",IF(ISNUMBER(T215),T215,0)+IF(ISNUMBER(V215),V215,0))</f>
        <v/>
      </c>
      <c r="AG215" s="17">
        <f>IF(E215="금융","",IF(AND(ISNUMBER(P215),ISNUMBER(AF215),ISNUMBER(R215)),P215+AF215-R215,""))</f>
        <v/>
      </c>
      <c r="AH215" s="17">
        <f>IF(E215="금융","",IF(NOT(ISNUMBER(AG215)),"",IF(ISNUMBER(AA215),(AG215+AA215)/2,AG215)))</f>
        <v/>
      </c>
      <c r="AI215" s="19">
        <f>IF(AND(ISNUMBER(AE215),ISNUMBER(AH215),AH215&gt;0),AE215/AH215,"")</f>
        <v/>
      </c>
      <c r="AJ215" s="17">
        <f>IF(E215="금융","",IF(AND(ISNUMBER(P215),ISNUMBER(AF215)),P215+AF215,""))</f>
        <v/>
      </c>
      <c r="AK215" s="19">
        <f>IF(OR(NOT(ISNUMBER(AE215)),NOT(ISNUMBER(AJ215)),AJ215&lt;=0),"",IF(AND(ISNUMBER(G215),AJ215&lt;0.1*G215),"",AE215/AJ215))</f>
        <v/>
      </c>
      <c r="AL215" s="17">
        <f>IF(NOT(ISNUMBER(P215)),"",IF(ISNUMBER(Q215),(P215+Q215)/2,P215))</f>
        <v/>
      </c>
      <c r="AM215" s="19">
        <f>IF(AND(ISNUMBER(L215),ISNUMBER(AL215),AL215&gt;0),L215/AL215,"")</f>
        <v/>
      </c>
      <c r="AN215" s="19">
        <f>IF(AND(ISNUMBER(AM215),ISNUMBER({ROIC})),AM215-{ROIC},"")</f>
        <v/>
      </c>
      <c r="AO215" s="17">
        <f>IF(AND(ISNUMBER(AC215),ISNUMBER(M215)),AC215+M215,"")</f>
        <v/>
      </c>
      <c r="AP215" s="20">
        <f>IF(AND(ISNUMBER(AF215),ISNUMBER(R215),ISNUMBER(AO215),AO215&gt;0),(AF215-R215)/AO215,"")</f>
        <v/>
      </c>
      <c r="AQ215" s="20">
        <f>IF(AND(ISNUMBER(AC215),ISNUMBER(I215),I215&lt;&gt;0,AC215&gt;0),AC215/I215,"")</f>
        <v/>
      </c>
      <c r="AR215" s="17">
        <f>IF(AND(ISNUMBER(W215),ISNUMBER(Y215)),W215-IF(ISNUMBER(R215),R215,0)-(Y215-IF(ISNUMBER(T215),T215,0)),"")</f>
        <v/>
      </c>
      <c r="AS215" s="17">
        <f>IF(AND(ISNUMBER(X215),ISNUMBER(Z215)),X215-IF(ISNUMBER(S215),S215,0)-(Z215-IF(ISNUMBER(U215),U215,0)),"")</f>
        <v/>
      </c>
      <c r="AT215" s="17">
        <f>IF(AND(ISNUMBER(AR215),ISNUMBER(AS215)),AR215-AS215,"")</f>
        <v/>
      </c>
      <c r="AU215" s="17">
        <f>IF(E215="금융","",IF(AND(ISNUMBER(L215),ISNUMBER(M215),ISNUMBER(N215),ISNUMBER(AT215)),L215+M215-N215-AT215,IF(AND(ISNUMBER(O215),ISNUMBER(N215)),O215-N215,"")))</f>
        <v/>
      </c>
      <c r="AV215" s="8">
        <f>IF(E215="금융","금융업 - 정의되지 않음",IF(AND(ISNUMBER(L215),ISNUMBER(M215),ISNUMBER(N215),ISNUMBER(AT215)),"순이익+감가상각-설비투자-운전자본증감",IF(AND(ISNUMBER(O215),ISNUMBER(N215)),"영업현금흐름-설비투자","산출불가")))</f>
        <v/>
      </c>
      <c r="AW215" s="19">
        <f>IF(AND(ISNUMBER(AU215),ISNUMBER(G215),G215&lt;&gt;0),AU215/G215,"")</f>
        <v/>
      </c>
      <c r="AX215" s="19">
        <f>IF(AND(ISNUMBER(AC215),ISNUMBER(G215),G215&lt;&gt;0),AC215/G215,"")</f>
        <v/>
      </c>
    </row>
    <row r="216">
      <c r="A216" s="8" t="inlineStr">
        <is>
          <t>INTC</t>
        </is>
      </c>
      <c r="B216" s="8" t="inlineStr">
        <is>
          <t>INTEL CORP</t>
        </is>
      </c>
      <c r="C216" s="8" t="n">
        <v>2023</v>
      </c>
      <c r="D216" s="8" t="inlineStr">
        <is>
          <t>2023-12-30</t>
        </is>
      </c>
      <c r="E216" s="8" t="inlineStr">
        <is>
          <t>일반</t>
        </is>
      </c>
      <c r="F216" s="8" t="inlineStr">
        <is>
          <t>0000050863-26-000011</t>
        </is>
      </c>
      <c r="G216" s="15" t="n">
        <v>54.228</v>
      </c>
      <c r="H216" s="15" t="n">
        <v>0.762</v>
      </c>
      <c r="I216" s="15" t="n">
        <v>0.878</v>
      </c>
      <c r="J216" s="15" t="n">
        <v>-0.913</v>
      </c>
      <c r="K216" s="15" t="n">
        <v>0.093</v>
      </c>
      <c r="L216" s="15" t="n">
        <v>1.689</v>
      </c>
      <c r="M216" s="15" t="n">
        <v>7.847</v>
      </c>
      <c r="N216" s="15" t="n">
        <v>25.75</v>
      </c>
      <c r="O216" s="15" t="n">
        <v>11.471</v>
      </c>
      <c r="P216" s="15" t="n">
        <v>105.59</v>
      </c>
      <c r="Q216" s="15" t="n">
        <v>101.423</v>
      </c>
      <c r="R216" s="15" t="n">
        <v>25.034</v>
      </c>
      <c r="S216" s="15" t="n">
        <v>28.338</v>
      </c>
      <c r="T216" s="15" t="n">
        <v>2.288</v>
      </c>
      <c r="U216" s="15" t="n">
        <v>4.367</v>
      </c>
      <c r="V216" s="15" t="n">
        <v>46.978</v>
      </c>
      <c r="W216" s="15" t="n">
        <v>43.269</v>
      </c>
      <c r="X216" s="15" t="n">
        <v>50.407</v>
      </c>
      <c r="Y216" s="15" t="n">
        <v>28.053</v>
      </c>
      <c r="Z216" s="15" t="n">
        <v>32.155</v>
      </c>
      <c r="AA216" s="15" t="n">
        <v>115.136</v>
      </c>
      <c r="AB216" s="16" t="n">
        <v>4228</v>
      </c>
      <c r="AC216" s="17">
        <f>IF(AND(ISNUMBER(H216),ISNUMBER(I216)),H216+I216,IF(ISNUMBER(K216),K216,IF(ISNUMBER(H216),H216,"")))</f>
        <v/>
      </c>
      <c r="AD216" s="18">
        <f>IF(OR(NOT(ISNUMBER(J216)),NOT(ISNUMBER(H216)),H216&lt;=0),기준표!$B$8,MIN(MAX(J216/H216,기준표!$B$6),기준표!$B$7))</f>
        <v/>
      </c>
      <c r="AE216" s="17">
        <f>IF(ISNUMBER(AC216),AC216*(1-AD216),"")</f>
        <v/>
      </c>
      <c r="AF216" s="17">
        <f>IF(AND(NOT(ISNUMBER(T216)),NOT(ISNUMBER(V216))),"",IF(ISNUMBER(T216),T216,0)+IF(ISNUMBER(V216),V216,0))</f>
        <v/>
      </c>
      <c r="AG216" s="17">
        <f>IF(E216="금융","",IF(AND(ISNUMBER(P216),ISNUMBER(AF216),ISNUMBER(R216)),P216+AF216-R216,""))</f>
        <v/>
      </c>
      <c r="AH216" s="17">
        <f>IF(E216="금융","",IF(NOT(ISNUMBER(AG216)),"",IF(ISNUMBER(AA216),(AG216+AA216)/2,AG216)))</f>
        <v/>
      </c>
      <c r="AI216" s="19">
        <f>IF(AND(ISNUMBER(AE216),ISNUMBER(AH216),AH216&gt;0),AE216/AH216,"")</f>
        <v/>
      </c>
      <c r="AJ216" s="17">
        <f>IF(E216="금융","",IF(AND(ISNUMBER(P216),ISNUMBER(AF216)),P216+AF216,""))</f>
        <v/>
      </c>
      <c r="AK216" s="19">
        <f>IF(OR(NOT(ISNUMBER(AE216)),NOT(ISNUMBER(AJ216)),AJ216&lt;=0),"",IF(AND(ISNUMBER(G216),AJ216&lt;0.1*G216),"",AE216/AJ216))</f>
        <v/>
      </c>
      <c r="AL216" s="17">
        <f>IF(NOT(ISNUMBER(P216)),"",IF(ISNUMBER(Q216),(P216+Q216)/2,P216))</f>
        <v/>
      </c>
      <c r="AM216" s="19">
        <f>IF(AND(ISNUMBER(L216),ISNUMBER(AL216),AL216&gt;0),L216/AL216,"")</f>
        <v/>
      </c>
      <c r="AN216" s="19">
        <f>IF(AND(ISNUMBER(AM216),ISNUMBER({ROIC})),AM216-{ROIC},"")</f>
        <v/>
      </c>
      <c r="AO216" s="17">
        <f>IF(AND(ISNUMBER(AC216),ISNUMBER(M216)),AC216+M216,"")</f>
        <v/>
      </c>
      <c r="AP216" s="20">
        <f>IF(AND(ISNUMBER(AF216),ISNUMBER(R216),ISNUMBER(AO216),AO216&gt;0),(AF216-R216)/AO216,"")</f>
        <v/>
      </c>
      <c r="AQ216" s="20">
        <f>IF(AND(ISNUMBER(AC216),ISNUMBER(I216),I216&lt;&gt;0,AC216&gt;0),AC216/I216,"")</f>
        <v/>
      </c>
      <c r="AR216" s="17">
        <f>IF(AND(ISNUMBER(W216),ISNUMBER(Y216)),W216-IF(ISNUMBER(R216),R216,0)-(Y216-IF(ISNUMBER(T216),T216,0)),"")</f>
        <v/>
      </c>
      <c r="AS216" s="17">
        <f>IF(AND(ISNUMBER(X216),ISNUMBER(Z216)),X216-IF(ISNUMBER(S216),S216,0)-(Z216-IF(ISNUMBER(U216),U216,0)),"")</f>
        <v/>
      </c>
      <c r="AT216" s="17">
        <f>IF(AND(ISNUMBER(AR216),ISNUMBER(AS216)),AR216-AS216,"")</f>
        <v/>
      </c>
      <c r="AU216" s="17">
        <f>IF(E216="금융","",IF(AND(ISNUMBER(L216),ISNUMBER(M216),ISNUMBER(N216),ISNUMBER(AT216)),L216+M216-N216-AT216,IF(AND(ISNUMBER(O216),ISNUMBER(N216)),O216-N216,"")))</f>
        <v/>
      </c>
      <c r="AV216" s="8">
        <f>IF(E216="금융","금융업 - 정의되지 않음",IF(AND(ISNUMBER(L216),ISNUMBER(M216),ISNUMBER(N216),ISNUMBER(AT216)),"순이익+감가상각-설비투자-운전자본증감",IF(AND(ISNUMBER(O216),ISNUMBER(N216)),"영업현금흐름-설비투자","산출불가")))</f>
        <v/>
      </c>
      <c r="AW216" s="19">
        <f>IF(AND(ISNUMBER(AU216),ISNUMBER(G216),G216&lt;&gt;0),AU216/G216,"")</f>
        <v/>
      </c>
      <c r="AX216" s="19">
        <f>IF(AND(ISNUMBER(AC216),ISNUMBER(G216),G216&lt;&gt;0),AC216/G216,"")</f>
        <v/>
      </c>
    </row>
    <row r="217">
      <c r="A217" s="8" t="inlineStr">
        <is>
          <t>INTC</t>
        </is>
      </c>
      <c r="B217" s="8" t="inlineStr">
        <is>
          <t>INTEL CORP</t>
        </is>
      </c>
      <c r="C217" s="8" t="n">
        <v>2024</v>
      </c>
      <c r="D217" s="8" t="inlineStr">
        <is>
          <t>2024-12-28</t>
        </is>
      </c>
      <c r="E217" s="8" t="inlineStr">
        <is>
          <t>일반</t>
        </is>
      </c>
      <c r="F217" s="8" t="inlineStr">
        <is>
          <t>0000050863-26-000011</t>
        </is>
      </c>
      <c r="G217" s="15" t="n">
        <v>53.101</v>
      </c>
      <c r="H217" s="15" t="n">
        <v>-11.21</v>
      </c>
      <c r="I217" s="15" t="n">
        <v>1.034</v>
      </c>
      <c r="J217" s="15" t="n">
        <v>8.023</v>
      </c>
      <c r="K217" s="15" t="n">
        <v>-11.678</v>
      </c>
      <c r="L217" s="15" t="n">
        <v>-18.756</v>
      </c>
      <c r="M217" s="15" t="n">
        <v>9.951000000000001</v>
      </c>
      <c r="N217" s="15" t="n">
        <v>23.944</v>
      </c>
      <c r="O217" s="15" t="n">
        <v>8.288</v>
      </c>
      <c r="P217" s="15" t="n">
        <v>99.27</v>
      </c>
      <c r="Q217" s="15" t="n">
        <v>105.59</v>
      </c>
      <c r="R217" s="15" t="n">
        <v>22.062</v>
      </c>
      <c r="S217" s="15" t="n">
        <v>25.034</v>
      </c>
      <c r="T217" s="15" t="n">
        <v>3.729</v>
      </c>
      <c r="U217" s="15" t="n">
        <v>2.288</v>
      </c>
      <c r="V217" s="15" t="n">
        <v>46.282</v>
      </c>
      <c r="W217" s="15" t="n">
        <v>47.324</v>
      </c>
      <c r="X217" s="15" t="n">
        <v>43.269</v>
      </c>
      <c r="Y217" s="15" t="n">
        <v>35.666</v>
      </c>
      <c r="Z217" s="15" t="n">
        <v>28.053</v>
      </c>
      <c r="AA217" s="15" t="n">
        <v>129.822</v>
      </c>
      <c r="AB217" s="16" t="n">
        <v>4330</v>
      </c>
      <c r="AC217" s="17">
        <f>IF(AND(ISNUMBER(H217),ISNUMBER(I217)),H217+I217,IF(ISNUMBER(K217),K217,IF(ISNUMBER(H217),H217,"")))</f>
        <v/>
      </c>
      <c r="AD217" s="18">
        <f>IF(OR(NOT(ISNUMBER(J217)),NOT(ISNUMBER(H217)),H217&lt;=0),기준표!$B$8,MIN(MAX(J217/H217,기준표!$B$6),기준표!$B$7))</f>
        <v/>
      </c>
      <c r="AE217" s="17">
        <f>IF(ISNUMBER(AC217),AC217*(1-AD217),"")</f>
        <v/>
      </c>
      <c r="AF217" s="17">
        <f>IF(AND(NOT(ISNUMBER(T217)),NOT(ISNUMBER(V217))),"",IF(ISNUMBER(T217),T217,0)+IF(ISNUMBER(V217),V217,0))</f>
        <v/>
      </c>
      <c r="AG217" s="17">
        <f>IF(E217="금융","",IF(AND(ISNUMBER(P217),ISNUMBER(AF217),ISNUMBER(R217)),P217+AF217-R217,""))</f>
        <v/>
      </c>
      <c r="AH217" s="17">
        <f>IF(E217="금융","",IF(NOT(ISNUMBER(AG217)),"",IF(ISNUMBER(AA217),(AG217+AA217)/2,AG217)))</f>
        <v/>
      </c>
      <c r="AI217" s="19">
        <f>IF(AND(ISNUMBER(AE217),ISNUMBER(AH217),AH217&gt;0),AE217/AH217,"")</f>
        <v/>
      </c>
      <c r="AJ217" s="17">
        <f>IF(E217="금융","",IF(AND(ISNUMBER(P217),ISNUMBER(AF217)),P217+AF217,""))</f>
        <v/>
      </c>
      <c r="AK217" s="19">
        <f>IF(OR(NOT(ISNUMBER(AE217)),NOT(ISNUMBER(AJ217)),AJ217&lt;=0),"",IF(AND(ISNUMBER(G217),AJ217&lt;0.1*G217),"",AE217/AJ217))</f>
        <v/>
      </c>
      <c r="AL217" s="17">
        <f>IF(NOT(ISNUMBER(P217)),"",IF(ISNUMBER(Q217),(P217+Q217)/2,P217))</f>
        <v/>
      </c>
      <c r="AM217" s="19">
        <f>IF(AND(ISNUMBER(L217),ISNUMBER(AL217),AL217&gt;0),L217/AL217,"")</f>
        <v/>
      </c>
      <c r="AN217" s="19">
        <f>IF(AND(ISNUMBER(AM217),ISNUMBER({ROIC})),AM217-{ROIC},"")</f>
        <v/>
      </c>
      <c r="AO217" s="17">
        <f>IF(AND(ISNUMBER(AC217),ISNUMBER(M217)),AC217+M217,"")</f>
        <v/>
      </c>
      <c r="AP217" s="20">
        <f>IF(AND(ISNUMBER(AF217),ISNUMBER(R217),ISNUMBER(AO217),AO217&gt;0),(AF217-R217)/AO217,"")</f>
        <v/>
      </c>
      <c r="AQ217" s="20">
        <f>IF(AND(ISNUMBER(AC217),ISNUMBER(I217),I217&lt;&gt;0,AC217&gt;0),AC217/I217,"")</f>
        <v/>
      </c>
      <c r="AR217" s="17">
        <f>IF(AND(ISNUMBER(W217),ISNUMBER(Y217)),W217-IF(ISNUMBER(R217),R217,0)-(Y217-IF(ISNUMBER(T217),T217,0)),"")</f>
        <v/>
      </c>
      <c r="AS217" s="17">
        <f>IF(AND(ISNUMBER(X217),ISNUMBER(Z217)),X217-IF(ISNUMBER(S217),S217,0)-(Z217-IF(ISNUMBER(U217),U217,0)),"")</f>
        <v/>
      </c>
      <c r="AT217" s="17">
        <f>IF(AND(ISNUMBER(AR217),ISNUMBER(AS217)),AR217-AS217,"")</f>
        <v/>
      </c>
      <c r="AU217" s="17">
        <f>IF(E217="금융","",IF(AND(ISNUMBER(L217),ISNUMBER(M217),ISNUMBER(N217),ISNUMBER(AT217)),L217+M217-N217-AT217,IF(AND(ISNUMBER(O217),ISNUMBER(N217)),O217-N217,"")))</f>
        <v/>
      </c>
      <c r="AV217" s="8">
        <f>IF(E217="금융","금융업 - 정의되지 않음",IF(AND(ISNUMBER(L217),ISNUMBER(M217),ISNUMBER(N217),ISNUMBER(AT217)),"순이익+감가상각-설비투자-운전자본증감",IF(AND(ISNUMBER(O217),ISNUMBER(N217)),"영업현금흐름-설비투자","산출불가")))</f>
        <v/>
      </c>
      <c r="AW217" s="19">
        <f>IF(AND(ISNUMBER(AU217),ISNUMBER(G217),G217&lt;&gt;0),AU217/G217,"")</f>
        <v/>
      </c>
      <c r="AX217" s="19">
        <f>IF(AND(ISNUMBER(AC217),ISNUMBER(G217),G217&lt;&gt;0),AC217/G217,"")</f>
        <v/>
      </c>
    </row>
    <row r="218">
      <c r="A218" s="8" t="inlineStr">
        <is>
          <t>INTC</t>
        </is>
      </c>
      <c r="B218" s="8" t="inlineStr">
        <is>
          <t>INTEL CORP</t>
        </is>
      </c>
      <c r="C218" s="8" t="n">
        <v>2025</v>
      </c>
      <c r="D218" s="8" t="inlineStr">
        <is>
          <t>2025-12-27</t>
        </is>
      </c>
      <c r="E218" s="8" t="inlineStr">
        <is>
          <t>일반</t>
        </is>
      </c>
      <c r="F218" s="8" t="inlineStr">
        <is>
          <t>0000050863-26-000011</t>
        </is>
      </c>
      <c r="G218" s="15" t="n">
        <v>52.853</v>
      </c>
      <c r="H218" s="15" t="n">
        <v>1.557</v>
      </c>
      <c r="I218" s="15" t="n">
        <v>1.091</v>
      </c>
      <c r="J218" s="15" t="n">
        <v>1.531</v>
      </c>
      <c r="K218" s="15" t="n">
        <v>-2.214</v>
      </c>
      <c r="L218" s="15" t="n">
        <v>-0.267</v>
      </c>
      <c r="M218" s="15" t="n">
        <v>10.757</v>
      </c>
      <c r="N218" s="15" t="n">
        <v>14.646</v>
      </c>
      <c r="O218" s="15" t="n">
        <v>9.696999999999999</v>
      </c>
      <c r="P218" s="15" t="n">
        <v>114.281</v>
      </c>
      <c r="Q218" s="15" t="n">
        <v>99.27</v>
      </c>
      <c r="R218" s="15" t="n">
        <v>37.863</v>
      </c>
      <c r="S218" s="15" t="n">
        <v>22.062</v>
      </c>
      <c r="T218" s="15" t="n">
        <v>2.499</v>
      </c>
      <c r="U218" s="15" t="n">
        <v>3.729</v>
      </c>
      <c r="V218" s="15" t="n">
        <v>44.086</v>
      </c>
      <c r="W218" s="15" t="n">
        <v>63.688</v>
      </c>
      <c r="X218" s="15" t="n">
        <v>47.324</v>
      </c>
      <c r="Y218" s="15" t="n">
        <v>31.575</v>
      </c>
      <c r="Z218" s="15" t="n">
        <v>35.666</v>
      </c>
      <c r="AA218" s="15" t="n">
        <v>127.219</v>
      </c>
      <c r="AB218" s="16" t="n">
        <v>4994</v>
      </c>
      <c r="AC218" s="17">
        <f>IF(AND(ISNUMBER(H218),ISNUMBER(I218)),H218+I218,IF(ISNUMBER(K218),K218,IF(ISNUMBER(H218),H218,"")))</f>
        <v/>
      </c>
      <c r="AD218" s="18">
        <f>IF(OR(NOT(ISNUMBER(J218)),NOT(ISNUMBER(H218)),H218&lt;=0),기준표!$B$8,MIN(MAX(J218/H218,기준표!$B$6),기준표!$B$7))</f>
        <v/>
      </c>
      <c r="AE218" s="17">
        <f>IF(ISNUMBER(AC218),AC218*(1-AD218),"")</f>
        <v/>
      </c>
      <c r="AF218" s="17">
        <f>IF(AND(NOT(ISNUMBER(T218)),NOT(ISNUMBER(V218))),"",IF(ISNUMBER(T218),T218,0)+IF(ISNUMBER(V218),V218,0))</f>
        <v/>
      </c>
      <c r="AG218" s="17">
        <f>IF(E218="금융","",IF(AND(ISNUMBER(P218),ISNUMBER(AF218),ISNUMBER(R218)),P218+AF218-R218,""))</f>
        <v/>
      </c>
      <c r="AH218" s="17">
        <f>IF(E218="금융","",IF(NOT(ISNUMBER(AG218)),"",IF(ISNUMBER(AA218),(AG218+AA218)/2,AG218)))</f>
        <v/>
      </c>
      <c r="AI218" s="19">
        <f>IF(AND(ISNUMBER(AE218),ISNUMBER(AH218),AH218&gt;0),AE218/AH218,"")</f>
        <v/>
      </c>
      <c r="AJ218" s="17">
        <f>IF(E218="금융","",IF(AND(ISNUMBER(P218),ISNUMBER(AF218)),P218+AF218,""))</f>
        <v/>
      </c>
      <c r="AK218" s="19">
        <f>IF(OR(NOT(ISNUMBER(AE218)),NOT(ISNUMBER(AJ218)),AJ218&lt;=0),"",IF(AND(ISNUMBER(G218),AJ218&lt;0.1*G218),"",AE218/AJ218))</f>
        <v/>
      </c>
      <c r="AL218" s="17">
        <f>IF(NOT(ISNUMBER(P218)),"",IF(ISNUMBER(Q218),(P218+Q218)/2,P218))</f>
        <v/>
      </c>
      <c r="AM218" s="19">
        <f>IF(AND(ISNUMBER(L218),ISNUMBER(AL218),AL218&gt;0),L218/AL218,"")</f>
        <v/>
      </c>
      <c r="AN218" s="19">
        <f>IF(AND(ISNUMBER(AM218),ISNUMBER({ROIC})),AM218-{ROIC},"")</f>
        <v/>
      </c>
      <c r="AO218" s="17">
        <f>IF(AND(ISNUMBER(AC218),ISNUMBER(M218)),AC218+M218,"")</f>
        <v/>
      </c>
      <c r="AP218" s="20">
        <f>IF(AND(ISNUMBER(AF218),ISNUMBER(R218),ISNUMBER(AO218),AO218&gt;0),(AF218-R218)/AO218,"")</f>
        <v/>
      </c>
      <c r="AQ218" s="20">
        <f>IF(AND(ISNUMBER(AC218),ISNUMBER(I218),I218&lt;&gt;0,AC218&gt;0),AC218/I218,"")</f>
        <v/>
      </c>
      <c r="AR218" s="17">
        <f>IF(AND(ISNUMBER(W218),ISNUMBER(Y218)),W218-IF(ISNUMBER(R218),R218,0)-(Y218-IF(ISNUMBER(T218),T218,0)),"")</f>
        <v/>
      </c>
      <c r="AS218" s="17">
        <f>IF(AND(ISNUMBER(X218),ISNUMBER(Z218)),X218-IF(ISNUMBER(S218),S218,0)-(Z218-IF(ISNUMBER(U218),U218,0)),"")</f>
        <v/>
      </c>
      <c r="AT218" s="17">
        <f>IF(AND(ISNUMBER(AR218),ISNUMBER(AS218)),AR218-AS218,"")</f>
        <v/>
      </c>
      <c r="AU218" s="17">
        <f>IF(E218="금융","",IF(AND(ISNUMBER(L218),ISNUMBER(M218),ISNUMBER(N218),ISNUMBER(AT218)),L218+M218-N218-AT218,IF(AND(ISNUMBER(O218),ISNUMBER(N218)),O218-N218,"")))</f>
        <v/>
      </c>
      <c r="AV218" s="8">
        <f>IF(E218="금융","금융업 - 정의되지 않음",IF(AND(ISNUMBER(L218),ISNUMBER(M218),ISNUMBER(N218),ISNUMBER(AT218)),"순이익+감가상각-설비투자-운전자본증감",IF(AND(ISNUMBER(O218),ISNUMBER(N218)),"영업현금흐름-설비투자","산출불가")))</f>
        <v/>
      </c>
      <c r="AW218" s="19">
        <f>IF(AND(ISNUMBER(AU218),ISNUMBER(G218),G218&lt;&gt;0),AU218/G218,"")</f>
        <v/>
      </c>
      <c r="AX218" s="19">
        <f>IF(AND(ISNUMBER(AC218),ISNUMBER(G218),G218&lt;&gt;0),AC218/G218,"")</f>
        <v/>
      </c>
    </row>
    <row r="219">
      <c r="A219" s="8" t="inlineStr">
        <is>
          <t>MA</t>
        </is>
      </c>
      <c r="B219" s="8" t="inlineStr">
        <is>
          <t>Mastercard Inc</t>
        </is>
      </c>
      <c r="C219" s="8" t="n">
        <v>2014</v>
      </c>
      <c r="D219" s="8" t="inlineStr">
        <is>
          <t>2014-12-31</t>
        </is>
      </c>
      <c r="E219" s="8" t="inlineStr">
        <is>
          <t>일반</t>
        </is>
      </c>
      <c r="F219" s="8" t="inlineStr">
        <is>
          <t>0001141391-17-000014</t>
        </is>
      </c>
      <c r="G219" s="15" t="n">
        <v>9.473000000000001</v>
      </c>
      <c r="H219" s="15" t="n"/>
      <c r="I219" s="15" t="n"/>
      <c r="J219" s="15" t="n">
        <v>1.462</v>
      </c>
      <c r="K219" s="15" t="n">
        <v>5.106</v>
      </c>
      <c r="L219" s="15" t="n">
        <v>3.617</v>
      </c>
      <c r="M219" s="15" t="n"/>
      <c r="N219" s="15" t="n">
        <v>0.175</v>
      </c>
      <c r="O219" s="15" t="n">
        <v>3.407</v>
      </c>
      <c r="P219" s="15" t="n">
        <v>6.79</v>
      </c>
      <c r="Q219" s="15" t="n"/>
      <c r="R219" s="15" t="n">
        <v>5.137</v>
      </c>
      <c r="S219" s="15" t="n"/>
      <c r="T219" s="15" t="n"/>
      <c r="U219" s="15" t="n"/>
      <c r="V219" s="15" t="n">
        <v>1.494</v>
      </c>
      <c r="W219" s="15" t="n">
        <v>10.997</v>
      </c>
      <c r="X219" s="15" t="n"/>
      <c r="Y219" s="15" t="n">
        <v>6.222</v>
      </c>
      <c r="Z219" s="15" t="n"/>
      <c r="AA219" s="15" t="n"/>
      <c r="AB219" s="16" t="n">
        <v>1152</v>
      </c>
      <c r="AC219" s="17">
        <f>IF(AND(ISNUMBER(H219),ISNUMBER(I219)),H219+I219,IF(ISNUMBER(K219),K219,IF(ISNUMBER(H219),H219,"")))</f>
        <v/>
      </c>
      <c r="AD219" s="18">
        <f>IF(OR(NOT(ISNUMBER(J219)),NOT(ISNUMBER(H219)),H219&lt;=0),기준표!$B$8,MIN(MAX(J219/H219,기준표!$B$6),기준표!$B$7))</f>
        <v/>
      </c>
      <c r="AE219" s="17">
        <f>IF(ISNUMBER(AC219),AC219*(1-AD219),"")</f>
        <v/>
      </c>
      <c r="AF219" s="17">
        <f>IF(AND(NOT(ISNUMBER(T219)),NOT(ISNUMBER(V219))),"",IF(ISNUMBER(T219),T219,0)+IF(ISNUMBER(V219),V219,0))</f>
        <v/>
      </c>
      <c r="AG219" s="17">
        <f>IF(E219="금융","",IF(AND(ISNUMBER(P219),ISNUMBER(AF219),ISNUMBER(R219)),P219+AF219-R219,""))</f>
        <v/>
      </c>
      <c r="AH219" s="17">
        <f>IF(E219="금융","",IF(NOT(ISNUMBER(AG219)),"",IF(ISNUMBER(AA219),(AG219+AA219)/2,AG219)))</f>
        <v/>
      </c>
      <c r="AI219" s="19">
        <f>IF(AND(ISNUMBER(AE219),ISNUMBER(AH219),AH219&gt;0),AE219/AH219,"")</f>
        <v/>
      </c>
      <c r="AJ219" s="17">
        <f>IF(E219="금융","",IF(AND(ISNUMBER(P219),ISNUMBER(AF219)),P219+AF219,""))</f>
        <v/>
      </c>
      <c r="AK219" s="19">
        <f>IF(OR(NOT(ISNUMBER(AE219)),NOT(ISNUMBER(AJ219)),AJ219&lt;=0),"",IF(AND(ISNUMBER(G219),AJ219&lt;0.1*G219),"",AE219/AJ219))</f>
        <v/>
      </c>
      <c r="AL219" s="17">
        <f>IF(NOT(ISNUMBER(P219)),"",IF(ISNUMBER(Q219),(P219+Q219)/2,P219))</f>
        <v/>
      </c>
      <c r="AM219" s="19">
        <f>IF(AND(ISNUMBER(L219),ISNUMBER(AL219),AL219&gt;0),L219/AL219,"")</f>
        <v/>
      </c>
      <c r="AN219" s="19">
        <f>IF(AND(ISNUMBER(AM219),ISNUMBER({ROIC})),AM219-{ROIC},"")</f>
        <v/>
      </c>
      <c r="AO219" s="17">
        <f>IF(AND(ISNUMBER(AC219),ISNUMBER(M219)),AC219+M219,"")</f>
        <v/>
      </c>
      <c r="AP219" s="20">
        <f>IF(AND(ISNUMBER(AF219),ISNUMBER(R219),ISNUMBER(AO219),AO219&gt;0),(AF219-R219)/AO219,"")</f>
        <v/>
      </c>
      <c r="AQ219" s="20">
        <f>IF(AND(ISNUMBER(AC219),ISNUMBER(I219),I219&lt;&gt;0,AC219&gt;0),AC219/I219,"")</f>
        <v/>
      </c>
      <c r="AR219" s="17">
        <f>IF(AND(ISNUMBER(W219),ISNUMBER(Y219)),W219-IF(ISNUMBER(R219),R219,0)-(Y219-IF(ISNUMBER(T219),T219,0)),"")</f>
        <v/>
      </c>
      <c r="AS219" s="17">
        <f>IF(AND(ISNUMBER(X219),ISNUMBER(Z219)),X219-IF(ISNUMBER(S219),S219,0)-(Z219-IF(ISNUMBER(U219),U219,0)),"")</f>
        <v/>
      </c>
      <c r="AT219" s="17">
        <f>IF(AND(ISNUMBER(AR219),ISNUMBER(AS219)),AR219-AS219,"")</f>
        <v/>
      </c>
      <c r="AU219" s="17">
        <f>IF(E219="금융","",IF(AND(ISNUMBER(L219),ISNUMBER(M219),ISNUMBER(N219),ISNUMBER(AT219)),L219+M219-N219-AT219,IF(AND(ISNUMBER(O219),ISNUMBER(N219)),O219-N219,"")))</f>
        <v/>
      </c>
      <c r="AV219" s="8">
        <f>IF(E219="금융","금융업 - 정의되지 않음",IF(AND(ISNUMBER(L219),ISNUMBER(M219),ISNUMBER(N219),ISNUMBER(AT219)),"순이익+감가상각-설비투자-운전자본증감",IF(AND(ISNUMBER(O219),ISNUMBER(N219)),"영업현금흐름-설비투자","산출불가")))</f>
        <v/>
      </c>
      <c r="AW219" s="19">
        <f>IF(AND(ISNUMBER(AU219),ISNUMBER(G219),G219&lt;&gt;0),AU219/G219,"")</f>
        <v/>
      </c>
      <c r="AX219" s="19">
        <f>IF(AND(ISNUMBER(AC219),ISNUMBER(G219),G219&lt;&gt;0),AC219/G219,"")</f>
        <v/>
      </c>
    </row>
    <row r="220">
      <c r="A220" s="8" t="inlineStr">
        <is>
          <t>MA</t>
        </is>
      </c>
      <c r="B220" s="8" t="inlineStr">
        <is>
          <t>Mastercard Inc</t>
        </is>
      </c>
      <c r="C220" s="8" t="n">
        <v>2015</v>
      </c>
      <c r="D220" s="8" t="inlineStr">
        <is>
          <t>2015-12-31</t>
        </is>
      </c>
      <c r="E220" s="8" t="inlineStr">
        <is>
          <t>일반</t>
        </is>
      </c>
      <c r="F220" s="8" t="inlineStr">
        <is>
          <t>0001141391-18-000009</t>
        </is>
      </c>
      <c r="G220" s="15" t="n"/>
      <c r="H220" s="15" t="n"/>
      <c r="I220" s="15" t="n"/>
      <c r="J220" s="15" t="n">
        <v>1.15</v>
      </c>
      <c r="K220" s="15" t="n">
        <v>5.078</v>
      </c>
      <c r="L220" s="15" t="n">
        <v>3.808</v>
      </c>
      <c r="M220" s="15" t="n">
        <v>0.366</v>
      </c>
      <c r="N220" s="15" t="n">
        <v>0.177</v>
      </c>
      <c r="O220" s="15" t="n">
        <v>4.101</v>
      </c>
      <c r="P220" s="15" t="n">
        <v>6.028</v>
      </c>
      <c r="Q220" s="15" t="n">
        <v>6.79</v>
      </c>
      <c r="R220" s="15" t="n">
        <v>5.747</v>
      </c>
      <c r="S220" s="15" t="n">
        <v>5.137</v>
      </c>
      <c r="T220" s="15" t="n"/>
      <c r="U220" s="15" t="n"/>
      <c r="V220" s="15" t="n">
        <v>3.268</v>
      </c>
      <c r="W220" s="15" t="n">
        <v>10.984</v>
      </c>
      <c r="X220" s="15" t="n">
        <v>10.997</v>
      </c>
      <c r="Y220" s="15" t="n">
        <v>6.269</v>
      </c>
      <c r="Z220" s="15" t="n">
        <v>6.222</v>
      </c>
      <c r="AA220" s="15" t="n">
        <v>3.147</v>
      </c>
      <c r="AB220" s="16" t="n">
        <v>1112</v>
      </c>
      <c r="AC220" s="17">
        <f>IF(AND(ISNUMBER(H220),ISNUMBER(I220)),H220+I220,IF(ISNUMBER(K220),K220,IF(ISNUMBER(H220),H220,"")))</f>
        <v/>
      </c>
      <c r="AD220" s="18">
        <f>IF(OR(NOT(ISNUMBER(J220)),NOT(ISNUMBER(H220)),H220&lt;=0),기준표!$B$8,MIN(MAX(J220/H220,기준표!$B$6),기준표!$B$7))</f>
        <v/>
      </c>
      <c r="AE220" s="17">
        <f>IF(ISNUMBER(AC220),AC220*(1-AD220),"")</f>
        <v/>
      </c>
      <c r="AF220" s="17">
        <f>IF(AND(NOT(ISNUMBER(T220)),NOT(ISNUMBER(V220))),"",IF(ISNUMBER(T220),T220,0)+IF(ISNUMBER(V220),V220,0))</f>
        <v/>
      </c>
      <c r="AG220" s="17">
        <f>IF(E220="금융","",IF(AND(ISNUMBER(P220),ISNUMBER(AF220),ISNUMBER(R220)),P220+AF220-R220,""))</f>
        <v/>
      </c>
      <c r="AH220" s="17">
        <f>IF(E220="금융","",IF(NOT(ISNUMBER(AG220)),"",IF(ISNUMBER(AA220),(AG220+AA220)/2,AG220)))</f>
        <v/>
      </c>
      <c r="AI220" s="19">
        <f>IF(AND(ISNUMBER(AE220),ISNUMBER(AH220),AH220&gt;0),AE220/AH220,"")</f>
        <v/>
      </c>
      <c r="AJ220" s="17">
        <f>IF(E220="금융","",IF(AND(ISNUMBER(P220),ISNUMBER(AF220)),P220+AF220,""))</f>
        <v/>
      </c>
      <c r="AK220" s="19">
        <f>IF(OR(NOT(ISNUMBER(AE220)),NOT(ISNUMBER(AJ220)),AJ220&lt;=0),"",IF(AND(ISNUMBER(G220),AJ220&lt;0.1*G220),"",AE220/AJ220))</f>
        <v/>
      </c>
      <c r="AL220" s="17">
        <f>IF(NOT(ISNUMBER(P220)),"",IF(ISNUMBER(Q220),(P220+Q220)/2,P220))</f>
        <v/>
      </c>
      <c r="AM220" s="19">
        <f>IF(AND(ISNUMBER(L220),ISNUMBER(AL220),AL220&gt;0),L220/AL220,"")</f>
        <v/>
      </c>
      <c r="AN220" s="19">
        <f>IF(AND(ISNUMBER(AM220),ISNUMBER({ROIC})),AM220-{ROIC},"")</f>
        <v/>
      </c>
      <c r="AO220" s="17">
        <f>IF(AND(ISNUMBER(AC220),ISNUMBER(M220)),AC220+M220,"")</f>
        <v/>
      </c>
      <c r="AP220" s="20">
        <f>IF(AND(ISNUMBER(AF220),ISNUMBER(R220),ISNUMBER(AO220),AO220&gt;0),(AF220-R220)/AO220,"")</f>
        <v/>
      </c>
      <c r="AQ220" s="20">
        <f>IF(AND(ISNUMBER(AC220),ISNUMBER(I220),I220&lt;&gt;0,AC220&gt;0),AC220/I220,"")</f>
        <v/>
      </c>
      <c r="AR220" s="17">
        <f>IF(AND(ISNUMBER(W220),ISNUMBER(Y220)),W220-IF(ISNUMBER(R220),R220,0)-(Y220-IF(ISNUMBER(T220),T220,0)),"")</f>
        <v/>
      </c>
      <c r="AS220" s="17">
        <f>IF(AND(ISNUMBER(X220),ISNUMBER(Z220)),X220-IF(ISNUMBER(S220),S220,0)-(Z220-IF(ISNUMBER(U220),U220,0)),"")</f>
        <v/>
      </c>
      <c r="AT220" s="17">
        <f>IF(AND(ISNUMBER(AR220),ISNUMBER(AS220)),AR220-AS220,"")</f>
        <v/>
      </c>
      <c r="AU220" s="17">
        <f>IF(E220="금융","",IF(AND(ISNUMBER(L220),ISNUMBER(M220),ISNUMBER(N220),ISNUMBER(AT220)),L220+M220-N220-AT220,IF(AND(ISNUMBER(O220),ISNUMBER(N220)),O220-N220,"")))</f>
        <v/>
      </c>
      <c r="AV220" s="8">
        <f>IF(E220="금융","금융업 - 정의되지 않음",IF(AND(ISNUMBER(L220),ISNUMBER(M220),ISNUMBER(N220),ISNUMBER(AT220)),"순이익+감가상각-설비투자-운전자본증감",IF(AND(ISNUMBER(O220),ISNUMBER(N220)),"영업현금흐름-설비투자","산출불가")))</f>
        <v/>
      </c>
      <c r="AW220" s="19">
        <f>IF(AND(ISNUMBER(AU220),ISNUMBER(G220),G220&lt;&gt;0),AU220/G220,"")</f>
        <v/>
      </c>
      <c r="AX220" s="19">
        <f>IF(AND(ISNUMBER(AC220),ISNUMBER(G220),G220&lt;&gt;0),AC220/G220,"")</f>
        <v/>
      </c>
    </row>
    <row r="221">
      <c r="A221" s="8" t="inlineStr">
        <is>
          <t>MA</t>
        </is>
      </c>
      <c r="B221" s="8" t="inlineStr">
        <is>
          <t>Mastercard Inc</t>
        </is>
      </c>
      <c r="C221" s="8" t="n">
        <v>2016</v>
      </c>
      <c r="D221" s="8" t="inlineStr">
        <is>
          <t>2016-12-31</t>
        </is>
      </c>
      <c r="E221" s="8" t="inlineStr">
        <is>
          <t>일반</t>
        </is>
      </c>
      <c r="F221" s="8" t="inlineStr">
        <is>
          <t>0001141391-19-000013</t>
        </is>
      </c>
      <c r="G221" s="15" t="n">
        <v>10.776</v>
      </c>
      <c r="H221" s="15" t="n"/>
      <c r="I221" s="15" t="n"/>
      <c r="J221" s="15" t="n">
        <v>1.587</v>
      </c>
      <c r="K221" s="15" t="n">
        <v>5.761</v>
      </c>
      <c r="L221" s="15" t="n">
        <v>4.059</v>
      </c>
      <c r="M221" s="15" t="n">
        <v>0.373</v>
      </c>
      <c r="N221" s="15" t="n">
        <v>0.215</v>
      </c>
      <c r="O221" s="15" t="n">
        <v>4.637</v>
      </c>
      <c r="P221" s="15" t="n">
        <v>5.656</v>
      </c>
      <c r="Q221" s="15" t="n">
        <v>6.028</v>
      </c>
      <c r="R221" s="15" t="n">
        <v>6.721</v>
      </c>
      <c r="S221" s="15" t="n">
        <v>5.747</v>
      </c>
      <c r="T221" s="15" t="n"/>
      <c r="U221" s="15" t="n"/>
      <c r="V221" s="15" t="n">
        <v>5.18</v>
      </c>
      <c r="W221" s="15" t="n">
        <v>13.228</v>
      </c>
      <c r="X221" s="15" t="n">
        <v>10.984</v>
      </c>
      <c r="Y221" s="15" t="n">
        <v>7.206</v>
      </c>
      <c r="Z221" s="15" t="n">
        <v>6.269</v>
      </c>
      <c r="AA221" s="15" t="n">
        <v>3.549</v>
      </c>
      <c r="AB221" s="16" t="n">
        <v>1082</v>
      </c>
      <c r="AC221" s="17">
        <f>IF(AND(ISNUMBER(H221),ISNUMBER(I221)),H221+I221,IF(ISNUMBER(K221),K221,IF(ISNUMBER(H221),H221,"")))</f>
        <v/>
      </c>
      <c r="AD221" s="18">
        <f>IF(OR(NOT(ISNUMBER(J221)),NOT(ISNUMBER(H221)),H221&lt;=0),기준표!$B$8,MIN(MAX(J221/H221,기준표!$B$6),기준표!$B$7))</f>
        <v/>
      </c>
      <c r="AE221" s="17">
        <f>IF(ISNUMBER(AC221),AC221*(1-AD221),"")</f>
        <v/>
      </c>
      <c r="AF221" s="17">
        <f>IF(AND(NOT(ISNUMBER(T221)),NOT(ISNUMBER(V221))),"",IF(ISNUMBER(T221),T221,0)+IF(ISNUMBER(V221),V221,0))</f>
        <v/>
      </c>
      <c r="AG221" s="17">
        <f>IF(E221="금융","",IF(AND(ISNUMBER(P221),ISNUMBER(AF221),ISNUMBER(R221)),P221+AF221-R221,""))</f>
        <v/>
      </c>
      <c r="AH221" s="17">
        <f>IF(E221="금융","",IF(NOT(ISNUMBER(AG221)),"",IF(ISNUMBER(AA221),(AG221+AA221)/2,AG221)))</f>
        <v/>
      </c>
      <c r="AI221" s="19">
        <f>IF(AND(ISNUMBER(AE221),ISNUMBER(AH221),AH221&gt;0),AE221/AH221,"")</f>
        <v/>
      </c>
      <c r="AJ221" s="17">
        <f>IF(E221="금융","",IF(AND(ISNUMBER(P221),ISNUMBER(AF221)),P221+AF221,""))</f>
        <v/>
      </c>
      <c r="AK221" s="19">
        <f>IF(OR(NOT(ISNUMBER(AE221)),NOT(ISNUMBER(AJ221)),AJ221&lt;=0),"",IF(AND(ISNUMBER(G221),AJ221&lt;0.1*G221),"",AE221/AJ221))</f>
        <v/>
      </c>
      <c r="AL221" s="17">
        <f>IF(NOT(ISNUMBER(P221)),"",IF(ISNUMBER(Q221),(P221+Q221)/2,P221))</f>
        <v/>
      </c>
      <c r="AM221" s="19">
        <f>IF(AND(ISNUMBER(L221),ISNUMBER(AL221),AL221&gt;0),L221/AL221,"")</f>
        <v/>
      </c>
      <c r="AN221" s="19">
        <f>IF(AND(ISNUMBER(AM221),ISNUMBER({ROIC})),AM221-{ROIC},"")</f>
        <v/>
      </c>
      <c r="AO221" s="17">
        <f>IF(AND(ISNUMBER(AC221),ISNUMBER(M221)),AC221+M221,"")</f>
        <v/>
      </c>
      <c r="AP221" s="20">
        <f>IF(AND(ISNUMBER(AF221),ISNUMBER(R221),ISNUMBER(AO221),AO221&gt;0),(AF221-R221)/AO221,"")</f>
        <v/>
      </c>
      <c r="AQ221" s="20">
        <f>IF(AND(ISNUMBER(AC221),ISNUMBER(I221),I221&lt;&gt;0,AC221&gt;0),AC221/I221,"")</f>
        <v/>
      </c>
      <c r="AR221" s="17">
        <f>IF(AND(ISNUMBER(W221),ISNUMBER(Y221)),W221-IF(ISNUMBER(R221),R221,0)-(Y221-IF(ISNUMBER(T221),T221,0)),"")</f>
        <v/>
      </c>
      <c r="AS221" s="17">
        <f>IF(AND(ISNUMBER(X221),ISNUMBER(Z221)),X221-IF(ISNUMBER(S221),S221,0)-(Z221-IF(ISNUMBER(U221),U221,0)),"")</f>
        <v/>
      </c>
      <c r="AT221" s="17">
        <f>IF(AND(ISNUMBER(AR221),ISNUMBER(AS221)),AR221-AS221,"")</f>
        <v/>
      </c>
      <c r="AU221" s="17">
        <f>IF(E221="금융","",IF(AND(ISNUMBER(L221),ISNUMBER(M221),ISNUMBER(N221),ISNUMBER(AT221)),L221+M221-N221-AT221,IF(AND(ISNUMBER(O221),ISNUMBER(N221)),O221-N221,"")))</f>
        <v/>
      </c>
      <c r="AV221" s="8">
        <f>IF(E221="금융","금융업 - 정의되지 않음",IF(AND(ISNUMBER(L221),ISNUMBER(M221),ISNUMBER(N221),ISNUMBER(AT221)),"순이익+감가상각-설비투자-운전자본증감",IF(AND(ISNUMBER(O221),ISNUMBER(N221)),"영업현금흐름-설비투자","산출불가")))</f>
        <v/>
      </c>
      <c r="AW221" s="19">
        <f>IF(AND(ISNUMBER(AU221),ISNUMBER(G221),G221&lt;&gt;0),AU221/G221,"")</f>
        <v/>
      </c>
      <c r="AX221" s="19">
        <f>IF(AND(ISNUMBER(AC221),ISNUMBER(G221),G221&lt;&gt;0),AC221/G221,"")</f>
        <v/>
      </c>
    </row>
    <row r="222">
      <c r="A222" s="8" t="inlineStr">
        <is>
          <t>MA</t>
        </is>
      </c>
      <c r="B222" s="8" t="inlineStr">
        <is>
          <t>Mastercard Inc</t>
        </is>
      </c>
      <c r="C222" s="8" t="n">
        <v>2017</v>
      </c>
      <c r="D222" s="8" t="inlineStr">
        <is>
          <t>2017-12-31</t>
        </is>
      </c>
      <c r="E222" s="8" t="inlineStr">
        <is>
          <t>일반</t>
        </is>
      </c>
      <c r="F222" s="8" t="inlineStr">
        <is>
          <t>0001141391-20-000032</t>
        </is>
      </c>
      <c r="G222" s="15" t="n">
        <v>12.497</v>
      </c>
      <c r="H222" s="15" t="n"/>
      <c r="I222" s="15" t="n"/>
      <c r="J222" s="15" t="n">
        <v>2.607</v>
      </c>
      <c r="K222" s="15" t="n">
        <v>6.622</v>
      </c>
      <c r="L222" s="15" t="n">
        <v>3.915</v>
      </c>
      <c r="M222" s="15" t="n">
        <v>0.437</v>
      </c>
      <c r="N222" s="15" t="n">
        <v>0.3</v>
      </c>
      <c r="O222" s="15" t="n">
        <v>5.664</v>
      </c>
      <c r="P222" s="15" t="n">
        <v>5.468</v>
      </c>
      <c r="Q222" s="15" t="n">
        <v>5.656</v>
      </c>
      <c r="R222" s="15" t="n">
        <v>5.933</v>
      </c>
      <c r="S222" s="15" t="n">
        <v>6.721</v>
      </c>
      <c r="T222" s="15" t="n">
        <v>0</v>
      </c>
      <c r="U222" s="15" t="n"/>
      <c r="V222" s="15" t="n">
        <v>5.424</v>
      </c>
      <c r="W222" s="15" t="n">
        <v>13.797</v>
      </c>
      <c r="X222" s="15" t="n">
        <v>13.228</v>
      </c>
      <c r="Y222" s="15" t="n">
        <v>8.792999999999999</v>
      </c>
      <c r="Z222" s="15" t="n">
        <v>7.206</v>
      </c>
      <c r="AA222" s="15" t="n">
        <v>4.115</v>
      </c>
      <c r="AB222" s="16" t="n">
        <v>1057</v>
      </c>
      <c r="AC222" s="17">
        <f>IF(AND(ISNUMBER(H222),ISNUMBER(I222)),H222+I222,IF(ISNUMBER(K222),K222,IF(ISNUMBER(H222),H222,"")))</f>
        <v/>
      </c>
      <c r="AD222" s="18">
        <f>IF(OR(NOT(ISNUMBER(J222)),NOT(ISNUMBER(H222)),H222&lt;=0),기준표!$B$8,MIN(MAX(J222/H222,기준표!$B$6),기준표!$B$7))</f>
        <v/>
      </c>
      <c r="AE222" s="17">
        <f>IF(ISNUMBER(AC222),AC222*(1-AD222),"")</f>
        <v/>
      </c>
      <c r="AF222" s="17">
        <f>IF(AND(NOT(ISNUMBER(T222)),NOT(ISNUMBER(V222))),"",IF(ISNUMBER(T222),T222,0)+IF(ISNUMBER(V222),V222,0))</f>
        <v/>
      </c>
      <c r="AG222" s="17">
        <f>IF(E222="금융","",IF(AND(ISNUMBER(P222),ISNUMBER(AF222),ISNUMBER(R222)),P222+AF222-R222,""))</f>
        <v/>
      </c>
      <c r="AH222" s="17">
        <f>IF(E222="금융","",IF(NOT(ISNUMBER(AG222)),"",IF(ISNUMBER(AA222),(AG222+AA222)/2,AG222)))</f>
        <v/>
      </c>
      <c r="AI222" s="19">
        <f>IF(AND(ISNUMBER(AE222),ISNUMBER(AH222),AH222&gt;0),AE222/AH222,"")</f>
        <v/>
      </c>
      <c r="AJ222" s="17">
        <f>IF(E222="금융","",IF(AND(ISNUMBER(P222),ISNUMBER(AF222)),P222+AF222,""))</f>
        <v/>
      </c>
      <c r="AK222" s="19">
        <f>IF(OR(NOT(ISNUMBER(AE222)),NOT(ISNUMBER(AJ222)),AJ222&lt;=0),"",IF(AND(ISNUMBER(G222),AJ222&lt;0.1*G222),"",AE222/AJ222))</f>
        <v/>
      </c>
      <c r="AL222" s="17">
        <f>IF(NOT(ISNUMBER(P222)),"",IF(ISNUMBER(Q222),(P222+Q222)/2,P222))</f>
        <v/>
      </c>
      <c r="AM222" s="19">
        <f>IF(AND(ISNUMBER(L222),ISNUMBER(AL222),AL222&gt;0),L222/AL222,"")</f>
        <v/>
      </c>
      <c r="AN222" s="19">
        <f>IF(AND(ISNUMBER(AM222),ISNUMBER({ROIC})),AM222-{ROIC},"")</f>
        <v/>
      </c>
      <c r="AO222" s="17">
        <f>IF(AND(ISNUMBER(AC222),ISNUMBER(M222)),AC222+M222,"")</f>
        <v/>
      </c>
      <c r="AP222" s="20">
        <f>IF(AND(ISNUMBER(AF222),ISNUMBER(R222),ISNUMBER(AO222),AO222&gt;0),(AF222-R222)/AO222,"")</f>
        <v/>
      </c>
      <c r="AQ222" s="20">
        <f>IF(AND(ISNUMBER(AC222),ISNUMBER(I222),I222&lt;&gt;0,AC222&gt;0),AC222/I222,"")</f>
        <v/>
      </c>
      <c r="AR222" s="17">
        <f>IF(AND(ISNUMBER(W222),ISNUMBER(Y222)),W222-IF(ISNUMBER(R222),R222,0)-(Y222-IF(ISNUMBER(T222),T222,0)),"")</f>
        <v/>
      </c>
      <c r="AS222" s="17">
        <f>IF(AND(ISNUMBER(X222),ISNUMBER(Z222)),X222-IF(ISNUMBER(S222),S222,0)-(Z222-IF(ISNUMBER(U222),U222,0)),"")</f>
        <v/>
      </c>
      <c r="AT222" s="17">
        <f>IF(AND(ISNUMBER(AR222),ISNUMBER(AS222)),AR222-AS222,"")</f>
        <v/>
      </c>
      <c r="AU222" s="17">
        <f>IF(E222="금융","",IF(AND(ISNUMBER(L222),ISNUMBER(M222),ISNUMBER(N222),ISNUMBER(AT222)),L222+M222-N222-AT222,IF(AND(ISNUMBER(O222),ISNUMBER(N222)),O222-N222,"")))</f>
        <v/>
      </c>
      <c r="AV222" s="8">
        <f>IF(E222="금융","금융업 - 정의되지 않음",IF(AND(ISNUMBER(L222),ISNUMBER(M222),ISNUMBER(N222),ISNUMBER(AT222)),"순이익+감가상각-설비투자-운전자본증감",IF(AND(ISNUMBER(O222),ISNUMBER(N222)),"영업현금흐름-설비투자","산출불가")))</f>
        <v/>
      </c>
      <c r="AW222" s="19">
        <f>IF(AND(ISNUMBER(AU222),ISNUMBER(G222),G222&lt;&gt;0),AU222/G222,"")</f>
        <v/>
      </c>
      <c r="AX222" s="19">
        <f>IF(AND(ISNUMBER(AC222),ISNUMBER(G222),G222&lt;&gt;0),AC222/G222,"")</f>
        <v/>
      </c>
    </row>
    <row r="223">
      <c r="A223" s="8" t="inlineStr">
        <is>
          <t>MA</t>
        </is>
      </c>
      <c r="B223" s="8" t="inlineStr">
        <is>
          <t>Mastercard Inc</t>
        </is>
      </c>
      <c r="C223" s="8" t="n">
        <v>2018</v>
      </c>
      <c r="D223" s="8" t="inlineStr">
        <is>
          <t>2018-12-31</t>
        </is>
      </c>
      <c r="E223" s="8" t="inlineStr">
        <is>
          <t>일반</t>
        </is>
      </c>
      <c r="F223" s="8" t="inlineStr">
        <is>
          <t>0001141391-21-000018</t>
        </is>
      </c>
      <c r="G223" s="15" t="n">
        <v>14.95</v>
      </c>
      <c r="H223" s="15" t="n"/>
      <c r="I223" s="15" t="n"/>
      <c r="J223" s="15" t="n">
        <v>1.345</v>
      </c>
      <c r="K223" s="15" t="n">
        <v>7.282</v>
      </c>
      <c r="L223" s="15" t="n">
        <v>5.859</v>
      </c>
      <c r="M223" s="15" t="n">
        <v>0.459</v>
      </c>
      <c r="N223" s="15" t="n">
        <v>0.33</v>
      </c>
      <c r="O223" s="15" t="n">
        <v>6.223</v>
      </c>
      <c r="P223" s="15" t="n">
        <v>5.395</v>
      </c>
      <c r="Q223" s="15" t="n">
        <v>5.468</v>
      </c>
      <c r="R223" s="15" t="n">
        <v>6.682</v>
      </c>
      <c r="S223" s="15" t="n">
        <v>5.933</v>
      </c>
      <c r="T223" s="15" t="n">
        <v>0.5</v>
      </c>
      <c r="U223" s="15" t="n">
        <v>0</v>
      </c>
      <c r="V223" s="15" t="n">
        <v>5.834</v>
      </c>
      <c r="W223" s="15" t="n">
        <v>16.171</v>
      </c>
      <c r="X223" s="15" t="n">
        <v>13.797</v>
      </c>
      <c r="Y223" s="15" t="n">
        <v>11.593</v>
      </c>
      <c r="Z223" s="15" t="n">
        <v>8.792999999999999</v>
      </c>
      <c r="AA223" s="15" t="n">
        <v>4.959</v>
      </c>
      <c r="AB223" s="16" t="n">
        <v>1032</v>
      </c>
      <c r="AC223" s="17">
        <f>IF(AND(ISNUMBER(H223),ISNUMBER(I223)),H223+I223,IF(ISNUMBER(K223),K223,IF(ISNUMBER(H223),H223,"")))</f>
        <v/>
      </c>
      <c r="AD223" s="18">
        <f>IF(OR(NOT(ISNUMBER(J223)),NOT(ISNUMBER(H223)),H223&lt;=0),기준표!$B$8,MIN(MAX(J223/H223,기준표!$B$6),기준표!$B$7))</f>
        <v/>
      </c>
      <c r="AE223" s="17">
        <f>IF(ISNUMBER(AC223),AC223*(1-AD223),"")</f>
        <v/>
      </c>
      <c r="AF223" s="17">
        <f>IF(AND(NOT(ISNUMBER(T223)),NOT(ISNUMBER(V223))),"",IF(ISNUMBER(T223),T223,0)+IF(ISNUMBER(V223),V223,0))</f>
        <v/>
      </c>
      <c r="AG223" s="17">
        <f>IF(E223="금융","",IF(AND(ISNUMBER(P223),ISNUMBER(AF223),ISNUMBER(R223)),P223+AF223-R223,""))</f>
        <v/>
      </c>
      <c r="AH223" s="17">
        <f>IF(E223="금융","",IF(NOT(ISNUMBER(AG223)),"",IF(ISNUMBER(AA223),(AG223+AA223)/2,AG223)))</f>
        <v/>
      </c>
      <c r="AI223" s="19">
        <f>IF(AND(ISNUMBER(AE223),ISNUMBER(AH223),AH223&gt;0),AE223/AH223,"")</f>
        <v/>
      </c>
      <c r="AJ223" s="17">
        <f>IF(E223="금융","",IF(AND(ISNUMBER(P223),ISNUMBER(AF223)),P223+AF223,""))</f>
        <v/>
      </c>
      <c r="AK223" s="19">
        <f>IF(OR(NOT(ISNUMBER(AE223)),NOT(ISNUMBER(AJ223)),AJ223&lt;=0),"",IF(AND(ISNUMBER(G223),AJ223&lt;0.1*G223),"",AE223/AJ223))</f>
        <v/>
      </c>
      <c r="AL223" s="17">
        <f>IF(NOT(ISNUMBER(P223)),"",IF(ISNUMBER(Q223),(P223+Q223)/2,P223))</f>
        <v/>
      </c>
      <c r="AM223" s="19">
        <f>IF(AND(ISNUMBER(L223),ISNUMBER(AL223),AL223&gt;0),L223/AL223,"")</f>
        <v/>
      </c>
      <c r="AN223" s="19">
        <f>IF(AND(ISNUMBER(AM223),ISNUMBER({ROIC})),AM223-{ROIC},"")</f>
        <v/>
      </c>
      <c r="AO223" s="17">
        <f>IF(AND(ISNUMBER(AC223),ISNUMBER(M223)),AC223+M223,"")</f>
        <v/>
      </c>
      <c r="AP223" s="20">
        <f>IF(AND(ISNUMBER(AF223),ISNUMBER(R223),ISNUMBER(AO223),AO223&gt;0),(AF223-R223)/AO223,"")</f>
        <v/>
      </c>
      <c r="AQ223" s="20">
        <f>IF(AND(ISNUMBER(AC223),ISNUMBER(I223),I223&lt;&gt;0,AC223&gt;0),AC223/I223,"")</f>
        <v/>
      </c>
      <c r="AR223" s="17">
        <f>IF(AND(ISNUMBER(W223),ISNUMBER(Y223)),W223-IF(ISNUMBER(R223),R223,0)-(Y223-IF(ISNUMBER(T223),T223,0)),"")</f>
        <v/>
      </c>
      <c r="AS223" s="17">
        <f>IF(AND(ISNUMBER(X223),ISNUMBER(Z223)),X223-IF(ISNUMBER(S223),S223,0)-(Z223-IF(ISNUMBER(U223),U223,0)),"")</f>
        <v/>
      </c>
      <c r="AT223" s="17">
        <f>IF(AND(ISNUMBER(AR223),ISNUMBER(AS223)),AR223-AS223,"")</f>
        <v/>
      </c>
      <c r="AU223" s="17">
        <f>IF(E223="금융","",IF(AND(ISNUMBER(L223),ISNUMBER(M223),ISNUMBER(N223),ISNUMBER(AT223)),L223+M223-N223-AT223,IF(AND(ISNUMBER(O223),ISNUMBER(N223)),O223-N223,"")))</f>
        <v/>
      </c>
      <c r="AV223" s="8">
        <f>IF(E223="금융","금융업 - 정의되지 않음",IF(AND(ISNUMBER(L223),ISNUMBER(M223),ISNUMBER(N223),ISNUMBER(AT223)),"순이익+감가상각-설비투자-운전자본증감",IF(AND(ISNUMBER(O223),ISNUMBER(N223)),"영업현금흐름-설비투자","산출불가")))</f>
        <v/>
      </c>
      <c r="AW223" s="19">
        <f>IF(AND(ISNUMBER(AU223),ISNUMBER(G223),G223&lt;&gt;0),AU223/G223,"")</f>
        <v/>
      </c>
      <c r="AX223" s="19">
        <f>IF(AND(ISNUMBER(AC223),ISNUMBER(G223),G223&lt;&gt;0),AC223/G223,"")</f>
        <v/>
      </c>
    </row>
    <row r="224">
      <c r="A224" s="8" t="inlineStr">
        <is>
          <t>MA</t>
        </is>
      </c>
      <c r="B224" s="8" t="inlineStr">
        <is>
          <t>Mastercard Inc</t>
        </is>
      </c>
      <c r="C224" s="8" t="n">
        <v>2019</v>
      </c>
      <c r="D224" s="8" t="inlineStr">
        <is>
          <t>2019-12-31</t>
        </is>
      </c>
      <c r="E224" s="8" t="inlineStr">
        <is>
          <t>일반</t>
        </is>
      </c>
      <c r="F224" s="8" t="inlineStr">
        <is>
          <t>0001141391-22-000023</t>
        </is>
      </c>
      <c r="G224" s="15" t="n">
        <v>16.883</v>
      </c>
      <c r="H224" s="15" t="n"/>
      <c r="I224" s="15" t="n"/>
      <c r="J224" s="15" t="n">
        <v>1.613</v>
      </c>
      <c r="K224" s="15" t="n">
        <v>9.664</v>
      </c>
      <c r="L224" s="15" t="n">
        <v>8.118</v>
      </c>
      <c r="M224" s="15" t="n">
        <v>0.522</v>
      </c>
      <c r="N224" s="15" t="n">
        <v>0.422</v>
      </c>
      <c r="O224" s="15" t="n">
        <v>8.183</v>
      </c>
      <c r="P224" s="15" t="n">
        <v>5.893</v>
      </c>
      <c r="Q224" s="15" t="n">
        <v>5.395</v>
      </c>
      <c r="R224" s="15" t="n">
        <v>6.988</v>
      </c>
      <c r="S224" s="15" t="n">
        <v>6.682</v>
      </c>
      <c r="T224" s="15" t="n">
        <v>0</v>
      </c>
      <c r="U224" s="15" t="n">
        <v>0.5</v>
      </c>
      <c r="V224" s="15" t="n">
        <v>8.526999999999999</v>
      </c>
      <c r="W224" s="15" t="n">
        <v>16.902</v>
      </c>
      <c r="X224" s="15" t="n">
        <v>16.171</v>
      </c>
      <c r="Y224" s="15" t="n">
        <v>11.904</v>
      </c>
      <c r="Z224" s="15" t="n">
        <v>11.593</v>
      </c>
      <c r="AA224" s="15" t="n">
        <v>5.047</v>
      </c>
      <c r="AB224" s="16" t="n">
        <v>1022</v>
      </c>
      <c r="AC224" s="17">
        <f>IF(AND(ISNUMBER(H224),ISNUMBER(I224)),H224+I224,IF(ISNUMBER(K224),K224,IF(ISNUMBER(H224),H224,"")))</f>
        <v/>
      </c>
      <c r="AD224" s="18">
        <f>IF(OR(NOT(ISNUMBER(J224)),NOT(ISNUMBER(H224)),H224&lt;=0),기준표!$B$8,MIN(MAX(J224/H224,기준표!$B$6),기준표!$B$7))</f>
        <v/>
      </c>
      <c r="AE224" s="17">
        <f>IF(ISNUMBER(AC224),AC224*(1-AD224),"")</f>
        <v/>
      </c>
      <c r="AF224" s="17">
        <f>IF(AND(NOT(ISNUMBER(T224)),NOT(ISNUMBER(V224))),"",IF(ISNUMBER(T224),T224,0)+IF(ISNUMBER(V224),V224,0))</f>
        <v/>
      </c>
      <c r="AG224" s="17">
        <f>IF(E224="금융","",IF(AND(ISNUMBER(P224),ISNUMBER(AF224),ISNUMBER(R224)),P224+AF224-R224,""))</f>
        <v/>
      </c>
      <c r="AH224" s="17">
        <f>IF(E224="금융","",IF(NOT(ISNUMBER(AG224)),"",IF(ISNUMBER(AA224),(AG224+AA224)/2,AG224)))</f>
        <v/>
      </c>
      <c r="AI224" s="19">
        <f>IF(AND(ISNUMBER(AE224),ISNUMBER(AH224),AH224&gt;0),AE224/AH224,"")</f>
        <v/>
      </c>
      <c r="AJ224" s="17">
        <f>IF(E224="금융","",IF(AND(ISNUMBER(P224),ISNUMBER(AF224)),P224+AF224,""))</f>
        <v/>
      </c>
      <c r="AK224" s="19">
        <f>IF(OR(NOT(ISNUMBER(AE224)),NOT(ISNUMBER(AJ224)),AJ224&lt;=0),"",IF(AND(ISNUMBER(G224),AJ224&lt;0.1*G224),"",AE224/AJ224))</f>
        <v/>
      </c>
      <c r="AL224" s="17">
        <f>IF(NOT(ISNUMBER(P224)),"",IF(ISNUMBER(Q224),(P224+Q224)/2,P224))</f>
        <v/>
      </c>
      <c r="AM224" s="19">
        <f>IF(AND(ISNUMBER(L224),ISNUMBER(AL224),AL224&gt;0),L224/AL224,"")</f>
        <v/>
      </c>
      <c r="AN224" s="19">
        <f>IF(AND(ISNUMBER(AM224),ISNUMBER({ROIC})),AM224-{ROIC},"")</f>
        <v/>
      </c>
      <c r="AO224" s="17">
        <f>IF(AND(ISNUMBER(AC224),ISNUMBER(M224)),AC224+M224,"")</f>
        <v/>
      </c>
      <c r="AP224" s="20">
        <f>IF(AND(ISNUMBER(AF224),ISNUMBER(R224),ISNUMBER(AO224),AO224&gt;0),(AF224-R224)/AO224,"")</f>
        <v/>
      </c>
      <c r="AQ224" s="20">
        <f>IF(AND(ISNUMBER(AC224),ISNUMBER(I224),I224&lt;&gt;0,AC224&gt;0),AC224/I224,"")</f>
        <v/>
      </c>
      <c r="AR224" s="17">
        <f>IF(AND(ISNUMBER(W224),ISNUMBER(Y224)),W224-IF(ISNUMBER(R224),R224,0)-(Y224-IF(ISNUMBER(T224),T224,0)),"")</f>
        <v/>
      </c>
      <c r="AS224" s="17">
        <f>IF(AND(ISNUMBER(X224),ISNUMBER(Z224)),X224-IF(ISNUMBER(S224),S224,0)-(Z224-IF(ISNUMBER(U224),U224,0)),"")</f>
        <v/>
      </c>
      <c r="AT224" s="17">
        <f>IF(AND(ISNUMBER(AR224),ISNUMBER(AS224)),AR224-AS224,"")</f>
        <v/>
      </c>
      <c r="AU224" s="17">
        <f>IF(E224="금융","",IF(AND(ISNUMBER(L224),ISNUMBER(M224),ISNUMBER(N224),ISNUMBER(AT224)),L224+M224-N224-AT224,IF(AND(ISNUMBER(O224),ISNUMBER(N224)),O224-N224,"")))</f>
        <v/>
      </c>
      <c r="AV224" s="8">
        <f>IF(E224="금융","금융업 - 정의되지 않음",IF(AND(ISNUMBER(L224),ISNUMBER(M224),ISNUMBER(N224),ISNUMBER(AT224)),"순이익+감가상각-설비투자-운전자본증감",IF(AND(ISNUMBER(O224),ISNUMBER(N224)),"영업현금흐름-설비투자","산출불가")))</f>
        <v/>
      </c>
      <c r="AW224" s="19">
        <f>IF(AND(ISNUMBER(AU224),ISNUMBER(G224),G224&lt;&gt;0),AU224/G224,"")</f>
        <v/>
      </c>
      <c r="AX224" s="19">
        <f>IF(AND(ISNUMBER(AC224),ISNUMBER(G224),G224&lt;&gt;0),AC224/G224,"")</f>
        <v/>
      </c>
    </row>
    <row r="225">
      <c r="A225" s="8" t="inlineStr">
        <is>
          <t>MA</t>
        </is>
      </c>
      <c r="B225" s="8" t="inlineStr">
        <is>
          <t>Mastercard Inc</t>
        </is>
      </c>
      <c r="C225" s="8" t="n">
        <v>2020</v>
      </c>
      <c r="D225" s="8" t="inlineStr">
        <is>
          <t>2020-12-31</t>
        </is>
      </c>
      <c r="E225" s="8" t="inlineStr">
        <is>
          <t>일반</t>
        </is>
      </c>
      <c r="F225" s="8" t="inlineStr">
        <is>
          <t>0001141391-23-000020</t>
        </is>
      </c>
      <c r="G225" s="15" t="n">
        <v>15.301</v>
      </c>
      <c r="H225" s="15" t="n"/>
      <c r="I225" s="15" t="n"/>
      <c r="J225" s="15" t="n">
        <v>1.349</v>
      </c>
      <c r="K225" s="15" t="n">
        <v>8.081</v>
      </c>
      <c r="L225" s="15" t="n">
        <v>6.411</v>
      </c>
      <c r="M225" s="15" t="n">
        <v>0.58</v>
      </c>
      <c r="N225" s="15" t="n">
        <v>0.339</v>
      </c>
      <c r="O225" s="15" t="n">
        <v>7.224</v>
      </c>
      <c r="P225" s="15" t="n">
        <v>6.391</v>
      </c>
      <c r="Q225" s="15" t="n">
        <v>5.893</v>
      </c>
      <c r="R225" s="15" t="n">
        <v>10.113</v>
      </c>
      <c r="S225" s="15" t="n">
        <v>6.988</v>
      </c>
      <c r="T225" s="15" t="n">
        <v>0.649</v>
      </c>
      <c r="U225" s="15" t="n">
        <v>0</v>
      </c>
      <c r="V225" s="15" t="n">
        <v>12.023</v>
      </c>
      <c r="W225" s="15" t="n">
        <v>19.113</v>
      </c>
      <c r="X225" s="15" t="n">
        <v>16.902</v>
      </c>
      <c r="Y225" s="15" t="n">
        <v>11.847</v>
      </c>
      <c r="Z225" s="15" t="n">
        <v>11.904</v>
      </c>
      <c r="AA225" s="15" t="n">
        <v>7.432</v>
      </c>
      <c r="AB225" s="16" t="n">
        <v>1006</v>
      </c>
      <c r="AC225" s="17">
        <f>IF(AND(ISNUMBER(H225),ISNUMBER(I225)),H225+I225,IF(ISNUMBER(K225),K225,IF(ISNUMBER(H225),H225,"")))</f>
        <v/>
      </c>
      <c r="AD225" s="18">
        <f>IF(OR(NOT(ISNUMBER(J225)),NOT(ISNUMBER(H225)),H225&lt;=0),기준표!$B$8,MIN(MAX(J225/H225,기준표!$B$6),기준표!$B$7))</f>
        <v/>
      </c>
      <c r="AE225" s="17">
        <f>IF(ISNUMBER(AC225),AC225*(1-AD225),"")</f>
        <v/>
      </c>
      <c r="AF225" s="17">
        <f>IF(AND(NOT(ISNUMBER(T225)),NOT(ISNUMBER(V225))),"",IF(ISNUMBER(T225),T225,0)+IF(ISNUMBER(V225),V225,0))</f>
        <v/>
      </c>
      <c r="AG225" s="17">
        <f>IF(E225="금융","",IF(AND(ISNUMBER(P225),ISNUMBER(AF225),ISNUMBER(R225)),P225+AF225-R225,""))</f>
        <v/>
      </c>
      <c r="AH225" s="17">
        <f>IF(E225="금융","",IF(NOT(ISNUMBER(AG225)),"",IF(ISNUMBER(AA225),(AG225+AA225)/2,AG225)))</f>
        <v/>
      </c>
      <c r="AI225" s="19">
        <f>IF(AND(ISNUMBER(AE225),ISNUMBER(AH225),AH225&gt;0),AE225/AH225,"")</f>
        <v/>
      </c>
      <c r="AJ225" s="17">
        <f>IF(E225="금융","",IF(AND(ISNUMBER(P225),ISNUMBER(AF225)),P225+AF225,""))</f>
        <v/>
      </c>
      <c r="AK225" s="19">
        <f>IF(OR(NOT(ISNUMBER(AE225)),NOT(ISNUMBER(AJ225)),AJ225&lt;=0),"",IF(AND(ISNUMBER(G225),AJ225&lt;0.1*G225),"",AE225/AJ225))</f>
        <v/>
      </c>
      <c r="AL225" s="17">
        <f>IF(NOT(ISNUMBER(P225)),"",IF(ISNUMBER(Q225),(P225+Q225)/2,P225))</f>
        <v/>
      </c>
      <c r="AM225" s="19">
        <f>IF(AND(ISNUMBER(L225),ISNUMBER(AL225),AL225&gt;0),L225/AL225,"")</f>
        <v/>
      </c>
      <c r="AN225" s="19">
        <f>IF(AND(ISNUMBER(AM225),ISNUMBER({ROIC})),AM225-{ROIC},"")</f>
        <v/>
      </c>
      <c r="AO225" s="17">
        <f>IF(AND(ISNUMBER(AC225),ISNUMBER(M225)),AC225+M225,"")</f>
        <v/>
      </c>
      <c r="AP225" s="20">
        <f>IF(AND(ISNUMBER(AF225),ISNUMBER(R225),ISNUMBER(AO225),AO225&gt;0),(AF225-R225)/AO225,"")</f>
        <v/>
      </c>
      <c r="AQ225" s="20">
        <f>IF(AND(ISNUMBER(AC225),ISNUMBER(I225),I225&lt;&gt;0,AC225&gt;0),AC225/I225,"")</f>
        <v/>
      </c>
      <c r="AR225" s="17">
        <f>IF(AND(ISNUMBER(W225),ISNUMBER(Y225)),W225-IF(ISNUMBER(R225),R225,0)-(Y225-IF(ISNUMBER(T225),T225,0)),"")</f>
        <v/>
      </c>
      <c r="AS225" s="17">
        <f>IF(AND(ISNUMBER(X225),ISNUMBER(Z225)),X225-IF(ISNUMBER(S225),S225,0)-(Z225-IF(ISNUMBER(U225),U225,0)),"")</f>
        <v/>
      </c>
      <c r="AT225" s="17">
        <f>IF(AND(ISNUMBER(AR225),ISNUMBER(AS225)),AR225-AS225,"")</f>
        <v/>
      </c>
      <c r="AU225" s="17">
        <f>IF(E225="금융","",IF(AND(ISNUMBER(L225),ISNUMBER(M225),ISNUMBER(N225),ISNUMBER(AT225)),L225+M225-N225-AT225,IF(AND(ISNUMBER(O225),ISNUMBER(N225)),O225-N225,"")))</f>
        <v/>
      </c>
      <c r="AV225" s="8">
        <f>IF(E225="금융","금융업 - 정의되지 않음",IF(AND(ISNUMBER(L225),ISNUMBER(M225),ISNUMBER(N225),ISNUMBER(AT225)),"순이익+감가상각-설비투자-운전자본증감",IF(AND(ISNUMBER(O225),ISNUMBER(N225)),"영업현금흐름-설비투자","산출불가")))</f>
        <v/>
      </c>
      <c r="AW225" s="19">
        <f>IF(AND(ISNUMBER(AU225),ISNUMBER(G225),G225&lt;&gt;0),AU225/G225,"")</f>
        <v/>
      </c>
      <c r="AX225" s="19">
        <f>IF(AND(ISNUMBER(AC225),ISNUMBER(G225),G225&lt;&gt;0),AC225/G225,"")</f>
        <v/>
      </c>
    </row>
    <row r="226">
      <c r="A226" s="8" t="inlineStr">
        <is>
          <t>MA</t>
        </is>
      </c>
      <c r="B226" s="8" t="inlineStr">
        <is>
          <t>Mastercard Inc</t>
        </is>
      </c>
      <c r="C226" s="8" t="n">
        <v>2021</v>
      </c>
      <c r="D226" s="8" t="inlineStr">
        <is>
          <t>2021-12-31</t>
        </is>
      </c>
      <c r="E226" s="8" t="inlineStr">
        <is>
          <t>일반</t>
        </is>
      </c>
      <c r="F226" s="8" t="inlineStr">
        <is>
          <t>0001141391-24-000022</t>
        </is>
      </c>
      <c r="G226" s="15" t="n">
        <v>18.884</v>
      </c>
      <c r="H226" s="15" t="n"/>
      <c r="I226" s="15" t="n"/>
      <c r="J226" s="15" t="n">
        <v>1.62</v>
      </c>
      <c r="K226" s="15" t="n">
        <v>10.082</v>
      </c>
      <c r="L226" s="15" t="n">
        <v>8.686999999999999</v>
      </c>
      <c r="M226" s="15" t="n">
        <v>0.726</v>
      </c>
      <c r="N226" s="15" t="n">
        <v>0.407</v>
      </c>
      <c r="O226" s="15" t="n">
        <v>9.462999999999999</v>
      </c>
      <c r="P226" s="15" t="n">
        <v>7.312</v>
      </c>
      <c r="Q226" s="15" t="n">
        <v>6.391</v>
      </c>
      <c r="R226" s="15" t="n">
        <v>7.421</v>
      </c>
      <c r="S226" s="15" t="n">
        <v>10.113</v>
      </c>
      <c r="T226" s="15" t="n">
        <v>0.792</v>
      </c>
      <c r="U226" s="15" t="n">
        <v>0.649</v>
      </c>
      <c r="V226" s="15" t="n">
        <v>13.109</v>
      </c>
      <c r="W226" s="15" t="n">
        <v>16.949</v>
      </c>
      <c r="X226" s="15" t="n">
        <v>19.113</v>
      </c>
      <c r="Y226" s="15" t="n">
        <v>13.162</v>
      </c>
      <c r="Z226" s="15" t="n">
        <v>11.847</v>
      </c>
      <c r="AA226" s="15" t="n">
        <v>8.949999999999999</v>
      </c>
      <c r="AB226" s="16" t="n">
        <v>992</v>
      </c>
      <c r="AC226" s="17">
        <f>IF(AND(ISNUMBER(H226),ISNUMBER(I226)),H226+I226,IF(ISNUMBER(K226),K226,IF(ISNUMBER(H226),H226,"")))</f>
        <v/>
      </c>
      <c r="AD226" s="18">
        <f>IF(OR(NOT(ISNUMBER(J226)),NOT(ISNUMBER(H226)),H226&lt;=0),기준표!$B$8,MIN(MAX(J226/H226,기준표!$B$6),기준표!$B$7))</f>
        <v/>
      </c>
      <c r="AE226" s="17">
        <f>IF(ISNUMBER(AC226),AC226*(1-AD226),"")</f>
        <v/>
      </c>
      <c r="AF226" s="17">
        <f>IF(AND(NOT(ISNUMBER(T226)),NOT(ISNUMBER(V226))),"",IF(ISNUMBER(T226),T226,0)+IF(ISNUMBER(V226),V226,0))</f>
        <v/>
      </c>
      <c r="AG226" s="17">
        <f>IF(E226="금융","",IF(AND(ISNUMBER(P226),ISNUMBER(AF226),ISNUMBER(R226)),P226+AF226-R226,""))</f>
        <v/>
      </c>
      <c r="AH226" s="17">
        <f>IF(E226="금융","",IF(NOT(ISNUMBER(AG226)),"",IF(ISNUMBER(AA226),(AG226+AA226)/2,AG226)))</f>
        <v/>
      </c>
      <c r="AI226" s="19">
        <f>IF(AND(ISNUMBER(AE226),ISNUMBER(AH226),AH226&gt;0),AE226/AH226,"")</f>
        <v/>
      </c>
      <c r="AJ226" s="17">
        <f>IF(E226="금융","",IF(AND(ISNUMBER(P226),ISNUMBER(AF226)),P226+AF226,""))</f>
        <v/>
      </c>
      <c r="AK226" s="19">
        <f>IF(OR(NOT(ISNUMBER(AE226)),NOT(ISNUMBER(AJ226)),AJ226&lt;=0),"",IF(AND(ISNUMBER(G226),AJ226&lt;0.1*G226),"",AE226/AJ226))</f>
        <v/>
      </c>
      <c r="AL226" s="17">
        <f>IF(NOT(ISNUMBER(P226)),"",IF(ISNUMBER(Q226),(P226+Q226)/2,P226))</f>
        <v/>
      </c>
      <c r="AM226" s="19">
        <f>IF(AND(ISNUMBER(L226),ISNUMBER(AL226),AL226&gt;0),L226/AL226,"")</f>
        <v/>
      </c>
      <c r="AN226" s="19">
        <f>IF(AND(ISNUMBER(AM226),ISNUMBER({ROIC})),AM226-{ROIC},"")</f>
        <v/>
      </c>
      <c r="AO226" s="17">
        <f>IF(AND(ISNUMBER(AC226),ISNUMBER(M226)),AC226+M226,"")</f>
        <v/>
      </c>
      <c r="AP226" s="20">
        <f>IF(AND(ISNUMBER(AF226),ISNUMBER(R226),ISNUMBER(AO226),AO226&gt;0),(AF226-R226)/AO226,"")</f>
        <v/>
      </c>
      <c r="AQ226" s="20">
        <f>IF(AND(ISNUMBER(AC226),ISNUMBER(I226),I226&lt;&gt;0,AC226&gt;0),AC226/I226,"")</f>
        <v/>
      </c>
      <c r="AR226" s="17">
        <f>IF(AND(ISNUMBER(W226),ISNUMBER(Y226)),W226-IF(ISNUMBER(R226),R226,0)-(Y226-IF(ISNUMBER(T226),T226,0)),"")</f>
        <v/>
      </c>
      <c r="AS226" s="17">
        <f>IF(AND(ISNUMBER(X226),ISNUMBER(Z226)),X226-IF(ISNUMBER(S226),S226,0)-(Z226-IF(ISNUMBER(U226),U226,0)),"")</f>
        <v/>
      </c>
      <c r="AT226" s="17">
        <f>IF(AND(ISNUMBER(AR226),ISNUMBER(AS226)),AR226-AS226,"")</f>
        <v/>
      </c>
      <c r="AU226" s="17">
        <f>IF(E226="금융","",IF(AND(ISNUMBER(L226),ISNUMBER(M226),ISNUMBER(N226),ISNUMBER(AT226)),L226+M226-N226-AT226,IF(AND(ISNUMBER(O226),ISNUMBER(N226)),O226-N226,"")))</f>
        <v/>
      </c>
      <c r="AV226" s="8">
        <f>IF(E226="금융","금융업 - 정의되지 않음",IF(AND(ISNUMBER(L226),ISNUMBER(M226),ISNUMBER(N226),ISNUMBER(AT226)),"순이익+감가상각-설비투자-운전자본증감",IF(AND(ISNUMBER(O226),ISNUMBER(N226)),"영업현금흐름-설비투자","산출불가")))</f>
        <v/>
      </c>
      <c r="AW226" s="19">
        <f>IF(AND(ISNUMBER(AU226),ISNUMBER(G226),G226&lt;&gt;0),AU226/G226,"")</f>
        <v/>
      </c>
      <c r="AX226" s="19">
        <f>IF(AND(ISNUMBER(AC226),ISNUMBER(G226),G226&lt;&gt;0),AC226/G226,"")</f>
        <v/>
      </c>
    </row>
    <row r="227">
      <c r="A227" s="8" t="inlineStr">
        <is>
          <t>MA</t>
        </is>
      </c>
      <c r="B227" s="8" t="inlineStr">
        <is>
          <t>Mastercard Inc</t>
        </is>
      </c>
      <c r="C227" s="8" t="n">
        <v>2022</v>
      </c>
      <c r="D227" s="8" t="inlineStr">
        <is>
          <t>2022-12-31</t>
        </is>
      </c>
      <c r="E227" s="8" t="inlineStr">
        <is>
          <t>일반</t>
        </is>
      </c>
      <c r="F227" s="8" t="inlineStr">
        <is>
          <t>0001141391-25-000011</t>
        </is>
      </c>
      <c r="G227" s="15" t="n">
        <v>22.237</v>
      </c>
      <c r="H227" s="15" t="n">
        <v>11.732</v>
      </c>
      <c r="I227" s="15" t="n">
        <v>0.471</v>
      </c>
      <c r="J227" s="15" t="n">
        <v>1.802</v>
      </c>
      <c r="K227" s="15" t="n">
        <v>12.264</v>
      </c>
      <c r="L227" s="15" t="n">
        <v>9.93</v>
      </c>
      <c r="M227" s="15" t="n">
        <v>0.75</v>
      </c>
      <c r="N227" s="15" t="n">
        <v>0.442</v>
      </c>
      <c r="O227" s="15" t="n">
        <v>11.195</v>
      </c>
      <c r="P227" s="15" t="n">
        <v>6.298</v>
      </c>
      <c r="Q227" s="15" t="n">
        <v>7.312</v>
      </c>
      <c r="R227" s="15" t="n">
        <v>7.008</v>
      </c>
      <c r="S227" s="15" t="n">
        <v>7.421</v>
      </c>
      <c r="T227" s="15" t="n">
        <v>0.274</v>
      </c>
      <c r="U227" s="15" t="n">
        <v>0.792</v>
      </c>
      <c r="V227" s="15" t="n">
        <v>13.749</v>
      </c>
      <c r="W227" s="15" t="n">
        <v>16.606</v>
      </c>
      <c r="X227" s="15" t="n">
        <v>16.949</v>
      </c>
      <c r="Y227" s="15" t="n">
        <v>14.171</v>
      </c>
      <c r="Z227" s="15" t="n">
        <v>13.162</v>
      </c>
      <c r="AA227" s="15" t="n">
        <v>13.792</v>
      </c>
      <c r="AB227" s="16" t="n">
        <v>971</v>
      </c>
      <c r="AC227" s="17">
        <f>IF(AND(ISNUMBER(H227),ISNUMBER(I227)),H227+I227,IF(ISNUMBER(K227),K227,IF(ISNUMBER(H227),H227,"")))</f>
        <v/>
      </c>
      <c r="AD227" s="18">
        <f>IF(OR(NOT(ISNUMBER(J227)),NOT(ISNUMBER(H227)),H227&lt;=0),기준표!$B$8,MIN(MAX(J227/H227,기준표!$B$6),기준표!$B$7))</f>
        <v/>
      </c>
      <c r="AE227" s="17">
        <f>IF(ISNUMBER(AC227),AC227*(1-AD227),"")</f>
        <v/>
      </c>
      <c r="AF227" s="17">
        <f>IF(AND(NOT(ISNUMBER(T227)),NOT(ISNUMBER(V227))),"",IF(ISNUMBER(T227),T227,0)+IF(ISNUMBER(V227),V227,0))</f>
        <v/>
      </c>
      <c r="AG227" s="17">
        <f>IF(E227="금융","",IF(AND(ISNUMBER(P227),ISNUMBER(AF227),ISNUMBER(R227)),P227+AF227-R227,""))</f>
        <v/>
      </c>
      <c r="AH227" s="17">
        <f>IF(E227="금융","",IF(NOT(ISNUMBER(AG227)),"",IF(ISNUMBER(AA227),(AG227+AA227)/2,AG227)))</f>
        <v/>
      </c>
      <c r="AI227" s="19">
        <f>IF(AND(ISNUMBER(AE227),ISNUMBER(AH227),AH227&gt;0),AE227/AH227,"")</f>
        <v/>
      </c>
      <c r="AJ227" s="17">
        <f>IF(E227="금융","",IF(AND(ISNUMBER(P227),ISNUMBER(AF227)),P227+AF227,""))</f>
        <v/>
      </c>
      <c r="AK227" s="19">
        <f>IF(OR(NOT(ISNUMBER(AE227)),NOT(ISNUMBER(AJ227)),AJ227&lt;=0),"",IF(AND(ISNUMBER(G227),AJ227&lt;0.1*G227),"",AE227/AJ227))</f>
        <v/>
      </c>
      <c r="AL227" s="17">
        <f>IF(NOT(ISNUMBER(P227)),"",IF(ISNUMBER(Q227),(P227+Q227)/2,P227))</f>
        <v/>
      </c>
      <c r="AM227" s="19">
        <f>IF(AND(ISNUMBER(L227),ISNUMBER(AL227),AL227&gt;0),L227/AL227,"")</f>
        <v/>
      </c>
      <c r="AN227" s="19">
        <f>IF(AND(ISNUMBER(AM227),ISNUMBER({ROIC})),AM227-{ROIC},"")</f>
        <v/>
      </c>
      <c r="AO227" s="17">
        <f>IF(AND(ISNUMBER(AC227),ISNUMBER(M227)),AC227+M227,"")</f>
        <v/>
      </c>
      <c r="AP227" s="20">
        <f>IF(AND(ISNUMBER(AF227),ISNUMBER(R227),ISNUMBER(AO227),AO227&gt;0),(AF227-R227)/AO227,"")</f>
        <v/>
      </c>
      <c r="AQ227" s="20">
        <f>IF(AND(ISNUMBER(AC227),ISNUMBER(I227),I227&lt;&gt;0,AC227&gt;0),AC227/I227,"")</f>
        <v/>
      </c>
      <c r="AR227" s="17">
        <f>IF(AND(ISNUMBER(W227),ISNUMBER(Y227)),W227-IF(ISNUMBER(R227),R227,0)-(Y227-IF(ISNUMBER(T227),T227,0)),"")</f>
        <v/>
      </c>
      <c r="AS227" s="17">
        <f>IF(AND(ISNUMBER(X227),ISNUMBER(Z227)),X227-IF(ISNUMBER(S227),S227,0)-(Z227-IF(ISNUMBER(U227),U227,0)),"")</f>
        <v/>
      </c>
      <c r="AT227" s="17">
        <f>IF(AND(ISNUMBER(AR227),ISNUMBER(AS227)),AR227-AS227,"")</f>
        <v/>
      </c>
      <c r="AU227" s="17">
        <f>IF(E227="금융","",IF(AND(ISNUMBER(L227),ISNUMBER(M227),ISNUMBER(N227),ISNUMBER(AT227)),L227+M227-N227-AT227,IF(AND(ISNUMBER(O227),ISNUMBER(N227)),O227-N227,"")))</f>
        <v/>
      </c>
      <c r="AV227" s="8">
        <f>IF(E227="금융","금융업 - 정의되지 않음",IF(AND(ISNUMBER(L227),ISNUMBER(M227),ISNUMBER(N227),ISNUMBER(AT227)),"순이익+감가상각-설비투자-운전자본증감",IF(AND(ISNUMBER(O227),ISNUMBER(N227)),"영업현금흐름-설비투자","산출불가")))</f>
        <v/>
      </c>
      <c r="AW227" s="19">
        <f>IF(AND(ISNUMBER(AU227),ISNUMBER(G227),G227&lt;&gt;0),AU227/G227,"")</f>
        <v/>
      </c>
      <c r="AX227" s="19">
        <f>IF(AND(ISNUMBER(AC227),ISNUMBER(G227),G227&lt;&gt;0),AC227/G227,"")</f>
        <v/>
      </c>
    </row>
    <row r="228">
      <c r="A228" s="8" t="inlineStr">
        <is>
          <t>MA</t>
        </is>
      </c>
      <c r="B228" s="8" t="inlineStr">
        <is>
          <t>Mastercard Inc</t>
        </is>
      </c>
      <c r="C228" s="8" t="n">
        <v>2023</v>
      </c>
      <c r="D228" s="8" t="inlineStr">
        <is>
          <t>2023-12-31</t>
        </is>
      </c>
      <c r="E228" s="8" t="inlineStr">
        <is>
          <t>일반</t>
        </is>
      </c>
      <c r="F228" s="8" t="inlineStr">
        <is>
          <t>0001141391-26-000013</t>
        </is>
      </c>
      <c r="G228" s="15" t="n">
        <v>25.098</v>
      </c>
      <c r="H228" s="15" t="n">
        <v>13.639</v>
      </c>
      <c r="I228" s="15" t="n">
        <v>0.575</v>
      </c>
      <c r="J228" s="15" t="n">
        <v>2.444</v>
      </c>
      <c r="K228" s="15" t="n">
        <v>14.008</v>
      </c>
      <c r="L228" s="15" t="n">
        <v>11.195</v>
      </c>
      <c r="M228" s="15" t="n">
        <v>0.799</v>
      </c>
      <c r="N228" s="15" t="n">
        <v>0.371</v>
      </c>
      <c r="O228" s="15" t="n">
        <v>11.98</v>
      </c>
      <c r="P228" s="15" t="n">
        <v>6.929</v>
      </c>
      <c r="Q228" s="15" t="n">
        <v>6.298</v>
      </c>
      <c r="R228" s="15" t="n">
        <v>8.587999999999999</v>
      </c>
      <c r="S228" s="15" t="n">
        <v>7.008</v>
      </c>
      <c r="T228" s="15" t="n">
        <v>1.337</v>
      </c>
      <c r="U228" s="15" t="n">
        <v>0.274</v>
      </c>
      <c r="V228" s="15" t="n">
        <v>14.344</v>
      </c>
      <c r="W228" s="15" t="n">
        <v>18.961</v>
      </c>
      <c r="X228" s="15" t="n">
        <v>16.606</v>
      </c>
      <c r="Y228" s="15" t="n">
        <v>16.264</v>
      </c>
      <c r="Z228" s="15" t="n">
        <v>14.171</v>
      </c>
      <c r="AA228" s="15" t="n">
        <v>13.313</v>
      </c>
      <c r="AB228" s="16" t="n">
        <v>946</v>
      </c>
      <c r="AC228" s="17">
        <f>IF(AND(ISNUMBER(H228),ISNUMBER(I228)),H228+I228,IF(ISNUMBER(K228),K228,IF(ISNUMBER(H228),H228,"")))</f>
        <v/>
      </c>
      <c r="AD228" s="18">
        <f>IF(OR(NOT(ISNUMBER(J228)),NOT(ISNUMBER(H228)),H228&lt;=0),기준표!$B$8,MIN(MAX(J228/H228,기준표!$B$6),기준표!$B$7))</f>
        <v/>
      </c>
      <c r="AE228" s="17">
        <f>IF(ISNUMBER(AC228),AC228*(1-AD228),"")</f>
        <v/>
      </c>
      <c r="AF228" s="17">
        <f>IF(AND(NOT(ISNUMBER(T228)),NOT(ISNUMBER(V228))),"",IF(ISNUMBER(T228),T228,0)+IF(ISNUMBER(V228),V228,0))</f>
        <v/>
      </c>
      <c r="AG228" s="17">
        <f>IF(E228="금융","",IF(AND(ISNUMBER(P228),ISNUMBER(AF228),ISNUMBER(R228)),P228+AF228-R228,""))</f>
        <v/>
      </c>
      <c r="AH228" s="17">
        <f>IF(E228="금융","",IF(NOT(ISNUMBER(AG228)),"",IF(ISNUMBER(AA228),(AG228+AA228)/2,AG228)))</f>
        <v/>
      </c>
      <c r="AI228" s="19">
        <f>IF(AND(ISNUMBER(AE228),ISNUMBER(AH228),AH228&gt;0),AE228/AH228,"")</f>
        <v/>
      </c>
      <c r="AJ228" s="17">
        <f>IF(E228="금융","",IF(AND(ISNUMBER(P228),ISNUMBER(AF228)),P228+AF228,""))</f>
        <v/>
      </c>
      <c r="AK228" s="19">
        <f>IF(OR(NOT(ISNUMBER(AE228)),NOT(ISNUMBER(AJ228)),AJ228&lt;=0),"",IF(AND(ISNUMBER(G228),AJ228&lt;0.1*G228),"",AE228/AJ228))</f>
        <v/>
      </c>
      <c r="AL228" s="17">
        <f>IF(NOT(ISNUMBER(P228)),"",IF(ISNUMBER(Q228),(P228+Q228)/2,P228))</f>
        <v/>
      </c>
      <c r="AM228" s="19">
        <f>IF(AND(ISNUMBER(L228),ISNUMBER(AL228),AL228&gt;0),L228/AL228,"")</f>
        <v/>
      </c>
      <c r="AN228" s="19">
        <f>IF(AND(ISNUMBER(AM228),ISNUMBER({ROIC})),AM228-{ROIC},"")</f>
        <v/>
      </c>
      <c r="AO228" s="17">
        <f>IF(AND(ISNUMBER(AC228),ISNUMBER(M228)),AC228+M228,"")</f>
        <v/>
      </c>
      <c r="AP228" s="20">
        <f>IF(AND(ISNUMBER(AF228),ISNUMBER(R228),ISNUMBER(AO228),AO228&gt;0),(AF228-R228)/AO228,"")</f>
        <v/>
      </c>
      <c r="AQ228" s="20">
        <f>IF(AND(ISNUMBER(AC228),ISNUMBER(I228),I228&lt;&gt;0,AC228&gt;0),AC228/I228,"")</f>
        <v/>
      </c>
      <c r="AR228" s="17">
        <f>IF(AND(ISNUMBER(W228),ISNUMBER(Y228)),W228-IF(ISNUMBER(R228),R228,0)-(Y228-IF(ISNUMBER(T228),T228,0)),"")</f>
        <v/>
      </c>
      <c r="AS228" s="17">
        <f>IF(AND(ISNUMBER(X228),ISNUMBER(Z228)),X228-IF(ISNUMBER(S228),S228,0)-(Z228-IF(ISNUMBER(U228),U228,0)),"")</f>
        <v/>
      </c>
      <c r="AT228" s="17">
        <f>IF(AND(ISNUMBER(AR228),ISNUMBER(AS228)),AR228-AS228,"")</f>
        <v/>
      </c>
      <c r="AU228" s="17">
        <f>IF(E228="금융","",IF(AND(ISNUMBER(L228),ISNUMBER(M228),ISNUMBER(N228),ISNUMBER(AT228)),L228+M228-N228-AT228,IF(AND(ISNUMBER(O228),ISNUMBER(N228)),O228-N228,"")))</f>
        <v/>
      </c>
      <c r="AV228" s="8">
        <f>IF(E228="금융","금융업 - 정의되지 않음",IF(AND(ISNUMBER(L228),ISNUMBER(M228),ISNUMBER(N228),ISNUMBER(AT228)),"순이익+감가상각-설비투자-운전자본증감",IF(AND(ISNUMBER(O228),ISNUMBER(N228)),"영업현금흐름-설비투자","산출불가")))</f>
        <v/>
      </c>
      <c r="AW228" s="19">
        <f>IF(AND(ISNUMBER(AU228),ISNUMBER(G228),G228&lt;&gt;0),AU228/G228,"")</f>
        <v/>
      </c>
      <c r="AX228" s="19">
        <f>IF(AND(ISNUMBER(AC228),ISNUMBER(G228),G228&lt;&gt;0),AC228/G228,"")</f>
        <v/>
      </c>
    </row>
    <row r="229">
      <c r="A229" s="8" t="inlineStr">
        <is>
          <t>MA</t>
        </is>
      </c>
      <c r="B229" s="8" t="inlineStr">
        <is>
          <t>Mastercard Inc</t>
        </is>
      </c>
      <c r="C229" s="8" t="n">
        <v>2024</v>
      </c>
      <c r="D229" s="8" t="inlineStr">
        <is>
          <t>2024-12-31</t>
        </is>
      </c>
      <c r="E229" s="8" t="inlineStr">
        <is>
          <t>일반</t>
        </is>
      </c>
      <c r="F229" s="8" t="inlineStr">
        <is>
          <t>0001141391-26-000013</t>
        </is>
      </c>
      <c r="G229" s="15" t="n">
        <v>28.167</v>
      </c>
      <c r="H229" s="15" t="n">
        <v>15.254</v>
      </c>
      <c r="I229" s="15" t="n">
        <v>0.646</v>
      </c>
      <c r="J229" s="15" t="n">
        <v>2.38</v>
      </c>
      <c r="K229" s="15" t="n">
        <v>15.582</v>
      </c>
      <c r="L229" s="15" t="n">
        <v>12.874</v>
      </c>
      <c r="M229" s="15" t="n">
        <v>0.897</v>
      </c>
      <c r="N229" s="15" t="n">
        <v>0.474</v>
      </c>
      <c r="O229" s="15" t="n">
        <v>14.78</v>
      </c>
      <c r="P229" s="15" t="n">
        <v>6.485</v>
      </c>
      <c r="Q229" s="15" t="n">
        <v>6.929</v>
      </c>
      <c r="R229" s="15" t="n">
        <v>8.442</v>
      </c>
      <c r="S229" s="15" t="n">
        <v>8.587999999999999</v>
      </c>
      <c r="T229" s="15" t="n">
        <v>0.75</v>
      </c>
      <c r="U229" s="15" t="n">
        <v>1.337</v>
      </c>
      <c r="V229" s="15" t="n">
        <v>17.476</v>
      </c>
      <c r="W229" s="15" t="n">
        <v>19.724</v>
      </c>
      <c r="X229" s="15" t="n">
        <v>18.961</v>
      </c>
      <c r="Y229" s="15" t="n">
        <v>19.22</v>
      </c>
      <c r="Z229" s="15" t="n">
        <v>16.264</v>
      </c>
      <c r="AA229" s="15" t="n">
        <v>14.022</v>
      </c>
      <c r="AB229" s="16" t="n">
        <v>927</v>
      </c>
      <c r="AC229" s="17">
        <f>IF(AND(ISNUMBER(H229),ISNUMBER(I229)),H229+I229,IF(ISNUMBER(K229),K229,IF(ISNUMBER(H229),H229,"")))</f>
        <v/>
      </c>
      <c r="AD229" s="18">
        <f>IF(OR(NOT(ISNUMBER(J229)),NOT(ISNUMBER(H229)),H229&lt;=0),기준표!$B$8,MIN(MAX(J229/H229,기준표!$B$6),기준표!$B$7))</f>
        <v/>
      </c>
      <c r="AE229" s="17">
        <f>IF(ISNUMBER(AC229),AC229*(1-AD229),"")</f>
        <v/>
      </c>
      <c r="AF229" s="17">
        <f>IF(AND(NOT(ISNUMBER(T229)),NOT(ISNUMBER(V229))),"",IF(ISNUMBER(T229),T229,0)+IF(ISNUMBER(V229),V229,0))</f>
        <v/>
      </c>
      <c r="AG229" s="17">
        <f>IF(E229="금융","",IF(AND(ISNUMBER(P229),ISNUMBER(AF229),ISNUMBER(R229)),P229+AF229-R229,""))</f>
        <v/>
      </c>
      <c r="AH229" s="17">
        <f>IF(E229="금융","",IF(NOT(ISNUMBER(AG229)),"",IF(ISNUMBER(AA229),(AG229+AA229)/2,AG229)))</f>
        <v/>
      </c>
      <c r="AI229" s="19">
        <f>IF(AND(ISNUMBER(AE229),ISNUMBER(AH229),AH229&gt;0),AE229/AH229,"")</f>
        <v/>
      </c>
      <c r="AJ229" s="17">
        <f>IF(E229="금융","",IF(AND(ISNUMBER(P229),ISNUMBER(AF229)),P229+AF229,""))</f>
        <v/>
      </c>
      <c r="AK229" s="19">
        <f>IF(OR(NOT(ISNUMBER(AE229)),NOT(ISNUMBER(AJ229)),AJ229&lt;=0),"",IF(AND(ISNUMBER(G229),AJ229&lt;0.1*G229),"",AE229/AJ229))</f>
        <v/>
      </c>
      <c r="AL229" s="17">
        <f>IF(NOT(ISNUMBER(P229)),"",IF(ISNUMBER(Q229),(P229+Q229)/2,P229))</f>
        <v/>
      </c>
      <c r="AM229" s="19">
        <f>IF(AND(ISNUMBER(L229),ISNUMBER(AL229),AL229&gt;0),L229/AL229,"")</f>
        <v/>
      </c>
      <c r="AN229" s="19">
        <f>IF(AND(ISNUMBER(AM229),ISNUMBER({ROIC})),AM229-{ROIC},"")</f>
        <v/>
      </c>
      <c r="AO229" s="17">
        <f>IF(AND(ISNUMBER(AC229),ISNUMBER(M229)),AC229+M229,"")</f>
        <v/>
      </c>
      <c r="AP229" s="20">
        <f>IF(AND(ISNUMBER(AF229),ISNUMBER(R229),ISNUMBER(AO229),AO229&gt;0),(AF229-R229)/AO229,"")</f>
        <v/>
      </c>
      <c r="AQ229" s="20">
        <f>IF(AND(ISNUMBER(AC229),ISNUMBER(I229),I229&lt;&gt;0,AC229&gt;0),AC229/I229,"")</f>
        <v/>
      </c>
      <c r="AR229" s="17">
        <f>IF(AND(ISNUMBER(W229),ISNUMBER(Y229)),W229-IF(ISNUMBER(R229),R229,0)-(Y229-IF(ISNUMBER(T229),T229,0)),"")</f>
        <v/>
      </c>
      <c r="AS229" s="17">
        <f>IF(AND(ISNUMBER(X229),ISNUMBER(Z229)),X229-IF(ISNUMBER(S229),S229,0)-(Z229-IF(ISNUMBER(U229),U229,0)),"")</f>
        <v/>
      </c>
      <c r="AT229" s="17">
        <f>IF(AND(ISNUMBER(AR229),ISNUMBER(AS229)),AR229-AS229,"")</f>
        <v/>
      </c>
      <c r="AU229" s="17">
        <f>IF(E229="금융","",IF(AND(ISNUMBER(L229),ISNUMBER(M229),ISNUMBER(N229),ISNUMBER(AT229)),L229+M229-N229-AT229,IF(AND(ISNUMBER(O229),ISNUMBER(N229)),O229-N229,"")))</f>
        <v/>
      </c>
      <c r="AV229" s="8">
        <f>IF(E229="금융","금융업 - 정의되지 않음",IF(AND(ISNUMBER(L229),ISNUMBER(M229),ISNUMBER(N229),ISNUMBER(AT229)),"순이익+감가상각-설비투자-운전자본증감",IF(AND(ISNUMBER(O229),ISNUMBER(N229)),"영업현금흐름-설비투자","산출불가")))</f>
        <v/>
      </c>
      <c r="AW229" s="19">
        <f>IF(AND(ISNUMBER(AU229),ISNUMBER(G229),G229&lt;&gt;0),AU229/G229,"")</f>
        <v/>
      </c>
      <c r="AX229" s="19">
        <f>IF(AND(ISNUMBER(AC229),ISNUMBER(G229),G229&lt;&gt;0),AC229/G229,"")</f>
        <v/>
      </c>
    </row>
    <row r="230">
      <c r="A230" s="8" t="inlineStr">
        <is>
          <t>MA</t>
        </is>
      </c>
      <c r="B230" s="8" t="inlineStr">
        <is>
          <t>Mastercard Inc</t>
        </is>
      </c>
      <c r="C230" s="8" t="n">
        <v>2025</v>
      </c>
      <c r="D230" s="8" t="inlineStr">
        <is>
          <t>2025-12-31</t>
        </is>
      </c>
      <c r="E230" s="8" t="inlineStr">
        <is>
          <t>일반</t>
        </is>
      </c>
      <c r="F230" s="8" t="inlineStr">
        <is>
          <t>0001141391-26-000013</t>
        </is>
      </c>
      <c r="G230" s="15" t="n">
        <v>32.791</v>
      </c>
      <c r="H230" s="15" t="n">
        <v>18.578</v>
      </c>
      <c r="I230" s="15" t="n">
        <v>0.722</v>
      </c>
      <c r="J230" s="15" t="n">
        <v>3.61</v>
      </c>
      <c r="K230" s="15" t="n">
        <v>18.897</v>
      </c>
      <c r="L230" s="15" t="n">
        <v>14.968</v>
      </c>
      <c r="M230" s="15" t="n">
        <v>1.143</v>
      </c>
      <c r="N230" s="15" t="n">
        <v>0.489</v>
      </c>
      <c r="O230" s="15" t="n">
        <v>17.648</v>
      </c>
      <c r="P230" s="15" t="n">
        <v>7.737</v>
      </c>
      <c r="Q230" s="15" t="n">
        <v>6.485</v>
      </c>
      <c r="R230" s="15" t="n">
        <v>10.566</v>
      </c>
      <c r="S230" s="15" t="n">
        <v>8.442</v>
      </c>
      <c r="T230" s="15" t="n">
        <v>0.749</v>
      </c>
      <c r="U230" s="15" t="n">
        <v>0.75</v>
      </c>
      <c r="V230" s="15" t="n">
        <v>18.251</v>
      </c>
      <c r="W230" s="15" t="n">
        <v>23.558</v>
      </c>
      <c r="X230" s="15" t="n">
        <v>19.724</v>
      </c>
      <c r="Y230" s="15" t="n">
        <v>22.762</v>
      </c>
      <c r="Z230" s="15" t="n">
        <v>19.22</v>
      </c>
      <c r="AA230" s="15" t="n">
        <v>16.269</v>
      </c>
      <c r="AB230" s="16" t="n">
        <v>906</v>
      </c>
      <c r="AC230" s="17">
        <f>IF(AND(ISNUMBER(H230),ISNUMBER(I230)),H230+I230,IF(ISNUMBER(K230),K230,IF(ISNUMBER(H230),H230,"")))</f>
        <v/>
      </c>
      <c r="AD230" s="18">
        <f>IF(OR(NOT(ISNUMBER(J230)),NOT(ISNUMBER(H230)),H230&lt;=0),기준표!$B$8,MIN(MAX(J230/H230,기준표!$B$6),기준표!$B$7))</f>
        <v/>
      </c>
      <c r="AE230" s="17">
        <f>IF(ISNUMBER(AC230),AC230*(1-AD230),"")</f>
        <v/>
      </c>
      <c r="AF230" s="17">
        <f>IF(AND(NOT(ISNUMBER(T230)),NOT(ISNUMBER(V230))),"",IF(ISNUMBER(T230),T230,0)+IF(ISNUMBER(V230),V230,0))</f>
        <v/>
      </c>
      <c r="AG230" s="17">
        <f>IF(E230="금융","",IF(AND(ISNUMBER(P230),ISNUMBER(AF230),ISNUMBER(R230)),P230+AF230-R230,""))</f>
        <v/>
      </c>
      <c r="AH230" s="17">
        <f>IF(E230="금융","",IF(NOT(ISNUMBER(AG230)),"",IF(ISNUMBER(AA230),(AG230+AA230)/2,AG230)))</f>
        <v/>
      </c>
      <c r="AI230" s="19">
        <f>IF(AND(ISNUMBER(AE230),ISNUMBER(AH230),AH230&gt;0),AE230/AH230,"")</f>
        <v/>
      </c>
      <c r="AJ230" s="17">
        <f>IF(E230="금융","",IF(AND(ISNUMBER(P230),ISNUMBER(AF230)),P230+AF230,""))</f>
        <v/>
      </c>
      <c r="AK230" s="19">
        <f>IF(OR(NOT(ISNUMBER(AE230)),NOT(ISNUMBER(AJ230)),AJ230&lt;=0),"",IF(AND(ISNUMBER(G230),AJ230&lt;0.1*G230),"",AE230/AJ230))</f>
        <v/>
      </c>
      <c r="AL230" s="17">
        <f>IF(NOT(ISNUMBER(P230)),"",IF(ISNUMBER(Q230),(P230+Q230)/2,P230))</f>
        <v/>
      </c>
      <c r="AM230" s="19">
        <f>IF(AND(ISNUMBER(L230),ISNUMBER(AL230),AL230&gt;0),L230/AL230,"")</f>
        <v/>
      </c>
      <c r="AN230" s="19">
        <f>IF(AND(ISNUMBER(AM230),ISNUMBER({ROIC})),AM230-{ROIC},"")</f>
        <v/>
      </c>
      <c r="AO230" s="17">
        <f>IF(AND(ISNUMBER(AC230),ISNUMBER(M230)),AC230+M230,"")</f>
        <v/>
      </c>
      <c r="AP230" s="20">
        <f>IF(AND(ISNUMBER(AF230),ISNUMBER(R230),ISNUMBER(AO230),AO230&gt;0),(AF230-R230)/AO230,"")</f>
        <v/>
      </c>
      <c r="AQ230" s="20">
        <f>IF(AND(ISNUMBER(AC230),ISNUMBER(I230),I230&lt;&gt;0,AC230&gt;0),AC230/I230,"")</f>
        <v/>
      </c>
      <c r="AR230" s="17">
        <f>IF(AND(ISNUMBER(W230),ISNUMBER(Y230)),W230-IF(ISNUMBER(R230),R230,0)-(Y230-IF(ISNUMBER(T230),T230,0)),"")</f>
        <v/>
      </c>
      <c r="AS230" s="17">
        <f>IF(AND(ISNUMBER(X230),ISNUMBER(Z230)),X230-IF(ISNUMBER(S230),S230,0)-(Z230-IF(ISNUMBER(U230),U230,0)),"")</f>
        <v/>
      </c>
      <c r="AT230" s="17">
        <f>IF(AND(ISNUMBER(AR230),ISNUMBER(AS230)),AR230-AS230,"")</f>
        <v/>
      </c>
      <c r="AU230" s="17">
        <f>IF(E230="금융","",IF(AND(ISNUMBER(L230),ISNUMBER(M230),ISNUMBER(N230),ISNUMBER(AT230)),L230+M230-N230-AT230,IF(AND(ISNUMBER(O230),ISNUMBER(N230)),O230-N230,"")))</f>
        <v/>
      </c>
      <c r="AV230" s="8">
        <f>IF(E230="금융","금융업 - 정의되지 않음",IF(AND(ISNUMBER(L230),ISNUMBER(M230),ISNUMBER(N230),ISNUMBER(AT230)),"순이익+감가상각-설비투자-운전자본증감",IF(AND(ISNUMBER(O230),ISNUMBER(N230)),"영업현금흐름-설비투자","산출불가")))</f>
        <v/>
      </c>
      <c r="AW230" s="19">
        <f>IF(AND(ISNUMBER(AU230),ISNUMBER(G230),G230&lt;&gt;0),AU230/G230,"")</f>
        <v/>
      </c>
      <c r="AX230" s="19">
        <f>IF(AND(ISNUMBER(AC230),ISNUMBER(G230),G230&lt;&gt;0),AC230/G230,"")</f>
        <v/>
      </c>
    </row>
    <row r="231">
      <c r="A231" s="8" t="inlineStr">
        <is>
          <t>CSCO</t>
        </is>
      </c>
      <c r="B231" s="8" t="inlineStr">
        <is>
          <t>CISCO SYSTEMS, INC.</t>
        </is>
      </c>
      <c r="C231" s="8" t="n">
        <v>2014</v>
      </c>
      <c r="D231" s="8" t="inlineStr">
        <is>
          <t>2014-07-26</t>
        </is>
      </c>
      <c r="E231" s="8" t="inlineStr">
        <is>
          <t>일반</t>
        </is>
      </c>
      <c r="F231" s="8" t="inlineStr">
        <is>
          <t>0000858877-16-000117</t>
        </is>
      </c>
      <c r="G231" s="15" t="n"/>
      <c r="H231" s="15" t="n">
        <v>9.715</v>
      </c>
      <c r="I231" s="15" t="n"/>
      <c r="J231" s="15" t="n">
        <v>1.862</v>
      </c>
      <c r="K231" s="15" t="n">
        <v>9.345000000000001</v>
      </c>
      <c r="L231" s="15" t="n">
        <v>7.853</v>
      </c>
      <c r="M231" s="15" t="n">
        <v>1.2</v>
      </c>
      <c r="N231" s="15" t="n">
        <v>1.275</v>
      </c>
      <c r="O231" s="15" t="n">
        <v>12.332</v>
      </c>
      <c r="P231" s="15" t="n">
        <v>56.654</v>
      </c>
      <c r="Q231" s="15" t="n"/>
      <c r="R231" s="15" t="n">
        <v>6.726</v>
      </c>
      <c r="S231" s="15" t="n"/>
      <c r="T231" s="15" t="n">
        <v>0.508</v>
      </c>
      <c r="U231" s="15" t="n"/>
      <c r="V231" s="15" t="n">
        <v>20.337</v>
      </c>
      <c r="W231" s="15" t="n">
        <v>67.114</v>
      </c>
      <c r="X231" s="15" t="n"/>
      <c r="Y231" s="15" t="n">
        <v>19.809</v>
      </c>
      <c r="Z231" s="15" t="n"/>
      <c r="AA231" s="15" t="n"/>
      <c r="AB231" s="16" t="n">
        <v>5107</v>
      </c>
      <c r="AC231" s="17">
        <f>IF(AND(ISNUMBER(H231),ISNUMBER(I231)),H231+I231,IF(ISNUMBER(K231),K231,IF(ISNUMBER(H231),H231,"")))</f>
        <v/>
      </c>
      <c r="AD231" s="18">
        <f>IF(OR(NOT(ISNUMBER(J231)),NOT(ISNUMBER(H231)),H231&lt;=0),기준표!$B$8,MIN(MAX(J231/H231,기준표!$B$6),기준표!$B$7))</f>
        <v/>
      </c>
      <c r="AE231" s="17">
        <f>IF(ISNUMBER(AC231),AC231*(1-AD231),"")</f>
        <v/>
      </c>
      <c r="AF231" s="17">
        <f>IF(AND(NOT(ISNUMBER(T231)),NOT(ISNUMBER(V231))),"",IF(ISNUMBER(T231),T231,0)+IF(ISNUMBER(V231),V231,0))</f>
        <v/>
      </c>
      <c r="AG231" s="17">
        <f>IF(E231="금융","",IF(AND(ISNUMBER(P231),ISNUMBER(AF231),ISNUMBER(R231)),P231+AF231-R231,""))</f>
        <v/>
      </c>
      <c r="AH231" s="17">
        <f>IF(E231="금융","",IF(NOT(ISNUMBER(AG231)),"",IF(ISNUMBER(AA231),(AG231+AA231)/2,AG231)))</f>
        <v/>
      </c>
      <c r="AI231" s="19">
        <f>IF(AND(ISNUMBER(AE231),ISNUMBER(AH231),AH231&gt;0),AE231/AH231,"")</f>
        <v/>
      </c>
      <c r="AJ231" s="17">
        <f>IF(E231="금융","",IF(AND(ISNUMBER(P231),ISNUMBER(AF231)),P231+AF231,""))</f>
        <v/>
      </c>
      <c r="AK231" s="19">
        <f>IF(OR(NOT(ISNUMBER(AE231)),NOT(ISNUMBER(AJ231)),AJ231&lt;=0),"",IF(AND(ISNUMBER(G231),AJ231&lt;0.1*G231),"",AE231/AJ231))</f>
        <v/>
      </c>
      <c r="AL231" s="17">
        <f>IF(NOT(ISNUMBER(P231)),"",IF(ISNUMBER(Q231),(P231+Q231)/2,P231))</f>
        <v/>
      </c>
      <c r="AM231" s="19">
        <f>IF(AND(ISNUMBER(L231),ISNUMBER(AL231),AL231&gt;0),L231/AL231,"")</f>
        <v/>
      </c>
      <c r="AN231" s="19">
        <f>IF(AND(ISNUMBER(AM231),ISNUMBER({ROIC})),AM231-{ROIC},"")</f>
        <v/>
      </c>
      <c r="AO231" s="17">
        <f>IF(AND(ISNUMBER(AC231),ISNUMBER(M231)),AC231+M231,"")</f>
        <v/>
      </c>
      <c r="AP231" s="20">
        <f>IF(AND(ISNUMBER(AF231),ISNUMBER(R231),ISNUMBER(AO231),AO231&gt;0),(AF231-R231)/AO231,"")</f>
        <v/>
      </c>
      <c r="AQ231" s="20">
        <f>IF(AND(ISNUMBER(AC231),ISNUMBER(I231),I231&lt;&gt;0,AC231&gt;0),AC231/I231,"")</f>
        <v/>
      </c>
      <c r="AR231" s="17">
        <f>IF(AND(ISNUMBER(W231),ISNUMBER(Y231)),W231-IF(ISNUMBER(R231),R231,0)-(Y231-IF(ISNUMBER(T231),T231,0)),"")</f>
        <v/>
      </c>
      <c r="AS231" s="17">
        <f>IF(AND(ISNUMBER(X231),ISNUMBER(Z231)),X231-IF(ISNUMBER(S231),S231,0)-(Z231-IF(ISNUMBER(U231),U231,0)),"")</f>
        <v/>
      </c>
      <c r="AT231" s="17">
        <f>IF(AND(ISNUMBER(AR231),ISNUMBER(AS231)),AR231-AS231,"")</f>
        <v/>
      </c>
      <c r="AU231" s="17">
        <f>IF(E231="금융","",IF(AND(ISNUMBER(L231),ISNUMBER(M231),ISNUMBER(N231),ISNUMBER(AT231)),L231+M231-N231-AT231,IF(AND(ISNUMBER(O231),ISNUMBER(N231)),O231-N231,"")))</f>
        <v/>
      </c>
      <c r="AV231" s="8">
        <f>IF(E231="금융","금융업 - 정의되지 않음",IF(AND(ISNUMBER(L231),ISNUMBER(M231),ISNUMBER(N231),ISNUMBER(AT231)),"순이익+감가상각-설비투자-운전자본증감",IF(AND(ISNUMBER(O231),ISNUMBER(N231)),"영업현금흐름-설비투자","산출불가")))</f>
        <v/>
      </c>
      <c r="AW231" s="19">
        <f>IF(AND(ISNUMBER(AU231),ISNUMBER(G231),G231&lt;&gt;0),AU231/G231,"")</f>
        <v/>
      </c>
      <c r="AX231" s="19">
        <f>IF(AND(ISNUMBER(AC231),ISNUMBER(G231),G231&lt;&gt;0),AC231/G231,"")</f>
        <v/>
      </c>
    </row>
    <row r="232">
      <c r="A232" s="8" t="inlineStr">
        <is>
          <t>CSCO</t>
        </is>
      </c>
      <c r="B232" s="8" t="inlineStr">
        <is>
          <t>CISCO SYSTEMS, INC.</t>
        </is>
      </c>
      <c r="C232" s="8" t="n">
        <v>2015</v>
      </c>
      <c r="D232" s="8" t="inlineStr">
        <is>
          <t>2015-07-25</t>
        </is>
      </c>
      <c r="E232" s="8" t="inlineStr">
        <is>
          <t>일반</t>
        </is>
      </c>
      <c r="F232" s="8" t="inlineStr">
        <is>
          <t>0000858877-17-000016</t>
        </is>
      </c>
      <c r="G232" s="15" t="n"/>
      <c r="H232" s="15" t="n">
        <v>11.201</v>
      </c>
      <c r="I232" s="15" t="n"/>
      <c r="J232" s="15" t="n">
        <v>2.22</v>
      </c>
      <c r="K232" s="15" t="n">
        <v>10.77</v>
      </c>
      <c r="L232" s="15" t="n">
        <v>8.981</v>
      </c>
      <c r="M232" s="15" t="n">
        <v>1.1</v>
      </c>
      <c r="N232" s="15" t="n">
        <v>1.227</v>
      </c>
      <c r="O232" s="15" t="n">
        <v>12.552</v>
      </c>
      <c r="P232" s="15" t="n">
        <v>59.698</v>
      </c>
      <c r="Q232" s="15" t="n">
        <v>56.654</v>
      </c>
      <c r="R232" s="15" t="n">
        <v>6.877</v>
      </c>
      <c r="S232" s="15" t="n">
        <v>6.726</v>
      </c>
      <c r="T232" s="15" t="n">
        <v>3.897</v>
      </c>
      <c r="U232" s="15" t="n">
        <v>0.508</v>
      </c>
      <c r="V232" s="15" t="n">
        <v>21.457</v>
      </c>
      <c r="W232" s="15" t="n">
        <v>73.36799999999999</v>
      </c>
      <c r="X232" s="15" t="n">
        <v>67.114</v>
      </c>
      <c r="Y232" s="15" t="n">
        <v>23.412</v>
      </c>
      <c r="Z232" s="15" t="n">
        <v>19.809</v>
      </c>
      <c r="AA232" s="15" t="n">
        <v>70.773</v>
      </c>
      <c r="AB232" s="16" t="n">
        <v>5085</v>
      </c>
      <c r="AC232" s="17">
        <f>IF(AND(ISNUMBER(H232),ISNUMBER(I232)),H232+I232,IF(ISNUMBER(K232),K232,IF(ISNUMBER(H232),H232,"")))</f>
        <v/>
      </c>
      <c r="AD232" s="18">
        <f>IF(OR(NOT(ISNUMBER(J232)),NOT(ISNUMBER(H232)),H232&lt;=0),기준표!$B$8,MIN(MAX(J232/H232,기준표!$B$6),기준표!$B$7))</f>
        <v/>
      </c>
      <c r="AE232" s="17">
        <f>IF(ISNUMBER(AC232),AC232*(1-AD232),"")</f>
        <v/>
      </c>
      <c r="AF232" s="17">
        <f>IF(AND(NOT(ISNUMBER(T232)),NOT(ISNUMBER(V232))),"",IF(ISNUMBER(T232),T232,0)+IF(ISNUMBER(V232),V232,0))</f>
        <v/>
      </c>
      <c r="AG232" s="17">
        <f>IF(E232="금융","",IF(AND(ISNUMBER(P232),ISNUMBER(AF232),ISNUMBER(R232)),P232+AF232-R232,""))</f>
        <v/>
      </c>
      <c r="AH232" s="17">
        <f>IF(E232="금융","",IF(NOT(ISNUMBER(AG232)),"",IF(ISNUMBER(AA232),(AG232+AA232)/2,AG232)))</f>
        <v/>
      </c>
      <c r="AI232" s="19">
        <f>IF(AND(ISNUMBER(AE232),ISNUMBER(AH232),AH232&gt;0),AE232/AH232,"")</f>
        <v/>
      </c>
      <c r="AJ232" s="17">
        <f>IF(E232="금융","",IF(AND(ISNUMBER(P232),ISNUMBER(AF232)),P232+AF232,""))</f>
        <v/>
      </c>
      <c r="AK232" s="19">
        <f>IF(OR(NOT(ISNUMBER(AE232)),NOT(ISNUMBER(AJ232)),AJ232&lt;=0),"",IF(AND(ISNUMBER(G232),AJ232&lt;0.1*G232),"",AE232/AJ232))</f>
        <v/>
      </c>
      <c r="AL232" s="17">
        <f>IF(NOT(ISNUMBER(P232)),"",IF(ISNUMBER(Q232),(P232+Q232)/2,P232))</f>
        <v/>
      </c>
      <c r="AM232" s="19">
        <f>IF(AND(ISNUMBER(L232),ISNUMBER(AL232),AL232&gt;0),L232/AL232,"")</f>
        <v/>
      </c>
      <c r="AN232" s="19">
        <f>IF(AND(ISNUMBER(AM232),ISNUMBER({ROIC})),AM232-{ROIC},"")</f>
        <v/>
      </c>
      <c r="AO232" s="17">
        <f>IF(AND(ISNUMBER(AC232),ISNUMBER(M232)),AC232+M232,"")</f>
        <v/>
      </c>
      <c r="AP232" s="20">
        <f>IF(AND(ISNUMBER(AF232),ISNUMBER(R232),ISNUMBER(AO232),AO232&gt;0),(AF232-R232)/AO232,"")</f>
        <v/>
      </c>
      <c r="AQ232" s="20">
        <f>IF(AND(ISNUMBER(AC232),ISNUMBER(I232),I232&lt;&gt;0,AC232&gt;0),AC232/I232,"")</f>
        <v/>
      </c>
      <c r="AR232" s="17">
        <f>IF(AND(ISNUMBER(W232),ISNUMBER(Y232)),W232-IF(ISNUMBER(R232),R232,0)-(Y232-IF(ISNUMBER(T232),T232,0)),"")</f>
        <v/>
      </c>
      <c r="AS232" s="17">
        <f>IF(AND(ISNUMBER(X232),ISNUMBER(Z232)),X232-IF(ISNUMBER(S232),S232,0)-(Z232-IF(ISNUMBER(U232),U232,0)),"")</f>
        <v/>
      </c>
      <c r="AT232" s="17">
        <f>IF(AND(ISNUMBER(AR232),ISNUMBER(AS232)),AR232-AS232,"")</f>
        <v/>
      </c>
      <c r="AU232" s="17">
        <f>IF(E232="금융","",IF(AND(ISNUMBER(L232),ISNUMBER(M232),ISNUMBER(N232),ISNUMBER(AT232)),L232+M232-N232-AT232,IF(AND(ISNUMBER(O232),ISNUMBER(N232)),O232-N232,"")))</f>
        <v/>
      </c>
      <c r="AV232" s="8">
        <f>IF(E232="금융","금융업 - 정의되지 않음",IF(AND(ISNUMBER(L232),ISNUMBER(M232),ISNUMBER(N232),ISNUMBER(AT232)),"순이익+감가상각-설비투자-운전자본증감",IF(AND(ISNUMBER(O232),ISNUMBER(N232)),"영업현금흐름-설비투자","산출불가")))</f>
        <v/>
      </c>
      <c r="AW232" s="19">
        <f>IF(AND(ISNUMBER(AU232),ISNUMBER(G232),G232&lt;&gt;0),AU232/G232,"")</f>
        <v/>
      </c>
      <c r="AX232" s="19">
        <f>IF(AND(ISNUMBER(AC232),ISNUMBER(G232),G232&lt;&gt;0),AC232/G232,"")</f>
        <v/>
      </c>
    </row>
    <row r="233">
      <c r="A233" s="8" t="inlineStr">
        <is>
          <t>CSCO</t>
        </is>
      </c>
      <c r="B233" s="8" t="inlineStr">
        <is>
          <t>CISCO SYSTEMS, INC.</t>
        </is>
      </c>
      <c r="C233" s="8" t="n">
        <v>2016</v>
      </c>
      <c r="D233" s="8" t="inlineStr">
        <is>
          <t>2016-07-30</t>
        </is>
      </c>
      <c r="E233" s="8" t="inlineStr">
        <is>
          <t>일반</t>
        </is>
      </c>
      <c r="F233" s="8" t="inlineStr">
        <is>
          <t>0000858877-18-000011</t>
        </is>
      </c>
      <c r="G233" s="15" t="n"/>
      <c r="H233" s="15" t="n">
        <v>12.92</v>
      </c>
      <c r="I233" s="15" t="n"/>
      <c r="J233" s="15" t="n">
        <v>2.181</v>
      </c>
      <c r="K233" s="15" t="n">
        <v>12.66</v>
      </c>
      <c r="L233" s="15" t="n">
        <v>10.739</v>
      </c>
      <c r="M233" s="15" t="n">
        <v>1</v>
      </c>
      <c r="N233" s="15" t="n">
        <v>1.146</v>
      </c>
      <c r="O233" s="15" t="n">
        <v>13.57</v>
      </c>
      <c r="P233" s="15" t="n">
        <v>63.586</v>
      </c>
      <c r="Q233" s="15" t="n">
        <v>59.698</v>
      </c>
      <c r="R233" s="15" t="n">
        <v>7.631</v>
      </c>
      <c r="S233" s="15" t="n">
        <v>6.877</v>
      </c>
      <c r="T233" s="15" t="n">
        <v>4.16</v>
      </c>
      <c r="U233" s="15" t="n">
        <v>3.897</v>
      </c>
      <c r="V233" s="15" t="n">
        <v>24.483</v>
      </c>
      <c r="W233" s="15" t="n">
        <v>78.71899999999999</v>
      </c>
      <c r="X233" s="15" t="n">
        <v>73.36799999999999</v>
      </c>
      <c r="Y233" s="15" t="n">
        <v>24.911</v>
      </c>
      <c r="Z233" s="15" t="n">
        <v>23.412</v>
      </c>
      <c r="AA233" s="15" t="n">
        <v>78.175</v>
      </c>
      <c r="AB233" s="16" t="n">
        <v>5029</v>
      </c>
      <c r="AC233" s="17">
        <f>IF(AND(ISNUMBER(H233),ISNUMBER(I233)),H233+I233,IF(ISNUMBER(K233),K233,IF(ISNUMBER(H233),H233,"")))</f>
        <v/>
      </c>
      <c r="AD233" s="18">
        <f>IF(OR(NOT(ISNUMBER(J233)),NOT(ISNUMBER(H233)),H233&lt;=0),기준표!$B$8,MIN(MAX(J233/H233,기준표!$B$6),기준표!$B$7))</f>
        <v/>
      </c>
      <c r="AE233" s="17">
        <f>IF(ISNUMBER(AC233),AC233*(1-AD233),"")</f>
        <v/>
      </c>
      <c r="AF233" s="17">
        <f>IF(AND(NOT(ISNUMBER(T233)),NOT(ISNUMBER(V233))),"",IF(ISNUMBER(T233),T233,0)+IF(ISNUMBER(V233),V233,0))</f>
        <v/>
      </c>
      <c r="AG233" s="17">
        <f>IF(E233="금융","",IF(AND(ISNUMBER(P233),ISNUMBER(AF233),ISNUMBER(R233)),P233+AF233-R233,""))</f>
        <v/>
      </c>
      <c r="AH233" s="17">
        <f>IF(E233="금융","",IF(NOT(ISNUMBER(AG233)),"",IF(ISNUMBER(AA233),(AG233+AA233)/2,AG233)))</f>
        <v/>
      </c>
      <c r="AI233" s="19">
        <f>IF(AND(ISNUMBER(AE233),ISNUMBER(AH233),AH233&gt;0),AE233/AH233,"")</f>
        <v/>
      </c>
      <c r="AJ233" s="17">
        <f>IF(E233="금융","",IF(AND(ISNUMBER(P233),ISNUMBER(AF233)),P233+AF233,""))</f>
        <v/>
      </c>
      <c r="AK233" s="19">
        <f>IF(OR(NOT(ISNUMBER(AE233)),NOT(ISNUMBER(AJ233)),AJ233&lt;=0),"",IF(AND(ISNUMBER(G233),AJ233&lt;0.1*G233),"",AE233/AJ233))</f>
        <v/>
      </c>
      <c r="AL233" s="17">
        <f>IF(NOT(ISNUMBER(P233)),"",IF(ISNUMBER(Q233),(P233+Q233)/2,P233))</f>
        <v/>
      </c>
      <c r="AM233" s="19">
        <f>IF(AND(ISNUMBER(L233),ISNUMBER(AL233),AL233&gt;0),L233/AL233,"")</f>
        <v/>
      </c>
      <c r="AN233" s="19">
        <f>IF(AND(ISNUMBER(AM233),ISNUMBER({ROIC})),AM233-{ROIC},"")</f>
        <v/>
      </c>
      <c r="AO233" s="17">
        <f>IF(AND(ISNUMBER(AC233),ISNUMBER(M233)),AC233+M233,"")</f>
        <v/>
      </c>
      <c r="AP233" s="20">
        <f>IF(AND(ISNUMBER(AF233),ISNUMBER(R233),ISNUMBER(AO233),AO233&gt;0),(AF233-R233)/AO233,"")</f>
        <v/>
      </c>
      <c r="AQ233" s="20">
        <f>IF(AND(ISNUMBER(AC233),ISNUMBER(I233),I233&lt;&gt;0,AC233&gt;0),AC233/I233,"")</f>
        <v/>
      </c>
      <c r="AR233" s="17">
        <f>IF(AND(ISNUMBER(W233),ISNUMBER(Y233)),W233-IF(ISNUMBER(R233),R233,0)-(Y233-IF(ISNUMBER(T233),T233,0)),"")</f>
        <v/>
      </c>
      <c r="AS233" s="17">
        <f>IF(AND(ISNUMBER(X233),ISNUMBER(Z233)),X233-IF(ISNUMBER(S233),S233,0)-(Z233-IF(ISNUMBER(U233),U233,0)),"")</f>
        <v/>
      </c>
      <c r="AT233" s="17">
        <f>IF(AND(ISNUMBER(AR233),ISNUMBER(AS233)),AR233-AS233,"")</f>
        <v/>
      </c>
      <c r="AU233" s="17">
        <f>IF(E233="금융","",IF(AND(ISNUMBER(L233),ISNUMBER(M233),ISNUMBER(N233),ISNUMBER(AT233)),L233+M233-N233-AT233,IF(AND(ISNUMBER(O233),ISNUMBER(N233)),O233-N233,"")))</f>
        <v/>
      </c>
      <c r="AV233" s="8">
        <f>IF(E233="금융","금융업 - 정의되지 않음",IF(AND(ISNUMBER(L233),ISNUMBER(M233),ISNUMBER(N233),ISNUMBER(AT233)),"순이익+감가상각-설비투자-운전자본증감",IF(AND(ISNUMBER(O233),ISNUMBER(N233)),"영업현금흐름-설비투자","산출불가")))</f>
        <v/>
      </c>
      <c r="AW233" s="19">
        <f>IF(AND(ISNUMBER(AU233),ISNUMBER(G233),G233&lt;&gt;0),AU233/G233,"")</f>
        <v/>
      </c>
      <c r="AX233" s="19">
        <f>IF(AND(ISNUMBER(AC233),ISNUMBER(G233),G233&lt;&gt;0),AC233/G233,"")</f>
        <v/>
      </c>
    </row>
    <row r="234">
      <c r="A234" s="8" t="inlineStr">
        <is>
          <t>CSCO</t>
        </is>
      </c>
      <c r="B234" s="8" t="inlineStr">
        <is>
          <t>CISCO SYSTEMS, INC.</t>
        </is>
      </c>
      <c r="C234" s="8" t="n">
        <v>2017</v>
      </c>
      <c r="D234" s="8" t="inlineStr">
        <is>
          <t>2017-07-29</t>
        </is>
      </c>
      <c r="E234" s="8" t="inlineStr">
        <is>
          <t>일반</t>
        </is>
      </c>
      <c r="F234" s="8" t="inlineStr">
        <is>
          <t>0000858877-19-000012</t>
        </is>
      </c>
      <c r="G234" s="15" t="n">
        <v>48.005</v>
      </c>
      <c r="H234" s="15" t="n">
        <v>12.287</v>
      </c>
      <c r="I234" s="15" t="n"/>
      <c r="J234" s="15" t="n">
        <v>2.678</v>
      </c>
      <c r="K234" s="15" t="n">
        <v>11.973</v>
      </c>
      <c r="L234" s="15" t="n">
        <v>9.609</v>
      </c>
      <c r="M234" s="15" t="n">
        <v>1.1</v>
      </c>
      <c r="N234" s="15" t="n">
        <v>0.964</v>
      </c>
      <c r="O234" s="15" t="n">
        <v>13.876</v>
      </c>
      <c r="P234" s="15" t="n">
        <v>66.137</v>
      </c>
      <c r="Q234" s="15" t="n">
        <v>63.586</v>
      </c>
      <c r="R234" s="15" t="n">
        <v>11.708</v>
      </c>
      <c r="S234" s="15" t="n">
        <v>7.631</v>
      </c>
      <c r="T234" s="15" t="n">
        <v>7.992</v>
      </c>
      <c r="U234" s="15" t="n">
        <v>4.16</v>
      </c>
      <c r="V234" s="15" t="n">
        <v>25.725</v>
      </c>
      <c r="W234" s="15" t="n">
        <v>83.703</v>
      </c>
      <c r="X234" s="15" t="n">
        <v>78.71899999999999</v>
      </c>
      <c r="Y234" s="15" t="n">
        <v>27.583</v>
      </c>
      <c r="Z234" s="15" t="n">
        <v>24.911</v>
      </c>
      <c r="AA234" s="15" t="n">
        <v>84.598</v>
      </c>
      <c r="AB234" s="16" t="n">
        <v>4983</v>
      </c>
      <c r="AC234" s="17">
        <f>IF(AND(ISNUMBER(H234),ISNUMBER(I234)),H234+I234,IF(ISNUMBER(K234),K234,IF(ISNUMBER(H234),H234,"")))</f>
        <v/>
      </c>
      <c r="AD234" s="18">
        <f>IF(OR(NOT(ISNUMBER(J234)),NOT(ISNUMBER(H234)),H234&lt;=0),기준표!$B$8,MIN(MAX(J234/H234,기준표!$B$6),기준표!$B$7))</f>
        <v/>
      </c>
      <c r="AE234" s="17">
        <f>IF(ISNUMBER(AC234),AC234*(1-AD234),"")</f>
        <v/>
      </c>
      <c r="AF234" s="17">
        <f>IF(AND(NOT(ISNUMBER(T234)),NOT(ISNUMBER(V234))),"",IF(ISNUMBER(T234),T234,0)+IF(ISNUMBER(V234),V234,0))</f>
        <v/>
      </c>
      <c r="AG234" s="17">
        <f>IF(E234="금융","",IF(AND(ISNUMBER(P234),ISNUMBER(AF234),ISNUMBER(R234)),P234+AF234-R234,""))</f>
        <v/>
      </c>
      <c r="AH234" s="17">
        <f>IF(E234="금융","",IF(NOT(ISNUMBER(AG234)),"",IF(ISNUMBER(AA234),(AG234+AA234)/2,AG234)))</f>
        <v/>
      </c>
      <c r="AI234" s="19">
        <f>IF(AND(ISNUMBER(AE234),ISNUMBER(AH234),AH234&gt;0),AE234/AH234,"")</f>
        <v/>
      </c>
      <c r="AJ234" s="17">
        <f>IF(E234="금융","",IF(AND(ISNUMBER(P234),ISNUMBER(AF234)),P234+AF234,""))</f>
        <v/>
      </c>
      <c r="AK234" s="19">
        <f>IF(OR(NOT(ISNUMBER(AE234)),NOT(ISNUMBER(AJ234)),AJ234&lt;=0),"",IF(AND(ISNUMBER(G234),AJ234&lt;0.1*G234),"",AE234/AJ234))</f>
        <v/>
      </c>
      <c r="AL234" s="17">
        <f>IF(NOT(ISNUMBER(P234)),"",IF(ISNUMBER(Q234),(P234+Q234)/2,P234))</f>
        <v/>
      </c>
      <c r="AM234" s="19">
        <f>IF(AND(ISNUMBER(L234),ISNUMBER(AL234),AL234&gt;0),L234/AL234,"")</f>
        <v/>
      </c>
      <c r="AN234" s="19">
        <f>IF(AND(ISNUMBER(AM234),ISNUMBER({ROIC})),AM234-{ROIC},"")</f>
        <v/>
      </c>
      <c r="AO234" s="17">
        <f>IF(AND(ISNUMBER(AC234),ISNUMBER(M234)),AC234+M234,"")</f>
        <v/>
      </c>
      <c r="AP234" s="20">
        <f>IF(AND(ISNUMBER(AF234),ISNUMBER(R234),ISNUMBER(AO234),AO234&gt;0),(AF234-R234)/AO234,"")</f>
        <v/>
      </c>
      <c r="AQ234" s="20">
        <f>IF(AND(ISNUMBER(AC234),ISNUMBER(I234),I234&lt;&gt;0,AC234&gt;0),AC234/I234,"")</f>
        <v/>
      </c>
      <c r="AR234" s="17">
        <f>IF(AND(ISNUMBER(W234),ISNUMBER(Y234)),W234-IF(ISNUMBER(R234),R234,0)-(Y234-IF(ISNUMBER(T234),T234,0)),"")</f>
        <v/>
      </c>
      <c r="AS234" s="17">
        <f>IF(AND(ISNUMBER(X234),ISNUMBER(Z234)),X234-IF(ISNUMBER(S234),S234,0)-(Z234-IF(ISNUMBER(U234),U234,0)),"")</f>
        <v/>
      </c>
      <c r="AT234" s="17">
        <f>IF(AND(ISNUMBER(AR234),ISNUMBER(AS234)),AR234-AS234,"")</f>
        <v/>
      </c>
      <c r="AU234" s="17">
        <f>IF(E234="금융","",IF(AND(ISNUMBER(L234),ISNUMBER(M234),ISNUMBER(N234),ISNUMBER(AT234)),L234+M234-N234-AT234,IF(AND(ISNUMBER(O234),ISNUMBER(N234)),O234-N234,"")))</f>
        <v/>
      </c>
      <c r="AV234" s="8">
        <f>IF(E234="금융","금융업 - 정의되지 않음",IF(AND(ISNUMBER(L234),ISNUMBER(M234),ISNUMBER(N234),ISNUMBER(AT234)),"순이익+감가상각-설비투자-운전자본증감",IF(AND(ISNUMBER(O234),ISNUMBER(N234)),"영업현금흐름-설비투자","산출불가")))</f>
        <v/>
      </c>
      <c r="AW234" s="19">
        <f>IF(AND(ISNUMBER(AU234),ISNUMBER(G234),G234&lt;&gt;0),AU234/G234,"")</f>
        <v/>
      </c>
      <c r="AX234" s="19">
        <f>IF(AND(ISNUMBER(AC234),ISNUMBER(G234),G234&lt;&gt;0),AC234/G234,"")</f>
        <v/>
      </c>
    </row>
    <row r="235">
      <c r="A235" s="8" t="inlineStr">
        <is>
          <t>CSCO</t>
        </is>
      </c>
      <c r="B235" s="8" t="inlineStr">
        <is>
          <t>CISCO SYSTEMS, INC.</t>
        </is>
      </c>
      <c r="C235" s="8" t="n">
        <v>2018</v>
      </c>
      <c r="D235" s="8" t="inlineStr">
        <is>
          <t>2018-07-28</t>
        </is>
      </c>
      <c r="E235" s="8" t="inlineStr">
        <is>
          <t>일반</t>
        </is>
      </c>
      <c r="F235" s="8" t="inlineStr">
        <is>
          <t>0000858877-20-000010</t>
        </is>
      </c>
      <c r="G235" s="15" t="n">
        <v>49.33</v>
      </c>
      <c r="H235" s="15" t="n">
        <v>13.039</v>
      </c>
      <c r="I235" s="15" t="n"/>
      <c r="J235" s="15" t="n">
        <v>12.929</v>
      </c>
      <c r="K235" s="15" t="n">
        <v>12.309</v>
      </c>
      <c r="L235" s="15" t="n">
        <v>0.11</v>
      </c>
      <c r="M235" s="15" t="n">
        <v>1.1</v>
      </c>
      <c r="N235" s="15" t="n">
        <v>0.834</v>
      </c>
      <c r="O235" s="15" t="n">
        <v>13.666</v>
      </c>
      <c r="P235" s="15" t="n">
        <v>43.204</v>
      </c>
      <c r="Q235" s="15" t="n">
        <v>66.137</v>
      </c>
      <c r="R235" s="15" t="n">
        <v>46.548</v>
      </c>
      <c r="S235" s="15" t="n">
        <v>11.708</v>
      </c>
      <c r="T235" s="15" t="n">
        <v>5.238</v>
      </c>
      <c r="U235" s="15" t="n">
        <v>7.992</v>
      </c>
      <c r="V235" s="15" t="n">
        <v>20.331</v>
      </c>
      <c r="W235" s="15" t="n">
        <v>61.837</v>
      </c>
      <c r="X235" s="15" t="n">
        <v>83.703</v>
      </c>
      <c r="Y235" s="15" t="n">
        <v>27.035</v>
      </c>
      <c r="Z235" s="15" t="n">
        <v>27.583</v>
      </c>
      <c r="AA235" s="15" t="n">
        <v>88.146</v>
      </c>
      <c r="AB235" s="16" t="n">
        <v>4614</v>
      </c>
      <c r="AC235" s="17">
        <f>IF(AND(ISNUMBER(H235),ISNUMBER(I235)),H235+I235,IF(ISNUMBER(K235),K235,IF(ISNUMBER(H235),H235,"")))</f>
        <v/>
      </c>
      <c r="AD235" s="18">
        <f>IF(OR(NOT(ISNUMBER(J235)),NOT(ISNUMBER(H235)),H235&lt;=0),기준표!$B$8,MIN(MAX(J235/H235,기준표!$B$6),기준표!$B$7))</f>
        <v/>
      </c>
      <c r="AE235" s="17">
        <f>IF(ISNUMBER(AC235),AC235*(1-AD235),"")</f>
        <v/>
      </c>
      <c r="AF235" s="17">
        <f>IF(AND(NOT(ISNUMBER(T235)),NOT(ISNUMBER(V235))),"",IF(ISNUMBER(T235),T235,0)+IF(ISNUMBER(V235),V235,0))</f>
        <v/>
      </c>
      <c r="AG235" s="17">
        <f>IF(E235="금융","",IF(AND(ISNUMBER(P235),ISNUMBER(AF235),ISNUMBER(R235)),P235+AF235-R235,""))</f>
        <v/>
      </c>
      <c r="AH235" s="17">
        <f>IF(E235="금융","",IF(NOT(ISNUMBER(AG235)),"",IF(ISNUMBER(AA235),(AG235+AA235)/2,AG235)))</f>
        <v/>
      </c>
      <c r="AI235" s="19">
        <f>IF(AND(ISNUMBER(AE235),ISNUMBER(AH235),AH235&gt;0),AE235/AH235,"")</f>
        <v/>
      </c>
      <c r="AJ235" s="17">
        <f>IF(E235="금융","",IF(AND(ISNUMBER(P235),ISNUMBER(AF235)),P235+AF235,""))</f>
        <v/>
      </c>
      <c r="AK235" s="19">
        <f>IF(OR(NOT(ISNUMBER(AE235)),NOT(ISNUMBER(AJ235)),AJ235&lt;=0),"",IF(AND(ISNUMBER(G235),AJ235&lt;0.1*G235),"",AE235/AJ235))</f>
        <v/>
      </c>
      <c r="AL235" s="17">
        <f>IF(NOT(ISNUMBER(P235)),"",IF(ISNUMBER(Q235),(P235+Q235)/2,P235))</f>
        <v/>
      </c>
      <c r="AM235" s="19">
        <f>IF(AND(ISNUMBER(L235),ISNUMBER(AL235),AL235&gt;0),L235/AL235,"")</f>
        <v/>
      </c>
      <c r="AN235" s="19">
        <f>IF(AND(ISNUMBER(AM235),ISNUMBER({ROIC})),AM235-{ROIC},"")</f>
        <v/>
      </c>
      <c r="AO235" s="17">
        <f>IF(AND(ISNUMBER(AC235),ISNUMBER(M235)),AC235+M235,"")</f>
        <v/>
      </c>
      <c r="AP235" s="20">
        <f>IF(AND(ISNUMBER(AF235),ISNUMBER(R235),ISNUMBER(AO235),AO235&gt;0),(AF235-R235)/AO235,"")</f>
        <v/>
      </c>
      <c r="AQ235" s="20">
        <f>IF(AND(ISNUMBER(AC235),ISNUMBER(I235),I235&lt;&gt;0,AC235&gt;0),AC235/I235,"")</f>
        <v/>
      </c>
      <c r="AR235" s="17">
        <f>IF(AND(ISNUMBER(W235),ISNUMBER(Y235)),W235-IF(ISNUMBER(R235),R235,0)-(Y235-IF(ISNUMBER(T235),T235,0)),"")</f>
        <v/>
      </c>
      <c r="AS235" s="17">
        <f>IF(AND(ISNUMBER(X235),ISNUMBER(Z235)),X235-IF(ISNUMBER(S235),S235,0)-(Z235-IF(ISNUMBER(U235),U235,0)),"")</f>
        <v/>
      </c>
      <c r="AT235" s="17">
        <f>IF(AND(ISNUMBER(AR235),ISNUMBER(AS235)),AR235-AS235,"")</f>
        <v/>
      </c>
      <c r="AU235" s="17">
        <f>IF(E235="금융","",IF(AND(ISNUMBER(L235),ISNUMBER(M235),ISNUMBER(N235),ISNUMBER(AT235)),L235+M235-N235-AT235,IF(AND(ISNUMBER(O235),ISNUMBER(N235)),O235-N235,"")))</f>
        <v/>
      </c>
      <c r="AV235" s="8">
        <f>IF(E235="금융","금융업 - 정의되지 않음",IF(AND(ISNUMBER(L235),ISNUMBER(M235),ISNUMBER(N235),ISNUMBER(AT235)),"순이익+감가상각-설비투자-운전자본증감",IF(AND(ISNUMBER(O235),ISNUMBER(N235)),"영업현금흐름-설비투자","산출불가")))</f>
        <v/>
      </c>
      <c r="AW235" s="19">
        <f>IF(AND(ISNUMBER(AU235),ISNUMBER(G235),G235&lt;&gt;0),AU235/G235,"")</f>
        <v/>
      </c>
      <c r="AX235" s="19">
        <f>IF(AND(ISNUMBER(AC235),ISNUMBER(G235),G235&lt;&gt;0),AC235/G235,"")</f>
        <v/>
      </c>
    </row>
    <row r="236">
      <c r="A236" s="8" t="inlineStr">
        <is>
          <t>CSCO</t>
        </is>
      </c>
      <c r="B236" s="8" t="inlineStr">
        <is>
          <t>CISCO SYSTEMS, INC.</t>
        </is>
      </c>
      <c r="C236" s="8" t="n">
        <v>2019</v>
      </c>
      <c r="D236" s="8" t="inlineStr">
        <is>
          <t>2019-07-27</t>
        </is>
      </c>
      <c r="E236" s="8" t="inlineStr">
        <is>
          <t>일반</t>
        </is>
      </c>
      <c r="F236" s="8" t="inlineStr">
        <is>
          <t>0000858877-21-000013</t>
        </is>
      </c>
      <c r="G236" s="15" t="n">
        <v>51.904</v>
      </c>
      <c r="H236" s="15" t="n">
        <v>14.571</v>
      </c>
      <c r="I236" s="15" t="n"/>
      <c r="J236" s="15" t="n">
        <v>2.95</v>
      </c>
      <c r="K236" s="15" t="n">
        <v>14.219</v>
      </c>
      <c r="L236" s="15" t="n">
        <v>11.621</v>
      </c>
      <c r="M236" s="15" t="n">
        <v>1</v>
      </c>
      <c r="N236" s="15" t="n">
        <v>0.909</v>
      </c>
      <c r="O236" s="15" t="n">
        <v>15.831</v>
      </c>
      <c r="P236" s="15" t="n">
        <v>33.571</v>
      </c>
      <c r="Q236" s="15" t="n">
        <v>43.204</v>
      </c>
      <c r="R236" s="15" t="n">
        <v>33.413</v>
      </c>
      <c r="S236" s="15" t="n">
        <v>46.548</v>
      </c>
      <c r="T236" s="15" t="n">
        <v>10.191</v>
      </c>
      <c r="U236" s="15" t="n">
        <v>5.238</v>
      </c>
      <c r="V236" s="15" t="n">
        <v>14.475</v>
      </c>
      <c r="W236" s="15" t="n">
        <v>47.755</v>
      </c>
      <c r="X236" s="15" t="n">
        <v>61.837</v>
      </c>
      <c r="Y236" s="15" t="n">
        <v>31.712</v>
      </c>
      <c r="Z236" s="15" t="n">
        <v>27.035</v>
      </c>
      <c r="AA236" s="15" t="n">
        <v>22.225</v>
      </c>
      <c r="AB236" s="16" t="n">
        <v>4250</v>
      </c>
      <c r="AC236" s="17">
        <f>IF(AND(ISNUMBER(H236),ISNUMBER(I236)),H236+I236,IF(ISNUMBER(K236),K236,IF(ISNUMBER(H236),H236,"")))</f>
        <v/>
      </c>
      <c r="AD236" s="18">
        <f>IF(OR(NOT(ISNUMBER(J236)),NOT(ISNUMBER(H236)),H236&lt;=0),기준표!$B$8,MIN(MAX(J236/H236,기준표!$B$6),기준표!$B$7))</f>
        <v/>
      </c>
      <c r="AE236" s="17">
        <f>IF(ISNUMBER(AC236),AC236*(1-AD236),"")</f>
        <v/>
      </c>
      <c r="AF236" s="17">
        <f>IF(AND(NOT(ISNUMBER(T236)),NOT(ISNUMBER(V236))),"",IF(ISNUMBER(T236),T236,0)+IF(ISNUMBER(V236),V236,0))</f>
        <v/>
      </c>
      <c r="AG236" s="17">
        <f>IF(E236="금융","",IF(AND(ISNUMBER(P236),ISNUMBER(AF236),ISNUMBER(R236)),P236+AF236-R236,""))</f>
        <v/>
      </c>
      <c r="AH236" s="17">
        <f>IF(E236="금융","",IF(NOT(ISNUMBER(AG236)),"",IF(ISNUMBER(AA236),(AG236+AA236)/2,AG236)))</f>
        <v/>
      </c>
      <c r="AI236" s="19">
        <f>IF(AND(ISNUMBER(AE236),ISNUMBER(AH236),AH236&gt;0),AE236/AH236,"")</f>
        <v/>
      </c>
      <c r="AJ236" s="17">
        <f>IF(E236="금융","",IF(AND(ISNUMBER(P236),ISNUMBER(AF236)),P236+AF236,""))</f>
        <v/>
      </c>
      <c r="AK236" s="19">
        <f>IF(OR(NOT(ISNUMBER(AE236)),NOT(ISNUMBER(AJ236)),AJ236&lt;=0),"",IF(AND(ISNUMBER(G236),AJ236&lt;0.1*G236),"",AE236/AJ236))</f>
        <v/>
      </c>
      <c r="AL236" s="17">
        <f>IF(NOT(ISNUMBER(P236)),"",IF(ISNUMBER(Q236),(P236+Q236)/2,P236))</f>
        <v/>
      </c>
      <c r="AM236" s="19">
        <f>IF(AND(ISNUMBER(L236),ISNUMBER(AL236),AL236&gt;0),L236/AL236,"")</f>
        <v/>
      </c>
      <c r="AN236" s="19">
        <f>IF(AND(ISNUMBER(AM236),ISNUMBER({ROIC})),AM236-{ROIC},"")</f>
        <v/>
      </c>
      <c r="AO236" s="17">
        <f>IF(AND(ISNUMBER(AC236),ISNUMBER(M236)),AC236+M236,"")</f>
        <v/>
      </c>
      <c r="AP236" s="20">
        <f>IF(AND(ISNUMBER(AF236),ISNUMBER(R236),ISNUMBER(AO236),AO236&gt;0),(AF236-R236)/AO236,"")</f>
        <v/>
      </c>
      <c r="AQ236" s="20">
        <f>IF(AND(ISNUMBER(AC236),ISNUMBER(I236),I236&lt;&gt;0,AC236&gt;0),AC236/I236,"")</f>
        <v/>
      </c>
      <c r="AR236" s="17">
        <f>IF(AND(ISNUMBER(W236),ISNUMBER(Y236)),W236-IF(ISNUMBER(R236),R236,0)-(Y236-IF(ISNUMBER(T236),T236,0)),"")</f>
        <v/>
      </c>
      <c r="AS236" s="17">
        <f>IF(AND(ISNUMBER(X236),ISNUMBER(Z236)),X236-IF(ISNUMBER(S236),S236,0)-(Z236-IF(ISNUMBER(U236),U236,0)),"")</f>
        <v/>
      </c>
      <c r="AT236" s="17">
        <f>IF(AND(ISNUMBER(AR236),ISNUMBER(AS236)),AR236-AS236,"")</f>
        <v/>
      </c>
      <c r="AU236" s="17">
        <f>IF(E236="금융","",IF(AND(ISNUMBER(L236),ISNUMBER(M236),ISNUMBER(N236),ISNUMBER(AT236)),L236+M236-N236-AT236,IF(AND(ISNUMBER(O236),ISNUMBER(N236)),O236-N236,"")))</f>
        <v/>
      </c>
      <c r="AV236" s="8">
        <f>IF(E236="금융","금융업 - 정의되지 않음",IF(AND(ISNUMBER(L236),ISNUMBER(M236),ISNUMBER(N236),ISNUMBER(AT236)),"순이익+감가상각-설비투자-운전자본증감",IF(AND(ISNUMBER(O236),ISNUMBER(N236)),"영업현금흐름-설비투자","산출불가")))</f>
        <v/>
      </c>
      <c r="AW236" s="19">
        <f>IF(AND(ISNUMBER(AU236),ISNUMBER(G236),G236&lt;&gt;0),AU236/G236,"")</f>
        <v/>
      </c>
      <c r="AX236" s="19">
        <f>IF(AND(ISNUMBER(AC236),ISNUMBER(G236),G236&lt;&gt;0),AC236/G236,"")</f>
        <v/>
      </c>
    </row>
    <row r="237">
      <c r="A237" s="8" t="inlineStr">
        <is>
          <t>CSCO</t>
        </is>
      </c>
      <c r="B237" s="8" t="inlineStr">
        <is>
          <t>CISCO SYSTEMS, INC.</t>
        </is>
      </c>
      <c r="C237" s="8" t="n">
        <v>2020</v>
      </c>
      <c r="D237" s="8" t="inlineStr">
        <is>
          <t>2020-07-25</t>
        </is>
      </c>
      <c r="E237" s="8" t="inlineStr">
        <is>
          <t>일반</t>
        </is>
      </c>
      <c r="F237" s="8" t="inlineStr">
        <is>
          <t>0000858877-22-000013</t>
        </is>
      </c>
      <c r="G237" s="15" t="n">
        <v>49.301</v>
      </c>
      <c r="H237" s="15" t="n">
        <v>13.97</v>
      </c>
      <c r="I237" s="15" t="n"/>
      <c r="J237" s="15" t="n">
        <v>2.756</v>
      </c>
      <c r="K237" s="15" t="n">
        <v>13.62</v>
      </c>
      <c r="L237" s="15" t="n">
        <v>11.214</v>
      </c>
      <c r="M237" s="15" t="n">
        <v>0.9</v>
      </c>
      <c r="N237" s="15" t="n">
        <v>0.77</v>
      </c>
      <c r="O237" s="15" t="n">
        <v>15.426</v>
      </c>
      <c r="P237" s="15" t="n">
        <v>37.92</v>
      </c>
      <c r="Q237" s="15" t="n">
        <v>33.571</v>
      </c>
      <c r="R237" s="15" t="n">
        <v>29.419</v>
      </c>
      <c r="S237" s="15" t="n">
        <v>33.413</v>
      </c>
      <c r="T237" s="15" t="n">
        <v>3.005</v>
      </c>
      <c r="U237" s="15" t="n">
        <v>10.191</v>
      </c>
      <c r="V237" s="15" t="n">
        <v>11.578</v>
      </c>
      <c r="W237" s="15" t="n">
        <v>43.573</v>
      </c>
      <c r="X237" s="15" t="n">
        <v>47.755</v>
      </c>
      <c r="Y237" s="15" t="n">
        <v>25.331</v>
      </c>
      <c r="Z237" s="15" t="n">
        <v>31.712</v>
      </c>
      <c r="AA237" s="15" t="n">
        <v>24.824</v>
      </c>
      <c r="AB237" s="16" t="n">
        <v>4237</v>
      </c>
      <c r="AC237" s="17">
        <f>IF(AND(ISNUMBER(H237),ISNUMBER(I237)),H237+I237,IF(ISNUMBER(K237),K237,IF(ISNUMBER(H237),H237,"")))</f>
        <v/>
      </c>
      <c r="AD237" s="18">
        <f>IF(OR(NOT(ISNUMBER(J237)),NOT(ISNUMBER(H237)),H237&lt;=0),기준표!$B$8,MIN(MAX(J237/H237,기준표!$B$6),기준표!$B$7))</f>
        <v/>
      </c>
      <c r="AE237" s="17">
        <f>IF(ISNUMBER(AC237),AC237*(1-AD237),"")</f>
        <v/>
      </c>
      <c r="AF237" s="17">
        <f>IF(AND(NOT(ISNUMBER(T237)),NOT(ISNUMBER(V237))),"",IF(ISNUMBER(T237),T237,0)+IF(ISNUMBER(V237),V237,0))</f>
        <v/>
      </c>
      <c r="AG237" s="17">
        <f>IF(E237="금융","",IF(AND(ISNUMBER(P237),ISNUMBER(AF237),ISNUMBER(R237)),P237+AF237-R237,""))</f>
        <v/>
      </c>
      <c r="AH237" s="17">
        <f>IF(E237="금융","",IF(NOT(ISNUMBER(AG237)),"",IF(ISNUMBER(AA237),(AG237+AA237)/2,AG237)))</f>
        <v/>
      </c>
      <c r="AI237" s="19">
        <f>IF(AND(ISNUMBER(AE237),ISNUMBER(AH237),AH237&gt;0),AE237/AH237,"")</f>
        <v/>
      </c>
      <c r="AJ237" s="17">
        <f>IF(E237="금융","",IF(AND(ISNUMBER(P237),ISNUMBER(AF237)),P237+AF237,""))</f>
        <v/>
      </c>
      <c r="AK237" s="19">
        <f>IF(OR(NOT(ISNUMBER(AE237)),NOT(ISNUMBER(AJ237)),AJ237&lt;=0),"",IF(AND(ISNUMBER(G237),AJ237&lt;0.1*G237),"",AE237/AJ237))</f>
        <v/>
      </c>
      <c r="AL237" s="17">
        <f>IF(NOT(ISNUMBER(P237)),"",IF(ISNUMBER(Q237),(P237+Q237)/2,P237))</f>
        <v/>
      </c>
      <c r="AM237" s="19">
        <f>IF(AND(ISNUMBER(L237),ISNUMBER(AL237),AL237&gt;0),L237/AL237,"")</f>
        <v/>
      </c>
      <c r="AN237" s="19">
        <f>IF(AND(ISNUMBER(AM237),ISNUMBER({ROIC})),AM237-{ROIC},"")</f>
        <v/>
      </c>
      <c r="AO237" s="17">
        <f>IF(AND(ISNUMBER(AC237),ISNUMBER(M237)),AC237+M237,"")</f>
        <v/>
      </c>
      <c r="AP237" s="20">
        <f>IF(AND(ISNUMBER(AF237),ISNUMBER(R237),ISNUMBER(AO237),AO237&gt;0),(AF237-R237)/AO237,"")</f>
        <v/>
      </c>
      <c r="AQ237" s="20">
        <f>IF(AND(ISNUMBER(AC237),ISNUMBER(I237),I237&lt;&gt;0,AC237&gt;0),AC237/I237,"")</f>
        <v/>
      </c>
      <c r="AR237" s="17">
        <f>IF(AND(ISNUMBER(W237),ISNUMBER(Y237)),W237-IF(ISNUMBER(R237),R237,0)-(Y237-IF(ISNUMBER(T237),T237,0)),"")</f>
        <v/>
      </c>
      <c r="AS237" s="17">
        <f>IF(AND(ISNUMBER(X237),ISNUMBER(Z237)),X237-IF(ISNUMBER(S237),S237,0)-(Z237-IF(ISNUMBER(U237),U237,0)),"")</f>
        <v/>
      </c>
      <c r="AT237" s="17">
        <f>IF(AND(ISNUMBER(AR237),ISNUMBER(AS237)),AR237-AS237,"")</f>
        <v/>
      </c>
      <c r="AU237" s="17">
        <f>IF(E237="금융","",IF(AND(ISNUMBER(L237),ISNUMBER(M237),ISNUMBER(N237),ISNUMBER(AT237)),L237+M237-N237-AT237,IF(AND(ISNUMBER(O237),ISNUMBER(N237)),O237-N237,"")))</f>
        <v/>
      </c>
      <c r="AV237" s="8">
        <f>IF(E237="금융","금융업 - 정의되지 않음",IF(AND(ISNUMBER(L237),ISNUMBER(M237),ISNUMBER(N237),ISNUMBER(AT237)),"순이익+감가상각-설비투자-운전자본증감",IF(AND(ISNUMBER(O237),ISNUMBER(N237)),"영업현금흐름-설비투자","산출불가")))</f>
        <v/>
      </c>
      <c r="AW237" s="19">
        <f>IF(AND(ISNUMBER(AU237),ISNUMBER(G237),G237&lt;&gt;0),AU237/G237,"")</f>
        <v/>
      </c>
      <c r="AX237" s="19">
        <f>IF(AND(ISNUMBER(AC237),ISNUMBER(G237),G237&lt;&gt;0),AC237/G237,"")</f>
        <v/>
      </c>
    </row>
    <row r="238">
      <c r="A238" s="8" t="inlineStr">
        <is>
          <t>CSCO</t>
        </is>
      </c>
      <c r="B238" s="8" t="inlineStr">
        <is>
          <t>CISCO SYSTEMS, INC.</t>
        </is>
      </c>
      <c r="C238" s="8" t="n">
        <v>2021</v>
      </c>
      <c r="D238" s="8" t="inlineStr">
        <is>
          <t>2021-07-31</t>
        </is>
      </c>
      <c r="E238" s="8" t="inlineStr">
        <is>
          <t>일반</t>
        </is>
      </c>
      <c r="F238" s="8" t="inlineStr">
        <is>
          <t>0000858877-23-000023</t>
        </is>
      </c>
      <c r="G238" s="15" t="n">
        <v>49.818</v>
      </c>
      <c r="H238" s="15" t="n">
        <v>13.262</v>
      </c>
      <c r="I238" s="15" t="n"/>
      <c r="J238" s="15" t="n">
        <v>2.671</v>
      </c>
      <c r="K238" s="15" t="n">
        <v>12.833</v>
      </c>
      <c r="L238" s="15" t="n">
        <v>10.591</v>
      </c>
      <c r="M238" s="15" t="n">
        <v>0.8</v>
      </c>
      <c r="N238" s="15" t="n">
        <v>0.6919999999999999</v>
      </c>
      <c r="O238" s="15" t="n">
        <v>15.454</v>
      </c>
      <c r="P238" s="15" t="n">
        <v>41.275</v>
      </c>
      <c r="Q238" s="15" t="n">
        <v>37.92</v>
      </c>
      <c r="R238" s="15" t="n">
        <v>24.518</v>
      </c>
      <c r="S238" s="15" t="n">
        <v>29.419</v>
      </c>
      <c r="T238" s="15" t="n">
        <v>2.508</v>
      </c>
      <c r="U238" s="15" t="n">
        <v>3.005</v>
      </c>
      <c r="V238" s="15" t="n">
        <v>9.018000000000001</v>
      </c>
      <c r="W238" s="15" t="n">
        <v>39.112</v>
      </c>
      <c r="X238" s="15" t="n">
        <v>43.573</v>
      </c>
      <c r="Y238" s="15" t="n">
        <v>26.257</v>
      </c>
      <c r="Z238" s="15" t="n">
        <v>25.331</v>
      </c>
      <c r="AA238" s="15" t="n">
        <v>23.084</v>
      </c>
      <c r="AB238" s="16" t="n">
        <v>4217</v>
      </c>
      <c r="AC238" s="17">
        <f>IF(AND(ISNUMBER(H238),ISNUMBER(I238)),H238+I238,IF(ISNUMBER(K238),K238,IF(ISNUMBER(H238),H238,"")))</f>
        <v/>
      </c>
      <c r="AD238" s="18">
        <f>IF(OR(NOT(ISNUMBER(J238)),NOT(ISNUMBER(H238)),H238&lt;=0),기준표!$B$8,MIN(MAX(J238/H238,기준표!$B$6),기준표!$B$7))</f>
        <v/>
      </c>
      <c r="AE238" s="17">
        <f>IF(ISNUMBER(AC238),AC238*(1-AD238),"")</f>
        <v/>
      </c>
      <c r="AF238" s="17">
        <f>IF(AND(NOT(ISNUMBER(T238)),NOT(ISNUMBER(V238))),"",IF(ISNUMBER(T238),T238,0)+IF(ISNUMBER(V238),V238,0))</f>
        <v/>
      </c>
      <c r="AG238" s="17">
        <f>IF(E238="금융","",IF(AND(ISNUMBER(P238),ISNUMBER(AF238),ISNUMBER(R238)),P238+AF238-R238,""))</f>
        <v/>
      </c>
      <c r="AH238" s="17">
        <f>IF(E238="금융","",IF(NOT(ISNUMBER(AG238)),"",IF(ISNUMBER(AA238),(AG238+AA238)/2,AG238)))</f>
        <v/>
      </c>
      <c r="AI238" s="19">
        <f>IF(AND(ISNUMBER(AE238),ISNUMBER(AH238),AH238&gt;0),AE238/AH238,"")</f>
        <v/>
      </c>
      <c r="AJ238" s="17">
        <f>IF(E238="금융","",IF(AND(ISNUMBER(P238),ISNUMBER(AF238)),P238+AF238,""))</f>
        <v/>
      </c>
      <c r="AK238" s="19">
        <f>IF(OR(NOT(ISNUMBER(AE238)),NOT(ISNUMBER(AJ238)),AJ238&lt;=0),"",IF(AND(ISNUMBER(G238),AJ238&lt;0.1*G238),"",AE238/AJ238))</f>
        <v/>
      </c>
      <c r="AL238" s="17">
        <f>IF(NOT(ISNUMBER(P238)),"",IF(ISNUMBER(Q238),(P238+Q238)/2,P238))</f>
        <v/>
      </c>
      <c r="AM238" s="19">
        <f>IF(AND(ISNUMBER(L238),ISNUMBER(AL238),AL238&gt;0),L238/AL238,"")</f>
        <v/>
      </c>
      <c r="AN238" s="19">
        <f>IF(AND(ISNUMBER(AM238),ISNUMBER({ROIC})),AM238-{ROIC},"")</f>
        <v/>
      </c>
      <c r="AO238" s="17">
        <f>IF(AND(ISNUMBER(AC238),ISNUMBER(M238)),AC238+M238,"")</f>
        <v/>
      </c>
      <c r="AP238" s="20">
        <f>IF(AND(ISNUMBER(AF238),ISNUMBER(R238),ISNUMBER(AO238),AO238&gt;0),(AF238-R238)/AO238,"")</f>
        <v/>
      </c>
      <c r="AQ238" s="20">
        <f>IF(AND(ISNUMBER(AC238),ISNUMBER(I238),I238&lt;&gt;0,AC238&gt;0),AC238/I238,"")</f>
        <v/>
      </c>
      <c r="AR238" s="17">
        <f>IF(AND(ISNUMBER(W238),ISNUMBER(Y238)),W238-IF(ISNUMBER(R238),R238,0)-(Y238-IF(ISNUMBER(T238),T238,0)),"")</f>
        <v/>
      </c>
      <c r="AS238" s="17">
        <f>IF(AND(ISNUMBER(X238),ISNUMBER(Z238)),X238-IF(ISNUMBER(S238),S238,0)-(Z238-IF(ISNUMBER(U238),U238,0)),"")</f>
        <v/>
      </c>
      <c r="AT238" s="17">
        <f>IF(AND(ISNUMBER(AR238),ISNUMBER(AS238)),AR238-AS238,"")</f>
        <v/>
      </c>
      <c r="AU238" s="17">
        <f>IF(E238="금융","",IF(AND(ISNUMBER(L238),ISNUMBER(M238),ISNUMBER(N238),ISNUMBER(AT238)),L238+M238-N238-AT238,IF(AND(ISNUMBER(O238),ISNUMBER(N238)),O238-N238,"")))</f>
        <v/>
      </c>
      <c r="AV238" s="8">
        <f>IF(E238="금융","금융업 - 정의되지 않음",IF(AND(ISNUMBER(L238),ISNUMBER(M238),ISNUMBER(N238),ISNUMBER(AT238)),"순이익+감가상각-설비투자-운전자본증감",IF(AND(ISNUMBER(O238),ISNUMBER(N238)),"영업현금흐름-설비투자","산출불가")))</f>
        <v/>
      </c>
      <c r="AW238" s="19">
        <f>IF(AND(ISNUMBER(AU238),ISNUMBER(G238),G238&lt;&gt;0),AU238/G238,"")</f>
        <v/>
      </c>
      <c r="AX238" s="19">
        <f>IF(AND(ISNUMBER(AC238),ISNUMBER(G238),G238&lt;&gt;0),AC238/G238,"")</f>
        <v/>
      </c>
    </row>
    <row r="239">
      <c r="A239" s="8" t="inlineStr">
        <is>
          <t>CSCO</t>
        </is>
      </c>
      <c r="B239" s="8" t="inlineStr">
        <is>
          <t>CISCO SYSTEMS, INC.</t>
        </is>
      </c>
      <c r="C239" s="8" t="n">
        <v>2022</v>
      </c>
      <c r="D239" s="8" t="inlineStr">
        <is>
          <t>2022-07-30</t>
        </is>
      </c>
      <c r="E239" s="8" t="inlineStr">
        <is>
          <t>일반</t>
        </is>
      </c>
      <c r="F239" s="8" t="inlineStr">
        <is>
          <t>0000858877-24-000017</t>
        </is>
      </c>
      <c r="G239" s="15" t="n">
        <v>51.557</v>
      </c>
      <c r="H239" s="15" t="n">
        <v>14.477</v>
      </c>
      <c r="I239" s="15" t="n">
        <v>0.36</v>
      </c>
      <c r="J239" s="15" t="n">
        <v>2.665</v>
      </c>
      <c r="K239" s="15" t="n">
        <v>13.969</v>
      </c>
      <c r="L239" s="15" t="n">
        <v>11.812</v>
      </c>
      <c r="M239" s="15" t="n">
        <v>0.8</v>
      </c>
      <c r="N239" s="15" t="n">
        <v>0.477</v>
      </c>
      <c r="O239" s="15" t="n">
        <v>13.226</v>
      </c>
      <c r="P239" s="15" t="n">
        <v>39.773</v>
      </c>
      <c r="Q239" s="15" t="n">
        <v>41.275</v>
      </c>
      <c r="R239" s="15" t="n">
        <v>19.267</v>
      </c>
      <c r="S239" s="15" t="n">
        <v>24.518</v>
      </c>
      <c r="T239" s="15" t="n">
        <v>1.099</v>
      </c>
      <c r="U239" s="15" t="n">
        <v>2.508</v>
      </c>
      <c r="V239" s="15" t="n">
        <v>8.416</v>
      </c>
      <c r="W239" s="15" t="n">
        <v>36.717</v>
      </c>
      <c r="X239" s="15" t="n">
        <v>39.112</v>
      </c>
      <c r="Y239" s="15" t="n">
        <v>25.64</v>
      </c>
      <c r="Z239" s="15" t="n">
        <v>26.257</v>
      </c>
      <c r="AA239" s="15" t="n">
        <v>28.283</v>
      </c>
      <c r="AB239" s="16" t="n">
        <v>4110</v>
      </c>
      <c r="AC239" s="17">
        <f>IF(AND(ISNUMBER(H239),ISNUMBER(I239)),H239+I239,IF(ISNUMBER(K239),K239,IF(ISNUMBER(H239),H239,"")))</f>
        <v/>
      </c>
      <c r="AD239" s="18">
        <f>IF(OR(NOT(ISNUMBER(J239)),NOT(ISNUMBER(H239)),H239&lt;=0),기준표!$B$8,MIN(MAX(J239/H239,기준표!$B$6),기준표!$B$7))</f>
        <v/>
      </c>
      <c r="AE239" s="17">
        <f>IF(ISNUMBER(AC239),AC239*(1-AD239),"")</f>
        <v/>
      </c>
      <c r="AF239" s="17">
        <f>IF(AND(NOT(ISNUMBER(T239)),NOT(ISNUMBER(V239))),"",IF(ISNUMBER(T239),T239,0)+IF(ISNUMBER(V239),V239,0))</f>
        <v/>
      </c>
      <c r="AG239" s="17">
        <f>IF(E239="금융","",IF(AND(ISNUMBER(P239),ISNUMBER(AF239),ISNUMBER(R239)),P239+AF239-R239,""))</f>
        <v/>
      </c>
      <c r="AH239" s="17">
        <f>IF(E239="금융","",IF(NOT(ISNUMBER(AG239)),"",IF(ISNUMBER(AA239),(AG239+AA239)/2,AG239)))</f>
        <v/>
      </c>
      <c r="AI239" s="19">
        <f>IF(AND(ISNUMBER(AE239),ISNUMBER(AH239),AH239&gt;0),AE239/AH239,"")</f>
        <v/>
      </c>
      <c r="AJ239" s="17">
        <f>IF(E239="금융","",IF(AND(ISNUMBER(P239),ISNUMBER(AF239)),P239+AF239,""))</f>
        <v/>
      </c>
      <c r="AK239" s="19">
        <f>IF(OR(NOT(ISNUMBER(AE239)),NOT(ISNUMBER(AJ239)),AJ239&lt;=0),"",IF(AND(ISNUMBER(G239),AJ239&lt;0.1*G239),"",AE239/AJ239))</f>
        <v/>
      </c>
      <c r="AL239" s="17">
        <f>IF(NOT(ISNUMBER(P239)),"",IF(ISNUMBER(Q239),(P239+Q239)/2,P239))</f>
        <v/>
      </c>
      <c r="AM239" s="19">
        <f>IF(AND(ISNUMBER(L239),ISNUMBER(AL239),AL239&gt;0),L239/AL239,"")</f>
        <v/>
      </c>
      <c r="AN239" s="19">
        <f>IF(AND(ISNUMBER(AM239),ISNUMBER({ROIC})),AM239-{ROIC},"")</f>
        <v/>
      </c>
      <c r="AO239" s="17">
        <f>IF(AND(ISNUMBER(AC239),ISNUMBER(M239)),AC239+M239,"")</f>
        <v/>
      </c>
      <c r="AP239" s="20">
        <f>IF(AND(ISNUMBER(AF239),ISNUMBER(R239),ISNUMBER(AO239),AO239&gt;0),(AF239-R239)/AO239,"")</f>
        <v/>
      </c>
      <c r="AQ239" s="20">
        <f>IF(AND(ISNUMBER(AC239),ISNUMBER(I239),I239&lt;&gt;0,AC239&gt;0),AC239/I239,"")</f>
        <v/>
      </c>
      <c r="AR239" s="17">
        <f>IF(AND(ISNUMBER(W239),ISNUMBER(Y239)),W239-IF(ISNUMBER(R239),R239,0)-(Y239-IF(ISNUMBER(T239),T239,0)),"")</f>
        <v/>
      </c>
      <c r="AS239" s="17">
        <f>IF(AND(ISNUMBER(X239),ISNUMBER(Z239)),X239-IF(ISNUMBER(S239),S239,0)-(Z239-IF(ISNUMBER(U239),U239,0)),"")</f>
        <v/>
      </c>
      <c r="AT239" s="17">
        <f>IF(AND(ISNUMBER(AR239),ISNUMBER(AS239)),AR239-AS239,"")</f>
        <v/>
      </c>
      <c r="AU239" s="17">
        <f>IF(E239="금융","",IF(AND(ISNUMBER(L239),ISNUMBER(M239),ISNUMBER(N239),ISNUMBER(AT239)),L239+M239-N239-AT239,IF(AND(ISNUMBER(O239),ISNUMBER(N239)),O239-N239,"")))</f>
        <v/>
      </c>
      <c r="AV239" s="8">
        <f>IF(E239="금융","금융업 - 정의되지 않음",IF(AND(ISNUMBER(L239),ISNUMBER(M239),ISNUMBER(N239),ISNUMBER(AT239)),"순이익+감가상각-설비투자-운전자본증감",IF(AND(ISNUMBER(O239),ISNUMBER(N239)),"영업현금흐름-설비투자","산출불가")))</f>
        <v/>
      </c>
      <c r="AW239" s="19">
        <f>IF(AND(ISNUMBER(AU239),ISNUMBER(G239),G239&lt;&gt;0),AU239/G239,"")</f>
        <v/>
      </c>
      <c r="AX239" s="19">
        <f>IF(AND(ISNUMBER(AC239),ISNUMBER(G239),G239&lt;&gt;0),AC239/G239,"")</f>
        <v/>
      </c>
    </row>
    <row r="240">
      <c r="A240" s="8" t="inlineStr">
        <is>
          <t>CSCO</t>
        </is>
      </c>
      <c r="B240" s="8" t="inlineStr">
        <is>
          <t>CISCO SYSTEMS, INC.</t>
        </is>
      </c>
      <c r="C240" s="8" t="n">
        <v>2023</v>
      </c>
      <c r="D240" s="8" t="inlineStr">
        <is>
          <t>2023-07-29</t>
        </is>
      </c>
      <c r="E240" s="8" t="inlineStr">
        <is>
          <t>일반</t>
        </is>
      </c>
      <c r="F240" s="8" t="inlineStr">
        <is>
          <t>0000858877-25-000111</t>
        </is>
      </c>
      <c r="G240" s="15" t="n">
        <v>56.998</v>
      </c>
      <c r="H240" s="15" t="n">
        <v>15.318</v>
      </c>
      <c r="I240" s="15" t="n">
        <v>0.427</v>
      </c>
      <c r="J240" s="15" t="n">
        <v>2.705</v>
      </c>
      <c r="K240" s="15" t="n">
        <v>15.031</v>
      </c>
      <c r="L240" s="15" t="n">
        <v>12.613</v>
      </c>
      <c r="M240" s="15" t="n">
        <v>0.7</v>
      </c>
      <c r="N240" s="15" t="n">
        <v>0.849</v>
      </c>
      <c r="O240" s="15" t="n">
        <v>19.886</v>
      </c>
      <c r="P240" s="15" t="n">
        <v>44.353</v>
      </c>
      <c r="Q240" s="15" t="n">
        <v>39.773</v>
      </c>
      <c r="R240" s="15" t="n">
        <v>26.146</v>
      </c>
      <c r="S240" s="15" t="n">
        <v>19.267</v>
      </c>
      <c r="T240" s="15" t="n">
        <v>1.733</v>
      </c>
      <c r="U240" s="15" t="n">
        <v>1.099</v>
      </c>
      <c r="V240" s="15" t="n">
        <v>6.658</v>
      </c>
      <c r="W240" s="15" t="n">
        <v>43.348</v>
      </c>
      <c r="X240" s="15" t="n">
        <v>36.717</v>
      </c>
      <c r="Y240" s="15" t="n">
        <v>31.309</v>
      </c>
      <c r="Z240" s="15" t="n">
        <v>25.64</v>
      </c>
      <c r="AA240" s="15" t="n">
        <v>30.021</v>
      </c>
      <c r="AB240" s="16" t="n">
        <v>4066</v>
      </c>
      <c r="AC240" s="17">
        <f>IF(AND(ISNUMBER(H240),ISNUMBER(I240)),H240+I240,IF(ISNUMBER(K240),K240,IF(ISNUMBER(H240),H240,"")))</f>
        <v/>
      </c>
      <c r="AD240" s="18">
        <f>IF(OR(NOT(ISNUMBER(J240)),NOT(ISNUMBER(H240)),H240&lt;=0),기준표!$B$8,MIN(MAX(J240/H240,기준표!$B$6),기준표!$B$7))</f>
        <v/>
      </c>
      <c r="AE240" s="17">
        <f>IF(ISNUMBER(AC240),AC240*(1-AD240),"")</f>
        <v/>
      </c>
      <c r="AF240" s="17">
        <f>IF(AND(NOT(ISNUMBER(T240)),NOT(ISNUMBER(V240))),"",IF(ISNUMBER(T240),T240,0)+IF(ISNUMBER(V240),V240,0))</f>
        <v/>
      </c>
      <c r="AG240" s="17">
        <f>IF(E240="금융","",IF(AND(ISNUMBER(P240),ISNUMBER(AF240),ISNUMBER(R240)),P240+AF240-R240,""))</f>
        <v/>
      </c>
      <c r="AH240" s="17">
        <f>IF(E240="금융","",IF(NOT(ISNUMBER(AG240)),"",IF(ISNUMBER(AA240),(AG240+AA240)/2,AG240)))</f>
        <v/>
      </c>
      <c r="AI240" s="19">
        <f>IF(AND(ISNUMBER(AE240),ISNUMBER(AH240),AH240&gt;0),AE240/AH240,"")</f>
        <v/>
      </c>
      <c r="AJ240" s="17">
        <f>IF(E240="금융","",IF(AND(ISNUMBER(P240),ISNUMBER(AF240)),P240+AF240,""))</f>
        <v/>
      </c>
      <c r="AK240" s="19">
        <f>IF(OR(NOT(ISNUMBER(AE240)),NOT(ISNUMBER(AJ240)),AJ240&lt;=0),"",IF(AND(ISNUMBER(G240),AJ240&lt;0.1*G240),"",AE240/AJ240))</f>
        <v/>
      </c>
      <c r="AL240" s="17">
        <f>IF(NOT(ISNUMBER(P240)),"",IF(ISNUMBER(Q240),(P240+Q240)/2,P240))</f>
        <v/>
      </c>
      <c r="AM240" s="19">
        <f>IF(AND(ISNUMBER(L240),ISNUMBER(AL240),AL240&gt;0),L240/AL240,"")</f>
        <v/>
      </c>
      <c r="AN240" s="19">
        <f>IF(AND(ISNUMBER(AM240),ISNUMBER({ROIC})),AM240-{ROIC},"")</f>
        <v/>
      </c>
      <c r="AO240" s="17">
        <f>IF(AND(ISNUMBER(AC240),ISNUMBER(M240)),AC240+M240,"")</f>
        <v/>
      </c>
      <c r="AP240" s="20">
        <f>IF(AND(ISNUMBER(AF240),ISNUMBER(R240),ISNUMBER(AO240),AO240&gt;0),(AF240-R240)/AO240,"")</f>
        <v/>
      </c>
      <c r="AQ240" s="20">
        <f>IF(AND(ISNUMBER(AC240),ISNUMBER(I240),I240&lt;&gt;0,AC240&gt;0),AC240/I240,"")</f>
        <v/>
      </c>
      <c r="AR240" s="17">
        <f>IF(AND(ISNUMBER(W240),ISNUMBER(Y240)),W240-IF(ISNUMBER(R240),R240,0)-(Y240-IF(ISNUMBER(T240),T240,0)),"")</f>
        <v/>
      </c>
      <c r="AS240" s="17">
        <f>IF(AND(ISNUMBER(X240),ISNUMBER(Z240)),X240-IF(ISNUMBER(S240),S240,0)-(Z240-IF(ISNUMBER(U240),U240,0)),"")</f>
        <v/>
      </c>
      <c r="AT240" s="17">
        <f>IF(AND(ISNUMBER(AR240),ISNUMBER(AS240)),AR240-AS240,"")</f>
        <v/>
      </c>
      <c r="AU240" s="17">
        <f>IF(E240="금융","",IF(AND(ISNUMBER(L240),ISNUMBER(M240),ISNUMBER(N240),ISNUMBER(AT240)),L240+M240-N240-AT240,IF(AND(ISNUMBER(O240),ISNUMBER(N240)),O240-N240,"")))</f>
        <v/>
      </c>
      <c r="AV240" s="8">
        <f>IF(E240="금융","금융업 - 정의되지 않음",IF(AND(ISNUMBER(L240),ISNUMBER(M240),ISNUMBER(N240),ISNUMBER(AT240)),"순이익+감가상각-설비투자-운전자본증감",IF(AND(ISNUMBER(O240),ISNUMBER(N240)),"영업현금흐름-설비투자","산출불가")))</f>
        <v/>
      </c>
      <c r="AW240" s="19">
        <f>IF(AND(ISNUMBER(AU240),ISNUMBER(G240),G240&lt;&gt;0),AU240/G240,"")</f>
        <v/>
      </c>
      <c r="AX240" s="19">
        <f>IF(AND(ISNUMBER(AC240),ISNUMBER(G240),G240&lt;&gt;0),AC240/G240,"")</f>
        <v/>
      </c>
    </row>
    <row r="241">
      <c r="A241" s="8" t="inlineStr">
        <is>
          <t>CSCO</t>
        </is>
      </c>
      <c r="B241" s="8" t="inlineStr">
        <is>
          <t>CISCO SYSTEMS, INC.</t>
        </is>
      </c>
      <c r="C241" s="8" t="n">
        <v>2024</v>
      </c>
      <c r="D241" s="8" t="inlineStr">
        <is>
          <t>2024-07-27</t>
        </is>
      </c>
      <c r="E241" s="8" t="inlineStr">
        <is>
          <t>일반</t>
        </is>
      </c>
      <c r="F241" s="8" t="inlineStr">
        <is>
          <t>0000858877-25-000111</t>
        </is>
      </c>
      <c r="G241" s="15" t="n">
        <v>53.803</v>
      </c>
      <c r="H241" s="15" t="n">
        <v>12.234</v>
      </c>
      <c r="I241" s="15" t="n">
        <v>1.006</v>
      </c>
      <c r="J241" s="15" t="n">
        <v>1.914</v>
      </c>
      <c r="K241" s="15" t="n">
        <v>12.181</v>
      </c>
      <c r="L241" s="15" t="n">
        <v>10.32</v>
      </c>
      <c r="M241" s="15" t="n">
        <v>0.7</v>
      </c>
      <c r="N241" s="15" t="n">
        <v>0.67</v>
      </c>
      <c r="O241" s="15" t="n">
        <v>10.88</v>
      </c>
      <c r="P241" s="15" t="n">
        <v>45.457</v>
      </c>
      <c r="Q241" s="15" t="n">
        <v>44.353</v>
      </c>
      <c r="R241" s="15" t="n">
        <v>17.854</v>
      </c>
      <c r="S241" s="15" t="n">
        <v>26.146</v>
      </c>
      <c r="T241" s="15" t="n">
        <v>11.341</v>
      </c>
      <c r="U241" s="15" t="n">
        <v>1.733</v>
      </c>
      <c r="V241" s="15" t="n">
        <v>19.621</v>
      </c>
      <c r="W241" s="15" t="n">
        <v>36.862</v>
      </c>
      <c r="X241" s="15" t="n">
        <v>43.348</v>
      </c>
      <c r="Y241" s="15" t="n">
        <v>40.584</v>
      </c>
      <c r="Z241" s="15" t="n">
        <v>31.309</v>
      </c>
      <c r="AA241" s="15" t="n">
        <v>26.598</v>
      </c>
      <c r="AB241" s="16" t="n">
        <v>4007</v>
      </c>
      <c r="AC241" s="17">
        <f>IF(AND(ISNUMBER(H241),ISNUMBER(I241)),H241+I241,IF(ISNUMBER(K241),K241,IF(ISNUMBER(H241),H241,"")))</f>
        <v/>
      </c>
      <c r="AD241" s="18">
        <f>IF(OR(NOT(ISNUMBER(J241)),NOT(ISNUMBER(H241)),H241&lt;=0),기준표!$B$8,MIN(MAX(J241/H241,기준표!$B$6),기준표!$B$7))</f>
        <v/>
      </c>
      <c r="AE241" s="17">
        <f>IF(ISNUMBER(AC241),AC241*(1-AD241),"")</f>
        <v/>
      </c>
      <c r="AF241" s="17">
        <f>IF(AND(NOT(ISNUMBER(T241)),NOT(ISNUMBER(V241))),"",IF(ISNUMBER(T241),T241,0)+IF(ISNUMBER(V241),V241,0))</f>
        <v/>
      </c>
      <c r="AG241" s="17">
        <f>IF(E241="금융","",IF(AND(ISNUMBER(P241),ISNUMBER(AF241),ISNUMBER(R241)),P241+AF241-R241,""))</f>
        <v/>
      </c>
      <c r="AH241" s="17">
        <f>IF(E241="금융","",IF(NOT(ISNUMBER(AG241)),"",IF(ISNUMBER(AA241),(AG241+AA241)/2,AG241)))</f>
        <v/>
      </c>
      <c r="AI241" s="19">
        <f>IF(AND(ISNUMBER(AE241),ISNUMBER(AH241),AH241&gt;0),AE241/AH241,"")</f>
        <v/>
      </c>
      <c r="AJ241" s="17">
        <f>IF(E241="금융","",IF(AND(ISNUMBER(P241),ISNUMBER(AF241)),P241+AF241,""))</f>
        <v/>
      </c>
      <c r="AK241" s="19">
        <f>IF(OR(NOT(ISNUMBER(AE241)),NOT(ISNUMBER(AJ241)),AJ241&lt;=0),"",IF(AND(ISNUMBER(G241),AJ241&lt;0.1*G241),"",AE241/AJ241))</f>
        <v/>
      </c>
      <c r="AL241" s="17">
        <f>IF(NOT(ISNUMBER(P241)),"",IF(ISNUMBER(Q241),(P241+Q241)/2,P241))</f>
        <v/>
      </c>
      <c r="AM241" s="19">
        <f>IF(AND(ISNUMBER(L241),ISNUMBER(AL241),AL241&gt;0),L241/AL241,"")</f>
        <v/>
      </c>
      <c r="AN241" s="19">
        <f>IF(AND(ISNUMBER(AM241),ISNUMBER({ROIC})),AM241-{ROIC},"")</f>
        <v/>
      </c>
      <c r="AO241" s="17">
        <f>IF(AND(ISNUMBER(AC241),ISNUMBER(M241)),AC241+M241,"")</f>
        <v/>
      </c>
      <c r="AP241" s="20">
        <f>IF(AND(ISNUMBER(AF241),ISNUMBER(R241),ISNUMBER(AO241),AO241&gt;0),(AF241-R241)/AO241,"")</f>
        <v/>
      </c>
      <c r="AQ241" s="20">
        <f>IF(AND(ISNUMBER(AC241),ISNUMBER(I241),I241&lt;&gt;0,AC241&gt;0),AC241/I241,"")</f>
        <v/>
      </c>
      <c r="AR241" s="17">
        <f>IF(AND(ISNUMBER(W241),ISNUMBER(Y241)),W241-IF(ISNUMBER(R241),R241,0)-(Y241-IF(ISNUMBER(T241),T241,0)),"")</f>
        <v/>
      </c>
      <c r="AS241" s="17">
        <f>IF(AND(ISNUMBER(X241),ISNUMBER(Z241)),X241-IF(ISNUMBER(S241),S241,0)-(Z241-IF(ISNUMBER(U241),U241,0)),"")</f>
        <v/>
      </c>
      <c r="AT241" s="17">
        <f>IF(AND(ISNUMBER(AR241),ISNUMBER(AS241)),AR241-AS241,"")</f>
        <v/>
      </c>
      <c r="AU241" s="17">
        <f>IF(E241="금융","",IF(AND(ISNUMBER(L241),ISNUMBER(M241),ISNUMBER(N241),ISNUMBER(AT241)),L241+M241-N241-AT241,IF(AND(ISNUMBER(O241),ISNUMBER(N241)),O241-N241,"")))</f>
        <v/>
      </c>
      <c r="AV241" s="8">
        <f>IF(E241="금융","금융업 - 정의되지 않음",IF(AND(ISNUMBER(L241),ISNUMBER(M241),ISNUMBER(N241),ISNUMBER(AT241)),"순이익+감가상각-설비투자-운전자본증감",IF(AND(ISNUMBER(O241),ISNUMBER(N241)),"영업현금흐름-설비투자","산출불가")))</f>
        <v/>
      </c>
      <c r="AW241" s="19">
        <f>IF(AND(ISNUMBER(AU241),ISNUMBER(G241),G241&lt;&gt;0),AU241/G241,"")</f>
        <v/>
      </c>
      <c r="AX241" s="19">
        <f>IF(AND(ISNUMBER(AC241),ISNUMBER(G241),G241&lt;&gt;0),AC241/G241,"")</f>
        <v/>
      </c>
    </row>
    <row r="242">
      <c r="A242" s="8" t="inlineStr">
        <is>
          <t>CSCO</t>
        </is>
      </c>
      <c r="B242" s="8" t="inlineStr">
        <is>
          <t>CISCO SYSTEMS, INC.</t>
        </is>
      </c>
      <c r="C242" s="8" t="n">
        <v>2025</v>
      </c>
      <c r="D242" s="8" t="inlineStr">
        <is>
          <t>2025-07-26</t>
        </is>
      </c>
      <c r="E242" s="8" t="inlineStr">
        <is>
          <t>일반</t>
        </is>
      </c>
      <c r="F242" s="8" t="inlineStr">
        <is>
          <t>0000858877-25-000111</t>
        </is>
      </c>
      <c r="G242" s="15" t="n">
        <v>56.654</v>
      </c>
      <c r="H242" s="15" t="n">
        <v>11.1</v>
      </c>
      <c r="I242" s="15" t="n">
        <v>1.593</v>
      </c>
      <c r="J242" s="15" t="n">
        <v>0.92</v>
      </c>
      <c r="K242" s="15" t="n">
        <v>11.76</v>
      </c>
      <c r="L242" s="15" t="n">
        <v>10.18</v>
      </c>
      <c r="M242" s="15" t="n">
        <v>0.7</v>
      </c>
      <c r="N242" s="15" t="n">
        <v>0.905</v>
      </c>
      <c r="O242" s="15" t="n">
        <v>14.193</v>
      </c>
      <c r="P242" s="15" t="n">
        <v>46.843</v>
      </c>
      <c r="Q242" s="15" t="n">
        <v>45.457</v>
      </c>
      <c r="R242" s="15" t="n">
        <v>16.11</v>
      </c>
      <c r="S242" s="15" t="n">
        <v>17.854</v>
      </c>
      <c r="T242" s="15" t="n">
        <v>5.232</v>
      </c>
      <c r="U242" s="15" t="n">
        <v>11.341</v>
      </c>
      <c r="V242" s="15" t="n">
        <v>22.861</v>
      </c>
      <c r="W242" s="15" t="n">
        <v>34.986</v>
      </c>
      <c r="X242" s="15" t="n">
        <v>36.862</v>
      </c>
      <c r="Y242" s="15" t="n">
        <v>35.064</v>
      </c>
      <c r="Z242" s="15" t="n">
        <v>40.584</v>
      </c>
      <c r="AA242" s="15" t="n">
        <v>58.565</v>
      </c>
      <c r="AB242" s="16" t="n">
        <v>3960</v>
      </c>
      <c r="AC242" s="17">
        <f>IF(AND(ISNUMBER(H242),ISNUMBER(I242)),H242+I242,IF(ISNUMBER(K242),K242,IF(ISNUMBER(H242),H242,"")))</f>
        <v/>
      </c>
      <c r="AD242" s="18">
        <f>IF(OR(NOT(ISNUMBER(J242)),NOT(ISNUMBER(H242)),H242&lt;=0),기준표!$B$8,MIN(MAX(J242/H242,기준표!$B$6),기준표!$B$7))</f>
        <v/>
      </c>
      <c r="AE242" s="17">
        <f>IF(ISNUMBER(AC242),AC242*(1-AD242),"")</f>
        <v/>
      </c>
      <c r="AF242" s="17">
        <f>IF(AND(NOT(ISNUMBER(T242)),NOT(ISNUMBER(V242))),"",IF(ISNUMBER(T242),T242,0)+IF(ISNUMBER(V242),V242,0))</f>
        <v/>
      </c>
      <c r="AG242" s="17">
        <f>IF(E242="금융","",IF(AND(ISNUMBER(P242),ISNUMBER(AF242),ISNUMBER(R242)),P242+AF242-R242,""))</f>
        <v/>
      </c>
      <c r="AH242" s="17">
        <f>IF(E242="금융","",IF(NOT(ISNUMBER(AG242)),"",IF(ISNUMBER(AA242),(AG242+AA242)/2,AG242)))</f>
        <v/>
      </c>
      <c r="AI242" s="19">
        <f>IF(AND(ISNUMBER(AE242),ISNUMBER(AH242),AH242&gt;0),AE242/AH242,"")</f>
        <v/>
      </c>
      <c r="AJ242" s="17">
        <f>IF(E242="금융","",IF(AND(ISNUMBER(P242),ISNUMBER(AF242)),P242+AF242,""))</f>
        <v/>
      </c>
      <c r="AK242" s="19">
        <f>IF(OR(NOT(ISNUMBER(AE242)),NOT(ISNUMBER(AJ242)),AJ242&lt;=0),"",IF(AND(ISNUMBER(G242),AJ242&lt;0.1*G242),"",AE242/AJ242))</f>
        <v/>
      </c>
      <c r="AL242" s="17">
        <f>IF(NOT(ISNUMBER(P242)),"",IF(ISNUMBER(Q242),(P242+Q242)/2,P242))</f>
        <v/>
      </c>
      <c r="AM242" s="19">
        <f>IF(AND(ISNUMBER(L242),ISNUMBER(AL242),AL242&gt;0),L242/AL242,"")</f>
        <v/>
      </c>
      <c r="AN242" s="19">
        <f>IF(AND(ISNUMBER(AM242),ISNUMBER({ROIC})),AM242-{ROIC},"")</f>
        <v/>
      </c>
      <c r="AO242" s="17">
        <f>IF(AND(ISNUMBER(AC242),ISNUMBER(M242)),AC242+M242,"")</f>
        <v/>
      </c>
      <c r="AP242" s="20">
        <f>IF(AND(ISNUMBER(AF242),ISNUMBER(R242),ISNUMBER(AO242),AO242&gt;0),(AF242-R242)/AO242,"")</f>
        <v/>
      </c>
      <c r="AQ242" s="20">
        <f>IF(AND(ISNUMBER(AC242),ISNUMBER(I242),I242&lt;&gt;0,AC242&gt;0),AC242/I242,"")</f>
        <v/>
      </c>
      <c r="AR242" s="17">
        <f>IF(AND(ISNUMBER(W242),ISNUMBER(Y242)),W242-IF(ISNUMBER(R242),R242,0)-(Y242-IF(ISNUMBER(T242),T242,0)),"")</f>
        <v/>
      </c>
      <c r="AS242" s="17">
        <f>IF(AND(ISNUMBER(X242),ISNUMBER(Z242)),X242-IF(ISNUMBER(S242),S242,0)-(Z242-IF(ISNUMBER(U242),U242,0)),"")</f>
        <v/>
      </c>
      <c r="AT242" s="17">
        <f>IF(AND(ISNUMBER(AR242),ISNUMBER(AS242)),AR242-AS242,"")</f>
        <v/>
      </c>
      <c r="AU242" s="17">
        <f>IF(E242="금융","",IF(AND(ISNUMBER(L242),ISNUMBER(M242),ISNUMBER(N242),ISNUMBER(AT242)),L242+M242-N242-AT242,IF(AND(ISNUMBER(O242),ISNUMBER(N242)),O242-N242,"")))</f>
        <v/>
      </c>
      <c r="AV242" s="8">
        <f>IF(E242="금융","금융업 - 정의되지 않음",IF(AND(ISNUMBER(L242),ISNUMBER(M242),ISNUMBER(N242),ISNUMBER(AT242)),"순이익+감가상각-설비투자-운전자본증감",IF(AND(ISNUMBER(O242),ISNUMBER(N242)),"영업현금흐름-설비투자","산출불가")))</f>
        <v/>
      </c>
      <c r="AW242" s="19">
        <f>IF(AND(ISNUMBER(AU242),ISNUMBER(G242),G242&lt;&gt;0),AU242/G242,"")</f>
        <v/>
      </c>
      <c r="AX242" s="19">
        <f>IF(AND(ISNUMBER(AC242),ISNUMBER(G242),G242&lt;&gt;0),AC242/G242,"")</f>
        <v/>
      </c>
    </row>
    <row r="243">
      <c r="A243" s="8" t="inlineStr">
        <is>
          <t>BAC</t>
        </is>
      </c>
      <c r="B243" s="8" t="inlineStr">
        <is>
          <t>BANK OF AMERICA CORP /DE/</t>
        </is>
      </c>
      <c r="C243" s="8" t="n">
        <v>2014</v>
      </c>
      <c r="D243" s="8" t="inlineStr">
        <is>
          <t>2014-12-31</t>
        </is>
      </c>
      <c r="E243" s="8" t="inlineStr">
        <is>
          <t>금융</t>
        </is>
      </c>
      <c r="F243" s="8" t="inlineStr">
        <is>
          <t>0000070858-17-000013</t>
        </is>
      </c>
      <c r="G243" s="15" t="n">
        <v>85.89400000000001</v>
      </c>
      <c r="H243" s="15" t="n">
        <v>7.963</v>
      </c>
      <c r="I243" s="15" t="n">
        <v>40.779</v>
      </c>
      <c r="J243" s="15" t="n">
        <v>2.443</v>
      </c>
      <c r="K243" s="15" t="n"/>
      <c r="L243" s="15" t="n">
        <v>5.52</v>
      </c>
      <c r="M243" s="15" t="n"/>
      <c r="N243" s="15" t="n"/>
      <c r="O243" s="15" t="n"/>
      <c r="P243" s="15" t="n">
        <v>243.476</v>
      </c>
      <c r="Q243" s="15" t="n"/>
      <c r="R243" s="15" t="n"/>
      <c r="S243" s="15" t="n"/>
      <c r="T243" s="15" t="n">
        <v>31.172</v>
      </c>
      <c r="U243" s="15" t="n"/>
      <c r="V243" s="15" t="n">
        <v>243.139</v>
      </c>
      <c r="W243" s="15" t="n"/>
      <c r="X243" s="15" t="n"/>
      <c r="Y243" s="15" t="n"/>
      <c r="Z243" s="15" t="n"/>
      <c r="AA243" s="15" t="n"/>
      <c r="AB243" s="16" t="n">
        <v>10516.542476</v>
      </c>
      <c r="AC243" s="17">
        <f>IF(AND(ISNUMBER(H243),ISNUMBER(I243)),H243+I243,IF(ISNUMBER(K243),K243,IF(ISNUMBER(H243),H243,"")))</f>
        <v/>
      </c>
      <c r="AD243" s="18">
        <f>IF(OR(NOT(ISNUMBER(J243)),NOT(ISNUMBER(H243)),H243&lt;=0),기준표!$B$8,MIN(MAX(J243/H243,기준표!$B$6),기준표!$B$7))</f>
        <v/>
      </c>
      <c r="AE243" s="17">
        <f>IF(ISNUMBER(AC243),AC243*(1-AD243),"")</f>
        <v/>
      </c>
      <c r="AF243" s="17">
        <f>IF(AND(NOT(ISNUMBER(T243)),NOT(ISNUMBER(V243))),"",IF(ISNUMBER(T243),T243,0)+IF(ISNUMBER(V243),V243,0))</f>
        <v/>
      </c>
      <c r="AG243" s="17">
        <f>IF(E243="금융","",IF(AND(ISNUMBER(P243),ISNUMBER(AF243),ISNUMBER(R243)),P243+AF243-R243,""))</f>
        <v/>
      </c>
      <c r="AH243" s="17">
        <f>IF(E243="금융","",IF(NOT(ISNUMBER(AG243)),"",IF(ISNUMBER(AA243),(AG243+AA243)/2,AG243)))</f>
        <v/>
      </c>
      <c r="AI243" s="19">
        <f>IF(AND(ISNUMBER(AE243),ISNUMBER(AH243),AH243&gt;0),AE243/AH243,"")</f>
        <v/>
      </c>
      <c r="AJ243" s="17">
        <f>IF(E243="금융","",IF(AND(ISNUMBER(P243),ISNUMBER(AF243)),P243+AF243,""))</f>
        <v/>
      </c>
      <c r="AK243" s="19">
        <f>IF(OR(NOT(ISNUMBER(AE243)),NOT(ISNUMBER(AJ243)),AJ243&lt;=0),"",IF(AND(ISNUMBER(G243),AJ243&lt;0.1*G243),"",AE243/AJ243))</f>
        <v/>
      </c>
      <c r="AL243" s="17">
        <f>IF(NOT(ISNUMBER(P243)),"",IF(ISNUMBER(Q243),(P243+Q243)/2,P243))</f>
        <v/>
      </c>
      <c r="AM243" s="19">
        <f>IF(AND(ISNUMBER(L243),ISNUMBER(AL243),AL243&gt;0),L243/AL243,"")</f>
        <v/>
      </c>
      <c r="AN243" s="19">
        <f>IF(AND(ISNUMBER(AM243),ISNUMBER({ROIC})),AM243-{ROIC},"")</f>
        <v/>
      </c>
      <c r="AO243" s="17">
        <f>IF(AND(ISNUMBER(AC243),ISNUMBER(M243)),AC243+M243,"")</f>
        <v/>
      </c>
      <c r="AP243" s="20">
        <f>IF(AND(ISNUMBER(AF243),ISNUMBER(R243),ISNUMBER(AO243),AO243&gt;0),(AF243-R243)/AO243,"")</f>
        <v/>
      </c>
      <c r="AQ243" s="20">
        <f>IF(AND(ISNUMBER(AC243),ISNUMBER(I243),I243&lt;&gt;0,AC243&gt;0),AC243/I243,"")</f>
        <v/>
      </c>
      <c r="AR243" s="17">
        <f>IF(AND(ISNUMBER(W243),ISNUMBER(Y243)),W243-IF(ISNUMBER(R243),R243,0)-(Y243-IF(ISNUMBER(T243),T243,0)),"")</f>
        <v/>
      </c>
      <c r="AS243" s="17">
        <f>IF(AND(ISNUMBER(X243),ISNUMBER(Z243)),X243-IF(ISNUMBER(S243),S243,0)-(Z243-IF(ISNUMBER(U243),U243,0)),"")</f>
        <v/>
      </c>
      <c r="AT243" s="17">
        <f>IF(AND(ISNUMBER(AR243),ISNUMBER(AS243)),AR243-AS243,"")</f>
        <v/>
      </c>
      <c r="AU243" s="17">
        <f>IF(E243="금융","",IF(AND(ISNUMBER(L243),ISNUMBER(M243),ISNUMBER(N243),ISNUMBER(AT243)),L243+M243-N243-AT243,IF(AND(ISNUMBER(O243),ISNUMBER(N243)),O243-N243,"")))</f>
        <v/>
      </c>
      <c r="AV243" s="8">
        <f>IF(E243="금융","금융업 - 정의되지 않음",IF(AND(ISNUMBER(L243),ISNUMBER(M243),ISNUMBER(N243),ISNUMBER(AT243)),"순이익+감가상각-설비투자-운전자본증감",IF(AND(ISNUMBER(O243),ISNUMBER(N243)),"영업현금흐름-설비투자","산출불가")))</f>
        <v/>
      </c>
      <c r="AW243" s="19">
        <f>IF(AND(ISNUMBER(AU243),ISNUMBER(G243),G243&lt;&gt;0),AU243/G243,"")</f>
        <v/>
      </c>
      <c r="AX243" s="19">
        <f>IF(AND(ISNUMBER(AC243),ISNUMBER(G243),G243&lt;&gt;0),AC243/G243,"")</f>
        <v/>
      </c>
    </row>
    <row r="244">
      <c r="A244" s="8" t="inlineStr">
        <is>
          <t>BAC</t>
        </is>
      </c>
      <c r="B244" s="8" t="inlineStr">
        <is>
          <t>BANK OF AMERICA CORP /DE/</t>
        </is>
      </c>
      <c r="C244" s="8" t="n">
        <v>2015</v>
      </c>
      <c r="D244" s="8" t="inlineStr">
        <is>
          <t>2015-12-31</t>
        </is>
      </c>
      <c r="E244" s="8" t="inlineStr">
        <is>
          <t>금융</t>
        </is>
      </c>
      <c r="F244" s="8" t="inlineStr">
        <is>
          <t>0000070858-18-000009</t>
        </is>
      </c>
      <c r="G244" s="15" t="n">
        <v>82.965</v>
      </c>
      <c r="H244" s="15" t="n">
        <v>22.187</v>
      </c>
      <c r="I244" s="15" t="n">
        <v>38.958</v>
      </c>
      <c r="J244" s="15" t="n">
        <v>6.277</v>
      </c>
      <c r="K244" s="15" t="n"/>
      <c r="L244" s="15" t="n">
        <v>15.91</v>
      </c>
      <c r="M244" s="15" t="n"/>
      <c r="N244" s="15" t="n"/>
      <c r="O244" s="15" t="n"/>
      <c r="P244" s="15" t="n">
        <v>255.615</v>
      </c>
      <c r="Q244" s="15" t="n">
        <v>243.476</v>
      </c>
      <c r="R244" s="15" t="n"/>
      <c r="S244" s="15" t="n"/>
      <c r="T244" s="15" t="n">
        <v>28.098</v>
      </c>
      <c r="U244" s="15" t="n">
        <v>31.172</v>
      </c>
      <c r="V244" s="15" t="n">
        <v>236.764</v>
      </c>
      <c r="W244" s="15" t="n"/>
      <c r="X244" s="15" t="n"/>
      <c r="Y244" s="15" t="n"/>
      <c r="Z244" s="15" t="n"/>
      <c r="AA244" s="15" t="n"/>
      <c r="AB244" s="16" t="n">
        <v>10380.265063</v>
      </c>
      <c r="AC244" s="17">
        <f>IF(AND(ISNUMBER(H244),ISNUMBER(I244)),H244+I244,IF(ISNUMBER(K244),K244,IF(ISNUMBER(H244),H244,"")))</f>
        <v/>
      </c>
      <c r="AD244" s="18">
        <f>IF(OR(NOT(ISNUMBER(J244)),NOT(ISNUMBER(H244)),H244&lt;=0),기준표!$B$8,MIN(MAX(J244/H244,기준표!$B$6),기준표!$B$7))</f>
        <v/>
      </c>
      <c r="AE244" s="17">
        <f>IF(ISNUMBER(AC244),AC244*(1-AD244),"")</f>
        <v/>
      </c>
      <c r="AF244" s="17">
        <f>IF(AND(NOT(ISNUMBER(T244)),NOT(ISNUMBER(V244))),"",IF(ISNUMBER(T244),T244,0)+IF(ISNUMBER(V244),V244,0))</f>
        <v/>
      </c>
      <c r="AG244" s="17">
        <f>IF(E244="금융","",IF(AND(ISNUMBER(P244),ISNUMBER(AF244),ISNUMBER(R244)),P244+AF244-R244,""))</f>
        <v/>
      </c>
      <c r="AH244" s="17">
        <f>IF(E244="금융","",IF(NOT(ISNUMBER(AG244)),"",IF(ISNUMBER(AA244),(AG244+AA244)/2,AG244)))</f>
        <v/>
      </c>
      <c r="AI244" s="19">
        <f>IF(AND(ISNUMBER(AE244),ISNUMBER(AH244),AH244&gt;0),AE244/AH244,"")</f>
        <v/>
      </c>
      <c r="AJ244" s="17">
        <f>IF(E244="금융","",IF(AND(ISNUMBER(P244),ISNUMBER(AF244)),P244+AF244,""))</f>
        <v/>
      </c>
      <c r="AK244" s="19">
        <f>IF(OR(NOT(ISNUMBER(AE244)),NOT(ISNUMBER(AJ244)),AJ244&lt;=0),"",IF(AND(ISNUMBER(G244),AJ244&lt;0.1*G244),"",AE244/AJ244))</f>
        <v/>
      </c>
      <c r="AL244" s="17">
        <f>IF(NOT(ISNUMBER(P244)),"",IF(ISNUMBER(Q244),(P244+Q244)/2,P244))</f>
        <v/>
      </c>
      <c r="AM244" s="19">
        <f>IF(AND(ISNUMBER(L244),ISNUMBER(AL244),AL244&gt;0),L244/AL244,"")</f>
        <v/>
      </c>
      <c r="AN244" s="19">
        <f>IF(AND(ISNUMBER(AM244),ISNUMBER({ROIC})),AM244-{ROIC},"")</f>
        <v/>
      </c>
      <c r="AO244" s="17">
        <f>IF(AND(ISNUMBER(AC244),ISNUMBER(M244)),AC244+M244,"")</f>
        <v/>
      </c>
      <c r="AP244" s="20">
        <f>IF(AND(ISNUMBER(AF244),ISNUMBER(R244),ISNUMBER(AO244),AO244&gt;0),(AF244-R244)/AO244,"")</f>
        <v/>
      </c>
      <c r="AQ244" s="20">
        <f>IF(AND(ISNUMBER(AC244),ISNUMBER(I244),I244&lt;&gt;0,AC244&gt;0),AC244/I244,"")</f>
        <v/>
      </c>
      <c r="AR244" s="17">
        <f>IF(AND(ISNUMBER(W244),ISNUMBER(Y244)),W244-IF(ISNUMBER(R244),R244,0)-(Y244-IF(ISNUMBER(T244),T244,0)),"")</f>
        <v/>
      </c>
      <c r="AS244" s="17">
        <f>IF(AND(ISNUMBER(X244),ISNUMBER(Z244)),X244-IF(ISNUMBER(S244),S244,0)-(Z244-IF(ISNUMBER(U244),U244,0)),"")</f>
        <v/>
      </c>
      <c r="AT244" s="17">
        <f>IF(AND(ISNUMBER(AR244),ISNUMBER(AS244)),AR244-AS244,"")</f>
        <v/>
      </c>
      <c r="AU244" s="17">
        <f>IF(E244="금융","",IF(AND(ISNUMBER(L244),ISNUMBER(M244),ISNUMBER(N244),ISNUMBER(AT244)),L244+M244-N244-AT244,IF(AND(ISNUMBER(O244),ISNUMBER(N244)),O244-N244,"")))</f>
        <v/>
      </c>
      <c r="AV244" s="8">
        <f>IF(E244="금융","금융업 - 정의되지 않음",IF(AND(ISNUMBER(L244),ISNUMBER(M244),ISNUMBER(N244),ISNUMBER(AT244)),"순이익+감가상각-설비투자-운전자본증감",IF(AND(ISNUMBER(O244),ISNUMBER(N244)),"영업현금흐름-설비투자","산출불가")))</f>
        <v/>
      </c>
      <c r="AW244" s="19">
        <f>IF(AND(ISNUMBER(AU244),ISNUMBER(G244),G244&lt;&gt;0),AU244/G244,"")</f>
        <v/>
      </c>
      <c r="AX244" s="19">
        <f>IF(AND(ISNUMBER(AC244),ISNUMBER(G244),G244&lt;&gt;0),AC244/G244,"")</f>
        <v/>
      </c>
    </row>
    <row r="245">
      <c r="A245" s="8" t="inlineStr">
        <is>
          <t>BAC</t>
        </is>
      </c>
      <c r="B245" s="8" t="inlineStr">
        <is>
          <t>BANK OF AMERICA CORP /DE/</t>
        </is>
      </c>
      <c r="C245" s="8" t="n">
        <v>2016</v>
      </c>
      <c r="D245" s="8" t="inlineStr">
        <is>
          <t>2016-12-31</t>
        </is>
      </c>
      <c r="E245" s="8" t="inlineStr">
        <is>
          <t>금융</t>
        </is>
      </c>
      <c r="F245" s="8" t="inlineStr">
        <is>
          <t>0000070858-19-000012</t>
        </is>
      </c>
      <c r="G245" s="15" t="n">
        <v>83.70099999999999</v>
      </c>
      <c r="H245" s="15" t="n">
        <v>25.021</v>
      </c>
      <c r="I245" s="15" t="n">
        <v>41.096</v>
      </c>
      <c r="J245" s="15" t="n">
        <v>7.199</v>
      </c>
      <c r="K245" s="15" t="n"/>
      <c r="L245" s="15" t="n">
        <v>17.822</v>
      </c>
      <c r="M245" s="15" t="n"/>
      <c r="N245" s="15" t="n"/>
      <c r="O245" s="15" t="n">
        <v>17.277</v>
      </c>
      <c r="P245" s="15" t="n">
        <v>266.195</v>
      </c>
      <c r="Q245" s="15" t="n">
        <v>255.615</v>
      </c>
      <c r="R245" s="15" t="n">
        <v>147.738</v>
      </c>
      <c r="S245" s="15" t="n"/>
      <c r="T245" s="15" t="n">
        <v>23.944</v>
      </c>
      <c r="U245" s="15" t="n">
        <v>28.098</v>
      </c>
      <c r="V245" s="15" t="n">
        <v>216.823</v>
      </c>
      <c r="W245" s="15" t="n"/>
      <c r="X245" s="15" t="n"/>
      <c r="Y245" s="15" t="n"/>
      <c r="Z245" s="15" t="n"/>
      <c r="AA245" s="15" t="n"/>
      <c r="AB245" s="16" t="n">
        <v>10052.625604</v>
      </c>
      <c r="AC245" s="17">
        <f>IF(AND(ISNUMBER(H245),ISNUMBER(I245)),H245+I245,IF(ISNUMBER(K245),K245,IF(ISNUMBER(H245),H245,"")))</f>
        <v/>
      </c>
      <c r="AD245" s="18">
        <f>IF(OR(NOT(ISNUMBER(J245)),NOT(ISNUMBER(H245)),H245&lt;=0),기준표!$B$8,MIN(MAX(J245/H245,기준표!$B$6),기준표!$B$7))</f>
        <v/>
      </c>
      <c r="AE245" s="17">
        <f>IF(ISNUMBER(AC245),AC245*(1-AD245),"")</f>
        <v/>
      </c>
      <c r="AF245" s="17">
        <f>IF(AND(NOT(ISNUMBER(T245)),NOT(ISNUMBER(V245))),"",IF(ISNUMBER(T245),T245,0)+IF(ISNUMBER(V245),V245,0))</f>
        <v/>
      </c>
      <c r="AG245" s="17">
        <f>IF(E245="금융","",IF(AND(ISNUMBER(P245),ISNUMBER(AF245),ISNUMBER(R245)),P245+AF245-R245,""))</f>
        <v/>
      </c>
      <c r="AH245" s="17">
        <f>IF(E245="금융","",IF(NOT(ISNUMBER(AG245)),"",IF(ISNUMBER(AA245),(AG245+AA245)/2,AG245)))</f>
        <v/>
      </c>
      <c r="AI245" s="19">
        <f>IF(AND(ISNUMBER(AE245),ISNUMBER(AH245),AH245&gt;0),AE245/AH245,"")</f>
        <v/>
      </c>
      <c r="AJ245" s="17">
        <f>IF(E245="금융","",IF(AND(ISNUMBER(P245),ISNUMBER(AF245)),P245+AF245,""))</f>
        <v/>
      </c>
      <c r="AK245" s="19">
        <f>IF(OR(NOT(ISNUMBER(AE245)),NOT(ISNUMBER(AJ245)),AJ245&lt;=0),"",IF(AND(ISNUMBER(G245),AJ245&lt;0.1*G245),"",AE245/AJ245))</f>
        <v/>
      </c>
      <c r="AL245" s="17">
        <f>IF(NOT(ISNUMBER(P245)),"",IF(ISNUMBER(Q245),(P245+Q245)/2,P245))</f>
        <v/>
      </c>
      <c r="AM245" s="19">
        <f>IF(AND(ISNUMBER(L245),ISNUMBER(AL245),AL245&gt;0),L245/AL245,"")</f>
        <v/>
      </c>
      <c r="AN245" s="19">
        <f>IF(AND(ISNUMBER(AM245),ISNUMBER({ROIC})),AM245-{ROIC},"")</f>
        <v/>
      </c>
      <c r="AO245" s="17">
        <f>IF(AND(ISNUMBER(AC245),ISNUMBER(M245)),AC245+M245,"")</f>
        <v/>
      </c>
      <c r="AP245" s="20">
        <f>IF(AND(ISNUMBER(AF245),ISNUMBER(R245),ISNUMBER(AO245),AO245&gt;0),(AF245-R245)/AO245,"")</f>
        <v/>
      </c>
      <c r="AQ245" s="20">
        <f>IF(AND(ISNUMBER(AC245),ISNUMBER(I245),I245&lt;&gt;0,AC245&gt;0),AC245/I245,"")</f>
        <v/>
      </c>
      <c r="AR245" s="17">
        <f>IF(AND(ISNUMBER(W245),ISNUMBER(Y245)),W245-IF(ISNUMBER(R245),R245,0)-(Y245-IF(ISNUMBER(T245),T245,0)),"")</f>
        <v/>
      </c>
      <c r="AS245" s="17">
        <f>IF(AND(ISNUMBER(X245),ISNUMBER(Z245)),X245-IF(ISNUMBER(S245),S245,0)-(Z245-IF(ISNUMBER(U245),U245,0)),"")</f>
        <v/>
      </c>
      <c r="AT245" s="17">
        <f>IF(AND(ISNUMBER(AR245),ISNUMBER(AS245)),AR245-AS245,"")</f>
        <v/>
      </c>
      <c r="AU245" s="17">
        <f>IF(E245="금융","",IF(AND(ISNUMBER(L245),ISNUMBER(M245),ISNUMBER(N245),ISNUMBER(AT245)),L245+M245-N245-AT245,IF(AND(ISNUMBER(O245),ISNUMBER(N245)),O245-N245,"")))</f>
        <v/>
      </c>
      <c r="AV245" s="8">
        <f>IF(E245="금융","금융업 - 정의되지 않음",IF(AND(ISNUMBER(L245),ISNUMBER(M245),ISNUMBER(N245),ISNUMBER(AT245)),"순이익+감가상각-설비투자-운전자본증감",IF(AND(ISNUMBER(O245),ISNUMBER(N245)),"영업현금흐름-설비투자","산출불가")))</f>
        <v/>
      </c>
      <c r="AW245" s="19">
        <f>IF(AND(ISNUMBER(AU245),ISNUMBER(G245),G245&lt;&gt;0),AU245/G245,"")</f>
        <v/>
      </c>
      <c r="AX245" s="19">
        <f>IF(AND(ISNUMBER(AC245),ISNUMBER(G245),G245&lt;&gt;0),AC245/G245,"")</f>
        <v/>
      </c>
    </row>
    <row r="246">
      <c r="A246" s="8" t="inlineStr">
        <is>
          <t>BAC</t>
        </is>
      </c>
      <c r="B246" s="8" t="inlineStr">
        <is>
          <t>BANK OF AMERICA CORP /DE/</t>
        </is>
      </c>
      <c r="C246" s="8" t="n">
        <v>2017</v>
      </c>
      <c r="D246" s="8" t="inlineStr">
        <is>
          <t>2017-12-31</t>
        </is>
      </c>
      <c r="E246" s="8" t="inlineStr">
        <is>
          <t>금융</t>
        </is>
      </c>
      <c r="F246" s="8" t="inlineStr">
        <is>
          <t>0000070858-20-000011</t>
        </is>
      </c>
      <c r="G246" s="15" t="n">
        <v>87.126</v>
      </c>
      <c r="H246" s="15" t="n">
        <v>29.213</v>
      </c>
      <c r="I246" s="15" t="n">
        <v>45.239</v>
      </c>
      <c r="J246" s="15" t="n">
        <v>10.981</v>
      </c>
      <c r="K246" s="15" t="n"/>
      <c r="L246" s="15" t="n">
        <v>18.232</v>
      </c>
      <c r="M246" s="15" t="n">
        <v>2.103</v>
      </c>
      <c r="N246" s="15" t="n"/>
      <c r="O246" s="15" t="n">
        <v>9.864000000000001</v>
      </c>
      <c r="P246" s="15" t="n">
        <v>267.146</v>
      </c>
      <c r="Q246" s="15" t="n">
        <v>266.195</v>
      </c>
      <c r="R246" s="15" t="n">
        <v>157.434</v>
      </c>
      <c r="S246" s="15" t="n">
        <v>147.738</v>
      </c>
      <c r="T246" s="15" t="n">
        <v>32.666</v>
      </c>
      <c r="U246" s="15" t="n">
        <v>23.944</v>
      </c>
      <c r="V246" s="15" t="n">
        <v>227.402</v>
      </c>
      <c r="W246" s="15" t="n"/>
      <c r="X246" s="15" t="n"/>
      <c r="Y246" s="15" t="n"/>
      <c r="Z246" s="15" t="n"/>
      <c r="AA246" s="15" t="n"/>
      <c r="AB246" s="16" t="n">
        <v>10287.302431</v>
      </c>
      <c r="AC246" s="17">
        <f>IF(AND(ISNUMBER(H246),ISNUMBER(I246)),H246+I246,IF(ISNUMBER(K246),K246,IF(ISNUMBER(H246),H246,"")))</f>
        <v/>
      </c>
      <c r="AD246" s="18">
        <f>IF(OR(NOT(ISNUMBER(J246)),NOT(ISNUMBER(H246)),H246&lt;=0),기준표!$B$8,MIN(MAX(J246/H246,기준표!$B$6),기준표!$B$7))</f>
        <v/>
      </c>
      <c r="AE246" s="17">
        <f>IF(ISNUMBER(AC246),AC246*(1-AD246),"")</f>
        <v/>
      </c>
      <c r="AF246" s="17">
        <f>IF(AND(NOT(ISNUMBER(T246)),NOT(ISNUMBER(V246))),"",IF(ISNUMBER(T246),T246,0)+IF(ISNUMBER(V246),V246,0))</f>
        <v/>
      </c>
      <c r="AG246" s="17">
        <f>IF(E246="금융","",IF(AND(ISNUMBER(P246),ISNUMBER(AF246),ISNUMBER(R246)),P246+AF246-R246,""))</f>
        <v/>
      </c>
      <c r="AH246" s="17">
        <f>IF(E246="금융","",IF(NOT(ISNUMBER(AG246)),"",IF(ISNUMBER(AA246),(AG246+AA246)/2,AG246)))</f>
        <v/>
      </c>
      <c r="AI246" s="19">
        <f>IF(AND(ISNUMBER(AE246),ISNUMBER(AH246),AH246&gt;0),AE246/AH246,"")</f>
        <v/>
      </c>
      <c r="AJ246" s="17">
        <f>IF(E246="금융","",IF(AND(ISNUMBER(P246),ISNUMBER(AF246)),P246+AF246,""))</f>
        <v/>
      </c>
      <c r="AK246" s="19">
        <f>IF(OR(NOT(ISNUMBER(AE246)),NOT(ISNUMBER(AJ246)),AJ246&lt;=0),"",IF(AND(ISNUMBER(G246),AJ246&lt;0.1*G246),"",AE246/AJ246))</f>
        <v/>
      </c>
      <c r="AL246" s="17">
        <f>IF(NOT(ISNUMBER(P246)),"",IF(ISNUMBER(Q246),(P246+Q246)/2,P246))</f>
        <v/>
      </c>
      <c r="AM246" s="19">
        <f>IF(AND(ISNUMBER(L246),ISNUMBER(AL246),AL246&gt;0),L246/AL246,"")</f>
        <v/>
      </c>
      <c r="AN246" s="19">
        <f>IF(AND(ISNUMBER(AM246),ISNUMBER({ROIC})),AM246-{ROIC},"")</f>
        <v/>
      </c>
      <c r="AO246" s="17">
        <f>IF(AND(ISNUMBER(AC246),ISNUMBER(M246)),AC246+M246,"")</f>
        <v/>
      </c>
      <c r="AP246" s="20">
        <f>IF(AND(ISNUMBER(AF246),ISNUMBER(R246),ISNUMBER(AO246),AO246&gt;0),(AF246-R246)/AO246,"")</f>
        <v/>
      </c>
      <c r="AQ246" s="20">
        <f>IF(AND(ISNUMBER(AC246),ISNUMBER(I246),I246&lt;&gt;0,AC246&gt;0),AC246/I246,"")</f>
        <v/>
      </c>
      <c r="AR246" s="17">
        <f>IF(AND(ISNUMBER(W246),ISNUMBER(Y246)),W246-IF(ISNUMBER(R246),R246,0)-(Y246-IF(ISNUMBER(T246),T246,0)),"")</f>
        <v/>
      </c>
      <c r="AS246" s="17">
        <f>IF(AND(ISNUMBER(X246),ISNUMBER(Z246)),X246-IF(ISNUMBER(S246),S246,0)-(Z246-IF(ISNUMBER(U246),U246,0)),"")</f>
        <v/>
      </c>
      <c r="AT246" s="17">
        <f>IF(AND(ISNUMBER(AR246),ISNUMBER(AS246)),AR246-AS246,"")</f>
        <v/>
      </c>
      <c r="AU246" s="17">
        <f>IF(E246="금융","",IF(AND(ISNUMBER(L246),ISNUMBER(M246),ISNUMBER(N246),ISNUMBER(AT246)),L246+M246-N246-AT246,IF(AND(ISNUMBER(O246),ISNUMBER(N246)),O246-N246,"")))</f>
        <v/>
      </c>
      <c r="AV246" s="8">
        <f>IF(E246="금융","금융업 - 정의되지 않음",IF(AND(ISNUMBER(L246),ISNUMBER(M246),ISNUMBER(N246),ISNUMBER(AT246)),"순이익+감가상각-설비투자-운전자본증감",IF(AND(ISNUMBER(O246),ISNUMBER(N246)),"영업현금흐름-설비투자","산출불가")))</f>
        <v/>
      </c>
      <c r="AW246" s="19">
        <f>IF(AND(ISNUMBER(AU246),ISNUMBER(G246),G246&lt;&gt;0),AU246/G246,"")</f>
        <v/>
      </c>
      <c r="AX246" s="19">
        <f>IF(AND(ISNUMBER(AC246),ISNUMBER(G246),G246&lt;&gt;0),AC246/G246,"")</f>
        <v/>
      </c>
    </row>
    <row r="247">
      <c r="A247" s="8" t="inlineStr">
        <is>
          <t>BAC</t>
        </is>
      </c>
      <c r="B247" s="8" t="inlineStr">
        <is>
          <t>BANK OF AMERICA CORP /DE/</t>
        </is>
      </c>
      <c r="C247" s="8" t="n">
        <v>2018</v>
      </c>
      <c r="D247" s="8" t="inlineStr">
        <is>
          <t>2018-12-31</t>
        </is>
      </c>
      <c r="E247" s="8" t="inlineStr">
        <is>
          <t>금융</t>
        </is>
      </c>
      <c r="F247" s="8" t="inlineStr">
        <is>
          <t>0000070858-21-000023</t>
        </is>
      </c>
      <c r="G247" s="15" t="n">
        <v>91.02</v>
      </c>
      <c r="H247" s="15" t="n">
        <v>34.584</v>
      </c>
      <c r="I247" s="15" t="n">
        <v>48.162</v>
      </c>
      <c r="J247" s="15" t="n">
        <v>6.437</v>
      </c>
      <c r="K247" s="15" t="n"/>
      <c r="L247" s="15" t="n">
        <v>28.147</v>
      </c>
      <c r="M247" s="15" t="n">
        <v>2.063</v>
      </c>
      <c r="N247" s="15" t="n"/>
      <c r="O247" s="15" t="n">
        <v>39.52</v>
      </c>
      <c r="P247" s="15" t="n">
        <v>265.325</v>
      </c>
      <c r="Q247" s="15" t="n">
        <v>267.146</v>
      </c>
      <c r="R247" s="15" t="n">
        <v>177.404</v>
      </c>
      <c r="S247" s="15" t="n">
        <v>157.434</v>
      </c>
      <c r="T247" s="15" t="n">
        <v>20.189</v>
      </c>
      <c r="U247" s="15" t="n">
        <v>32.666</v>
      </c>
      <c r="V247" s="15" t="n">
        <v>229.392</v>
      </c>
      <c r="W247" s="15" t="n"/>
      <c r="X247" s="15" t="n"/>
      <c r="Y247" s="15" t="n"/>
      <c r="Z247" s="15" t="n"/>
      <c r="AA247" s="15" t="n"/>
      <c r="AB247" s="16" t="n">
        <v>9669.28637</v>
      </c>
      <c r="AC247" s="17">
        <f>IF(AND(ISNUMBER(H247),ISNUMBER(I247)),H247+I247,IF(ISNUMBER(K247),K247,IF(ISNUMBER(H247),H247,"")))</f>
        <v/>
      </c>
      <c r="AD247" s="18">
        <f>IF(OR(NOT(ISNUMBER(J247)),NOT(ISNUMBER(H247)),H247&lt;=0),기준표!$B$8,MIN(MAX(J247/H247,기준표!$B$6),기준표!$B$7))</f>
        <v/>
      </c>
      <c r="AE247" s="17">
        <f>IF(ISNUMBER(AC247),AC247*(1-AD247),"")</f>
        <v/>
      </c>
      <c r="AF247" s="17">
        <f>IF(AND(NOT(ISNUMBER(T247)),NOT(ISNUMBER(V247))),"",IF(ISNUMBER(T247),T247,0)+IF(ISNUMBER(V247),V247,0))</f>
        <v/>
      </c>
      <c r="AG247" s="17">
        <f>IF(E247="금융","",IF(AND(ISNUMBER(P247),ISNUMBER(AF247),ISNUMBER(R247)),P247+AF247-R247,""))</f>
        <v/>
      </c>
      <c r="AH247" s="17">
        <f>IF(E247="금융","",IF(NOT(ISNUMBER(AG247)),"",IF(ISNUMBER(AA247),(AG247+AA247)/2,AG247)))</f>
        <v/>
      </c>
      <c r="AI247" s="19">
        <f>IF(AND(ISNUMBER(AE247),ISNUMBER(AH247),AH247&gt;0),AE247/AH247,"")</f>
        <v/>
      </c>
      <c r="AJ247" s="17">
        <f>IF(E247="금융","",IF(AND(ISNUMBER(P247),ISNUMBER(AF247)),P247+AF247,""))</f>
        <v/>
      </c>
      <c r="AK247" s="19">
        <f>IF(OR(NOT(ISNUMBER(AE247)),NOT(ISNUMBER(AJ247)),AJ247&lt;=0),"",IF(AND(ISNUMBER(G247),AJ247&lt;0.1*G247),"",AE247/AJ247))</f>
        <v/>
      </c>
      <c r="AL247" s="17">
        <f>IF(NOT(ISNUMBER(P247)),"",IF(ISNUMBER(Q247),(P247+Q247)/2,P247))</f>
        <v/>
      </c>
      <c r="AM247" s="19">
        <f>IF(AND(ISNUMBER(L247),ISNUMBER(AL247),AL247&gt;0),L247/AL247,"")</f>
        <v/>
      </c>
      <c r="AN247" s="19">
        <f>IF(AND(ISNUMBER(AM247),ISNUMBER({ROIC})),AM247-{ROIC},"")</f>
        <v/>
      </c>
      <c r="AO247" s="17">
        <f>IF(AND(ISNUMBER(AC247),ISNUMBER(M247)),AC247+M247,"")</f>
        <v/>
      </c>
      <c r="AP247" s="20">
        <f>IF(AND(ISNUMBER(AF247),ISNUMBER(R247),ISNUMBER(AO247),AO247&gt;0),(AF247-R247)/AO247,"")</f>
        <v/>
      </c>
      <c r="AQ247" s="20">
        <f>IF(AND(ISNUMBER(AC247),ISNUMBER(I247),I247&lt;&gt;0,AC247&gt;0),AC247/I247,"")</f>
        <v/>
      </c>
      <c r="AR247" s="17">
        <f>IF(AND(ISNUMBER(W247),ISNUMBER(Y247)),W247-IF(ISNUMBER(R247),R247,0)-(Y247-IF(ISNUMBER(T247),T247,0)),"")</f>
        <v/>
      </c>
      <c r="AS247" s="17">
        <f>IF(AND(ISNUMBER(X247),ISNUMBER(Z247)),X247-IF(ISNUMBER(S247),S247,0)-(Z247-IF(ISNUMBER(U247),U247,0)),"")</f>
        <v/>
      </c>
      <c r="AT247" s="17">
        <f>IF(AND(ISNUMBER(AR247),ISNUMBER(AS247)),AR247-AS247,"")</f>
        <v/>
      </c>
      <c r="AU247" s="17">
        <f>IF(E247="금융","",IF(AND(ISNUMBER(L247),ISNUMBER(M247),ISNUMBER(N247),ISNUMBER(AT247)),L247+M247-N247-AT247,IF(AND(ISNUMBER(O247),ISNUMBER(N247)),O247-N247,"")))</f>
        <v/>
      </c>
      <c r="AV247" s="8">
        <f>IF(E247="금융","금융업 - 정의되지 않음",IF(AND(ISNUMBER(L247),ISNUMBER(M247),ISNUMBER(N247),ISNUMBER(AT247)),"순이익+감가상각-설비투자-운전자본증감",IF(AND(ISNUMBER(O247),ISNUMBER(N247)),"영업현금흐름-설비투자","산출불가")))</f>
        <v/>
      </c>
      <c r="AW247" s="19">
        <f>IF(AND(ISNUMBER(AU247),ISNUMBER(G247),G247&lt;&gt;0),AU247/G247,"")</f>
        <v/>
      </c>
      <c r="AX247" s="19">
        <f>IF(AND(ISNUMBER(AC247),ISNUMBER(G247),G247&lt;&gt;0),AC247/G247,"")</f>
        <v/>
      </c>
    </row>
    <row r="248">
      <c r="A248" s="8" t="inlineStr">
        <is>
          <t>BAC</t>
        </is>
      </c>
      <c r="B248" s="8" t="inlineStr">
        <is>
          <t>BANK OF AMERICA CORP /DE/</t>
        </is>
      </c>
      <c r="C248" s="8" t="n">
        <v>2019</v>
      </c>
      <c r="D248" s="8" t="inlineStr">
        <is>
          <t>2019-12-31</t>
        </is>
      </c>
      <c r="E248" s="8" t="inlineStr">
        <is>
          <t>금융</t>
        </is>
      </c>
      <c r="F248" s="8" t="inlineStr">
        <is>
          <t>0000070858-22-000062</t>
        </is>
      </c>
      <c r="G248" s="15" t="n">
        <v>91.244</v>
      </c>
      <c r="H248" s="15" t="n">
        <v>32.754</v>
      </c>
      <c r="I248" s="15" t="n">
        <v>48.891</v>
      </c>
      <c r="J248" s="15" t="n">
        <v>5.324</v>
      </c>
      <c r="K248" s="15" t="n"/>
      <c r="L248" s="15" t="n">
        <v>27.43</v>
      </c>
      <c r="M248" s="15" t="n">
        <v>1.729</v>
      </c>
      <c r="N248" s="15" t="n"/>
      <c r="O248" s="15" t="n">
        <v>61.777</v>
      </c>
      <c r="P248" s="15" t="n">
        <v>264.81</v>
      </c>
      <c r="Q248" s="15" t="n">
        <v>265.325</v>
      </c>
      <c r="R248" s="15" t="n">
        <v>161.56</v>
      </c>
      <c r="S248" s="15" t="n">
        <v>177.404</v>
      </c>
      <c r="T248" s="15" t="n">
        <v>24.204</v>
      </c>
      <c r="U248" s="15" t="n">
        <v>20.189</v>
      </c>
      <c r="V248" s="15" t="n">
        <v>240.856</v>
      </c>
      <c r="W248" s="15" t="n"/>
      <c r="X248" s="15" t="n"/>
      <c r="Y248" s="15" t="n"/>
      <c r="Z248" s="15" t="n"/>
      <c r="AA248" s="15" t="n"/>
      <c r="AB248" s="16" t="n">
        <v>8836.148954</v>
      </c>
      <c r="AC248" s="17">
        <f>IF(AND(ISNUMBER(H248),ISNUMBER(I248)),H248+I248,IF(ISNUMBER(K248),K248,IF(ISNUMBER(H248),H248,"")))</f>
        <v/>
      </c>
      <c r="AD248" s="18">
        <f>IF(OR(NOT(ISNUMBER(J248)),NOT(ISNUMBER(H248)),H248&lt;=0),기준표!$B$8,MIN(MAX(J248/H248,기준표!$B$6),기준표!$B$7))</f>
        <v/>
      </c>
      <c r="AE248" s="17">
        <f>IF(ISNUMBER(AC248),AC248*(1-AD248),"")</f>
        <v/>
      </c>
      <c r="AF248" s="17">
        <f>IF(AND(NOT(ISNUMBER(T248)),NOT(ISNUMBER(V248))),"",IF(ISNUMBER(T248),T248,0)+IF(ISNUMBER(V248),V248,0))</f>
        <v/>
      </c>
      <c r="AG248" s="17">
        <f>IF(E248="금융","",IF(AND(ISNUMBER(P248),ISNUMBER(AF248),ISNUMBER(R248)),P248+AF248-R248,""))</f>
        <v/>
      </c>
      <c r="AH248" s="17">
        <f>IF(E248="금융","",IF(NOT(ISNUMBER(AG248)),"",IF(ISNUMBER(AA248),(AG248+AA248)/2,AG248)))</f>
        <v/>
      </c>
      <c r="AI248" s="19">
        <f>IF(AND(ISNUMBER(AE248),ISNUMBER(AH248),AH248&gt;0),AE248/AH248,"")</f>
        <v/>
      </c>
      <c r="AJ248" s="17">
        <f>IF(E248="금융","",IF(AND(ISNUMBER(P248),ISNUMBER(AF248)),P248+AF248,""))</f>
        <v/>
      </c>
      <c r="AK248" s="19">
        <f>IF(OR(NOT(ISNUMBER(AE248)),NOT(ISNUMBER(AJ248)),AJ248&lt;=0),"",IF(AND(ISNUMBER(G248),AJ248&lt;0.1*G248),"",AE248/AJ248))</f>
        <v/>
      </c>
      <c r="AL248" s="17">
        <f>IF(NOT(ISNUMBER(P248)),"",IF(ISNUMBER(Q248),(P248+Q248)/2,P248))</f>
        <v/>
      </c>
      <c r="AM248" s="19">
        <f>IF(AND(ISNUMBER(L248),ISNUMBER(AL248),AL248&gt;0),L248/AL248,"")</f>
        <v/>
      </c>
      <c r="AN248" s="19">
        <f>IF(AND(ISNUMBER(AM248),ISNUMBER({ROIC})),AM248-{ROIC},"")</f>
        <v/>
      </c>
      <c r="AO248" s="17">
        <f>IF(AND(ISNUMBER(AC248),ISNUMBER(M248)),AC248+M248,"")</f>
        <v/>
      </c>
      <c r="AP248" s="20">
        <f>IF(AND(ISNUMBER(AF248),ISNUMBER(R248),ISNUMBER(AO248),AO248&gt;0),(AF248-R248)/AO248,"")</f>
        <v/>
      </c>
      <c r="AQ248" s="20">
        <f>IF(AND(ISNUMBER(AC248),ISNUMBER(I248),I248&lt;&gt;0,AC248&gt;0),AC248/I248,"")</f>
        <v/>
      </c>
      <c r="AR248" s="17">
        <f>IF(AND(ISNUMBER(W248),ISNUMBER(Y248)),W248-IF(ISNUMBER(R248),R248,0)-(Y248-IF(ISNUMBER(T248),T248,0)),"")</f>
        <v/>
      </c>
      <c r="AS248" s="17">
        <f>IF(AND(ISNUMBER(X248),ISNUMBER(Z248)),X248-IF(ISNUMBER(S248),S248,0)-(Z248-IF(ISNUMBER(U248),U248,0)),"")</f>
        <v/>
      </c>
      <c r="AT248" s="17">
        <f>IF(AND(ISNUMBER(AR248),ISNUMBER(AS248)),AR248-AS248,"")</f>
        <v/>
      </c>
      <c r="AU248" s="17">
        <f>IF(E248="금융","",IF(AND(ISNUMBER(L248),ISNUMBER(M248),ISNUMBER(N248),ISNUMBER(AT248)),L248+M248-N248-AT248,IF(AND(ISNUMBER(O248),ISNUMBER(N248)),O248-N248,"")))</f>
        <v/>
      </c>
      <c r="AV248" s="8">
        <f>IF(E248="금융","금융업 - 정의되지 않음",IF(AND(ISNUMBER(L248),ISNUMBER(M248),ISNUMBER(N248),ISNUMBER(AT248)),"순이익+감가상각-설비투자-운전자본증감",IF(AND(ISNUMBER(O248),ISNUMBER(N248)),"영업현금흐름-설비투자","산출불가")))</f>
        <v/>
      </c>
      <c r="AW248" s="19">
        <f>IF(AND(ISNUMBER(AU248),ISNUMBER(G248),G248&lt;&gt;0),AU248/G248,"")</f>
        <v/>
      </c>
      <c r="AX248" s="19">
        <f>IF(AND(ISNUMBER(AC248),ISNUMBER(G248),G248&lt;&gt;0),AC248/G248,"")</f>
        <v/>
      </c>
    </row>
    <row r="249">
      <c r="A249" s="8" t="inlineStr">
        <is>
          <t>BAC</t>
        </is>
      </c>
      <c r="B249" s="8" t="inlineStr">
        <is>
          <t>BANK OF AMERICA CORP /DE/</t>
        </is>
      </c>
      <c r="C249" s="8" t="n">
        <v>2020</v>
      </c>
      <c r="D249" s="8" t="inlineStr">
        <is>
          <t>2020-12-31</t>
        </is>
      </c>
      <c r="E249" s="8" t="inlineStr">
        <is>
          <t>금융</t>
        </is>
      </c>
      <c r="F249" s="8" t="inlineStr">
        <is>
          <t>0000070858-23-000092</t>
        </is>
      </c>
      <c r="G249" s="15" t="n">
        <v>85.52800000000001</v>
      </c>
      <c r="H249" s="15" t="n">
        <v>18.995</v>
      </c>
      <c r="I249" s="15" t="n">
        <v>43.36</v>
      </c>
      <c r="J249" s="15" t="n">
        <v>1.101</v>
      </c>
      <c r="K249" s="15" t="n"/>
      <c r="L249" s="15" t="n">
        <v>17.894</v>
      </c>
      <c r="M249" s="15" t="n">
        <v>1.843</v>
      </c>
      <c r="N249" s="15" t="n"/>
      <c r="O249" s="15" t="n">
        <v>37.993</v>
      </c>
      <c r="P249" s="15" t="n">
        <v>272.924</v>
      </c>
      <c r="Q249" s="15" t="n">
        <v>264.81</v>
      </c>
      <c r="R249" s="15" t="n">
        <v>380.463</v>
      </c>
      <c r="S249" s="15" t="n">
        <v>161.56</v>
      </c>
      <c r="T249" s="15" t="n">
        <v>19.321</v>
      </c>
      <c r="U249" s="15" t="n">
        <v>24.204</v>
      </c>
      <c r="V249" s="15" t="n">
        <v>262.934</v>
      </c>
      <c r="W249" s="15" t="n"/>
      <c r="X249" s="15" t="n"/>
      <c r="Y249" s="15" t="n"/>
      <c r="Z249" s="15" t="n"/>
      <c r="AA249" s="15" t="n"/>
      <c r="AB249" s="16" t="n">
        <v>8650.814104999999</v>
      </c>
      <c r="AC249" s="17">
        <f>IF(AND(ISNUMBER(H249),ISNUMBER(I249)),H249+I249,IF(ISNUMBER(K249),K249,IF(ISNUMBER(H249),H249,"")))</f>
        <v/>
      </c>
      <c r="AD249" s="18">
        <f>IF(OR(NOT(ISNUMBER(J249)),NOT(ISNUMBER(H249)),H249&lt;=0),기준표!$B$8,MIN(MAX(J249/H249,기준표!$B$6),기준표!$B$7))</f>
        <v/>
      </c>
      <c r="AE249" s="17">
        <f>IF(ISNUMBER(AC249),AC249*(1-AD249),"")</f>
        <v/>
      </c>
      <c r="AF249" s="17">
        <f>IF(AND(NOT(ISNUMBER(T249)),NOT(ISNUMBER(V249))),"",IF(ISNUMBER(T249),T249,0)+IF(ISNUMBER(V249),V249,0))</f>
        <v/>
      </c>
      <c r="AG249" s="17">
        <f>IF(E249="금융","",IF(AND(ISNUMBER(P249),ISNUMBER(AF249),ISNUMBER(R249)),P249+AF249-R249,""))</f>
        <v/>
      </c>
      <c r="AH249" s="17">
        <f>IF(E249="금융","",IF(NOT(ISNUMBER(AG249)),"",IF(ISNUMBER(AA249),(AG249+AA249)/2,AG249)))</f>
        <v/>
      </c>
      <c r="AI249" s="19">
        <f>IF(AND(ISNUMBER(AE249),ISNUMBER(AH249),AH249&gt;0),AE249/AH249,"")</f>
        <v/>
      </c>
      <c r="AJ249" s="17">
        <f>IF(E249="금융","",IF(AND(ISNUMBER(P249),ISNUMBER(AF249)),P249+AF249,""))</f>
        <v/>
      </c>
      <c r="AK249" s="19">
        <f>IF(OR(NOT(ISNUMBER(AE249)),NOT(ISNUMBER(AJ249)),AJ249&lt;=0),"",IF(AND(ISNUMBER(G249),AJ249&lt;0.1*G249),"",AE249/AJ249))</f>
        <v/>
      </c>
      <c r="AL249" s="17">
        <f>IF(NOT(ISNUMBER(P249)),"",IF(ISNUMBER(Q249),(P249+Q249)/2,P249))</f>
        <v/>
      </c>
      <c r="AM249" s="19">
        <f>IF(AND(ISNUMBER(L249),ISNUMBER(AL249),AL249&gt;0),L249/AL249,"")</f>
        <v/>
      </c>
      <c r="AN249" s="19">
        <f>IF(AND(ISNUMBER(AM249),ISNUMBER({ROIC})),AM249-{ROIC},"")</f>
        <v/>
      </c>
      <c r="AO249" s="17">
        <f>IF(AND(ISNUMBER(AC249),ISNUMBER(M249)),AC249+M249,"")</f>
        <v/>
      </c>
      <c r="AP249" s="20">
        <f>IF(AND(ISNUMBER(AF249),ISNUMBER(R249),ISNUMBER(AO249),AO249&gt;0),(AF249-R249)/AO249,"")</f>
        <v/>
      </c>
      <c r="AQ249" s="20">
        <f>IF(AND(ISNUMBER(AC249),ISNUMBER(I249),I249&lt;&gt;0,AC249&gt;0),AC249/I249,"")</f>
        <v/>
      </c>
      <c r="AR249" s="17">
        <f>IF(AND(ISNUMBER(W249),ISNUMBER(Y249)),W249-IF(ISNUMBER(R249),R249,0)-(Y249-IF(ISNUMBER(T249),T249,0)),"")</f>
        <v/>
      </c>
      <c r="AS249" s="17">
        <f>IF(AND(ISNUMBER(X249),ISNUMBER(Z249)),X249-IF(ISNUMBER(S249),S249,0)-(Z249-IF(ISNUMBER(U249),U249,0)),"")</f>
        <v/>
      </c>
      <c r="AT249" s="17">
        <f>IF(AND(ISNUMBER(AR249),ISNUMBER(AS249)),AR249-AS249,"")</f>
        <v/>
      </c>
      <c r="AU249" s="17">
        <f>IF(E249="금융","",IF(AND(ISNUMBER(L249),ISNUMBER(M249),ISNUMBER(N249),ISNUMBER(AT249)),L249+M249-N249-AT249,IF(AND(ISNUMBER(O249),ISNUMBER(N249)),O249-N249,"")))</f>
        <v/>
      </c>
      <c r="AV249" s="8">
        <f>IF(E249="금융","금융업 - 정의되지 않음",IF(AND(ISNUMBER(L249),ISNUMBER(M249),ISNUMBER(N249),ISNUMBER(AT249)),"순이익+감가상각-설비투자-운전자본증감",IF(AND(ISNUMBER(O249),ISNUMBER(N249)),"영업현금흐름-설비투자","산출불가")))</f>
        <v/>
      </c>
      <c r="AW249" s="19">
        <f>IF(AND(ISNUMBER(AU249),ISNUMBER(G249),G249&lt;&gt;0),AU249/G249,"")</f>
        <v/>
      </c>
      <c r="AX249" s="19">
        <f>IF(AND(ISNUMBER(AC249),ISNUMBER(G249),G249&lt;&gt;0),AC249/G249,"")</f>
        <v/>
      </c>
    </row>
    <row r="250">
      <c r="A250" s="8" t="inlineStr">
        <is>
          <t>BAC</t>
        </is>
      </c>
      <c r="B250" s="8" t="inlineStr">
        <is>
          <t>BANK OF AMERICA CORP /DE/</t>
        </is>
      </c>
      <c r="C250" s="8" t="n">
        <v>2021</v>
      </c>
      <c r="D250" s="8" t="inlineStr">
        <is>
          <t>2021-12-31</t>
        </is>
      </c>
      <c r="E250" s="8" t="inlineStr">
        <is>
          <t>금융</t>
        </is>
      </c>
      <c r="F250" s="8" t="inlineStr">
        <is>
          <t>0000070858-24-000122</t>
        </is>
      </c>
      <c r="G250" s="15" t="n">
        <v>89.113</v>
      </c>
      <c r="H250" s="15" t="n">
        <v>33.976</v>
      </c>
      <c r="I250" s="15" t="n">
        <v>42.934</v>
      </c>
      <c r="J250" s="15" t="n">
        <v>1.998</v>
      </c>
      <c r="K250" s="15" t="n"/>
      <c r="L250" s="15" t="n">
        <v>31.978</v>
      </c>
      <c r="M250" s="15" t="n">
        <v>1.898</v>
      </c>
      <c r="N250" s="15" t="n"/>
      <c r="O250" s="15" t="n">
        <v>-7.193</v>
      </c>
      <c r="P250" s="15" t="n">
        <v>270.066</v>
      </c>
      <c r="Q250" s="15" t="n">
        <v>272.924</v>
      </c>
      <c r="R250" s="15" t="n">
        <v>348.221</v>
      </c>
      <c r="S250" s="15" t="n">
        <v>380.463</v>
      </c>
      <c r="T250" s="15" t="n">
        <v>23.753</v>
      </c>
      <c r="U250" s="15" t="n">
        <v>19.321</v>
      </c>
      <c r="V250" s="15" t="n">
        <v>280.117</v>
      </c>
      <c r="W250" s="15" t="n"/>
      <c r="X250" s="15" t="n"/>
      <c r="Y250" s="15" t="n"/>
      <c r="Z250" s="15" t="n"/>
      <c r="AA250" s="15" t="n"/>
      <c r="AB250" s="16" t="n">
        <v>8077.831463</v>
      </c>
      <c r="AC250" s="17">
        <f>IF(AND(ISNUMBER(H250),ISNUMBER(I250)),H250+I250,IF(ISNUMBER(K250),K250,IF(ISNUMBER(H250),H250,"")))</f>
        <v/>
      </c>
      <c r="AD250" s="18">
        <f>IF(OR(NOT(ISNUMBER(J250)),NOT(ISNUMBER(H250)),H250&lt;=0),기준표!$B$8,MIN(MAX(J250/H250,기준표!$B$6),기준표!$B$7))</f>
        <v/>
      </c>
      <c r="AE250" s="17">
        <f>IF(ISNUMBER(AC250),AC250*(1-AD250),"")</f>
        <v/>
      </c>
      <c r="AF250" s="17">
        <f>IF(AND(NOT(ISNUMBER(T250)),NOT(ISNUMBER(V250))),"",IF(ISNUMBER(T250),T250,0)+IF(ISNUMBER(V250),V250,0))</f>
        <v/>
      </c>
      <c r="AG250" s="17">
        <f>IF(E250="금융","",IF(AND(ISNUMBER(P250),ISNUMBER(AF250),ISNUMBER(R250)),P250+AF250-R250,""))</f>
        <v/>
      </c>
      <c r="AH250" s="17">
        <f>IF(E250="금융","",IF(NOT(ISNUMBER(AG250)),"",IF(ISNUMBER(AA250),(AG250+AA250)/2,AG250)))</f>
        <v/>
      </c>
      <c r="AI250" s="19">
        <f>IF(AND(ISNUMBER(AE250),ISNUMBER(AH250),AH250&gt;0),AE250/AH250,"")</f>
        <v/>
      </c>
      <c r="AJ250" s="17">
        <f>IF(E250="금융","",IF(AND(ISNUMBER(P250),ISNUMBER(AF250)),P250+AF250,""))</f>
        <v/>
      </c>
      <c r="AK250" s="19">
        <f>IF(OR(NOT(ISNUMBER(AE250)),NOT(ISNUMBER(AJ250)),AJ250&lt;=0),"",IF(AND(ISNUMBER(G250),AJ250&lt;0.1*G250),"",AE250/AJ250))</f>
        <v/>
      </c>
      <c r="AL250" s="17">
        <f>IF(NOT(ISNUMBER(P250)),"",IF(ISNUMBER(Q250),(P250+Q250)/2,P250))</f>
        <v/>
      </c>
      <c r="AM250" s="19">
        <f>IF(AND(ISNUMBER(L250),ISNUMBER(AL250),AL250&gt;0),L250/AL250,"")</f>
        <v/>
      </c>
      <c r="AN250" s="19">
        <f>IF(AND(ISNUMBER(AM250),ISNUMBER({ROIC})),AM250-{ROIC},"")</f>
        <v/>
      </c>
      <c r="AO250" s="17">
        <f>IF(AND(ISNUMBER(AC250),ISNUMBER(M250)),AC250+M250,"")</f>
        <v/>
      </c>
      <c r="AP250" s="20">
        <f>IF(AND(ISNUMBER(AF250),ISNUMBER(R250),ISNUMBER(AO250),AO250&gt;0),(AF250-R250)/AO250,"")</f>
        <v/>
      </c>
      <c r="AQ250" s="20">
        <f>IF(AND(ISNUMBER(AC250),ISNUMBER(I250),I250&lt;&gt;0,AC250&gt;0),AC250/I250,"")</f>
        <v/>
      </c>
      <c r="AR250" s="17">
        <f>IF(AND(ISNUMBER(W250),ISNUMBER(Y250)),W250-IF(ISNUMBER(R250),R250,0)-(Y250-IF(ISNUMBER(T250),T250,0)),"")</f>
        <v/>
      </c>
      <c r="AS250" s="17">
        <f>IF(AND(ISNUMBER(X250),ISNUMBER(Z250)),X250-IF(ISNUMBER(S250),S250,0)-(Z250-IF(ISNUMBER(U250),U250,0)),"")</f>
        <v/>
      </c>
      <c r="AT250" s="17">
        <f>IF(AND(ISNUMBER(AR250),ISNUMBER(AS250)),AR250-AS250,"")</f>
        <v/>
      </c>
      <c r="AU250" s="17">
        <f>IF(E250="금융","",IF(AND(ISNUMBER(L250),ISNUMBER(M250),ISNUMBER(N250),ISNUMBER(AT250)),L250+M250-N250-AT250,IF(AND(ISNUMBER(O250),ISNUMBER(N250)),O250-N250,"")))</f>
        <v/>
      </c>
      <c r="AV250" s="8">
        <f>IF(E250="금융","금융업 - 정의되지 않음",IF(AND(ISNUMBER(L250),ISNUMBER(M250),ISNUMBER(N250),ISNUMBER(AT250)),"순이익+감가상각-설비투자-운전자본증감",IF(AND(ISNUMBER(O250),ISNUMBER(N250)),"영업현금흐름-설비투자","산출불가")))</f>
        <v/>
      </c>
      <c r="AW250" s="19">
        <f>IF(AND(ISNUMBER(AU250),ISNUMBER(G250),G250&lt;&gt;0),AU250/G250,"")</f>
        <v/>
      </c>
      <c r="AX250" s="19">
        <f>IF(AND(ISNUMBER(AC250),ISNUMBER(G250),G250&lt;&gt;0),AC250/G250,"")</f>
        <v/>
      </c>
    </row>
    <row r="251">
      <c r="A251" s="8" t="inlineStr">
        <is>
          <t>BAC</t>
        </is>
      </c>
      <c r="B251" s="8" t="inlineStr">
        <is>
          <t>BANK OF AMERICA CORP /DE/</t>
        </is>
      </c>
      <c r="C251" s="8" t="n">
        <v>2022</v>
      </c>
      <c r="D251" s="8" t="inlineStr">
        <is>
          <t>2022-12-31</t>
        </is>
      </c>
      <c r="E251" s="8" t="inlineStr">
        <is>
          <t>금융</t>
        </is>
      </c>
      <c r="F251" s="8" t="inlineStr">
        <is>
          <t>0000070858-25-000139</t>
        </is>
      </c>
      <c r="G251" s="15" t="n">
        <v>94.95</v>
      </c>
      <c r="H251" s="15" t="n">
        <v>30.969</v>
      </c>
      <c r="I251" s="15" t="n">
        <v>52.462</v>
      </c>
      <c r="J251" s="15" t="n">
        <v>3.441</v>
      </c>
      <c r="K251" s="15" t="n"/>
      <c r="L251" s="15" t="n">
        <v>27.528</v>
      </c>
      <c r="M251" s="15" t="n">
        <v>1.978</v>
      </c>
      <c r="N251" s="15" t="n"/>
      <c r="O251" s="15" t="n">
        <v>-6.327</v>
      </c>
      <c r="P251" s="15" t="n">
        <v>273.197</v>
      </c>
      <c r="Q251" s="15" t="n">
        <v>270.066</v>
      </c>
      <c r="R251" s="15" t="n">
        <v>230.203</v>
      </c>
      <c r="S251" s="15" t="n">
        <v>348.221</v>
      </c>
      <c r="T251" s="15" t="n">
        <v>26.932</v>
      </c>
      <c r="U251" s="15" t="n">
        <v>23.753</v>
      </c>
      <c r="V251" s="15" t="n">
        <v>275.982</v>
      </c>
      <c r="W251" s="15" t="n"/>
      <c r="X251" s="15" t="n"/>
      <c r="Y251" s="15" t="n"/>
      <c r="Z251" s="15" t="n"/>
      <c r="AA251" s="15" t="n"/>
      <c r="AB251" s="16" t="n">
        <v>7996.777943</v>
      </c>
      <c r="AC251" s="17">
        <f>IF(AND(ISNUMBER(H251),ISNUMBER(I251)),H251+I251,IF(ISNUMBER(K251),K251,IF(ISNUMBER(H251),H251,"")))</f>
        <v/>
      </c>
      <c r="AD251" s="18">
        <f>IF(OR(NOT(ISNUMBER(J251)),NOT(ISNUMBER(H251)),H251&lt;=0),기준표!$B$8,MIN(MAX(J251/H251,기준표!$B$6),기준표!$B$7))</f>
        <v/>
      </c>
      <c r="AE251" s="17">
        <f>IF(ISNUMBER(AC251),AC251*(1-AD251),"")</f>
        <v/>
      </c>
      <c r="AF251" s="17">
        <f>IF(AND(NOT(ISNUMBER(T251)),NOT(ISNUMBER(V251))),"",IF(ISNUMBER(T251),T251,0)+IF(ISNUMBER(V251),V251,0))</f>
        <v/>
      </c>
      <c r="AG251" s="17">
        <f>IF(E251="금융","",IF(AND(ISNUMBER(P251),ISNUMBER(AF251),ISNUMBER(R251)),P251+AF251-R251,""))</f>
        <v/>
      </c>
      <c r="AH251" s="17">
        <f>IF(E251="금융","",IF(NOT(ISNUMBER(AG251)),"",IF(ISNUMBER(AA251),(AG251+AA251)/2,AG251)))</f>
        <v/>
      </c>
      <c r="AI251" s="19">
        <f>IF(AND(ISNUMBER(AE251),ISNUMBER(AH251),AH251&gt;0),AE251/AH251,"")</f>
        <v/>
      </c>
      <c r="AJ251" s="17">
        <f>IF(E251="금융","",IF(AND(ISNUMBER(P251),ISNUMBER(AF251)),P251+AF251,""))</f>
        <v/>
      </c>
      <c r="AK251" s="19">
        <f>IF(OR(NOT(ISNUMBER(AE251)),NOT(ISNUMBER(AJ251)),AJ251&lt;=0),"",IF(AND(ISNUMBER(G251),AJ251&lt;0.1*G251),"",AE251/AJ251))</f>
        <v/>
      </c>
      <c r="AL251" s="17">
        <f>IF(NOT(ISNUMBER(P251)),"",IF(ISNUMBER(Q251),(P251+Q251)/2,P251))</f>
        <v/>
      </c>
      <c r="AM251" s="19">
        <f>IF(AND(ISNUMBER(L251),ISNUMBER(AL251),AL251&gt;0),L251/AL251,"")</f>
        <v/>
      </c>
      <c r="AN251" s="19">
        <f>IF(AND(ISNUMBER(AM251),ISNUMBER({ROIC})),AM251-{ROIC},"")</f>
        <v/>
      </c>
      <c r="AO251" s="17">
        <f>IF(AND(ISNUMBER(AC251),ISNUMBER(M251)),AC251+M251,"")</f>
        <v/>
      </c>
      <c r="AP251" s="20">
        <f>IF(AND(ISNUMBER(AF251),ISNUMBER(R251),ISNUMBER(AO251),AO251&gt;0),(AF251-R251)/AO251,"")</f>
        <v/>
      </c>
      <c r="AQ251" s="20">
        <f>IF(AND(ISNUMBER(AC251),ISNUMBER(I251),I251&lt;&gt;0,AC251&gt;0),AC251/I251,"")</f>
        <v/>
      </c>
      <c r="AR251" s="17">
        <f>IF(AND(ISNUMBER(W251),ISNUMBER(Y251)),W251-IF(ISNUMBER(R251),R251,0)-(Y251-IF(ISNUMBER(T251),T251,0)),"")</f>
        <v/>
      </c>
      <c r="AS251" s="17">
        <f>IF(AND(ISNUMBER(X251),ISNUMBER(Z251)),X251-IF(ISNUMBER(S251),S251,0)-(Z251-IF(ISNUMBER(U251),U251,0)),"")</f>
        <v/>
      </c>
      <c r="AT251" s="17">
        <f>IF(AND(ISNUMBER(AR251),ISNUMBER(AS251)),AR251-AS251,"")</f>
        <v/>
      </c>
      <c r="AU251" s="17">
        <f>IF(E251="금융","",IF(AND(ISNUMBER(L251),ISNUMBER(M251),ISNUMBER(N251),ISNUMBER(AT251)),L251+M251-N251-AT251,IF(AND(ISNUMBER(O251),ISNUMBER(N251)),O251-N251,"")))</f>
        <v/>
      </c>
      <c r="AV251" s="8">
        <f>IF(E251="금융","금융업 - 정의되지 않음",IF(AND(ISNUMBER(L251),ISNUMBER(M251),ISNUMBER(N251),ISNUMBER(AT251)),"순이익+감가상각-설비투자-운전자본증감",IF(AND(ISNUMBER(O251),ISNUMBER(N251)),"영업현금흐름-설비투자","산출불가")))</f>
        <v/>
      </c>
      <c r="AW251" s="19">
        <f>IF(AND(ISNUMBER(AU251),ISNUMBER(G251),G251&lt;&gt;0),AU251/G251,"")</f>
        <v/>
      </c>
      <c r="AX251" s="19">
        <f>IF(AND(ISNUMBER(AC251),ISNUMBER(G251),G251&lt;&gt;0),AC251/G251,"")</f>
        <v/>
      </c>
    </row>
    <row r="252">
      <c r="A252" s="8" t="inlineStr">
        <is>
          <t>BAC</t>
        </is>
      </c>
      <c r="B252" s="8" t="inlineStr">
        <is>
          <t>BANK OF AMERICA CORP /DE/</t>
        </is>
      </c>
      <c r="C252" s="8" t="n">
        <v>2023</v>
      </c>
      <c r="D252" s="8" t="inlineStr">
        <is>
          <t>2023-12-31</t>
        </is>
      </c>
      <c r="E252" s="8" t="inlineStr">
        <is>
          <t>금융</t>
        </is>
      </c>
      <c r="F252" s="8" t="inlineStr">
        <is>
          <t>0000070858-26-000157</t>
        </is>
      </c>
      <c r="G252" s="15" t="n">
        <v>102.769</v>
      </c>
      <c r="H252" s="15" t="n">
        <v>32.53</v>
      </c>
      <c r="I252" s="15" t="n">
        <v>56.931</v>
      </c>
      <c r="J252" s="15" t="n">
        <v>6.225</v>
      </c>
      <c r="K252" s="15" t="n"/>
      <c r="L252" s="15" t="n">
        <v>26.305</v>
      </c>
      <c r="M252" s="15" t="n">
        <v>2.057</v>
      </c>
      <c r="N252" s="15" t="n"/>
      <c r="O252" s="15" t="n">
        <v>44.982</v>
      </c>
      <c r="P252" s="15" t="n">
        <v>290.209</v>
      </c>
      <c r="Q252" s="15" t="n">
        <v>273.197</v>
      </c>
      <c r="R252" s="15" t="n">
        <v>333.073</v>
      </c>
      <c r="S252" s="15" t="n">
        <v>230.203</v>
      </c>
      <c r="T252" s="15" t="n">
        <v>32.098</v>
      </c>
      <c r="U252" s="15" t="n">
        <v>26.932</v>
      </c>
      <c r="V252" s="15" t="n">
        <v>302.204</v>
      </c>
      <c r="W252" s="15" t="n"/>
      <c r="X252" s="15" t="n"/>
      <c r="Y252" s="15" t="n"/>
      <c r="Z252" s="15" t="n"/>
      <c r="AA252" s="15" t="n"/>
      <c r="AB252" s="16" t="n">
        <v>7895.457665</v>
      </c>
      <c r="AC252" s="17">
        <f>IF(AND(ISNUMBER(H252),ISNUMBER(I252)),H252+I252,IF(ISNUMBER(K252),K252,IF(ISNUMBER(H252),H252,"")))</f>
        <v/>
      </c>
      <c r="AD252" s="18">
        <f>IF(OR(NOT(ISNUMBER(J252)),NOT(ISNUMBER(H252)),H252&lt;=0),기준표!$B$8,MIN(MAX(J252/H252,기준표!$B$6),기준표!$B$7))</f>
        <v/>
      </c>
      <c r="AE252" s="17">
        <f>IF(ISNUMBER(AC252),AC252*(1-AD252),"")</f>
        <v/>
      </c>
      <c r="AF252" s="17">
        <f>IF(AND(NOT(ISNUMBER(T252)),NOT(ISNUMBER(V252))),"",IF(ISNUMBER(T252),T252,0)+IF(ISNUMBER(V252),V252,0))</f>
        <v/>
      </c>
      <c r="AG252" s="17">
        <f>IF(E252="금융","",IF(AND(ISNUMBER(P252),ISNUMBER(AF252),ISNUMBER(R252)),P252+AF252-R252,""))</f>
        <v/>
      </c>
      <c r="AH252" s="17">
        <f>IF(E252="금융","",IF(NOT(ISNUMBER(AG252)),"",IF(ISNUMBER(AA252),(AG252+AA252)/2,AG252)))</f>
        <v/>
      </c>
      <c r="AI252" s="19">
        <f>IF(AND(ISNUMBER(AE252),ISNUMBER(AH252),AH252&gt;0),AE252/AH252,"")</f>
        <v/>
      </c>
      <c r="AJ252" s="17">
        <f>IF(E252="금융","",IF(AND(ISNUMBER(P252),ISNUMBER(AF252)),P252+AF252,""))</f>
        <v/>
      </c>
      <c r="AK252" s="19">
        <f>IF(OR(NOT(ISNUMBER(AE252)),NOT(ISNUMBER(AJ252)),AJ252&lt;=0),"",IF(AND(ISNUMBER(G252),AJ252&lt;0.1*G252),"",AE252/AJ252))</f>
        <v/>
      </c>
      <c r="AL252" s="17">
        <f>IF(NOT(ISNUMBER(P252)),"",IF(ISNUMBER(Q252),(P252+Q252)/2,P252))</f>
        <v/>
      </c>
      <c r="AM252" s="19">
        <f>IF(AND(ISNUMBER(L252),ISNUMBER(AL252),AL252&gt;0),L252/AL252,"")</f>
        <v/>
      </c>
      <c r="AN252" s="19">
        <f>IF(AND(ISNUMBER(AM252),ISNUMBER({ROIC})),AM252-{ROIC},"")</f>
        <v/>
      </c>
      <c r="AO252" s="17">
        <f>IF(AND(ISNUMBER(AC252),ISNUMBER(M252)),AC252+M252,"")</f>
        <v/>
      </c>
      <c r="AP252" s="20">
        <f>IF(AND(ISNUMBER(AF252),ISNUMBER(R252),ISNUMBER(AO252),AO252&gt;0),(AF252-R252)/AO252,"")</f>
        <v/>
      </c>
      <c r="AQ252" s="20">
        <f>IF(AND(ISNUMBER(AC252),ISNUMBER(I252),I252&lt;&gt;0,AC252&gt;0),AC252/I252,"")</f>
        <v/>
      </c>
      <c r="AR252" s="17">
        <f>IF(AND(ISNUMBER(W252),ISNUMBER(Y252)),W252-IF(ISNUMBER(R252),R252,0)-(Y252-IF(ISNUMBER(T252),T252,0)),"")</f>
        <v/>
      </c>
      <c r="AS252" s="17">
        <f>IF(AND(ISNUMBER(X252),ISNUMBER(Z252)),X252-IF(ISNUMBER(S252),S252,0)-(Z252-IF(ISNUMBER(U252),U252,0)),"")</f>
        <v/>
      </c>
      <c r="AT252" s="17">
        <f>IF(AND(ISNUMBER(AR252),ISNUMBER(AS252)),AR252-AS252,"")</f>
        <v/>
      </c>
      <c r="AU252" s="17">
        <f>IF(E252="금융","",IF(AND(ISNUMBER(L252),ISNUMBER(M252),ISNUMBER(N252),ISNUMBER(AT252)),L252+M252-N252-AT252,IF(AND(ISNUMBER(O252),ISNUMBER(N252)),O252-N252,"")))</f>
        <v/>
      </c>
      <c r="AV252" s="8">
        <f>IF(E252="금융","금융업 - 정의되지 않음",IF(AND(ISNUMBER(L252),ISNUMBER(M252),ISNUMBER(N252),ISNUMBER(AT252)),"순이익+감가상각-설비투자-운전자본증감",IF(AND(ISNUMBER(O252),ISNUMBER(N252)),"영업현금흐름-설비투자","산출불가")))</f>
        <v/>
      </c>
      <c r="AW252" s="19">
        <f>IF(AND(ISNUMBER(AU252),ISNUMBER(G252),G252&lt;&gt;0),AU252/G252,"")</f>
        <v/>
      </c>
      <c r="AX252" s="19">
        <f>IF(AND(ISNUMBER(AC252),ISNUMBER(G252),G252&lt;&gt;0),AC252/G252,"")</f>
        <v/>
      </c>
    </row>
    <row r="253">
      <c r="A253" s="8" t="inlineStr">
        <is>
          <t>BAC</t>
        </is>
      </c>
      <c r="B253" s="8" t="inlineStr">
        <is>
          <t>BANK OF AMERICA CORP /DE/</t>
        </is>
      </c>
      <c r="C253" s="8" t="n">
        <v>2024</v>
      </c>
      <c r="D253" s="8" t="inlineStr">
        <is>
          <t>2024-12-31</t>
        </is>
      </c>
      <c r="E253" s="8" t="inlineStr">
        <is>
          <t>금융</t>
        </is>
      </c>
      <c r="F253" s="8" t="inlineStr">
        <is>
          <t>0000070858-26-000157</t>
        </is>
      </c>
      <c r="G253" s="15" t="n">
        <v>105.856</v>
      </c>
      <c r="H253" s="15" t="n">
        <v>33.223</v>
      </c>
      <c r="I253" s="15" t="n">
        <v>56.06</v>
      </c>
      <c r="J253" s="15" t="n">
        <v>6.25</v>
      </c>
      <c r="K253" s="15" t="n"/>
      <c r="L253" s="15" t="n">
        <v>26.973</v>
      </c>
      <c r="M253" s="15" t="n">
        <v>2.189</v>
      </c>
      <c r="N253" s="15" t="n"/>
      <c r="O253" s="15" t="n">
        <v>-8.805</v>
      </c>
      <c r="P253" s="15" t="n">
        <v>293.963</v>
      </c>
      <c r="Q253" s="15" t="n">
        <v>290.209</v>
      </c>
      <c r="R253" s="15" t="n">
        <v>290.114</v>
      </c>
      <c r="S253" s="15" t="n">
        <v>333.073</v>
      </c>
      <c r="T253" s="15" t="n">
        <v>43.391</v>
      </c>
      <c r="U253" s="15" t="n">
        <v>32.098</v>
      </c>
      <c r="V253" s="15" t="n">
        <v>283.279</v>
      </c>
      <c r="W253" s="15" t="n"/>
      <c r="X253" s="15" t="n"/>
      <c r="Y253" s="15" t="n"/>
      <c r="Z253" s="15" t="n"/>
      <c r="AA253" s="15" t="n"/>
      <c r="AB253" s="16" t="n">
        <v>7610.862311</v>
      </c>
      <c r="AC253" s="17">
        <f>IF(AND(ISNUMBER(H253),ISNUMBER(I253)),H253+I253,IF(ISNUMBER(K253),K253,IF(ISNUMBER(H253),H253,"")))</f>
        <v/>
      </c>
      <c r="AD253" s="18">
        <f>IF(OR(NOT(ISNUMBER(J253)),NOT(ISNUMBER(H253)),H253&lt;=0),기준표!$B$8,MIN(MAX(J253/H253,기준표!$B$6),기준표!$B$7))</f>
        <v/>
      </c>
      <c r="AE253" s="17">
        <f>IF(ISNUMBER(AC253),AC253*(1-AD253),"")</f>
        <v/>
      </c>
      <c r="AF253" s="17">
        <f>IF(AND(NOT(ISNUMBER(T253)),NOT(ISNUMBER(V253))),"",IF(ISNUMBER(T253),T253,0)+IF(ISNUMBER(V253),V253,0))</f>
        <v/>
      </c>
      <c r="AG253" s="17">
        <f>IF(E253="금융","",IF(AND(ISNUMBER(P253),ISNUMBER(AF253),ISNUMBER(R253)),P253+AF253-R253,""))</f>
        <v/>
      </c>
      <c r="AH253" s="17">
        <f>IF(E253="금융","",IF(NOT(ISNUMBER(AG253)),"",IF(ISNUMBER(AA253),(AG253+AA253)/2,AG253)))</f>
        <v/>
      </c>
      <c r="AI253" s="19">
        <f>IF(AND(ISNUMBER(AE253),ISNUMBER(AH253),AH253&gt;0),AE253/AH253,"")</f>
        <v/>
      </c>
      <c r="AJ253" s="17">
        <f>IF(E253="금융","",IF(AND(ISNUMBER(P253),ISNUMBER(AF253)),P253+AF253,""))</f>
        <v/>
      </c>
      <c r="AK253" s="19">
        <f>IF(OR(NOT(ISNUMBER(AE253)),NOT(ISNUMBER(AJ253)),AJ253&lt;=0),"",IF(AND(ISNUMBER(G253),AJ253&lt;0.1*G253),"",AE253/AJ253))</f>
        <v/>
      </c>
      <c r="AL253" s="17">
        <f>IF(NOT(ISNUMBER(P253)),"",IF(ISNUMBER(Q253),(P253+Q253)/2,P253))</f>
        <v/>
      </c>
      <c r="AM253" s="19">
        <f>IF(AND(ISNUMBER(L253),ISNUMBER(AL253),AL253&gt;0),L253/AL253,"")</f>
        <v/>
      </c>
      <c r="AN253" s="19">
        <f>IF(AND(ISNUMBER(AM253),ISNUMBER({ROIC})),AM253-{ROIC},"")</f>
        <v/>
      </c>
      <c r="AO253" s="17">
        <f>IF(AND(ISNUMBER(AC253),ISNUMBER(M253)),AC253+M253,"")</f>
        <v/>
      </c>
      <c r="AP253" s="20">
        <f>IF(AND(ISNUMBER(AF253),ISNUMBER(R253),ISNUMBER(AO253),AO253&gt;0),(AF253-R253)/AO253,"")</f>
        <v/>
      </c>
      <c r="AQ253" s="20">
        <f>IF(AND(ISNUMBER(AC253),ISNUMBER(I253),I253&lt;&gt;0,AC253&gt;0),AC253/I253,"")</f>
        <v/>
      </c>
      <c r="AR253" s="17">
        <f>IF(AND(ISNUMBER(W253),ISNUMBER(Y253)),W253-IF(ISNUMBER(R253),R253,0)-(Y253-IF(ISNUMBER(T253),T253,0)),"")</f>
        <v/>
      </c>
      <c r="AS253" s="17">
        <f>IF(AND(ISNUMBER(X253),ISNUMBER(Z253)),X253-IF(ISNUMBER(S253),S253,0)-(Z253-IF(ISNUMBER(U253),U253,0)),"")</f>
        <v/>
      </c>
      <c r="AT253" s="17">
        <f>IF(AND(ISNUMBER(AR253),ISNUMBER(AS253)),AR253-AS253,"")</f>
        <v/>
      </c>
      <c r="AU253" s="17">
        <f>IF(E253="금융","",IF(AND(ISNUMBER(L253),ISNUMBER(M253),ISNUMBER(N253),ISNUMBER(AT253)),L253+M253-N253-AT253,IF(AND(ISNUMBER(O253),ISNUMBER(N253)),O253-N253,"")))</f>
        <v/>
      </c>
      <c r="AV253" s="8">
        <f>IF(E253="금융","금융업 - 정의되지 않음",IF(AND(ISNUMBER(L253),ISNUMBER(M253),ISNUMBER(N253),ISNUMBER(AT253)),"순이익+감가상각-설비투자-운전자본증감",IF(AND(ISNUMBER(O253),ISNUMBER(N253)),"영업현금흐름-설비투자","산출불가")))</f>
        <v/>
      </c>
      <c r="AW253" s="19">
        <f>IF(AND(ISNUMBER(AU253),ISNUMBER(G253),G253&lt;&gt;0),AU253/G253,"")</f>
        <v/>
      </c>
      <c r="AX253" s="19">
        <f>IF(AND(ISNUMBER(AC253),ISNUMBER(G253),G253&lt;&gt;0),AC253/G253,"")</f>
        <v/>
      </c>
    </row>
    <row r="254">
      <c r="A254" s="8" t="inlineStr">
        <is>
          <t>BAC</t>
        </is>
      </c>
      <c r="B254" s="8" t="inlineStr">
        <is>
          <t>BANK OF AMERICA CORP /DE/</t>
        </is>
      </c>
      <c r="C254" s="8" t="n">
        <v>2025</v>
      </c>
      <c r="D254" s="8" t="inlineStr">
        <is>
          <t>2025-12-31</t>
        </is>
      </c>
      <c r="E254" s="8" t="inlineStr">
        <is>
          <t>금융</t>
        </is>
      </c>
      <c r="F254" s="8" t="inlineStr">
        <is>
          <t>0000070858-26-000157</t>
        </is>
      </c>
      <c r="G254" s="15" t="n">
        <v>113.097</v>
      </c>
      <c r="H254" s="15" t="n">
        <v>37.695</v>
      </c>
      <c r="I254" s="15" t="n">
        <v>60.096</v>
      </c>
      <c r="J254" s="15" t="n">
        <v>7.186</v>
      </c>
      <c r="K254" s="15" t="n"/>
      <c r="L254" s="15" t="n">
        <v>30.509</v>
      </c>
      <c r="M254" s="15" t="n">
        <v>2.314</v>
      </c>
      <c r="N254" s="15" t="n"/>
      <c r="O254" s="15" t="n">
        <v>12.613</v>
      </c>
      <c r="P254" s="15" t="n">
        <v>303.243</v>
      </c>
      <c r="Q254" s="15" t="n">
        <v>293.963</v>
      </c>
      <c r="R254" s="15" t="n">
        <v>231.845</v>
      </c>
      <c r="S254" s="15" t="n">
        <v>290.114</v>
      </c>
      <c r="T254" s="15" t="n">
        <v>48.088</v>
      </c>
      <c r="U254" s="15" t="n">
        <v>43.391</v>
      </c>
      <c r="V254" s="15" t="n">
        <v>317.816</v>
      </c>
      <c r="W254" s="15" t="n"/>
      <c r="X254" s="15" t="n"/>
      <c r="Y254" s="15" t="n"/>
      <c r="Z254" s="15" t="n"/>
      <c r="AA254" s="15" t="n"/>
      <c r="AB254" s="16" t="n">
        <v>7212.464345</v>
      </c>
      <c r="AC254" s="17">
        <f>IF(AND(ISNUMBER(H254),ISNUMBER(I254)),H254+I254,IF(ISNUMBER(K254),K254,IF(ISNUMBER(H254),H254,"")))</f>
        <v/>
      </c>
      <c r="AD254" s="18">
        <f>IF(OR(NOT(ISNUMBER(J254)),NOT(ISNUMBER(H254)),H254&lt;=0),기준표!$B$8,MIN(MAX(J254/H254,기준표!$B$6),기준표!$B$7))</f>
        <v/>
      </c>
      <c r="AE254" s="17">
        <f>IF(ISNUMBER(AC254),AC254*(1-AD254),"")</f>
        <v/>
      </c>
      <c r="AF254" s="17">
        <f>IF(AND(NOT(ISNUMBER(T254)),NOT(ISNUMBER(V254))),"",IF(ISNUMBER(T254),T254,0)+IF(ISNUMBER(V254),V254,0))</f>
        <v/>
      </c>
      <c r="AG254" s="17">
        <f>IF(E254="금융","",IF(AND(ISNUMBER(P254),ISNUMBER(AF254),ISNUMBER(R254)),P254+AF254-R254,""))</f>
        <v/>
      </c>
      <c r="AH254" s="17">
        <f>IF(E254="금융","",IF(NOT(ISNUMBER(AG254)),"",IF(ISNUMBER(AA254),(AG254+AA254)/2,AG254)))</f>
        <v/>
      </c>
      <c r="AI254" s="19">
        <f>IF(AND(ISNUMBER(AE254),ISNUMBER(AH254),AH254&gt;0),AE254/AH254,"")</f>
        <v/>
      </c>
      <c r="AJ254" s="17">
        <f>IF(E254="금융","",IF(AND(ISNUMBER(P254),ISNUMBER(AF254)),P254+AF254,""))</f>
        <v/>
      </c>
      <c r="AK254" s="19">
        <f>IF(OR(NOT(ISNUMBER(AE254)),NOT(ISNUMBER(AJ254)),AJ254&lt;=0),"",IF(AND(ISNUMBER(G254),AJ254&lt;0.1*G254),"",AE254/AJ254))</f>
        <v/>
      </c>
      <c r="AL254" s="17">
        <f>IF(NOT(ISNUMBER(P254)),"",IF(ISNUMBER(Q254),(P254+Q254)/2,P254))</f>
        <v/>
      </c>
      <c r="AM254" s="19">
        <f>IF(AND(ISNUMBER(L254),ISNUMBER(AL254),AL254&gt;0),L254/AL254,"")</f>
        <v/>
      </c>
      <c r="AN254" s="19">
        <f>IF(AND(ISNUMBER(AM254),ISNUMBER({ROIC})),AM254-{ROIC},"")</f>
        <v/>
      </c>
      <c r="AO254" s="17">
        <f>IF(AND(ISNUMBER(AC254),ISNUMBER(M254)),AC254+M254,"")</f>
        <v/>
      </c>
      <c r="AP254" s="20">
        <f>IF(AND(ISNUMBER(AF254),ISNUMBER(R254),ISNUMBER(AO254),AO254&gt;0),(AF254-R254)/AO254,"")</f>
        <v/>
      </c>
      <c r="AQ254" s="20">
        <f>IF(AND(ISNUMBER(AC254),ISNUMBER(I254),I254&lt;&gt;0,AC254&gt;0),AC254/I254,"")</f>
        <v/>
      </c>
      <c r="AR254" s="17">
        <f>IF(AND(ISNUMBER(W254),ISNUMBER(Y254)),W254-IF(ISNUMBER(R254),R254,0)-(Y254-IF(ISNUMBER(T254),T254,0)),"")</f>
        <v/>
      </c>
      <c r="AS254" s="17">
        <f>IF(AND(ISNUMBER(X254),ISNUMBER(Z254)),X254-IF(ISNUMBER(S254),S254,0)-(Z254-IF(ISNUMBER(U254),U254,0)),"")</f>
        <v/>
      </c>
      <c r="AT254" s="17">
        <f>IF(AND(ISNUMBER(AR254),ISNUMBER(AS254)),AR254-AS254,"")</f>
        <v/>
      </c>
      <c r="AU254" s="17">
        <f>IF(E254="금융","",IF(AND(ISNUMBER(L254),ISNUMBER(M254),ISNUMBER(N254),ISNUMBER(AT254)),L254+M254-N254-AT254,IF(AND(ISNUMBER(O254),ISNUMBER(N254)),O254-N254,"")))</f>
        <v/>
      </c>
      <c r="AV254" s="8">
        <f>IF(E254="금융","금융업 - 정의되지 않음",IF(AND(ISNUMBER(L254),ISNUMBER(M254),ISNUMBER(N254),ISNUMBER(AT254)),"순이익+감가상각-설비투자-운전자본증감",IF(AND(ISNUMBER(O254),ISNUMBER(N254)),"영업현금흐름-설비투자","산출불가")))</f>
        <v/>
      </c>
      <c r="AW254" s="19">
        <f>IF(AND(ISNUMBER(AU254),ISNUMBER(G254),G254&lt;&gt;0),AU254/G254,"")</f>
        <v/>
      </c>
      <c r="AX254" s="19">
        <f>IF(AND(ISNUMBER(AC254),ISNUMBER(G254),G254&lt;&gt;0),AC254/G254,"")</f>
        <v/>
      </c>
    </row>
    <row r="255">
      <c r="A255" s="8" t="inlineStr">
        <is>
          <t>ABBV</t>
        </is>
      </c>
      <c r="B255" s="8" t="inlineStr">
        <is>
          <t>AbbVie Inc.</t>
        </is>
      </c>
      <c r="C255" s="8" t="n">
        <v>2014</v>
      </c>
      <c r="D255" s="8" t="inlineStr">
        <is>
          <t>2014-12-31</t>
        </is>
      </c>
      <c r="E255" s="8" t="inlineStr">
        <is>
          <t>일반</t>
        </is>
      </c>
      <c r="F255" s="8" t="inlineStr">
        <is>
          <t>0001551152-17-000004</t>
        </is>
      </c>
      <c r="G255" s="15" t="n"/>
      <c r="H255" s="15" t="n">
        <v>2.369</v>
      </c>
      <c r="I255" s="15" t="n">
        <v>0.429</v>
      </c>
      <c r="J255" s="15" t="n">
        <v>0.595</v>
      </c>
      <c r="K255" s="15" t="n">
        <v>3.411</v>
      </c>
      <c r="L255" s="15" t="n">
        <v>1.774</v>
      </c>
      <c r="M255" s="15" t="n">
        <v>0.383</v>
      </c>
      <c r="N255" s="15" t="n">
        <v>0.612</v>
      </c>
      <c r="O255" s="15" t="n"/>
      <c r="P255" s="15" t="n">
        <v>1.742</v>
      </c>
      <c r="Q255" s="15" t="n"/>
      <c r="R255" s="15" t="n">
        <v>8.374000000000001</v>
      </c>
      <c r="S255" s="15" t="n"/>
      <c r="T255" s="15" t="n">
        <v>0.425</v>
      </c>
      <c r="U255" s="15" t="n"/>
      <c r="V255" s="15" t="n">
        <v>10.538</v>
      </c>
      <c r="W255" s="15" t="n">
        <v>16.081</v>
      </c>
      <c r="X255" s="15" t="n"/>
      <c r="Y255" s="15" t="n">
        <v>11.393</v>
      </c>
      <c r="Z255" s="15" t="n"/>
      <c r="AA255" s="15" t="n"/>
      <c r="AB255" s="16" t="n">
        <v>1610</v>
      </c>
      <c r="AC255" s="17">
        <f>IF(AND(ISNUMBER(H255),ISNUMBER(I255)),H255+I255,IF(ISNUMBER(K255),K255,IF(ISNUMBER(H255),H255,"")))</f>
        <v/>
      </c>
      <c r="AD255" s="18">
        <f>IF(OR(NOT(ISNUMBER(J255)),NOT(ISNUMBER(H255)),H255&lt;=0),기준표!$B$8,MIN(MAX(J255/H255,기준표!$B$6),기준표!$B$7))</f>
        <v/>
      </c>
      <c r="AE255" s="17">
        <f>IF(ISNUMBER(AC255),AC255*(1-AD255),"")</f>
        <v/>
      </c>
      <c r="AF255" s="17">
        <f>IF(AND(NOT(ISNUMBER(T255)),NOT(ISNUMBER(V255))),"",IF(ISNUMBER(T255),T255,0)+IF(ISNUMBER(V255),V255,0))</f>
        <v/>
      </c>
      <c r="AG255" s="17">
        <f>IF(E255="금융","",IF(AND(ISNUMBER(P255),ISNUMBER(AF255),ISNUMBER(R255)),P255+AF255-R255,""))</f>
        <v/>
      </c>
      <c r="AH255" s="17">
        <f>IF(E255="금융","",IF(NOT(ISNUMBER(AG255)),"",IF(ISNUMBER(AA255),(AG255+AA255)/2,AG255)))</f>
        <v/>
      </c>
      <c r="AI255" s="19">
        <f>IF(AND(ISNUMBER(AE255),ISNUMBER(AH255),AH255&gt;0),AE255/AH255,"")</f>
        <v/>
      </c>
      <c r="AJ255" s="17">
        <f>IF(E255="금융","",IF(AND(ISNUMBER(P255),ISNUMBER(AF255)),P255+AF255,""))</f>
        <v/>
      </c>
      <c r="AK255" s="19">
        <f>IF(OR(NOT(ISNUMBER(AE255)),NOT(ISNUMBER(AJ255)),AJ255&lt;=0),"",IF(AND(ISNUMBER(G255),AJ255&lt;0.1*G255),"",AE255/AJ255))</f>
        <v/>
      </c>
      <c r="AL255" s="17">
        <f>IF(NOT(ISNUMBER(P255)),"",IF(ISNUMBER(Q255),(P255+Q255)/2,P255))</f>
        <v/>
      </c>
      <c r="AM255" s="19">
        <f>IF(AND(ISNUMBER(L255),ISNUMBER(AL255),AL255&gt;0),L255/AL255,"")</f>
        <v/>
      </c>
      <c r="AN255" s="19">
        <f>IF(AND(ISNUMBER(AM255),ISNUMBER({ROIC})),AM255-{ROIC},"")</f>
        <v/>
      </c>
      <c r="AO255" s="17">
        <f>IF(AND(ISNUMBER(AC255),ISNUMBER(M255)),AC255+M255,"")</f>
        <v/>
      </c>
      <c r="AP255" s="20">
        <f>IF(AND(ISNUMBER(AF255),ISNUMBER(R255),ISNUMBER(AO255),AO255&gt;0),(AF255-R255)/AO255,"")</f>
        <v/>
      </c>
      <c r="AQ255" s="20">
        <f>IF(AND(ISNUMBER(AC255),ISNUMBER(I255),I255&lt;&gt;0,AC255&gt;0),AC255/I255,"")</f>
        <v/>
      </c>
      <c r="AR255" s="17">
        <f>IF(AND(ISNUMBER(W255),ISNUMBER(Y255)),W255-IF(ISNUMBER(R255),R255,0)-(Y255-IF(ISNUMBER(T255),T255,0)),"")</f>
        <v/>
      </c>
      <c r="AS255" s="17">
        <f>IF(AND(ISNUMBER(X255),ISNUMBER(Z255)),X255-IF(ISNUMBER(S255),S255,0)-(Z255-IF(ISNUMBER(U255),U255,0)),"")</f>
        <v/>
      </c>
      <c r="AT255" s="17">
        <f>IF(AND(ISNUMBER(AR255),ISNUMBER(AS255)),AR255-AS255,"")</f>
        <v/>
      </c>
      <c r="AU255" s="17">
        <f>IF(E255="금융","",IF(AND(ISNUMBER(L255),ISNUMBER(M255),ISNUMBER(N255),ISNUMBER(AT255)),L255+M255-N255-AT255,IF(AND(ISNUMBER(O255),ISNUMBER(N255)),O255-N255,"")))</f>
        <v/>
      </c>
      <c r="AV255" s="8">
        <f>IF(E255="금융","금융업 - 정의되지 않음",IF(AND(ISNUMBER(L255),ISNUMBER(M255),ISNUMBER(N255),ISNUMBER(AT255)),"순이익+감가상각-설비투자-운전자본증감",IF(AND(ISNUMBER(O255),ISNUMBER(N255)),"영업현금흐름-설비투자","산출불가")))</f>
        <v/>
      </c>
      <c r="AW255" s="19">
        <f>IF(AND(ISNUMBER(AU255),ISNUMBER(G255),G255&lt;&gt;0),AU255/G255,"")</f>
        <v/>
      </c>
      <c r="AX255" s="19">
        <f>IF(AND(ISNUMBER(AC255),ISNUMBER(G255),G255&lt;&gt;0),AC255/G255,"")</f>
        <v/>
      </c>
    </row>
    <row r="256">
      <c r="A256" s="8" t="inlineStr">
        <is>
          <t>ABBV</t>
        </is>
      </c>
      <c r="B256" s="8" t="inlineStr">
        <is>
          <t>AbbVie Inc.</t>
        </is>
      </c>
      <c r="C256" s="8" t="n">
        <v>2015</v>
      </c>
      <c r="D256" s="8" t="inlineStr">
        <is>
          <t>2015-12-31</t>
        </is>
      </c>
      <c r="E256" s="8" t="inlineStr">
        <is>
          <t>일반</t>
        </is>
      </c>
      <c r="F256" s="8" t="inlineStr">
        <is>
          <t>0001551152-18-000014</t>
        </is>
      </c>
      <c r="G256" s="15" t="n"/>
      <c r="H256" s="15" t="n">
        <v>6.645</v>
      </c>
      <c r="I256" s="15" t="n">
        <v>0.719</v>
      </c>
      <c r="J256" s="15" t="n">
        <v>1.501</v>
      </c>
      <c r="K256" s="15" t="n">
        <v>7.537</v>
      </c>
      <c r="L256" s="15" t="n">
        <v>5.144</v>
      </c>
      <c r="M256" s="15" t="n">
        <v>0.417</v>
      </c>
      <c r="N256" s="15" t="n">
        <v>0.532</v>
      </c>
      <c r="O256" s="15" t="n"/>
      <c r="P256" s="15" t="n">
        <v>3.945</v>
      </c>
      <c r="Q256" s="15" t="n">
        <v>1.742</v>
      </c>
      <c r="R256" s="15" t="n">
        <v>8.407</v>
      </c>
      <c r="S256" s="15" t="n">
        <v>8.374000000000001</v>
      </c>
      <c r="T256" s="15" t="n">
        <v>0.406</v>
      </c>
      <c r="U256" s="15" t="n">
        <v>0.425</v>
      </c>
      <c r="V256" s="15" t="n">
        <v>29.24</v>
      </c>
      <c r="W256" s="15" t="n">
        <v>16.314</v>
      </c>
      <c r="X256" s="15" t="n">
        <v>16.081</v>
      </c>
      <c r="Y256" s="15" t="n">
        <v>10.894</v>
      </c>
      <c r="Z256" s="15" t="n">
        <v>11.393</v>
      </c>
      <c r="AA256" s="15" t="n">
        <v>4.331</v>
      </c>
      <c r="AB256" s="16" t="n">
        <v>1637</v>
      </c>
      <c r="AC256" s="17">
        <f>IF(AND(ISNUMBER(H256),ISNUMBER(I256)),H256+I256,IF(ISNUMBER(K256),K256,IF(ISNUMBER(H256),H256,"")))</f>
        <v/>
      </c>
      <c r="AD256" s="18">
        <f>IF(OR(NOT(ISNUMBER(J256)),NOT(ISNUMBER(H256)),H256&lt;=0),기준표!$B$8,MIN(MAX(J256/H256,기준표!$B$6),기준표!$B$7))</f>
        <v/>
      </c>
      <c r="AE256" s="17">
        <f>IF(ISNUMBER(AC256),AC256*(1-AD256),"")</f>
        <v/>
      </c>
      <c r="AF256" s="17">
        <f>IF(AND(NOT(ISNUMBER(T256)),NOT(ISNUMBER(V256))),"",IF(ISNUMBER(T256),T256,0)+IF(ISNUMBER(V256),V256,0))</f>
        <v/>
      </c>
      <c r="AG256" s="17">
        <f>IF(E256="금융","",IF(AND(ISNUMBER(P256),ISNUMBER(AF256),ISNUMBER(R256)),P256+AF256-R256,""))</f>
        <v/>
      </c>
      <c r="AH256" s="17">
        <f>IF(E256="금융","",IF(NOT(ISNUMBER(AG256)),"",IF(ISNUMBER(AA256),(AG256+AA256)/2,AG256)))</f>
        <v/>
      </c>
      <c r="AI256" s="19">
        <f>IF(AND(ISNUMBER(AE256),ISNUMBER(AH256),AH256&gt;0),AE256/AH256,"")</f>
        <v/>
      </c>
      <c r="AJ256" s="17">
        <f>IF(E256="금융","",IF(AND(ISNUMBER(P256),ISNUMBER(AF256)),P256+AF256,""))</f>
        <v/>
      </c>
      <c r="AK256" s="19">
        <f>IF(OR(NOT(ISNUMBER(AE256)),NOT(ISNUMBER(AJ256)),AJ256&lt;=0),"",IF(AND(ISNUMBER(G256),AJ256&lt;0.1*G256),"",AE256/AJ256))</f>
        <v/>
      </c>
      <c r="AL256" s="17">
        <f>IF(NOT(ISNUMBER(P256)),"",IF(ISNUMBER(Q256),(P256+Q256)/2,P256))</f>
        <v/>
      </c>
      <c r="AM256" s="19">
        <f>IF(AND(ISNUMBER(L256),ISNUMBER(AL256),AL256&gt;0),L256/AL256,"")</f>
        <v/>
      </c>
      <c r="AN256" s="19">
        <f>IF(AND(ISNUMBER(AM256),ISNUMBER({ROIC})),AM256-{ROIC},"")</f>
        <v/>
      </c>
      <c r="AO256" s="17">
        <f>IF(AND(ISNUMBER(AC256),ISNUMBER(M256)),AC256+M256,"")</f>
        <v/>
      </c>
      <c r="AP256" s="20">
        <f>IF(AND(ISNUMBER(AF256),ISNUMBER(R256),ISNUMBER(AO256),AO256&gt;0),(AF256-R256)/AO256,"")</f>
        <v/>
      </c>
      <c r="AQ256" s="20">
        <f>IF(AND(ISNUMBER(AC256),ISNUMBER(I256),I256&lt;&gt;0,AC256&gt;0),AC256/I256,"")</f>
        <v/>
      </c>
      <c r="AR256" s="17">
        <f>IF(AND(ISNUMBER(W256),ISNUMBER(Y256)),W256-IF(ISNUMBER(R256),R256,0)-(Y256-IF(ISNUMBER(T256),T256,0)),"")</f>
        <v/>
      </c>
      <c r="AS256" s="17">
        <f>IF(AND(ISNUMBER(X256),ISNUMBER(Z256)),X256-IF(ISNUMBER(S256),S256,0)-(Z256-IF(ISNUMBER(U256),U256,0)),"")</f>
        <v/>
      </c>
      <c r="AT256" s="17">
        <f>IF(AND(ISNUMBER(AR256),ISNUMBER(AS256)),AR256-AS256,"")</f>
        <v/>
      </c>
      <c r="AU256" s="17">
        <f>IF(E256="금융","",IF(AND(ISNUMBER(L256),ISNUMBER(M256),ISNUMBER(N256),ISNUMBER(AT256)),L256+M256-N256-AT256,IF(AND(ISNUMBER(O256),ISNUMBER(N256)),O256-N256,"")))</f>
        <v/>
      </c>
      <c r="AV256" s="8">
        <f>IF(E256="금융","금융업 - 정의되지 않음",IF(AND(ISNUMBER(L256),ISNUMBER(M256),ISNUMBER(N256),ISNUMBER(AT256)),"순이익+감가상각-설비투자-운전자본증감",IF(AND(ISNUMBER(O256),ISNUMBER(N256)),"영업현금흐름-설비투자","산출불가")))</f>
        <v/>
      </c>
      <c r="AW256" s="19">
        <f>IF(AND(ISNUMBER(AU256),ISNUMBER(G256),G256&lt;&gt;0),AU256/G256,"")</f>
        <v/>
      </c>
      <c r="AX256" s="19">
        <f>IF(AND(ISNUMBER(AC256),ISNUMBER(G256),G256&lt;&gt;0),AC256/G256,"")</f>
        <v/>
      </c>
    </row>
    <row r="257">
      <c r="A257" s="8" t="inlineStr">
        <is>
          <t>ABBV</t>
        </is>
      </c>
      <c r="B257" s="8" t="inlineStr">
        <is>
          <t>AbbVie Inc.</t>
        </is>
      </c>
      <c r="C257" s="8" t="n">
        <v>2016</v>
      </c>
      <c r="D257" s="8" t="inlineStr">
        <is>
          <t>2016-12-31</t>
        </is>
      </c>
      <c r="E257" s="8" t="inlineStr">
        <is>
          <t>일반</t>
        </is>
      </c>
      <c r="F257" s="8" t="inlineStr">
        <is>
          <t>0001551152-19-000008</t>
        </is>
      </c>
      <c r="G257" s="15" t="n">
        <v>25.638</v>
      </c>
      <c r="H257" s="15" t="n">
        <v>7.884</v>
      </c>
      <c r="I257" s="15" t="n">
        <v>1.047</v>
      </c>
      <c r="J257" s="15" t="n">
        <v>1.931</v>
      </c>
      <c r="K257" s="15" t="n">
        <v>9.34</v>
      </c>
      <c r="L257" s="15" t="n">
        <v>5.953</v>
      </c>
      <c r="M257" s="15" t="n">
        <v>0.425</v>
      </c>
      <c r="N257" s="15" t="n">
        <v>0.479</v>
      </c>
      <c r="O257" s="15" t="n"/>
      <c r="P257" s="15" t="n">
        <v>4.636</v>
      </c>
      <c r="Q257" s="15" t="n">
        <v>3.945</v>
      </c>
      <c r="R257" s="15" t="n">
        <v>6.423</v>
      </c>
      <c r="S257" s="15" t="n">
        <v>8.407</v>
      </c>
      <c r="T257" s="15" t="n">
        <v>0.377</v>
      </c>
      <c r="U257" s="15" t="n">
        <v>0.406</v>
      </c>
      <c r="V257" s="15" t="n">
        <v>36.44</v>
      </c>
      <c r="W257" s="15" t="n">
        <v>16.187</v>
      </c>
      <c r="X257" s="15" t="n">
        <v>16.314</v>
      </c>
      <c r="Y257" s="15" t="n">
        <v>9.781000000000001</v>
      </c>
      <c r="Z257" s="15" t="n">
        <v>10.894</v>
      </c>
      <c r="AA257" s="15" t="n">
        <v>25.184</v>
      </c>
      <c r="AB257" s="16" t="n">
        <v>1631</v>
      </c>
      <c r="AC257" s="17">
        <f>IF(AND(ISNUMBER(H257),ISNUMBER(I257)),H257+I257,IF(ISNUMBER(K257),K257,IF(ISNUMBER(H257),H257,"")))</f>
        <v/>
      </c>
      <c r="AD257" s="18">
        <f>IF(OR(NOT(ISNUMBER(J257)),NOT(ISNUMBER(H257)),H257&lt;=0),기준표!$B$8,MIN(MAX(J257/H257,기준표!$B$6),기준표!$B$7))</f>
        <v/>
      </c>
      <c r="AE257" s="17">
        <f>IF(ISNUMBER(AC257),AC257*(1-AD257),"")</f>
        <v/>
      </c>
      <c r="AF257" s="17">
        <f>IF(AND(NOT(ISNUMBER(T257)),NOT(ISNUMBER(V257))),"",IF(ISNUMBER(T257),T257,0)+IF(ISNUMBER(V257),V257,0))</f>
        <v/>
      </c>
      <c r="AG257" s="17">
        <f>IF(E257="금융","",IF(AND(ISNUMBER(P257),ISNUMBER(AF257),ISNUMBER(R257)),P257+AF257-R257,""))</f>
        <v/>
      </c>
      <c r="AH257" s="17">
        <f>IF(E257="금융","",IF(NOT(ISNUMBER(AG257)),"",IF(ISNUMBER(AA257),(AG257+AA257)/2,AG257)))</f>
        <v/>
      </c>
      <c r="AI257" s="19">
        <f>IF(AND(ISNUMBER(AE257),ISNUMBER(AH257),AH257&gt;0),AE257/AH257,"")</f>
        <v/>
      </c>
      <c r="AJ257" s="17">
        <f>IF(E257="금융","",IF(AND(ISNUMBER(P257),ISNUMBER(AF257)),P257+AF257,""))</f>
        <v/>
      </c>
      <c r="AK257" s="19">
        <f>IF(OR(NOT(ISNUMBER(AE257)),NOT(ISNUMBER(AJ257)),AJ257&lt;=0),"",IF(AND(ISNUMBER(G257),AJ257&lt;0.1*G257),"",AE257/AJ257))</f>
        <v/>
      </c>
      <c r="AL257" s="17">
        <f>IF(NOT(ISNUMBER(P257)),"",IF(ISNUMBER(Q257),(P257+Q257)/2,P257))</f>
        <v/>
      </c>
      <c r="AM257" s="19">
        <f>IF(AND(ISNUMBER(L257),ISNUMBER(AL257),AL257&gt;0),L257/AL257,"")</f>
        <v/>
      </c>
      <c r="AN257" s="19">
        <f>IF(AND(ISNUMBER(AM257),ISNUMBER({ROIC})),AM257-{ROIC},"")</f>
        <v/>
      </c>
      <c r="AO257" s="17">
        <f>IF(AND(ISNUMBER(AC257),ISNUMBER(M257)),AC257+M257,"")</f>
        <v/>
      </c>
      <c r="AP257" s="20">
        <f>IF(AND(ISNUMBER(AF257),ISNUMBER(R257),ISNUMBER(AO257),AO257&gt;0),(AF257-R257)/AO257,"")</f>
        <v/>
      </c>
      <c r="AQ257" s="20">
        <f>IF(AND(ISNUMBER(AC257),ISNUMBER(I257),I257&lt;&gt;0,AC257&gt;0),AC257/I257,"")</f>
        <v/>
      </c>
      <c r="AR257" s="17">
        <f>IF(AND(ISNUMBER(W257),ISNUMBER(Y257)),W257-IF(ISNUMBER(R257),R257,0)-(Y257-IF(ISNUMBER(T257),T257,0)),"")</f>
        <v/>
      </c>
      <c r="AS257" s="17">
        <f>IF(AND(ISNUMBER(X257),ISNUMBER(Z257)),X257-IF(ISNUMBER(S257),S257,0)-(Z257-IF(ISNUMBER(U257),U257,0)),"")</f>
        <v/>
      </c>
      <c r="AT257" s="17">
        <f>IF(AND(ISNUMBER(AR257),ISNUMBER(AS257)),AR257-AS257,"")</f>
        <v/>
      </c>
      <c r="AU257" s="17">
        <f>IF(E257="금융","",IF(AND(ISNUMBER(L257),ISNUMBER(M257),ISNUMBER(N257),ISNUMBER(AT257)),L257+M257-N257-AT257,IF(AND(ISNUMBER(O257),ISNUMBER(N257)),O257-N257,"")))</f>
        <v/>
      </c>
      <c r="AV257" s="8">
        <f>IF(E257="금융","금융업 - 정의되지 않음",IF(AND(ISNUMBER(L257),ISNUMBER(M257),ISNUMBER(N257),ISNUMBER(AT257)),"순이익+감가상각-설비투자-운전자본증감",IF(AND(ISNUMBER(O257),ISNUMBER(N257)),"영업현금흐름-설비투자","산출불가")))</f>
        <v/>
      </c>
      <c r="AW257" s="19">
        <f>IF(AND(ISNUMBER(AU257),ISNUMBER(G257),G257&lt;&gt;0),AU257/G257,"")</f>
        <v/>
      </c>
      <c r="AX257" s="19">
        <f>IF(AND(ISNUMBER(AC257),ISNUMBER(G257),G257&lt;&gt;0),AC257/G257,"")</f>
        <v/>
      </c>
    </row>
    <row r="258">
      <c r="A258" s="8" t="inlineStr">
        <is>
          <t>ABBV</t>
        </is>
      </c>
      <c r="B258" s="8" t="inlineStr">
        <is>
          <t>AbbVie Inc.</t>
        </is>
      </c>
      <c r="C258" s="8" t="n">
        <v>2017</v>
      </c>
      <c r="D258" s="8" t="inlineStr">
        <is>
          <t>2017-12-31</t>
        </is>
      </c>
      <c r="E258" s="8" t="inlineStr">
        <is>
          <t>일반</t>
        </is>
      </c>
      <c r="F258" s="8" t="inlineStr">
        <is>
          <t>0001551152-20-000007</t>
        </is>
      </c>
      <c r="G258" s="15" t="n">
        <v>28.216</v>
      </c>
      <c r="H258" s="15" t="n">
        <v>7.727</v>
      </c>
      <c r="I258" s="15" t="n">
        <v>1.15</v>
      </c>
      <c r="J258" s="15" t="n">
        <v>2.418</v>
      </c>
      <c r="K258" s="15" t="n">
        <v>9.545</v>
      </c>
      <c r="L258" s="15" t="n">
        <v>5.309</v>
      </c>
      <c r="M258" s="15" t="n">
        <v>0.425</v>
      </c>
      <c r="N258" s="15" t="n">
        <v>0.529</v>
      </c>
      <c r="O258" s="15" t="n">
        <v>9.960000000000001</v>
      </c>
      <c r="P258" s="15" t="n">
        <v>5.097</v>
      </c>
      <c r="Q258" s="15" t="n">
        <v>4.636</v>
      </c>
      <c r="R258" s="15" t="n">
        <v>9.789</v>
      </c>
      <c r="S258" s="15" t="n">
        <v>6.423</v>
      </c>
      <c r="T258" s="15" t="n">
        <v>0.4</v>
      </c>
      <c r="U258" s="15" t="n">
        <v>0.377</v>
      </c>
      <c r="V258" s="15" t="n">
        <v>30.953</v>
      </c>
      <c r="W258" s="15" t="n">
        <v>21.223</v>
      </c>
      <c r="X258" s="15" t="n">
        <v>16.187</v>
      </c>
      <c r="Y258" s="15" t="n">
        <v>16.641</v>
      </c>
      <c r="Z258" s="15" t="n">
        <v>9.781000000000001</v>
      </c>
      <c r="AA258" s="15" t="n">
        <v>35.03</v>
      </c>
      <c r="AB258" s="16" t="n">
        <v>1603</v>
      </c>
      <c r="AC258" s="17">
        <f>IF(AND(ISNUMBER(H258),ISNUMBER(I258)),H258+I258,IF(ISNUMBER(K258),K258,IF(ISNUMBER(H258),H258,"")))</f>
        <v/>
      </c>
      <c r="AD258" s="18">
        <f>IF(OR(NOT(ISNUMBER(J258)),NOT(ISNUMBER(H258)),H258&lt;=0),기준표!$B$8,MIN(MAX(J258/H258,기준표!$B$6),기준표!$B$7))</f>
        <v/>
      </c>
      <c r="AE258" s="17">
        <f>IF(ISNUMBER(AC258),AC258*(1-AD258),"")</f>
        <v/>
      </c>
      <c r="AF258" s="17">
        <f>IF(AND(NOT(ISNUMBER(T258)),NOT(ISNUMBER(V258))),"",IF(ISNUMBER(T258),T258,0)+IF(ISNUMBER(V258),V258,0))</f>
        <v/>
      </c>
      <c r="AG258" s="17">
        <f>IF(E258="금융","",IF(AND(ISNUMBER(P258),ISNUMBER(AF258),ISNUMBER(R258)),P258+AF258-R258,""))</f>
        <v/>
      </c>
      <c r="AH258" s="17">
        <f>IF(E258="금융","",IF(NOT(ISNUMBER(AG258)),"",IF(ISNUMBER(AA258),(AG258+AA258)/2,AG258)))</f>
        <v/>
      </c>
      <c r="AI258" s="19">
        <f>IF(AND(ISNUMBER(AE258),ISNUMBER(AH258),AH258&gt;0),AE258/AH258,"")</f>
        <v/>
      </c>
      <c r="AJ258" s="17">
        <f>IF(E258="금융","",IF(AND(ISNUMBER(P258),ISNUMBER(AF258)),P258+AF258,""))</f>
        <v/>
      </c>
      <c r="AK258" s="19">
        <f>IF(OR(NOT(ISNUMBER(AE258)),NOT(ISNUMBER(AJ258)),AJ258&lt;=0),"",IF(AND(ISNUMBER(G258),AJ258&lt;0.1*G258),"",AE258/AJ258))</f>
        <v/>
      </c>
      <c r="AL258" s="17">
        <f>IF(NOT(ISNUMBER(P258)),"",IF(ISNUMBER(Q258),(P258+Q258)/2,P258))</f>
        <v/>
      </c>
      <c r="AM258" s="19">
        <f>IF(AND(ISNUMBER(L258),ISNUMBER(AL258),AL258&gt;0),L258/AL258,"")</f>
        <v/>
      </c>
      <c r="AN258" s="19">
        <f>IF(AND(ISNUMBER(AM258),ISNUMBER({ROIC})),AM258-{ROIC},"")</f>
        <v/>
      </c>
      <c r="AO258" s="17">
        <f>IF(AND(ISNUMBER(AC258),ISNUMBER(M258)),AC258+M258,"")</f>
        <v/>
      </c>
      <c r="AP258" s="20">
        <f>IF(AND(ISNUMBER(AF258),ISNUMBER(R258),ISNUMBER(AO258),AO258&gt;0),(AF258-R258)/AO258,"")</f>
        <v/>
      </c>
      <c r="AQ258" s="20">
        <f>IF(AND(ISNUMBER(AC258),ISNUMBER(I258),I258&lt;&gt;0,AC258&gt;0),AC258/I258,"")</f>
        <v/>
      </c>
      <c r="AR258" s="17">
        <f>IF(AND(ISNUMBER(W258),ISNUMBER(Y258)),W258-IF(ISNUMBER(R258),R258,0)-(Y258-IF(ISNUMBER(T258),T258,0)),"")</f>
        <v/>
      </c>
      <c r="AS258" s="17">
        <f>IF(AND(ISNUMBER(X258),ISNUMBER(Z258)),X258-IF(ISNUMBER(S258),S258,0)-(Z258-IF(ISNUMBER(U258),U258,0)),"")</f>
        <v/>
      </c>
      <c r="AT258" s="17">
        <f>IF(AND(ISNUMBER(AR258),ISNUMBER(AS258)),AR258-AS258,"")</f>
        <v/>
      </c>
      <c r="AU258" s="17">
        <f>IF(E258="금융","",IF(AND(ISNUMBER(L258),ISNUMBER(M258),ISNUMBER(N258),ISNUMBER(AT258)),L258+M258-N258-AT258,IF(AND(ISNUMBER(O258),ISNUMBER(N258)),O258-N258,"")))</f>
        <v/>
      </c>
      <c r="AV258" s="8">
        <f>IF(E258="금융","금융업 - 정의되지 않음",IF(AND(ISNUMBER(L258),ISNUMBER(M258),ISNUMBER(N258),ISNUMBER(AT258)),"순이익+감가상각-설비투자-운전자본증감",IF(AND(ISNUMBER(O258),ISNUMBER(N258)),"영업현금흐름-설비투자","산출불가")))</f>
        <v/>
      </c>
      <c r="AW258" s="19">
        <f>IF(AND(ISNUMBER(AU258),ISNUMBER(G258),G258&lt;&gt;0),AU258/G258,"")</f>
        <v/>
      </c>
      <c r="AX258" s="19">
        <f>IF(AND(ISNUMBER(AC258),ISNUMBER(G258),G258&lt;&gt;0),AC258/G258,"")</f>
        <v/>
      </c>
    </row>
    <row r="259">
      <c r="A259" s="8" t="inlineStr">
        <is>
          <t>ABBV</t>
        </is>
      </c>
      <c r="B259" s="8" t="inlineStr">
        <is>
          <t>AbbVie Inc.</t>
        </is>
      </c>
      <c r="C259" s="8" t="n">
        <v>2018</v>
      </c>
      <c r="D259" s="8" t="inlineStr">
        <is>
          <t>2018-12-31</t>
        </is>
      </c>
      <c r="E259" s="8" t="inlineStr">
        <is>
          <t>일반</t>
        </is>
      </c>
      <c r="F259" s="8" t="inlineStr">
        <is>
          <t>0001551152-21-000008</t>
        </is>
      </c>
      <c r="G259" s="15" t="n">
        <v>32.753</v>
      </c>
      <c r="H259" s="15" t="n">
        <v>5.197</v>
      </c>
      <c r="I259" s="15" t="n">
        <v>1.348</v>
      </c>
      <c r="J259" s="15" t="n">
        <v>-0.49</v>
      </c>
      <c r="K259" s="15" t="n">
        <v>6.383</v>
      </c>
      <c r="L259" s="15" t="n">
        <v>5.687</v>
      </c>
      <c r="M259" s="15" t="n">
        <v>0.471</v>
      </c>
      <c r="N259" s="15" t="n">
        <v>0.638</v>
      </c>
      <c r="O259" s="15" t="n">
        <v>13.427</v>
      </c>
      <c r="P259" s="15" t="n">
        <v>-8.446</v>
      </c>
      <c r="Q259" s="15" t="n">
        <v>5.097</v>
      </c>
      <c r="R259" s="15" t="n">
        <v>8.061</v>
      </c>
      <c r="S259" s="15" t="n">
        <v>9.789</v>
      </c>
      <c r="T259" s="15" t="n">
        <v>3.699</v>
      </c>
      <c r="U259" s="15" t="n">
        <v>0.4</v>
      </c>
      <c r="V259" s="15" t="n">
        <v>35.002</v>
      </c>
      <c r="W259" s="15" t="n">
        <v>16.945</v>
      </c>
      <c r="X259" s="15" t="n">
        <v>21.223</v>
      </c>
      <c r="Y259" s="15" t="n">
        <v>17.239</v>
      </c>
      <c r="Z259" s="15" t="n">
        <v>16.641</v>
      </c>
      <c r="AA259" s="15" t="n">
        <v>26.661</v>
      </c>
      <c r="AB259" s="16" t="n">
        <v>1546</v>
      </c>
      <c r="AC259" s="17">
        <f>IF(AND(ISNUMBER(H259),ISNUMBER(I259)),H259+I259,IF(ISNUMBER(K259),K259,IF(ISNUMBER(H259),H259,"")))</f>
        <v/>
      </c>
      <c r="AD259" s="18">
        <f>IF(OR(NOT(ISNUMBER(J259)),NOT(ISNUMBER(H259)),H259&lt;=0),기준표!$B$8,MIN(MAX(J259/H259,기준표!$B$6),기준표!$B$7))</f>
        <v/>
      </c>
      <c r="AE259" s="17">
        <f>IF(ISNUMBER(AC259),AC259*(1-AD259),"")</f>
        <v/>
      </c>
      <c r="AF259" s="17">
        <f>IF(AND(NOT(ISNUMBER(T259)),NOT(ISNUMBER(V259))),"",IF(ISNUMBER(T259),T259,0)+IF(ISNUMBER(V259),V259,0))</f>
        <v/>
      </c>
      <c r="AG259" s="17">
        <f>IF(E259="금융","",IF(AND(ISNUMBER(P259),ISNUMBER(AF259),ISNUMBER(R259)),P259+AF259-R259,""))</f>
        <v/>
      </c>
      <c r="AH259" s="17">
        <f>IF(E259="금융","",IF(NOT(ISNUMBER(AG259)),"",IF(ISNUMBER(AA259),(AG259+AA259)/2,AG259)))</f>
        <v/>
      </c>
      <c r="AI259" s="19">
        <f>IF(AND(ISNUMBER(AE259),ISNUMBER(AH259),AH259&gt;0),AE259/AH259,"")</f>
        <v/>
      </c>
      <c r="AJ259" s="17">
        <f>IF(E259="금융","",IF(AND(ISNUMBER(P259),ISNUMBER(AF259)),P259+AF259,""))</f>
        <v/>
      </c>
      <c r="AK259" s="19">
        <f>IF(OR(NOT(ISNUMBER(AE259)),NOT(ISNUMBER(AJ259)),AJ259&lt;=0),"",IF(AND(ISNUMBER(G259),AJ259&lt;0.1*G259),"",AE259/AJ259))</f>
        <v/>
      </c>
      <c r="AL259" s="17">
        <f>IF(NOT(ISNUMBER(P259)),"",IF(ISNUMBER(Q259),(P259+Q259)/2,P259))</f>
        <v/>
      </c>
      <c r="AM259" s="19">
        <f>IF(AND(ISNUMBER(L259),ISNUMBER(AL259),AL259&gt;0),L259/AL259,"")</f>
        <v/>
      </c>
      <c r="AN259" s="19">
        <f>IF(AND(ISNUMBER(AM259),ISNUMBER({ROIC})),AM259-{ROIC},"")</f>
        <v/>
      </c>
      <c r="AO259" s="17">
        <f>IF(AND(ISNUMBER(AC259),ISNUMBER(M259)),AC259+M259,"")</f>
        <v/>
      </c>
      <c r="AP259" s="20">
        <f>IF(AND(ISNUMBER(AF259),ISNUMBER(R259),ISNUMBER(AO259),AO259&gt;0),(AF259-R259)/AO259,"")</f>
        <v/>
      </c>
      <c r="AQ259" s="20">
        <f>IF(AND(ISNUMBER(AC259),ISNUMBER(I259),I259&lt;&gt;0,AC259&gt;0),AC259/I259,"")</f>
        <v/>
      </c>
      <c r="AR259" s="17">
        <f>IF(AND(ISNUMBER(W259),ISNUMBER(Y259)),W259-IF(ISNUMBER(R259),R259,0)-(Y259-IF(ISNUMBER(T259),T259,0)),"")</f>
        <v/>
      </c>
      <c r="AS259" s="17">
        <f>IF(AND(ISNUMBER(X259),ISNUMBER(Z259)),X259-IF(ISNUMBER(S259),S259,0)-(Z259-IF(ISNUMBER(U259),U259,0)),"")</f>
        <v/>
      </c>
      <c r="AT259" s="17">
        <f>IF(AND(ISNUMBER(AR259),ISNUMBER(AS259)),AR259-AS259,"")</f>
        <v/>
      </c>
      <c r="AU259" s="17">
        <f>IF(E259="금융","",IF(AND(ISNUMBER(L259),ISNUMBER(M259),ISNUMBER(N259),ISNUMBER(AT259)),L259+M259-N259-AT259,IF(AND(ISNUMBER(O259),ISNUMBER(N259)),O259-N259,"")))</f>
        <v/>
      </c>
      <c r="AV259" s="8">
        <f>IF(E259="금융","금융업 - 정의되지 않음",IF(AND(ISNUMBER(L259),ISNUMBER(M259),ISNUMBER(N259),ISNUMBER(AT259)),"순이익+감가상각-설비투자-운전자본증감",IF(AND(ISNUMBER(O259),ISNUMBER(N259)),"영업현금흐름-설비투자","산출불가")))</f>
        <v/>
      </c>
      <c r="AW259" s="19">
        <f>IF(AND(ISNUMBER(AU259),ISNUMBER(G259),G259&lt;&gt;0),AU259/G259,"")</f>
        <v/>
      </c>
      <c r="AX259" s="19">
        <f>IF(AND(ISNUMBER(AC259),ISNUMBER(G259),G259&lt;&gt;0),AC259/G259,"")</f>
        <v/>
      </c>
    </row>
    <row r="260">
      <c r="A260" s="8" t="inlineStr">
        <is>
          <t>ABBV</t>
        </is>
      </c>
      <c r="B260" s="8" t="inlineStr">
        <is>
          <t>AbbVie Inc.</t>
        </is>
      </c>
      <c r="C260" s="8" t="n">
        <v>2019</v>
      </c>
      <c r="D260" s="8" t="inlineStr">
        <is>
          <t>2019-12-31</t>
        </is>
      </c>
      <c r="E260" s="8" t="inlineStr">
        <is>
          <t>일반</t>
        </is>
      </c>
      <c r="F260" s="8" t="inlineStr">
        <is>
          <t>0001551152-22-000007</t>
        </is>
      </c>
      <c r="G260" s="15" t="n">
        <v>33.266</v>
      </c>
      <c r="H260" s="15" t="n">
        <v>8.426</v>
      </c>
      <c r="I260" s="15" t="n">
        <v>1.784</v>
      </c>
      <c r="J260" s="15" t="n">
        <v>0.544</v>
      </c>
      <c r="K260" s="15" t="n">
        <v>12.983</v>
      </c>
      <c r="L260" s="15" t="n">
        <v>7.882</v>
      </c>
      <c r="M260" s="15" t="n">
        <v>0.464</v>
      </c>
      <c r="N260" s="15" t="n">
        <v>0.552</v>
      </c>
      <c r="O260" s="15" t="n">
        <v>13.324</v>
      </c>
      <c r="P260" s="15" t="n">
        <v>-8.172000000000001</v>
      </c>
      <c r="Q260" s="15" t="n">
        <v>-8.446</v>
      </c>
      <c r="R260" s="15" t="n">
        <v>39.924</v>
      </c>
      <c r="S260" s="15" t="n">
        <v>8.061</v>
      </c>
      <c r="T260" s="15" t="n">
        <v>0</v>
      </c>
      <c r="U260" s="15" t="n">
        <v>3.699</v>
      </c>
      <c r="V260" s="15" t="n">
        <v>62.975</v>
      </c>
      <c r="W260" s="15" t="n">
        <v>49.519</v>
      </c>
      <c r="X260" s="15" t="n">
        <v>16.945</v>
      </c>
      <c r="Y260" s="15" t="n">
        <v>15.585</v>
      </c>
      <c r="Z260" s="15" t="n">
        <v>17.239</v>
      </c>
      <c r="AA260" s="15" t="n">
        <v>22.194</v>
      </c>
      <c r="AB260" s="16" t="n">
        <v>1484</v>
      </c>
      <c r="AC260" s="17">
        <f>IF(AND(ISNUMBER(H260),ISNUMBER(I260)),H260+I260,IF(ISNUMBER(K260),K260,IF(ISNUMBER(H260),H260,"")))</f>
        <v/>
      </c>
      <c r="AD260" s="18">
        <f>IF(OR(NOT(ISNUMBER(J260)),NOT(ISNUMBER(H260)),H260&lt;=0),기준표!$B$8,MIN(MAX(J260/H260,기준표!$B$6),기준표!$B$7))</f>
        <v/>
      </c>
      <c r="AE260" s="17">
        <f>IF(ISNUMBER(AC260),AC260*(1-AD260),"")</f>
        <v/>
      </c>
      <c r="AF260" s="17">
        <f>IF(AND(NOT(ISNUMBER(T260)),NOT(ISNUMBER(V260))),"",IF(ISNUMBER(T260),T260,0)+IF(ISNUMBER(V260),V260,0))</f>
        <v/>
      </c>
      <c r="AG260" s="17">
        <f>IF(E260="금융","",IF(AND(ISNUMBER(P260),ISNUMBER(AF260),ISNUMBER(R260)),P260+AF260-R260,""))</f>
        <v/>
      </c>
      <c r="AH260" s="17">
        <f>IF(E260="금융","",IF(NOT(ISNUMBER(AG260)),"",IF(ISNUMBER(AA260),(AG260+AA260)/2,AG260)))</f>
        <v/>
      </c>
      <c r="AI260" s="19">
        <f>IF(AND(ISNUMBER(AE260),ISNUMBER(AH260),AH260&gt;0),AE260/AH260,"")</f>
        <v/>
      </c>
      <c r="AJ260" s="17">
        <f>IF(E260="금융","",IF(AND(ISNUMBER(P260),ISNUMBER(AF260)),P260+AF260,""))</f>
        <v/>
      </c>
      <c r="AK260" s="19">
        <f>IF(OR(NOT(ISNUMBER(AE260)),NOT(ISNUMBER(AJ260)),AJ260&lt;=0),"",IF(AND(ISNUMBER(G260),AJ260&lt;0.1*G260),"",AE260/AJ260))</f>
        <v/>
      </c>
      <c r="AL260" s="17">
        <f>IF(NOT(ISNUMBER(P260)),"",IF(ISNUMBER(Q260),(P260+Q260)/2,P260))</f>
        <v/>
      </c>
      <c r="AM260" s="19">
        <f>IF(AND(ISNUMBER(L260),ISNUMBER(AL260),AL260&gt;0),L260/AL260,"")</f>
        <v/>
      </c>
      <c r="AN260" s="19">
        <f>IF(AND(ISNUMBER(AM260),ISNUMBER({ROIC})),AM260-{ROIC},"")</f>
        <v/>
      </c>
      <c r="AO260" s="17">
        <f>IF(AND(ISNUMBER(AC260),ISNUMBER(M260)),AC260+M260,"")</f>
        <v/>
      </c>
      <c r="AP260" s="20">
        <f>IF(AND(ISNUMBER(AF260),ISNUMBER(R260),ISNUMBER(AO260),AO260&gt;0),(AF260-R260)/AO260,"")</f>
        <v/>
      </c>
      <c r="AQ260" s="20">
        <f>IF(AND(ISNUMBER(AC260),ISNUMBER(I260),I260&lt;&gt;0,AC260&gt;0),AC260/I260,"")</f>
        <v/>
      </c>
      <c r="AR260" s="17">
        <f>IF(AND(ISNUMBER(W260),ISNUMBER(Y260)),W260-IF(ISNUMBER(R260),R260,0)-(Y260-IF(ISNUMBER(T260),T260,0)),"")</f>
        <v/>
      </c>
      <c r="AS260" s="17">
        <f>IF(AND(ISNUMBER(X260),ISNUMBER(Z260)),X260-IF(ISNUMBER(S260),S260,0)-(Z260-IF(ISNUMBER(U260),U260,0)),"")</f>
        <v/>
      </c>
      <c r="AT260" s="17">
        <f>IF(AND(ISNUMBER(AR260),ISNUMBER(AS260)),AR260-AS260,"")</f>
        <v/>
      </c>
      <c r="AU260" s="17">
        <f>IF(E260="금융","",IF(AND(ISNUMBER(L260),ISNUMBER(M260),ISNUMBER(N260),ISNUMBER(AT260)),L260+M260-N260-AT260,IF(AND(ISNUMBER(O260),ISNUMBER(N260)),O260-N260,"")))</f>
        <v/>
      </c>
      <c r="AV260" s="8">
        <f>IF(E260="금융","금융업 - 정의되지 않음",IF(AND(ISNUMBER(L260),ISNUMBER(M260),ISNUMBER(N260),ISNUMBER(AT260)),"순이익+감가상각-설비투자-운전자본증감",IF(AND(ISNUMBER(O260),ISNUMBER(N260)),"영업현금흐름-설비투자","산출불가")))</f>
        <v/>
      </c>
      <c r="AW260" s="19">
        <f>IF(AND(ISNUMBER(AU260),ISNUMBER(G260),G260&lt;&gt;0),AU260/G260,"")</f>
        <v/>
      </c>
      <c r="AX260" s="19">
        <f>IF(AND(ISNUMBER(AC260),ISNUMBER(G260),G260&lt;&gt;0),AC260/G260,"")</f>
        <v/>
      </c>
    </row>
    <row r="261">
      <c r="A261" s="8" t="inlineStr">
        <is>
          <t>ABBV</t>
        </is>
      </c>
      <c r="B261" s="8" t="inlineStr">
        <is>
          <t>AbbVie Inc.</t>
        </is>
      </c>
      <c r="C261" s="8" t="n">
        <v>2020</v>
      </c>
      <c r="D261" s="8" t="inlineStr">
        <is>
          <t>2020-12-31</t>
        </is>
      </c>
      <c r="E261" s="8" t="inlineStr">
        <is>
          <t>일반</t>
        </is>
      </c>
      <c r="F261" s="8" t="inlineStr">
        <is>
          <t>0001551152-23-000011</t>
        </is>
      </c>
      <c r="G261" s="15" t="n">
        <v>45.804</v>
      </c>
      <c r="H261" s="15" t="n">
        <v>3.398</v>
      </c>
      <c r="I261" s="15" t="n">
        <v>2.454</v>
      </c>
      <c r="J261" s="15" t="n">
        <v>-1.224</v>
      </c>
      <c r="K261" s="15" t="n">
        <v>11.363</v>
      </c>
      <c r="L261" s="15" t="n">
        <v>4.616</v>
      </c>
      <c r="M261" s="15" t="n">
        <v>0.666</v>
      </c>
      <c r="N261" s="15" t="n">
        <v>0.798</v>
      </c>
      <c r="O261" s="15" t="n">
        <v>17.588</v>
      </c>
      <c r="P261" s="15" t="n">
        <v>13.076</v>
      </c>
      <c r="Q261" s="15" t="n">
        <v>-8.172000000000001</v>
      </c>
      <c r="R261" s="15" t="n">
        <v>8.478999999999999</v>
      </c>
      <c r="S261" s="15" t="n">
        <v>39.924</v>
      </c>
      <c r="T261" s="15" t="n">
        <v>0.034</v>
      </c>
      <c r="U261" s="15" t="n">
        <v>0</v>
      </c>
      <c r="V261" s="15" t="n">
        <v>77.554</v>
      </c>
      <c r="W261" s="15" t="n">
        <v>24.173</v>
      </c>
      <c r="X261" s="15" t="n">
        <v>49.519</v>
      </c>
      <c r="Y261" s="15" t="n">
        <v>28.661</v>
      </c>
      <c r="Z261" s="15" t="n">
        <v>15.585</v>
      </c>
      <c r="AA261" s="15" t="n">
        <v>14.879</v>
      </c>
      <c r="AB261" s="16" t="n">
        <v>1673</v>
      </c>
      <c r="AC261" s="17">
        <f>IF(AND(ISNUMBER(H261),ISNUMBER(I261)),H261+I261,IF(ISNUMBER(K261),K261,IF(ISNUMBER(H261),H261,"")))</f>
        <v/>
      </c>
      <c r="AD261" s="18">
        <f>IF(OR(NOT(ISNUMBER(J261)),NOT(ISNUMBER(H261)),H261&lt;=0),기준표!$B$8,MIN(MAX(J261/H261,기준표!$B$6),기준표!$B$7))</f>
        <v/>
      </c>
      <c r="AE261" s="17">
        <f>IF(ISNUMBER(AC261),AC261*(1-AD261),"")</f>
        <v/>
      </c>
      <c r="AF261" s="17">
        <f>IF(AND(NOT(ISNUMBER(T261)),NOT(ISNUMBER(V261))),"",IF(ISNUMBER(T261),T261,0)+IF(ISNUMBER(V261),V261,0))</f>
        <v/>
      </c>
      <c r="AG261" s="17">
        <f>IF(E261="금융","",IF(AND(ISNUMBER(P261),ISNUMBER(AF261),ISNUMBER(R261)),P261+AF261-R261,""))</f>
        <v/>
      </c>
      <c r="AH261" s="17">
        <f>IF(E261="금융","",IF(NOT(ISNUMBER(AG261)),"",IF(ISNUMBER(AA261),(AG261+AA261)/2,AG261)))</f>
        <v/>
      </c>
      <c r="AI261" s="19">
        <f>IF(AND(ISNUMBER(AE261),ISNUMBER(AH261),AH261&gt;0),AE261/AH261,"")</f>
        <v/>
      </c>
      <c r="AJ261" s="17">
        <f>IF(E261="금융","",IF(AND(ISNUMBER(P261),ISNUMBER(AF261)),P261+AF261,""))</f>
        <v/>
      </c>
      <c r="AK261" s="19">
        <f>IF(OR(NOT(ISNUMBER(AE261)),NOT(ISNUMBER(AJ261)),AJ261&lt;=0),"",IF(AND(ISNUMBER(G261),AJ261&lt;0.1*G261),"",AE261/AJ261))</f>
        <v/>
      </c>
      <c r="AL261" s="17">
        <f>IF(NOT(ISNUMBER(P261)),"",IF(ISNUMBER(Q261),(P261+Q261)/2,P261))</f>
        <v/>
      </c>
      <c r="AM261" s="19">
        <f>IF(AND(ISNUMBER(L261),ISNUMBER(AL261),AL261&gt;0),L261/AL261,"")</f>
        <v/>
      </c>
      <c r="AN261" s="19">
        <f>IF(AND(ISNUMBER(AM261),ISNUMBER({ROIC})),AM261-{ROIC},"")</f>
        <v/>
      </c>
      <c r="AO261" s="17">
        <f>IF(AND(ISNUMBER(AC261),ISNUMBER(M261)),AC261+M261,"")</f>
        <v/>
      </c>
      <c r="AP261" s="20">
        <f>IF(AND(ISNUMBER(AF261),ISNUMBER(R261),ISNUMBER(AO261),AO261&gt;0),(AF261-R261)/AO261,"")</f>
        <v/>
      </c>
      <c r="AQ261" s="20">
        <f>IF(AND(ISNUMBER(AC261),ISNUMBER(I261),I261&lt;&gt;0,AC261&gt;0),AC261/I261,"")</f>
        <v/>
      </c>
      <c r="AR261" s="17">
        <f>IF(AND(ISNUMBER(W261),ISNUMBER(Y261)),W261-IF(ISNUMBER(R261),R261,0)-(Y261-IF(ISNUMBER(T261),T261,0)),"")</f>
        <v/>
      </c>
      <c r="AS261" s="17">
        <f>IF(AND(ISNUMBER(X261),ISNUMBER(Z261)),X261-IF(ISNUMBER(S261),S261,0)-(Z261-IF(ISNUMBER(U261),U261,0)),"")</f>
        <v/>
      </c>
      <c r="AT261" s="17">
        <f>IF(AND(ISNUMBER(AR261),ISNUMBER(AS261)),AR261-AS261,"")</f>
        <v/>
      </c>
      <c r="AU261" s="17">
        <f>IF(E261="금융","",IF(AND(ISNUMBER(L261),ISNUMBER(M261),ISNUMBER(N261),ISNUMBER(AT261)),L261+M261-N261-AT261,IF(AND(ISNUMBER(O261),ISNUMBER(N261)),O261-N261,"")))</f>
        <v/>
      </c>
      <c r="AV261" s="8">
        <f>IF(E261="금융","금융업 - 정의되지 않음",IF(AND(ISNUMBER(L261),ISNUMBER(M261),ISNUMBER(N261),ISNUMBER(AT261)),"순이익+감가상각-설비투자-운전자본증감",IF(AND(ISNUMBER(O261),ISNUMBER(N261)),"영업현금흐름-설비투자","산출불가")))</f>
        <v/>
      </c>
      <c r="AW261" s="19">
        <f>IF(AND(ISNUMBER(AU261),ISNUMBER(G261),G261&lt;&gt;0),AU261/G261,"")</f>
        <v/>
      </c>
      <c r="AX261" s="19">
        <f>IF(AND(ISNUMBER(AC261),ISNUMBER(G261),G261&lt;&gt;0),AC261/G261,"")</f>
        <v/>
      </c>
    </row>
    <row r="262">
      <c r="A262" s="8" t="inlineStr">
        <is>
          <t>ABBV</t>
        </is>
      </c>
      <c r="B262" s="8" t="inlineStr">
        <is>
          <t>AbbVie Inc.</t>
        </is>
      </c>
      <c r="C262" s="8" t="n">
        <v>2021</v>
      </c>
      <c r="D262" s="8" t="inlineStr">
        <is>
          <t>2021-12-31</t>
        </is>
      </c>
      <c r="E262" s="8" t="inlineStr">
        <is>
          <t>일반</t>
        </is>
      </c>
      <c r="F262" s="8" t="inlineStr">
        <is>
          <t>0001551152-24-000011</t>
        </is>
      </c>
      <c r="G262" s="15" t="n">
        <v>56.197</v>
      </c>
      <c r="H262" s="15" t="n">
        <v>12.989</v>
      </c>
      <c r="I262" s="15" t="n">
        <v>2.423</v>
      </c>
      <c r="J262" s="15" t="n">
        <v>1.44</v>
      </c>
      <c r="K262" s="15" t="n">
        <v>17.924</v>
      </c>
      <c r="L262" s="15" t="n">
        <v>11.542</v>
      </c>
      <c r="M262" s="15" t="n">
        <v>0.803</v>
      </c>
      <c r="N262" s="15" t="n">
        <v>0.787</v>
      </c>
      <c r="O262" s="15" t="n">
        <v>22.777</v>
      </c>
      <c r="P262" s="15" t="n">
        <v>15.408</v>
      </c>
      <c r="Q262" s="15" t="n">
        <v>13.076</v>
      </c>
      <c r="R262" s="15" t="n">
        <v>9.83</v>
      </c>
      <c r="S262" s="15" t="n">
        <v>8.478999999999999</v>
      </c>
      <c r="T262" s="15" t="n">
        <v>0.014</v>
      </c>
      <c r="U262" s="15" t="n">
        <v>0.034</v>
      </c>
      <c r="V262" s="15" t="n">
        <v>64.18899999999999</v>
      </c>
      <c r="W262" s="15" t="n">
        <v>27.928</v>
      </c>
      <c r="X262" s="15" t="n">
        <v>24.173</v>
      </c>
      <c r="Y262" s="15" t="n">
        <v>35.194</v>
      </c>
      <c r="Z262" s="15" t="n">
        <v>28.661</v>
      </c>
      <c r="AA262" s="15" t="n">
        <v>82.185</v>
      </c>
      <c r="AB262" s="16" t="n">
        <v>1777</v>
      </c>
      <c r="AC262" s="17">
        <f>IF(AND(ISNUMBER(H262),ISNUMBER(I262)),H262+I262,IF(ISNUMBER(K262),K262,IF(ISNUMBER(H262),H262,"")))</f>
        <v/>
      </c>
      <c r="AD262" s="18">
        <f>IF(OR(NOT(ISNUMBER(J262)),NOT(ISNUMBER(H262)),H262&lt;=0),기준표!$B$8,MIN(MAX(J262/H262,기준표!$B$6),기준표!$B$7))</f>
        <v/>
      </c>
      <c r="AE262" s="17">
        <f>IF(ISNUMBER(AC262),AC262*(1-AD262),"")</f>
        <v/>
      </c>
      <c r="AF262" s="17">
        <f>IF(AND(NOT(ISNUMBER(T262)),NOT(ISNUMBER(V262))),"",IF(ISNUMBER(T262),T262,0)+IF(ISNUMBER(V262),V262,0))</f>
        <v/>
      </c>
      <c r="AG262" s="17">
        <f>IF(E262="금융","",IF(AND(ISNUMBER(P262),ISNUMBER(AF262),ISNUMBER(R262)),P262+AF262-R262,""))</f>
        <v/>
      </c>
      <c r="AH262" s="17">
        <f>IF(E262="금융","",IF(NOT(ISNUMBER(AG262)),"",IF(ISNUMBER(AA262),(AG262+AA262)/2,AG262)))</f>
        <v/>
      </c>
      <c r="AI262" s="19">
        <f>IF(AND(ISNUMBER(AE262),ISNUMBER(AH262),AH262&gt;0),AE262/AH262,"")</f>
        <v/>
      </c>
      <c r="AJ262" s="17">
        <f>IF(E262="금융","",IF(AND(ISNUMBER(P262),ISNUMBER(AF262)),P262+AF262,""))</f>
        <v/>
      </c>
      <c r="AK262" s="19">
        <f>IF(OR(NOT(ISNUMBER(AE262)),NOT(ISNUMBER(AJ262)),AJ262&lt;=0),"",IF(AND(ISNUMBER(G262),AJ262&lt;0.1*G262),"",AE262/AJ262))</f>
        <v/>
      </c>
      <c r="AL262" s="17">
        <f>IF(NOT(ISNUMBER(P262)),"",IF(ISNUMBER(Q262),(P262+Q262)/2,P262))</f>
        <v/>
      </c>
      <c r="AM262" s="19">
        <f>IF(AND(ISNUMBER(L262),ISNUMBER(AL262),AL262&gt;0),L262/AL262,"")</f>
        <v/>
      </c>
      <c r="AN262" s="19">
        <f>IF(AND(ISNUMBER(AM262),ISNUMBER({ROIC})),AM262-{ROIC},"")</f>
        <v/>
      </c>
      <c r="AO262" s="17">
        <f>IF(AND(ISNUMBER(AC262),ISNUMBER(M262)),AC262+M262,"")</f>
        <v/>
      </c>
      <c r="AP262" s="20">
        <f>IF(AND(ISNUMBER(AF262),ISNUMBER(R262),ISNUMBER(AO262),AO262&gt;0),(AF262-R262)/AO262,"")</f>
        <v/>
      </c>
      <c r="AQ262" s="20">
        <f>IF(AND(ISNUMBER(AC262),ISNUMBER(I262),I262&lt;&gt;0,AC262&gt;0),AC262/I262,"")</f>
        <v/>
      </c>
      <c r="AR262" s="17">
        <f>IF(AND(ISNUMBER(W262),ISNUMBER(Y262)),W262-IF(ISNUMBER(R262),R262,0)-(Y262-IF(ISNUMBER(T262),T262,0)),"")</f>
        <v/>
      </c>
      <c r="AS262" s="17">
        <f>IF(AND(ISNUMBER(X262),ISNUMBER(Z262)),X262-IF(ISNUMBER(S262),S262,0)-(Z262-IF(ISNUMBER(U262),U262,0)),"")</f>
        <v/>
      </c>
      <c r="AT262" s="17">
        <f>IF(AND(ISNUMBER(AR262),ISNUMBER(AS262)),AR262-AS262,"")</f>
        <v/>
      </c>
      <c r="AU262" s="17">
        <f>IF(E262="금융","",IF(AND(ISNUMBER(L262),ISNUMBER(M262),ISNUMBER(N262),ISNUMBER(AT262)),L262+M262-N262-AT262,IF(AND(ISNUMBER(O262),ISNUMBER(N262)),O262-N262,"")))</f>
        <v/>
      </c>
      <c r="AV262" s="8">
        <f>IF(E262="금융","금융업 - 정의되지 않음",IF(AND(ISNUMBER(L262),ISNUMBER(M262),ISNUMBER(N262),ISNUMBER(AT262)),"순이익+감가상각-설비투자-운전자본증감",IF(AND(ISNUMBER(O262),ISNUMBER(N262)),"영업현금흐름-설비투자","산출불가")))</f>
        <v/>
      </c>
      <c r="AW262" s="19">
        <f>IF(AND(ISNUMBER(AU262),ISNUMBER(G262),G262&lt;&gt;0),AU262/G262,"")</f>
        <v/>
      </c>
      <c r="AX262" s="19">
        <f>IF(AND(ISNUMBER(AC262),ISNUMBER(G262),G262&lt;&gt;0),AC262/G262,"")</f>
        <v/>
      </c>
    </row>
    <row r="263">
      <c r="A263" s="8" t="inlineStr">
        <is>
          <t>ABBV</t>
        </is>
      </c>
      <c r="B263" s="8" t="inlineStr">
        <is>
          <t>AbbVie Inc.</t>
        </is>
      </c>
      <c r="C263" s="8" t="n">
        <v>2022</v>
      </c>
      <c r="D263" s="8" t="inlineStr">
        <is>
          <t>2022-12-31</t>
        </is>
      </c>
      <c r="E263" s="8" t="inlineStr">
        <is>
          <t>일반</t>
        </is>
      </c>
      <c r="F263" s="8" t="inlineStr">
        <is>
          <t>0001551152-25-000020</t>
        </is>
      </c>
      <c r="G263" s="15" t="n">
        <v>58.054</v>
      </c>
      <c r="H263" s="15" t="n">
        <v>13.477</v>
      </c>
      <c r="I263" s="15" t="n">
        <v>2.23</v>
      </c>
      <c r="J263" s="15" t="n">
        <v>1.632</v>
      </c>
      <c r="K263" s="15" t="n">
        <v>18.117</v>
      </c>
      <c r="L263" s="15" t="n">
        <v>11.836</v>
      </c>
      <c r="M263" s="15" t="n">
        <v>0.778</v>
      </c>
      <c r="N263" s="15" t="n">
        <v>0.695</v>
      </c>
      <c r="O263" s="15" t="n">
        <v>24.943</v>
      </c>
      <c r="P263" s="15" t="n">
        <v>17.254</v>
      </c>
      <c r="Q263" s="15" t="n">
        <v>15.408</v>
      </c>
      <c r="R263" s="15" t="n">
        <v>9.228999999999999</v>
      </c>
      <c r="S263" s="15" t="n">
        <v>9.83</v>
      </c>
      <c r="T263" s="15" t="n">
        <v>0.001</v>
      </c>
      <c r="U263" s="15" t="n">
        <v>0.014</v>
      </c>
      <c r="V263" s="15" t="n">
        <v>59.135</v>
      </c>
      <c r="W263" s="15" t="n">
        <v>28.463</v>
      </c>
      <c r="X263" s="15" t="n">
        <v>27.928</v>
      </c>
      <c r="Y263" s="15" t="n">
        <v>29.538</v>
      </c>
      <c r="Z263" s="15" t="n">
        <v>35.194</v>
      </c>
      <c r="AA263" s="15" t="n">
        <v>69.78100000000001</v>
      </c>
      <c r="AB263" s="16" t="n">
        <v>1778</v>
      </c>
      <c r="AC263" s="17">
        <f>IF(AND(ISNUMBER(H263),ISNUMBER(I263)),H263+I263,IF(ISNUMBER(K263),K263,IF(ISNUMBER(H263),H263,"")))</f>
        <v/>
      </c>
      <c r="AD263" s="18">
        <f>IF(OR(NOT(ISNUMBER(J263)),NOT(ISNUMBER(H263)),H263&lt;=0),기준표!$B$8,MIN(MAX(J263/H263,기준표!$B$6),기준표!$B$7))</f>
        <v/>
      </c>
      <c r="AE263" s="17">
        <f>IF(ISNUMBER(AC263),AC263*(1-AD263),"")</f>
        <v/>
      </c>
      <c r="AF263" s="17">
        <f>IF(AND(NOT(ISNUMBER(T263)),NOT(ISNUMBER(V263))),"",IF(ISNUMBER(T263),T263,0)+IF(ISNUMBER(V263),V263,0))</f>
        <v/>
      </c>
      <c r="AG263" s="17">
        <f>IF(E263="금융","",IF(AND(ISNUMBER(P263),ISNUMBER(AF263),ISNUMBER(R263)),P263+AF263-R263,""))</f>
        <v/>
      </c>
      <c r="AH263" s="17">
        <f>IF(E263="금융","",IF(NOT(ISNUMBER(AG263)),"",IF(ISNUMBER(AA263),(AG263+AA263)/2,AG263)))</f>
        <v/>
      </c>
      <c r="AI263" s="19">
        <f>IF(AND(ISNUMBER(AE263),ISNUMBER(AH263),AH263&gt;0),AE263/AH263,"")</f>
        <v/>
      </c>
      <c r="AJ263" s="17">
        <f>IF(E263="금융","",IF(AND(ISNUMBER(P263),ISNUMBER(AF263)),P263+AF263,""))</f>
        <v/>
      </c>
      <c r="AK263" s="19">
        <f>IF(OR(NOT(ISNUMBER(AE263)),NOT(ISNUMBER(AJ263)),AJ263&lt;=0),"",IF(AND(ISNUMBER(G263),AJ263&lt;0.1*G263),"",AE263/AJ263))</f>
        <v/>
      </c>
      <c r="AL263" s="17">
        <f>IF(NOT(ISNUMBER(P263)),"",IF(ISNUMBER(Q263),(P263+Q263)/2,P263))</f>
        <v/>
      </c>
      <c r="AM263" s="19">
        <f>IF(AND(ISNUMBER(L263),ISNUMBER(AL263),AL263&gt;0),L263/AL263,"")</f>
        <v/>
      </c>
      <c r="AN263" s="19">
        <f>IF(AND(ISNUMBER(AM263),ISNUMBER({ROIC})),AM263-{ROIC},"")</f>
        <v/>
      </c>
      <c r="AO263" s="17">
        <f>IF(AND(ISNUMBER(AC263),ISNUMBER(M263)),AC263+M263,"")</f>
        <v/>
      </c>
      <c r="AP263" s="20">
        <f>IF(AND(ISNUMBER(AF263),ISNUMBER(R263),ISNUMBER(AO263),AO263&gt;0),(AF263-R263)/AO263,"")</f>
        <v/>
      </c>
      <c r="AQ263" s="20">
        <f>IF(AND(ISNUMBER(AC263),ISNUMBER(I263),I263&lt;&gt;0,AC263&gt;0),AC263/I263,"")</f>
        <v/>
      </c>
      <c r="AR263" s="17">
        <f>IF(AND(ISNUMBER(W263),ISNUMBER(Y263)),W263-IF(ISNUMBER(R263),R263,0)-(Y263-IF(ISNUMBER(T263),T263,0)),"")</f>
        <v/>
      </c>
      <c r="AS263" s="17">
        <f>IF(AND(ISNUMBER(X263),ISNUMBER(Z263)),X263-IF(ISNUMBER(S263),S263,0)-(Z263-IF(ISNUMBER(U263),U263,0)),"")</f>
        <v/>
      </c>
      <c r="AT263" s="17">
        <f>IF(AND(ISNUMBER(AR263),ISNUMBER(AS263)),AR263-AS263,"")</f>
        <v/>
      </c>
      <c r="AU263" s="17">
        <f>IF(E263="금융","",IF(AND(ISNUMBER(L263),ISNUMBER(M263),ISNUMBER(N263),ISNUMBER(AT263)),L263+M263-N263-AT263,IF(AND(ISNUMBER(O263),ISNUMBER(N263)),O263-N263,"")))</f>
        <v/>
      </c>
      <c r="AV263" s="8">
        <f>IF(E263="금융","금융업 - 정의되지 않음",IF(AND(ISNUMBER(L263),ISNUMBER(M263),ISNUMBER(N263),ISNUMBER(AT263)),"순이익+감가상각-설비투자-운전자본증감",IF(AND(ISNUMBER(O263),ISNUMBER(N263)),"영업현금흐름-설비투자","산출불가")))</f>
        <v/>
      </c>
      <c r="AW263" s="19">
        <f>IF(AND(ISNUMBER(AU263),ISNUMBER(G263),G263&lt;&gt;0),AU263/G263,"")</f>
        <v/>
      </c>
      <c r="AX263" s="19">
        <f>IF(AND(ISNUMBER(AC263),ISNUMBER(G263),G263&lt;&gt;0),AC263/G263,"")</f>
        <v/>
      </c>
    </row>
    <row r="264">
      <c r="A264" s="8" t="inlineStr">
        <is>
          <t>ABBV</t>
        </is>
      </c>
      <c r="B264" s="8" t="inlineStr">
        <is>
          <t>AbbVie Inc.</t>
        </is>
      </c>
      <c r="C264" s="8" t="n">
        <v>2023</v>
      </c>
      <c r="D264" s="8" t="inlineStr">
        <is>
          <t>2023-12-31</t>
        </is>
      </c>
      <c r="E264" s="8" t="inlineStr">
        <is>
          <t>일반</t>
        </is>
      </c>
      <c r="F264" s="8" t="inlineStr">
        <is>
          <t>0001551152-26-000008</t>
        </is>
      </c>
      <c r="G264" s="15" t="n">
        <v>54.318</v>
      </c>
      <c r="H264" s="15" t="n">
        <v>6.25</v>
      </c>
      <c r="I264" s="15" t="n">
        <v>2.224</v>
      </c>
      <c r="J264" s="15" t="n">
        <v>1.377</v>
      </c>
      <c r="K264" s="15" t="n">
        <v>12.757</v>
      </c>
      <c r="L264" s="15" t="n">
        <v>4.863</v>
      </c>
      <c r="M264" s="15" t="n">
        <v>0.752</v>
      </c>
      <c r="N264" s="15" t="n">
        <v>0.777</v>
      </c>
      <c r="O264" s="15" t="n">
        <v>22.839</v>
      </c>
      <c r="P264" s="15" t="n">
        <v>10.36</v>
      </c>
      <c r="Q264" s="15" t="n">
        <v>17.254</v>
      </c>
      <c r="R264" s="15" t="n">
        <v>12.816</v>
      </c>
      <c r="S264" s="15" t="n">
        <v>9.228999999999999</v>
      </c>
      <c r="T264" s="15" t="n">
        <v>0</v>
      </c>
      <c r="U264" s="15" t="n">
        <v>0.001</v>
      </c>
      <c r="V264" s="15" t="n">
        <v>52.194</v>
      </c>
      <c r="W264" s="15" t="n">
        <v>33.002</v>
      </c>
      <c r="X264" s="15" t="n">
        <v>28.463</v>
      </c>
      <c r="Y264" s="15" t="n">
        <v>37.841</v>
      </c>
      <c r="Z264" s="15" t="n">
        <v>29.538</v>
      </c>
      <c r="AA264" s="15" t="n">
        <v>67.161</v>
      </c>
      <c r="AB264" s="16" t="n">
        <v>1773</v>
      </c>
      <c r="AC264" s="17">
        <f>IF(AND(ISNUMBER(H264),ISNUMBER(I264)),H264+I264,IF(ISNUMBER(K264),K264,IF(ISNUMBER(H264),H264,"")))</f>
        <v/>
      </c>
      <c r="AD264" s="18">
        <f>IF(OR(NOT(ISNUMBER(J264)),NOT(ISNUMBER(H264)),H264&lt;=0),기준표!$B$8,MIN(MAX(J264/H264,기준표!$B$6),기준표!$B$7))</f>
        <v/>
      </c>
      <c r="AE264" s="17">
        <f>IF(ISNUMBER(AC264),AC264*(1-AD264),"")</f>
        <v/>
      </c>
      <c r="AF264" s="17">
        <f>IF(AND(NOT(ISNUMBER(T264)),NOT(ISNUMBER(V264))),"",IF(ISNUMBER(T264),T264,0)+IF(ISNUMBER(V264),V264,0))</f>
        <v/>
      </c>
      <c r="AG264" s="17">
        <f>IF(E264="금융","",IF(AND(ISNUMBER(P264),ISNUMBER(AF264),ISNUMBER(R264)),P264+AF264-R264,""))</f>
        <v/>
      </c>
      <c r="AH264" s="17">
        <f>IF(E264="금융","",IF(NOT(ISNUMBER(AG264)),"",IF(ISNUMBER(AA264),(AG264+AA264)/2,AG264)))</f>
        <v/>
      </c>
      <c r="AI264" s="19">
        <f>IF(AND(ISNUMBER(AE264),ISNUMBER(AH264),AH264&gt;0),AE264/AH264,"")</f>
        <v/>
      </c>
      <c r="AJ264" s="17">
        <f>IF(E264="금융","",IF(AND(ISNUMBER(P264),ISNUMBER(AF264)),P264+AF264,""))</f>
        <v/>
      </c>
      <c r="AK264" s="19">
        <f>IF(OR(NOT(ISNUMBER(AE264)),NOT(ISNUMBER(AJ264)),AJ264&lt;=0),"",IF(AND(ISNUMBER(G264),AJ264&lt;0.1*G264),"",AE264/AJ264))</f>
        <v/>
      </c>
      <c r="AL264" s="17">
        <f>IF(NOT(ISNUMBER(P264)),"",IF(ISNUMBER(Q264),(P264+Q264)/2,P264))</f>
        <v/>
      </c>
      <c r="AM264" s="19">
        <f>IF(AND(ISNUMBER(L264),ISNUMBER(AL264),AL264&gt;0),L264/AL264,"")</f>
        <v/>
      </c>
      <c r="AN264" s="19">
        <f>IF(AND(ISNUMBER(AM264),ISNUMBER({ROIC})),AM264-{ROIC},"")</f>
        <v/>
      </c>
      <c r="AO264" s="17">
        <f>IF(AND(ISNUMBER(AC264),ISNUMBER(M264)),AC264+M264,"")</f>
        <v/>
      </c>
      <c r="AP264" s="20">
        <f>IF(AND(ISNUMBER(AF264),ISNUMBER(R264),ISNUMBER(AO264),AO264&gt;0),(AF264-R264)/AO264,"")</f>
        <v/>
      </c>
      <c r="AQ264" s="20">
        <f>IF(AND(ISNUMBER(AC264),ISNUMBER(I264),I264&lt;&gt;0,AC264&gt;0),AC264/I264,"")</f>
        <v/>
      </c>
      <c r="AR264" s="17">
        <f>IF(AND(ISNUMBER(W264),ISNUMBER(Y264)),W264-IF(ISNUMBER(R264),R264,0)-(Y264-IF(ISNUMBER(T264),T264,0)),"")</f>
        <v/>
      </c>
      <c r="AS264" s="17">
        <f>IF(AND(ISNUMBER(X264),ISNUMBER(Z264)),X264-IF(ISNUMBER(S264),S264,0)-(Z264-IF(ISNUMBER(U264),U264,0)),"")</f>
        <v/>
      </c>
      <c r="AT264" s="17">
        <f>IF(AND(ISNUMBER(AR264),ISNUMBER(AS264)),AR264-AS264,"")</f>
        <v/>
      </c>
      <c r="AU264" s="17">
        <f>IF(E264="금융","",IF(AND(ISNUMBER(L264),ISNUMBER(M264),ISNUMBER(N264),ISNUMBER(AT264)),L264+M264-N264-AT264,IF(AND(ISNUMBER(O264),ISNUMBER(N264)),O264-N264,"")))</f>
        <v/>
      </c>
      <c r="AV264" s="8">
        <f>IF(E264="금융","금융업 - 정의되지 않음",IF(AND(ISNUMBER(L264),ISNUMBER(M264),ISNUMBER(N264),ISNUMBER(AT264)),"순이익+감가상각-설비투자-운전자본증감",IF(AND(ISNUMBER(O264),ISNUMBER(N264)),"영업현금흐름-설비투자","산출불가")))</f>
        <v/>
      </c>
      <c r="AW264" s="19">
        <f>IF(AND(ISNUMBER(AU264),ISNUMBER(G264),G264&lt;&gt;0),AU264/G264,"")</f>
        <v/>
      </c>
      <c r="AX264" s="19">
        <f>IF(AND(ISNUMBER(AC264),ISNUMBER(G264),G264&lt;&gt;0),AC264/G264,"")</f>
        <v/>
      </c>
    </row>
    <row r="265">
      <c r="A265" s="8" t="inlineStr">
        <is>
          <t>ABBV</t>
        </is>
      </c>
      <c r="B265" s="8" t="inlineStr">
        <is>
          <t>AbbVie Inc.</t>
        </is>
      </c>
      <c r="C265" s="8" t="n">
        <v>2024</v>
      </c>
      <c r="D265" s="8" t="inlineStr">
        <is>
          <t>2024-12-31</t>
        </is>
      </c>
      <c r="E265" s="8" t="inlineStr">
        <is>
          <t>일반</t>
        </is>
      </c>
      <c r="F265" s="8" t="inlineStr">
        <is>
          <t>0001551152-26-000008</t>
        </is>
      </c>
      <c r="G265" s="15" t="n">
        <v>56.334</v>
      </c>
      <c r="H265" s="15" t="n">
        <v>3.716</v>
      </c>
      <c r="I265" s="15" t="n">
        <v>2.808</v>
      </c>
      <c r="J265" s="15" t="n">
        <v>-0.57</v>
      </c>
      <c r="K265" s="15" t="n">
        <v>9.137</v>
      </c>
      <c r="L265" s="15" t="n">
        <v>4.278</v>
      </c>
      <c r="M265" s="15" t="n">
        <v>0.764</v>
      </c>
      <c r="N265" s="15" t="n">
        <v>0.974</v>
      </c>
      <c r="O265" s="15" t="n">
        <v>18.806</v>
      </c>
      <c r="P265" s="15" t="n">
        <v>3.325</v>
      </c>
      <c r="Q265" s="15" t="n">
        <v>10.36</v>
      </c>
      <c r="R265" s="15" t="n">
        <v>5.555</v>
      </c>
      <c r="S265" s="15" t="n">
        <v>12.816</v>
      </c>
      <c r="T265" s="15" t="n">
        <v>0</v>
      </c>
      <c r="U265" s="15" t="n">
        <v>0</v>
      </c>
      <c r="V265" s="15" t="n">
        <v>60.34</v>
      </c>
      <c r="W265" s="15" t="n">
        <v>25.582</v>
      </c>
      <c r="X265" s="15" t="n">
        <v>33.002</v>
      </c>
      <c r="Y265" s="15" t="n">
        <v>38.749</v>
      </c>
      <c r="Z265" s="15" t="n">
        <v>37.841</v>
      </c>
      <c r="AA265" s="15" t="n">
        <v>49.738</v>
      </c>
      <c r="AB265" s="16" t="n">
        <v>1773</v>
      </c>
      <c r="AC265" s="17">
        <f>IF(AND(ISNUMBER(H265),ISNUMBER(I265)),H265+I265,IF(ISNUMBER(K265),K265,IF(ISNUMBER(H265),H265,"")))</f>
        <v/>
      </c>
      <c r="AD265" s="18">
        <f>IF(OR(NOT(ISNUMBER(J265)),NOT(ISNUMBER(H265)),H265&lt;=0),기준표!$B$8,MIN(MAX(J265/H265,기준표!$B$6),기준표!$B$7))</f>
        <v/>
      </c>
      <c r="AE265" s="17">
        <f>IF(ISNUMBER(AC265),AC265*(1-AD265),"")</f>
        <v/>
      </c>
      <c r="AF265" s="17">
        <f>IF(AND(NOT(ISNUMBER(T265)),NOT(ISNUMBER(V265))),"",IF(ISNUMBER(T265),T265,0)+IF(ISNUMBER(V265),V265,0))</f>
        <v/>
      </c>
      <c r="AG265" s="17">
        <f>IF(E265="금융","",IF(AND(ISNUMBER(P265),ISNUMBER(AF265),ISNUMBER(R265)),P265+AF265-R265,""))</f>
        <v/>
      </c>
      <c r="AH265" s="17">
        <f>IF(E265="금융","",IF(NOT(ISNUMBER(AG265)),"",IF(ISNUMBER(AA265),(AG265+AA265)/2,AG265)))</f>
        <v/>
      </c>
      <c r="AI265" s="19">
        <f>IF(AND(ISNUMBER(AE265),ISNUMBER(AH265),AH265&gt;0),AE265/AH265,"")</f>
        <v/>
      </c>
      <c r="AJ265" s="17">
        <f>IF(E265="금융","",IF(AND(ISNUMBER(P265),ISNUMBER(AF265)),P265+AF265,""))</f>
        <v/>
      </c>
      <c r="AK265" s="19">
        <f>IF(OR(NOT(ISNUMBER(AE265)),NOT(ISNUMBER(AJ265)),AJ265&lt;=0),"",IF(AND(ISNUMBER(G265),AJ265&lt;0.1*G265),"",AE265/AJ265))</f>
        <v/>
      </c>
      <c r="AL265" s="17">
        <f>IF(NOT(ISNUMBER(P265)),"",IF(ISNUMBER(Q265),(P265+Q265)/2,P265))</f>
        <v/>
      </c>
      <c r="AM265" s="19">
        <f>IF(AND(ISNUMBER(L265),ISNUMBER(AL265),AL265&gt;0),L265/AL265,"")</f>
        <v/>
      </c>
      <c r="AN265" s="19">
        <f>IF(AND(ISNUMBER(AM265),ISNUMBER({ROIC})),AM265-{ROIC},"")</f>
        <v/>
      </c>
      <c r="AO265" s="17">
        <f>IF(AND(ISNUMBER(AC265),ISNUMBER(M265)),AC265+M265,"")</f>
        <v/>
      </c>
      <c r="AP265" s="20">
        <f>IF(AND(ISNUMBER(AF265),ISNUMBER(R265),ISNUMBER(AO265),AO265&gt;0),(AF265-R265)/AO265,"")</f>
        <v/>
      </c>
      <c r="AQ265" s="20">
        <f>IF(AND(ISNUMBER(AC265),ISNUMBER(I265),I265&lt;&gt;0,AC265&gt;0),AC265/I265,"")</f>
        <v/>
      </c>
      <c r="AR265" s="17">
        <f>IF(AND(ISNUMBER(W265),ISNUMBER(Y265)),W265-IF(ISNUMBER(R265),R265,0)-(Y265-IF(ISNUMBER(T265),T265,0)),"")</f>
        <v/>
      </c>
      <c r="AS265" s="17">
        <f>IF(AND(ISNUMBER(X265),ISNUMBER(Z265)),X265-IF(ISNUMBER(S265),S265,0)-(Z265-IF(ISNUMBER(U265),U265,0)),"")</f>
        <v/>
      </c>
      <c r="AT265" s="17">
        <f>IF(AND(ISNUMBER(AR265),ISNUMBER(AS265)),AR265-AS265,"")</f>
        <v/>
      </c>
      <c r="AU265" s="17">
        <f>IF(E265="금융","",IF(AND(ISNUMBER(L265),ISNUMBER(M265),ISNUMBER(N265),ISNUMBER(AT265)),L265+M265-N265-AT265,IF(AND(ISNUMBER(O265),ISNUMBER(N265)),O265-N265,"")))</f>
        <v/>
      </c>
      <c r="AV265" s="8">
        <f>IF(E265="금융","금융업 - 정의되지 않음",IF(AND(ISNUMBER(L265),ISNUMBER(M265),ISNUMBER(N265),ISNUMBER(AT265)),"순이익+감가상각-설비투자-운전자본증감",IF(AND(ISNUMBER(O265),ISNUMBER(N265)),"영업현금흐름-설비투자","산출불가")))</f>
        <v/>
      </c>
      <c r="AW265" s="19">
        <f>IF(AND(ISNUMBER(AU265),ISNUMBER(G265),G265&lt;&gt;0),AU265/G265,"")</f>
        <v/>
      </c>
      <c r="AX265" s="19">
        <f>IF(AND(ISNUMBER(AC265),ISNUMBER(G265),G265&lt;&gt;0),AC265/G265,"")</f>
        <v/>
      </c>
    </row>
    <row r="266">
      <c r="A266" s="8" t="inlineStr">
        <is>
          <t>ABBV</t>
        </is>
      </c>
      <c r="B266" s="8" t="inlineStr">
        <is>
          <t>AbbVie Inc.</t>
        </is>
      </c>
      <c r="C266" s="8" t="n">
        <v>2025</v>
      </c>
      <c r="D266" s="8" t="inlineStr">
        <is>
          <t>2025-12-31</t>
        </is>
      </c>
      <c r="E266" s="8" t="inlineStr">
        <is>
          <t>일반</t>
        </is>
      </c>
      <c r="F266" s="8" t="inlineStr">
        <is>
          <t>0001551152-26-000008</t>
        </is>
      </c>
      <c r="G266" s="15" t="n">
        <v>61.16</v>
      </c>
      <c r="H266" s="15" t="n">
        <v>6.597</v>
      </c>
      <c r="I266" s="15" t="n">
        <v>2.893</v>
      </c>
      <c r="J266" s="15" t="n">
        <v>2.364</v>
      </c>
      <c r="K266" s="15" t="n">
        <v>15.075</v>
      </c>
      <c r="L266" s="15" t="n">
        <v>4.226</v>
      </c>
      <c r="M266" s="15" t="n">
        <v>0.762</v>
      </c>
      <c r="N266" s="15" t="n">
        <v>1.214</v>
      </c>
      <c r="O266" s="15" t="n">
        <v>19.03</v>
      </c>
      <c r="P266" s="15" t="n">
        <v>-3.27</v>
      </c>
      <c r="Q266" s="15" t="n">
        <v>3.325</v>
      </c>
      <c r="R266" s="15" t="n">
        <v>5.257</v>
      </c>
      <c r="S266" s="15" t="n">
        <v>5.555</v>
      </c>
      <c r="T266" s="15" t="n">
        <v>2.499</v>
      </c>
      <c r="U266" s="15" t="n">
        <v>0</v>
      </c>
      <c r="V266" s="15" t="n">
        <v>58.941</v>
      </c>
      <c r="W266" s="15" t="n">
        <v>29.062</v>
      </c>
      <c r="X266" s="15" t="n">
        <v>25.582</v>
      </c>
      <c r="Y266" s="15" t="n">
        <v>43.289</v>
      </c>
      <c r="Z266" s="15" t="n">
        <v>38.749</v>
      </c>
      <c r="AA266" s="15" t="n">
        <v>58.11</v>
      </c>
      <c r="AB266" s="16" t="n">
        <v>1773</v>
      </c>
      <c r="AC266" s="17">
        <f>IF(AND(ISNUMBER(H266),ISNUMBER(I266)),H266+I266,IF(ISNUMBER(K266),K266,IF(ISNUMBER(H266),H266,"")))</f>
        <v/>
      </c>
      <c r="AD266" s="18">
        <f>IF(OR(NOT(ISNUMBER(J266)),NOT(ISNUMBER(H266)),H266&lt;=0),기준표!$B$8,MIN(MAX(J266/H266,기준표!$B$6),기준표!$B$7))</f>
        <v/>
      </c>
      <c r="AE266" s="17">
        <f>IF(ISNUMBER(AC266),AC266*(1-AD266),"")</f>
        <v/>
      </c>
      <c r="AF266" s="17">
        <f>IF(AND(NOT(ISNUMBER(T266)),NOT(ISNUMBER(V266))),"",IF(ISNUMBER(T266),T266,0)+IF(ISNUMBER(V266),V266,0))</f>
        <v/>
      </c>
      <c r="AG266" s="17">
        <f>IF(E266="금융","",IF(AND(ISNUMBER(P266),ISNUMBER(AF266),ISNUMBER(R266)),P266+AF266-R266,""))</f>
        <v/>
      </c>
      <c r="AH266" s="17">
        <f>IF(E266="금융","",IF(NOT(ISNUMBER(AG266)),"",IF(ISNUMBER(AA266),(AG266+AA266)/2,AG266)))</f>
        <v/>
      </c>
      <c r="AI266" s="19">
        <f>IF(AND(ISNUMBER(AE266),ISNUMBER(AH266),AH266&gt;0),AE266/AH266,"")</f>
        <v/>
      </c>
      <c r="AJ266" s="17">
        <f>IF(E266="금융","",IF(AND(ISNUMBER(P266),ISNUMBER(AF266)),P266+AF266,""))</f>
        <v/>
      </c>
      <c r="AK266" s="19">
        <f>IF(OR(NOT(ISNUMBER(AE266)),NOT(ISNUMBER(AJ266)),AJ266&lt;=0),"",IF(AND(ISNUMBER(G266),AJ266&lt;0.1*G266),"",AE266/AJ266))</f>
        <v/>
      </c>
      <c r="AL266" s="17">
        <f>IF(NOT(ISNUMBER(P266)),"",IF(ISNUMBER(Q266),(P266+Q266)/2,P266))</f>
        <v/>
      </c>
      <c r="AM266" s="19">
        <f>IF(AND(ISNUMBER(L266),ISNUMBER(AL266),AL266&gt;0),L266/AL266,"")</f>
        <v/>
      </c>
      <c r="AN266" s="19">
        <f>IF(AND(ISNUMBER(AM266),ISNUMBER({ROIC})),AM266-{ROIC},"")</f>
        <v/>
      </c>
      <c r="AO266" s="17">
        <f>IF(AND(ISNUMBER(AC266),ISNUMBER(M266)),AC266+M266,"")</f>
        <v/>
      </c>
      <c r="AP266" s="20">
        <f>IF(AND(ISNUMBER(AF266),ISNUMBER(R266),ISNUMBER(AO266),AO266&gt;0),(AF266-R266)/AO266,"")</f>
        <v/>
      </c>
      <c r="AQ266" s="20">
        <f>IF(AND(ISNUMBER(AC266),ISNUMBER(I266),I266&lt;&gt;0,AC266&gt;0),AC266/I266,"")</f>
        <v/>
      </c>
      <c r="AR266" s="17">
        <f>IF(AND(ISNUMBER(W266),ISNUMBER(Y266)),W266-IF(ISNUMBER(R266),R266,0)-(Y266-IF(ISNUMBER(T266),T266,0)),"")</f>
        <v/>
      </c>
      <c r="AS266" s="17">
        <f>IF(AND(ISNUMBER(X266),ISNUMBER(Z266)),X266-IF(ISNUMBER(S266),S266,0)-(Z266-IF(ISNUMBER(U266),U266,0)),"")</f>
        <v/>
      </c>
      <c r="AT266" s="17">
        <f>IF(AND(ISNUMBER(AR266),ISNUMBER(AS266)),AR266-AS266,"")</f>
        <v/>
      </c>
      <c r="AU266" s="17">
        <f>IF(E266="금융","",IF(AND(ISNUMBER(L266),ISNUMBER(M266),ISNUMBER(N266),ISNUMBER(AT266)),L266+M266-N266-AT266,IF(AND(ISNUMBER(O266),ISNUMBER(N266)),O266-N266,"")))</f>
        <v/>
      </c>
      <c r="AV266" s="8">
        <f>IF(E266="금융","금융업 - 정의되지 않음",IF(AND(ISNUMBER(L266),ISNUMBER(M266),ISNUMBER(N266),ISNUMBER(AT266)),"순이익+감가상각-설비투자-운전자본증감",IF(AND(ISNUMBER(O266),ISNUMBER(N266)),"영업현금흐름-설비투자","산출불가")))</f>
        <v/>
      </c>
      <c r="AW266" s="19">
        <f>IF(AND(ISNUMBER(AU266),ISNUMBER(G266),G266&lt;&gt;0),AU266/G266,"")</f>
        <v/>
      </c>
      <c r="AX266" s="19">
        <f>IF(AND(ISNUMBER(AC266),ISNUMBER(G266),G266&lt;&gt;0),AC266/G266,"")</f>
        <v/>
      </c>
    </row>
    <row r="267">
      <c r="A267" s="8" t="inlineStr">
        <is>
          <t>AMAT</t>
        </is>
      </c>
      <c r="B267" s="8" t="inlineStr">
        <is>
          <t>APPLIED MATERIALS INC /DE</t>
        </is>
      </c>
      <c r="C267" s="8" t="n">
        <v>2014</v>
      </c>
      <c r="D267" s="8" t="inlineStr">
        <is>
          <t>2014-10-26</t>
        </is>
      </c>
      <c r="E267" s="8" t="inlineStr">
        <is>
          <t>일반</t>
        </is>
      </c>
      <c r="F267" s="8" t="inlineStr">
        <is>
          <t>0000006951-16-000068</t>
        </is>
      </c>
      <c r="G267" s="15" t="n"/>
      <c r="H267" s="15" t="n"/>
      <c r="I267" s="15" t="n"/>
      <c r="J267" s="15" t="n">
        <v>0.376</v>
      </c>
      <c r="K267" s="15" t="n">
        <v>1.52</v>
      </c>
      <c r="L267" s="15" t="n">
        <v>1.072</v>
      </c>
      <c r="M267" s="15" t="n">
        <v>0.375</v>
      </c>
      <c r="N267" s="15" t="n">
        <v>0.241</v>
      </c>
      <c r="O267" s="15" t="n">
        <v>1.8</v>
      </c>
      <c r="P267" s="15" t="n">
        <v>7.868</v>
      </c>
      <c r="Q267" s="15" t="n"/>
      <c r="R267" s="15" t="n">
        <v>3.162</v>
      </c>
      <c r="S267" s="15" t="n"/>
      <c r="T267" s="15" t="n"/>
      <c r="U267" s="15" t="n"/>
      <c r="V267" s="15" t="n">
        <v>1.947</v>
      </c>
      <c r="W267" s="15" t="n">
        <v>6.967</v>
      </c>
      <c r="X267" s="15" t="n"/>
      <c r="Y267" s="15" t="n">
        <v>2.823</v>
      </c>
      <c r="Z267" s="15" t="n"/>
      <c r="AA267" s="15" t="n"/>
      <c r="AB267" s="16" t="n">
        <v>1221</v>
      </c>
      <c r="AC267" s="17">
        <f>IF(AND(ISNUMBER(H267),ISNUMBER(I267)),H267+I267,IF(ISNUMBER(K267),K267,IF(ISNUMBER(H267),H267,"")))</f>
        <v/>
      </c>
      <c r="AD267" s="18">
        <f>IF(OR(NOT(ISNUMBER(J267)),NOT(ISNUMBER(H267)),H267&lt;=0),기준표!$B$8,MIN(MAX(J267/H267,기준표!$B$6),기준표!$B$7))</f>
        <v/>
      </c>
      <c r="AE267" s="17">
        <f>IF(ISNUMBER(AC267),AC267*(1-AD267),"")</f>
        <v/>
      </c>
      <c r="AF267" s="17">
        <f>IF(AND(NOT(ISNUMBER(T267)),NOT(ISNUMBER(V267))),"",IF(ISNUMBER(T267),T267,0)+IF(ISNUMBER(V267),V267,0))</f>
        <v/>
      </c>
      <c r="AG267" s="17">
        <f>IF(E267="금융","",IF(AND(ISNUMBER(P267),ISNUMBER(AF267),ISNUMBER(R267)),P267+AF267-R267,""))</f>
        <v/>
      </c>
      <c r="AH267" s="17">
        <f>IF(E267="금융","",IF(NOT(ISNUMBER(AG267)),"",IF(ISNUMBER(AA267),(AG267+AA267)/2,AG267)))</f>
        <v/>
      </c>
      <c r="AI267" s="19">
        <f>IF(AND(ISNUMBER(AE267),ISNUMBER(AH267),AH267&gt;0),AE267/AH267,"")</f>
        <v/>
      </c>
      <c r="AJ267" s="17">
        <f>IF(E267="금융","",IF(AND(ISNUMBER(P267),ISNUMBER(AF267)),P267+AF267,""))</f>
        <v/>
      </c>
      <c r="AK267" s="19">
        <f>IF(OR(NOT(ISNUMBER(AE267)),NOT(ISNUMBER(AJ267)),AJ267&lt;=0),"",IF(AND(ISNUMBER(G267),AJ267&lt;0.1*G267),"",AE267/AJ267))</f>
        <v/>
      </c>
      <c r="AL267" s="17">
        <f>IF(NOT(ISNUMBER(P267)),"",IF(ISNUMBER(Q267),(P267+Q267)/2,P267))</f>
        <v/>
      </c>
      <c r="AM267" s="19">
        <f>IF(AND(ISNUMBER(L267),ISNUMBER(AL267),AL267&gt;0),L267/AL267,"")</f>
        <v/>
      </c>
      <c r="AN267" s="19">
        <f>IF(AND(ISNUMBER(AM267),ISNUMBER({ROIC})),AM267-{ROIC},"")</f>
        <v/>
      </c>
      <c r="AO267" s="17">
        <f>IF(AND(ISNUMBER(AC267),ISNUMBER(M267)),AC267+M267,"")</f>
        <v/>
      </c>
      <c r="AP267" s="20">
        <f>IF(AND(ISNUMBER(AF267),ISNUMBER(R267),ISNUMBER(AO267),AO267&gt;0),(AF267-R267)/AO267,"")</f>
        <v/>
      </c>
      <c r="AQ267" s="20">
        <f>IF(AND(ISNUMBER(AC267),ISNUMBER(I267),I267&lt;&gt;0,AC267&gt;0),AC267/I267,"")</f>
        <v/>
      </c>
      <c r="AR267" s="17">
        <f>IF(AND(ISNUMBER(W267),ISNUMBER(Y267)),W267-IF(ISNUMBER(R267),R267,0)-(Y267-IF(ISNUMBER(T267),T267,0)),"")</f>
        <v/>
      </c>
      <c r="AS267" s="17">
        <f>IF(AND(ISNUMBER(X267),ISNUMBER(Z267)),X267-IF(ISNUMBER(S267),S267,0)-(Z267-IF(ISNUMBER(U267),U267,0)),"")</f>
        <v/>
      </c>
      <c r="AT267" s="17">
        <f>IF(AND(ISNUMBER(AR267),ISNUMBER(AS267)),AR267-AS267,"")</f>
        <v/>
      </c>
      <c r="AU267" s="17">
        <f>IF(E267="금융","",IF(AND(ISNUMBER(L267),ISNUMBER(M267),ISNUMBER(N267),ISNUMBER(AT267)),L267+M267-N267-AT267,IF(AND(ISNUMBER(O267),ISNUMBER(N267)),O267-N267,"")))</f>
        <v/>
      </c>
      <c r="AV267" s="8">
        <f>IF(E267="금융","금융업 - 정의되지 않음",IF(AND(ISNUMBER(L267),ISNUMBER(M267),ISNUMBER(N267),ISNUMBER(AT267)),"순이익+감가상각-설비투자-운전자본증감",IF(AND(ISNUMBER(O267),ISNUMBER(N267)),"영업현금흐름-설비투자","산출불가")))</f>
        <v/>
      </c>
      <c r="AW267" s="19">
        <f>IF(AND(ISNUMBER(AU267),ISNUMBER(G267),G267&lt;&gt;0),AU267/G267,"")</f>
        <v/>
      </c>
      <c r="AX267" s="19">
        <f>IF(AND(ISNUMBER(AC267),ISNUMBER(G267),G267&lt;&gt;0),AC267/G267,"")</f>
        <v/>
      </c>
    </row>
    <row r="268">
      <c r="A268" s="8" t="inlineStr">
        <is>
          <t>AMAT</t>
        </is>
      </c>
      <c r="B268" s="8" t="inlineStr">
        <is>
          <t>APPLIED MATERIALS INC /DE</t>
        </is>
      </c>
      <c r="C268" s="8" t="n">
        <v>2015</v>
      </c>
      <c r="D268" s="8" t="inlineStr">
        <is>
          <t>2015-10-25</t>
        </is>
      </c>
      <c r="E268" s="8" t="inlineStr">
        <is>
          <t>일반</t>
        </is>
      </c>
      <c r="F268" s="8" t="inlineStr">
        <is>
          <t>0000006951-17-000038</t>
        </is>
      </c>
      <c r="G268" s="15" t="n"/>
      <c r="H268" s="15" t="n"/>
      <c r="I268" s="15" t="n"/>
      <c r="J268" s="15" t="n">
        <v>0.221</v>
      </c>
      <c r="K268" s="15" t="n">
        <v>1.693</v>
      </c>
      <c r="L268" s="15" t="n">
        <v>1.377</v>
      </c>
      <c r="M268" s="15" t="n">
        <v>0.371</v>
      </c>
      <c r="N268" s="15" t="n">
        <v>0.215</v>
      </c>
      <c r="O268" s="15" t="n">
        <v>1.163</v>
      </c>
      <c r="P268" s="15" t="n">
        <v>7.613</v>
      </c>
      <c r="Q268" s="15" t="n">
        <v>7.868</v>
      </c>
      <c r="R268" s="15" t="n">
        <v>4.965</v>
      </c>
      <c r="S268" s="15" t="n">
        <v>3.162</v>
      </c>
      <c r="T268" s="15" t="n">
        <v>1.2</v>
      </c>
      <c r="U268" s="15" t="n"/>
      <c r="V268" s="15" t="n">
        <v>3.342</v>
      </c>
      <c r="W268" s="15" t="n">
        <v>9.260999999999999</v>
      </c>
      <c r="X268" s="15" t="n">
        <v>6.967</v>
      </c>
      <c r="Y268" s="15" t="n">
        <v>3.798</v>
      </c>
      <c r="Z268" s="15" t="n">
        <v>2.823</v>
      </c>
      <c r="AA268" s="15" t="n">
        <v>6.653</v>
      </c>
      <c r="AB268" s="16" t="n">
        <v>1160</v>
      </c>
      <c r="AC268" s="17">
        <f>IF(AND(ISNUMBER(H268),ISNUMBER(I268)),H268+I268,IF(ISNUMBER(K268),K268,IF(ISNUMBER(H268),H268,"")))</f>
        <v/>
      </c>
      <c r="AD268" s="18">
        <f>IF(OR(NOT(ISNUMBER(J268)),NOT(ISNUMBER(H268)),H268&lt;=0),기준표!$B$8,MIN(MAX(J268/H268,기준표!$B$6),기준표!$B$7))</f>
        <v/>
      </c>
      <c r="AE268" s="17">
        <f>IF(ISNUMBER(AC268),AC268*(1-AD268),"")</f>
        <v/>
      </c>
      <c r="AF268" s="17">
        <f>IF(AND(NOT(ISNUMBER(T268)),NOT(ISNUMBER(V268))),"",IF(ISNUMBER(T268),T268,0)+IF(ISNUMBER(V268),V268,0))</f>
        <v/>
      </c>
      <c r="AG268" s="17">
        <f>IF(E268="금융","",IF(AND(ISNUMBER(P268),ISNUMBER(AF268),ISNUMBER(R268)),P268+AF268-R268,""))</f>
        <v/>
      </c>
      <c r="AH268" s="17">
        <f>IF(E268="금융","",IF(NOT(ISNUMBER(AG268)),"",IF(ISNUMBER(AA268),(AG268+AA268)/2,AG268)))</f>
        <v/>
      </c>
      <c r="AI268" s="19">
        <f>IF(AND(ISNUMBER(AE268),ISNUMBER(AH268),AH268&gt;0),AE268/AH268,"")</f>
        <v/>
      </c>
      <c r="AJ268" s="17">
        <f>IF(E268="금융","",IF(AND(ISNUMBER(P268),ISNUMBER(AF268)),P268+AF268,""))</f>
        <v/>
      </c>
      <c r="AK268" s="19">
        <f>IF(OR(NOT(ISNUMBER(AE268)),NOT(ISNUMBER(AJ268)),AJ268&lt;=0),"",IF(AND(ISNUMBER(G268),AJ268&lt;0.1*G268),"",AE268/AJ268))</f>
        <v/>
      </c>
      <c r="AL268" s="17">
        <f>IF(NOT(ISNUMBER(P268)),"",IF(ISNUMBER(Q268),(P268+Q268)/2,P268))</f>
        <v/>
      </c>
      <c r="AM268" s="19">
        <f>IF(AND(ISNUMBER(L268),ISNUMBER(AL268),AL268&gt;0),L268/AL268,"")</f>
        <v/>
      </c>
      <c r="AN268" s="19">
        <f>IF(AND(ISNUMBER(AM268),ISNUMBER({ROIC})),AM268-{ROIC},"")</f>
        <v/>
      </c>
      <c r="AO268" s="17">
        <f>IF(AND(ISNUMBER(AC268),ISNUMBER(M268)),AC268+M268,"")</f>
        <v/>
      </c>
      <c r="AP268" s="20">
        <f>IF(AND(ISNUMBER(AF268),ISNUMBER(R268),ISNUMBER(AO268),AO268&gt;0),(AF268-R268)/AO268,"")</f>
        <v/>
      </c>
      <c r="AQ268" s="20">
        <f>IF(AND(ISNUMBER(AC268),ISNUMBER(I268),I268&lt;&gt;0,AC268&gt;0),AC268/I268,"")</f>
        <v/>
      </c>
      <c r="AR268" s="17">
        <f>IF(AND(ISNUMBER(W268),ISNUMBER(Y268)),W268-IF(ISNUMBER(R268),R268,0)-(Y268-IF(ISNUMBER(T268),T268,0)),"")</f>
        <v/>
      </c>
      <c r="AS268" s="17">
        <f>IF(AND(ISNUMBER(X268),ISNUMBER(Z268)),X268-IF(ISNUMBER(S268),S268,0)-(Z268-IF(ISNUMBER(U268),U268,0)),"")</f>
        <v/>
      </c>
      <c r="AT268" s="17">
        <f>IF(AND(ISNUMBER(AR268),ISNUMBER(AS268)),AR268-AS268,"")</f>
        <v/>
      </c>
      <c r="AU268" s="17">
        <f>IF(E268="금융","",IF(AND(ISNUMBER(L268),ISNUMBER(M268),ISNUMBER(N268),ISNUMBER(AT268)),L268+M268-N268-AT268,IF(AND(ISNUMBER(O268),ISNUMBER(N268)),O268-N268,"")))</f>
        <v/>
      </c>
      <c r="AV268" s="8">
        <f>IF(E268="금융","금융업 - 정의되지 않음",IF(AND(ISNUMBER(L268),ISNUMBER(M268),ISNUMBER(N268),ISNUMBER(AT268)),"순이익+감가상각-설비투자-운전자본증감",IF(AND(ISNUMBER(O268),ISNUMBER(N268)),"영업현금흐름-설비투자","산출불가")))</f>
        <v/>
      </c>
      <c r="AW268" s="19">
        <f>IF(AND(ISNUMBER(AU268),ISNUMBER(G268),G268&lt;&gt;0),AU268/G268,"")</f>
        <v/>
      </c>
      <c r="AX268" s="19">
        <f>IF(AND(ISNUMBER(AC268),ISNUMBER(G268),G268&lt;&gt;0),AC268/G268,"")</f>
        <v/>
      </c>
    </row>
    <row r="269">
      <c r="A269" s="8" t="inlineStr">
        <is>
          <t>AMAT</t>
        </is>
      </c>
      <c r="B269" s="8" t="inlineStr">
        <is>
          <t>APPLIED MATERIALS INC /DE</t>
        </is>
      </c>
      <c r="C269" s="8" t="n">
        <v>2016</v>
      </c>
      <c r="D269" s="8" t="inlineStr">
        <is>
          <t>2016-10-30</t>
        </is>
      </c>
      <c r="E269" s="8" t="inlineStr">
        <is>
          <t>일반</t>
        </is>
      </c>
      <c r="F269" s="8" t="inlineStr">
        <is>
          <t>0000006951-18-000041</t>
        </is>
      </c>
      <c r="G269" s="15" t="n"/>
      <c r="H269" s="15" t="n"/>
      <c r="I269" s="15" t="n"/>
      <c r="J269" s="15" t="n">
        <v>0.292</v>
      </c>
      <c r="K269" s="15" t="n">
        <v>2.152</v>
      </c>
      <c r="L269" s="15" t="n">
        <v>1.721</v>
      </c>
      <c r="M269" s="15" t="n">
        <v>0.389</v>
      </c>
      <c r="N269" s="15" t="n">
        <v>0.253</v>
      </c>
      <c r="O269" s="15" t="n">
        <v>2.566</v>
      </c>
      <c r="P269" s="15" t="n">
        <v>7.413</v>
      </c>
      <c r="Q269" s="15" t="n">
        <v>7.613</v>
      </c>
      <c r="R269" s="15" t="n">
        <v>3.749</v>
      </c>
      <c r="S269" s="15" t="n">
        <v>4.965</v>
      </c>
      <c r="T269" s="15" t="n">
        <v>0.2</v>
      </c>
      <c r="U269" s="15" t="n">
        <v>1.2</v>
      </c>
      <c r="V269" s="15" t="n">
        <v>3.125</v>
      </c>
      <c r="W269" s="15" t="n">
        <v>8.353</v>
      </c>
      <c r="X269" s="15" t="n">
        <v>9.260999999999999</v>
      </c>
      <c r="Y269" s="15" t="n">
        <v>3.632</v>
      </c>
      <c r="Z269" s="15" t="n">
        <v>3.798</v>
      </c>
      <c r="AA269" s="15" t="n">
        <v>7.19</v>
      </c>
      <c r="AB269" s="16" t="n">
        <v>1078</v>
      </c>
      <c r="AC269" s="17">
        <f>IF(AND(ISNUMBER(H269),ISNUMBER(I269)),H269+I269,IF(ISNUMBER(K269),K269,IF(ISNUMBER(H269),H269,"")))</f>
        <v/>
      </c>
      <c r="AD269" s="18">
        <f>IF(OR(NOT(ISNUMBER(J269)),NOT(ISNUMBER(H269)),H269&lt;=0),기준표!$B$8,MIN(MAX(J269/H269,기준표!$B$6),기준표!$B$7))</f>
        <v/>
      </c>
      <c r="AE269" s="17">
        <f>IF(ISNUMBER(AC269),AC269*(1-AD269),"")</f>
        <v/>
      </c>
      <c r="AF269" s="17">
        <f>IF(AND(NOT(ISNUMBER(T269)),NOT(ISNUMBER(V269))),"",IF(ISNUMBER(T269),T269,0)+IF(ISNUMBER(V269),V269,0))</f>
        <v/>
      </c>
      <c r="AG269" s="17">
        <f>IF(E269="금융","",IF(AND(ISNUMBER(P269),ISNUMBER(AF269),ISNUMBER(R269)),P269+AF269-R269,""))</f>
        <v/>
      </c>
      <c r="AH269" s="17">
        <f>IF(E269="금융","",IF(NOT(ISNUMBER(AG269)),"",IF(ISNUMBER(AA269),(AG269+AA269)/2,AG269)))</f>
        <v/>
      </c>
      <c r="AI269" s="19">
        <f>IF(AND(ISNUMBER(AE269),ISNUMBER(AH269),AH269&gt;0),AE269/AH269,"")</f>
        <v/>
      </c>
      <c r="AJ269" s="17">
        <f>IF(E269="금융","",IF(AND(ISNUMBER(P269),ISNUMBER(AF269)),P269+AF269,""))</f>
        <v/>
      </c>
      <c r="AK269" s="19">
        <f>IF(OR(NOT(ISNUMBER(AE269)),NOT(ISNUMBER(AJ269)),AJ269&lt;=0),"",IF(AND(ISNUMBER(G269),AJ269&lt;0.1*G269),"",AE269/AJ269))</f>
        <v/>
      </c>
      <c r="AL269" s="17">
        <f>IF(NOT(ISNUMBER(P269)),"",IF(ISNUMBER(Q269),(P269+Q269)/2,P269))</f>
        <v/>
      </c>
      <c r="AM269" s="19">
        <f>IF(AND(ISNUMBER(L269),ISNUMBER(AL269),AL269&gt;0),L269/AL269,"")</f>
        <v/>
      </c>
      <c r="AN269" s="19">
        <f>IF(AND(ISNUMBER(AM269),ISNUMBER({ROIC})),AM269-{ROIC},"")</f>
        <v/>
      </c>
      <c r="AO269" s="17">
        <f>IF(AND(ISNUMBER(AC269),ISNUMBER(M269)),AC269+M269,"")</f>
        <v/>
      </c>
      <c r="AP269" s="20">
        <f>IF(AND(ISNUMBER(AF269),ISNUMBER(R269),ISNUMBER(AO269),AO269&gt;0),(AF269-R269)/AO269,"")</f>
        <v/>
      </c>
      <c r="AQ269" s="20">
        <f>IF(AND(ISNUMBER(AC269),ISNUMBER(I269),I269&lt;&gt;0,AC269&gt;0),AC269/I269,"")</f>
        <v/>
      </c>
      <c r="AR269" s="17">
        <f>IF(AND(ISNUMBER(W269),ISNUMBER(Y269)),W269-IF(ISNUMBER(R269),R269,0)-(Y269-IF(ISNUMBER(T269),T269,0)),"")</f>
        <v/>
      </c>
      <c r="AS269" s="17">
        <f>IF(AND(ISNUMBER(X269),ISNUMBER(Z269)),X269-IF(ISNUMBER(S269),S269,0)-(Z269-IF(ISNUMBER(U269),U269,0)),"")</f>
        <v/>
      </c>
      <c r="AT269" s="17">
        <f>IF(AND(ISNUMBER(AR269),ISNUMBER(AS269)),AR269-AS269,"")</f>
        <v/>
      </c>
      <c r="AU269" s="17">
        <f>IF(E269="금융","",IF(AND(ISNUMBER(L269),ISNUMBER(M269),ISNUMBER(N269),ISNUMBER(AT269)),L269+M269-N269-AT269,IF(AND(ISNUMBER(O269),ISNUMBER(N269)),O269-N269,"")))</f>
        <v/>
      </c>
      <c r="AV269" s="8">
        <f>IF(E269="금융","금융업 - 정의되지 않음",IF(AND(ISNUMBER(L269),ISNUMBER(M269),ISNUMBER(N269),ISNUMBER(AT269)),"순이익+감가상각-설비투자-운전자본증감",IF(AND(ISNUMBER(O269),ISNUMBER(N269)),"영업현금흐름-설비투자","산출불가")))</f>
        <v/>
      </c>
      <c r="AW269" s="19">
        <f>IF(AND(ISNUMBER(AU269),ISNUMBER(G269),G269&lt;&gt;0),AU269/G269,"")</f>
        <v/>
      </c>
      <c r="AX269" s="19">
        <f>IF(AND(ISNUMBER(AC269),ISNUMBER(G269),G269&lt;&gt;0),AC269/G269,"")</f>
        <v/>
      </c>
    </row>
    <row r="270">
      <c r="A270" s="8" t="inlineStr">
        <is>
          <t>AMAT</t>
        </is>
      </c>
      <c r="B270" s="8" t="inlineStr">
        <is>
          <t>APPLIED MATERIALS INC /DE</t>
        </is>
      </c>
      <c r="C270" s="8" t="n">
        <v>2017</v>
      </c>
      <c r="D270" s="8" t="inlineStr">
        <is>
          <t>2017-10-29</t>
        </is>
      </c>
      <c r="E270" s="8" t="inlineStr">
        <is>
          <t>일반</t>
        </is>
      </c>
      <c r="F270" s="8" t="inlineStr">
        <is>
          <t>0000006951-19-000046</t>
        </is>
      </c>
      <c r="G270" s="15" t="n"/>
      <c r="H270" s="15" t="n"/>
      <c r="I270" s="15" t="n"/>
      <c r="J270" s="15" t="n">
        <v>0.297</v>
      </c>
      <c r="K270" s="15" t="n">
        <v>3.936</v>
      </c>
      <c r="L270" s="15" t="n">
        <v>3.519</v>
      </c>
      <c r="M270" s="15" t="n">
        <v>0.407</v>
      </c>
      <c r="N270" s="15" t="n">
        <v>0.345</v>
      </c>
      <c r="O270" s="15" t="n">
        <v>3.789</v>
      </c>
      <c r="P270" s="15" t="n">
        <v>9.630000000000001</v>
      </c>
      <c r="Q270" s="15" t="n">
        <v>7.413</v>
      </c>
      <c r="R270" s="15" t="n">
        <v>7.276</v>
      </c>
      <c r="S270" s="15" t="n">
        <v>3.749</v>
      </c>
      <c r="T270" s="15" t="n">
        <v>0</v>
      </c>
      <c r="U270" s="15" t="n">
        <v>0.2</v>
      </c>
      <c r="V270" s="15" t="n">
        <v>5.304</v>
      </c>
      <c r="W270" s="15" t="n">
        <v>12.918</v>
      </c>
      <c r="X270" s="15" t="n">
        <v>8.353</v>
      </c>
      <c r="Y270" s="15" t="n">
        <v>4.115</v>
      </c>
      <c r="Z270" s="15" t="n">
        <v>3.632</v>
      </c>
      <c r="AA270" s="15" t="n">
        <v>6.989</v>
      </c>
      <c r="AB270" s="16" t="n">
        <v>1060</v>
      </c>
      <c r="AC270" s="17">
        <f>IF(AND(ISNUMBER(H270),ISNUMBER(I270)),H270+I270,IF(ISNUMBER(K270),K270,IF(ISNUMBER(H270),H270,"")))</f>
        <v/>
      </c>
      <c r="AD270" s="18">
        <f>IF(OR(NOT(ISNUMBER(J270)),NOT(ISNUMBER(H270)),H270&lt;=0),기준표!$B$8,MIN(MAX(J270/H270,기준표!$B$6),기준표!$B$7))</f>
        <v/>
      </c>
      <c r="AE270" s="17">
        <f>IF(ISNUMBER(AC270),AC270*(1-AD270),"")</f>
        <v/>
      </c>
      <c r="AF270" s="17">
        <f>IF(AND(NOT(ISNUMBER(T270)),NOT(ISNUMBER(V270))),"",IF(ISNUMBER(T270),T270,0)+IF(ISNUMBER(V270),V270,0))</f>
        <v/>
      </c>
      <c r="AG270" s="17">
        <f>IF(E270="금융","",IF(AND(ISNUMBER(P270),ISNUMBER(AF270),ISNUMBER(R270)),P270+AF270-R270,""))</f>
        <v/>
      </c>
      <c r="AH270" s="17">
        <f>IF(E270="금융","",IF(NOT(ISNUMBER(AG270)),"",IF(ISNUMBER(AA270),(AG270+AA270)/2,AG270)))</f>
        <v/>
      </c>
      <c r="AI270" s="19">
        <f>IF(AND(ISNUMBER(AE270),ISNUMBER(AH270),AH270&gt;0),AE270/AH270,"")</f>
        <v/>
      </c>
      <c r="AJ270" s="17">
        <f>IF(E270="금융","",IF(AND(ISNUMBER(P270),ISNUMBER(AF270)),P270+AF270,""))</f>
        <v/>
      </c>
      <c r="AK270" s="19">
        <f>IF(OR(NOT(ISNUMBER(AE270)),NOT(ISNUMBER(AJ270)),AJ270&lt;=0),"",IF(AND(ISNUMBER(G270),AJ270&lt;0.1*G270),"",AE270/AJ270))</f>
        <v/>
      </c>
      <c r="AL270" s="17">
        <f>IF(NOT(ISNUMBER(P270)),"",IF(ISNUMBER(Q270),(P270+Q270)/2,P270))</f>
        <v/>
      </c>
      <c r="AM270" s="19">
        <f>IF(AND(ISNUMBER(L270),ISNUMBER(AL270),AL270&gt;0),L270/AL270,"")</f>
        <v/>
      </c>
      <c r="AN270" s="19">
        <f>IF(AND(ISNUMBER(AM270),ISNUMBER({ROIC})),AM270-{ROIC},"")</f>
        <v/>
      </c>
      <c r="AO270" s="17">
        <f>IF(AND(ISNUMBER(AC270),ISNUMBER(M270)),AC270+M270,"")</f>
        <v/>
      </c>
      <c r="AP270" s="20">
        <f>IF(AND(ISNUMBER(AF270),ISNUMBER(R270),ISNUMBER(AO270),AO270&gt;0),(AF270-R270)/AO270,"")</f>
        <v/>
      </c>
      <c r="AQ270" s="20">
        <f>IF(AND(ISNUMBER(AC270),ISNUMBER(I270),I270&lt;&gt;0,AC270&gt;0),AC270/I270,"")</f>
        <v/>
      </c>
      <c r="AR270" s="17">
        <f>IF(AND(ISNUMBER(W270),ISNUMBER(Y270)),W270-IF(ISNUMBER(R270),R270,0)-(Y270-IF(ISNUMBER(T270),T270,0)),"")</f>
        <v/>
      </c>
      <c r="AS270" s="17">
        <f>IF(AND(ISNUMBER(X270),ISNUMBER(Z270)),X270-IF(ISNUMBER(S270),S270,0)-(Z270-IF(ISNUMBER(U270),U270,0)),"")</f>
        <v/>
      </c>
      <c r="AT270" s="17">
        <f>IF(AND(ISNUMBER(AR270),ISNUMBER(AS270)),AR270-AS270,"")</f>
        <v/>
      </c>
      <c r="AU270" s="17">
        <f>IF(E270="금융","",IF(AND(ISNUMBER(L270),ISNUMBER(M270),ISNUMBER(N270),ISNUMBER(AT270)),L270+M270-N270-AT270,IF(AND(ISNUMBER(O270),ISNUMBER(N270)),O270-N270,"")))</f>
        <v/>
      </c>
      <c r="AV270" s="8">
        <f>IF(E270="금융","금융업 - 정의되지 않음",IF(AND(ISNUMBER(L270),ISNUMBER(M270),ISNUMBER(N270),ISNUMBER(AT270)),"순이익+감가상각-설비투자-운전자본증감",IF(AND(ISNUMBER(O270),ISNUMBER(N270)),"영업현금흐름-설비투자","산출불가")))</f>
        <v/>
      </c>
      <c r="AW270" s="19">
        <f>IF(AND(ISNUMBER(AU270),ISNUMBER(G270),G270&lt;&gt;0),AU270/G270,"")</f>
        <v/>
      </c>
      <c r="AX270" s="19">
        <f>IF(AND(ISNUMBER(AC270),ISNUMBER(G270),G270&lt;&gt;0),AC270/G270,"")</f>
        <v/>
      </c>
    </row>
    <row r="271">
      <c r="A271" s="8" t="inlineStr">
        <is>
          <t>AMAT</t>
        </is>
      </c>
      <c r="B271" s="8" t="inlineStr">
        <is>
          <t>APPLIED MATERIALS INC /DE</t>
        </is>
      </c>
      <c r="C271" s="8" t="n">
        <v>2018</v>
      </c>
      <c r="D271" s="8" t="inlineStr">
        <is>
          <t>2018-10-28</t>
        </is>
      </c>
      <c r="E271" s="8" t="inlineStr">
        <is>
          <t>일반</t>
        </is>
      </c>
      <c r="F271" s="8" t="inlineStr">
        <is>
          <t>0000006951-20-000048</t>
        </is>
      </c>
      <c r="G271" s="15" t="n">
        <v>16.705</v>
      </c>
      <c r="H271" s="15" t="n"/>
      <c r="I271" s="15" t="n"/>
      <c r="J271" s="15" t="n">
        <v>1.358</v>
      </c>
      <c r="K271" s="15" t="n">
        <v>4.491</v>
      </c>
      <c r="L271" s="15" t="n">
        <v>3.038</v>
      </c>
      <c r="M271" s="15" t="n">
        <v>0.457</v>
      </c>
      <c r="N271" s="15" t="n">
        <v>0.622</v>
      </c>
      <c r="O271" s="15" t="n">
        <v>3.787</v>
      </c>
      <c r="P271" s="15" t="n">
        <v>6.845</v>
      </c>
      <c r="Q271" s="15" t="n">
        <v>9.630000000000001</v>
      </c>
      <c r="R271" s="15" t="n">
        <v>4.03</v>
      </c>
      <c r="S271" s="15" t="n">
        <v>7.276</v>
      </c>
      <c r="T271" s="15" t="n">
        <v>0</v>
      </c>
      <c r="U271" s="15" t="n">
        <v>0</v>
      </c>
      <c r="V271" s="15" t="n">
        <v>5.309</v>
      </c>
      <c r="W271" s="15" t="n">
        <v>10.604</v>
      </c>
      <c r="X271" s="15" t="n">
        <v>12.918</v>
      </c>
      <c r="Y271" s="15" t="n">
        <v>3.922</v>
      </c>
      <c r="Z271" s="15" t="n">
        <v>4.115</v>
      </c>
      <c r="AA271" s="15" t="n">
        <v>7.658</v>
      </c>
      <c r="AB271" s="16" t="n">
        <v>967</v>
      </c>
      <c r="AC271" s="17">
        <f>IF(AND(ISNUMBER(H271),ISNUMBER(I271)),H271+I271,IF(ISNUMBER(K271),K271,IF(ISNUMBER(H271),H271,"")))</f>
        <v/>
      </c>
      <c r="AD271" s="18">
        <f>IF(OR(NOT(ISNUMBER(J271)),NOT(ISNUMBER(H271)),H271&lt;=0),기준표!$B$8,MIN(MAX(J271/H271,기준표!$B$6),기준표!$B$7))</f>
        <v/>
      </c>
      <c r="AE271" s="17">
        <f>IF(ISNUMBER(AC271),AC271*(1-AD271),"")</f>
        <v/>
      </c>
      <c r="AF271" s="17">
        <f>IF(AND(NOT(ISNUMBER(T271)),NOT(ISNUMBER(V271))),"",IF(ISNUMBER(T271),T271,0)+IF(ISNUMBER(V271),V271,0))</f>
        <v/>
      </c>
      <c r="AG271" s="17">
        <f>IF(E271="금융","",IF(AND(ISNUMBER(P271),ISNUMBER(AF271),ISNUMBER(R271)),P271+AF271-R271,""))</f>
        <v/>
      </c>
      <c r="AH271" s="17">
        <f>IF(E271="금융","",IF(NOT(ISNUMBER(AG271)),"",IF(ISNUMBER(AA271),(AG271+AA271)/2,AG271)))</f>
        <v/>
      </c>
      <c r="AI271" s="19">
        <f>IF(AND(ISNUMBER(AE271),ISNUMBER(AH271),AH271&gt;0),AE271/AH271,"")</f>
        <v/>
      </c>
      <c r="AJ271" s="17">
        <f>IF(E271="금융","",IF(AND(ISNUMBER(P271),ISNUMBER(AF271)),P271+AF271,""))</f>
        <v/>
      </c>
      <c r="AK271" s="19">
        <f>IF(OR(NOT(ISNUMBER(AE271)),NOT(ISNUMBER(AJ271)),AJ271&lt;=0),"",IF(AND(ISNUMBER(G271),AJ271&lt;0.1*G271),"",AE271/AJ271))</f>
        <v/>
      </c>
      <c r="AL271" s="17">
        <f>IF(NOT(ISNUMBER(P271)),"",IF(ISNUMBER(Q271),(P271+Q271)/2,P271))</f>
        <v/>
      </c>
      <c r="AM271" s="19">
        <f>IF(AND(ISNUMBER(L271),ISNUMBER(AL271),AL271&gt;0),L271/AL271,"")</f>
        <v/>
      </c>
      <c r="AN271" s="19">
        <f>IF(AND(ISNUMBER(AM271),ISNUMBER({ROIC})),AM271-{ROIC},"")</f>
        <v/>
      </c>
      <c r="AO271" s="17">
        <f>IF(AND(ISNUMBER(AC271),ISNUMBER(M271)),AC271+M271,"")</f>
        <v/>
      </c>
      <c r="AP271" s="20">
        <f>IF(AND(ISNUMBER(AF271),ISNUMBER(R271),ISNUMBER(AO271),AO271&gt;0),(AF271-R271)/AO271,"")</f>
        <v/>
      </c>
      <c r="AQ271" s="20">
        <f>IF(AND(ISNUMBER(AC271),ISNUMBER(I271),I271&lt;&gt;0,AC271&gt;0),AC271/I271,"")</f>
        <v/>
      </c>
      <c r="AR271" s="17">
        <f>IF(AND(ISNUMBER(W271),ISNUMBER(Y271)),W271-IF(ISNUMBER(R271),R271,0)-(Y271-IF(ISNUMBER(T271),T271,0)),"")</f>
        <v/>
      </c>
      <c r="AS271" s="17">
        <f>IF(AND(ISNUMBER(X271),ISNUMBER(Z271)),X271-IF(ISNUMBER(S271),S271,0)-(Z271-IF(ISNUMBER(U271),U271,0)),"")</f>
        <v/>
      </c>
      <c r="AT271" s="17">
        <f>IF(AND(ISNUMBER(AR271),ISNUMBER(AS271)),AR271-AS271,"")</f>
        <v/>
      </c>
      <c r="AU271" s="17">
        <f>IF(E271="금융","",IF(AND(ISNUMBER(L271),ISNUMBER(M271),ISNUMBER(N271),ISNUMBER(AT271)),L271+M271-N271-AT271,IF(AND(ISNUMBER(O271),ISNUMBER(N271)),O271-N271,"")))</f>
        <v/>
      </c>
      <c r="AV271" s="8">
        <f>IF(E271="금융","금융업 - 정의되지 않음",IF(AND(ISNUMBER(L271),ISNUMBER(M271),ISNUMBER(N271),ISNUMBER(AT271)),"순이익+감가상각-설비투자-운전자본증감",IF(AND(ISNUMBER(O271),ISNUMBER(N271)),"영업현금흐름-설비투자","산출불가")))</f>
        <v/>
      </c>
      <c r="AW271" s="19">
        <f>IF(AND(ISNUMBER(AU271),ISNUMBER(G271),G271&lt;&gt;0),AU271/G271,"")</f>
        <v/>
      </c>
      <c r="AX271" s="19">
        <f>IF(AND(ISNUMBER(AC271),ISNUMBER(G271),G271&lt;&gt;0),AC271/G271,"")</f>
        <v/>
      </c>
    </row>
    <row r="272">
      <c r="A272" s="8" t="inlineStr">
        <is>
          <t>AMAT</t>
        </is>
      </c>
      <c r="B272" s="8" t="inlineStr">
        <is>
          <t>APPLIED MATERIALS INC /DE</t>
        </is>
      </c>
      <c r="C272" s="8" t="n">
        <v>2019</v>
      </c>
      <c r="D272" s="8" t="inlineStr">
        <is>
          <t>2019-10-27</t>
        </is>
      </c>
      <c r="E272" s="8" t="inlineStr">
        <is>
          <t>일반</t>
        </is>
      </c>
      <c r="F272" s="8" t="inlineStr">
        <is>
          <t>0000006951-21-000043</t>
        </is>
      </c>
      <c r="G272" s="15" t="n">
        <v>14.608</v>
      </c>
      <c r="H272" s="15" t="n">
        <v>3.269</v>
      </c>
      <c r="I272" s="15" t="n"/>
      <c r="J272" s="15" t="n">
        <v>0.5629999999999999</v>
      </c>
      <c r="K272" s="15" t="n">
        <v>3.35</v>
      </c>
      <c r="L272" s="15" t="n">
        <v>2.706</v>
      </c>
      <c r="M272" s="15" t="n">
        <v>0.363</v>
      </c>
      <c r="N272" s="15" t="n">
        <v>0.441</v>
      </c>
      <c r="O272" s="15" t="n">
        <v>3.247</v>
      </c>
      <c r="P272" s="15" t="n">
        <v>8.214</v>
      </c>
      <c r="Q272" s="15" t="n">
        <v>6.845</v>
      </c>
      <c r="R272" s="15" t="n">
        <v>3.618</v>
      </c>
      <c r="S272" s="15" t="n">
        <v>4.03</v>
      </c>
      <c r="T272" s="15" t="n">
        <v>0.6</v>
      </c>
      <c r="U272" s="15" t="n">
        <v>0</v>
      </c>
      <c r="V272" s="15" t="n">
        <v>4.713</v>
      </c>
      <c r="W272" s="15" t="n">
        <v>10.206</v>
      </c>
      <c r="X272" s="15" t="n">
        <v>10.604</v>
      </c>
      <c r="Y272" s="15" t="n">
        <v>4.447</v>
      </c>
      <c r="Z272" s="15" t="n">
        <v>3.922</v>
      </c>
      <c r="AA272" s="15" t="n">
        <v>8.124000000000001</v>
      </c>
      <c r="AB272" s="16" t="n">
        <v>916</v>
      </c>
      <c r="AC272" s="17">
        <f>IF(AND(ISNUMBER(H272),ISNUMBER(I272)),H272+I272,IF(ISNUMBER(K272),K272,IF(ISNUMBER(H272),H272,"")))</f>
        <v/>
      </c>
      <c r="AD272" s="18">
        <f>IF(OR(NOT(ISNUMBER(J272)),NOT(ISNUMBER(H272)),H272&lt;=0),기준표!$B$8,MIN(MAX(J272/H272,기준표!$B$6),기준표!$B$7))</f>
        <v/>
      </c>
      <c r="AE272" s="17">
        <f>IF(ISNUMBER(AC272),AC272*(1-AD272),"")</f>
        <v/>
      </c>
      <c r="AF272" s="17">
        <f>IF(AND(NOT(ISNUMBER(T272)),NOT(ISNUMBER(V272))),"",IF(ISNUMBER(T272),T272,0)+IF(ISNUMBER(V272),V272,0))</f>
        <v/>
      </c>
      <c r="AG272" s="17">
        <f>IF(E272="금융","",IF(AND(ISNUMBER(P272),ISNUMBER(AF272),ISNUMBER(R272)),P272+AF272-R272,""))</f>
        <v/>
      </c>
      <c r="AH272" s="17">
        <f>IF(E272="금융","",IF(NOT(ISNUMBER(AG272)),"",IF(ISNUMBER(AA272),(AG272+AA272)/2,AG272)))</f>
        <v/>
      </c>
      <c r="AI272" s="19">
        <f>IF(AND(ISNUMBER(AE272),ISNUMBER(AH272),AH272&gt;0),AE272/AH272,"")</f>
        <v/>
      </c>
      <c r="AJ272" s="17">
        <f>IF(E272="금융","",IF(AND(ISNUMBER(P272),ISNUMBER(AF272)),P272+AF272,""))</f>
        <v/>
      </c>
      <c r="AK272" s="19">
        <f>IF(OR(NOT(ISNUMBER(AE272)),NOT(ISNUMBER(AJ272)),AJ272&lt;=0),"",IF(AND(ISNUMBER(G272),AJ272&lt;0.1*G272),"",AE272/AJ272))</f>
        <v/>
      </c>
      <c r="AL272" s="17">
        <f>IF(NOT(ISNUMBER(P272)),"",IF(ISNUMBER(Q272),(P272+Q272)/2,P272))</f>
        <v/>
      </c>
      <c r="AM272" s="19">
        <f>IF(AND(ISNUMBER(L272),ISNUMBER(AL272),AL272&gt;0),L272/AL272,"")</f>
        <v/>
      </c>
      <c r="AN272" s="19">
        <f>IF(AND(ISNUMBER(AM272),ISNUMBER({ROIC})),AM272-{ROIC},"")</f>
        <v/>
      </c>
      <c r="AO272" s="17">
        <f>IF(AND(ISNUMBER(AC272),ISNUMBER(M272)),AC272+M272,"")</f>
        <v/>
      </c>
      <c r="AP272" s="20">
        <f>IF(AND(ISNUMBER(AF272),ISNUMBER(R272),ISNUMBER(AO272),AO272&gt;0),(AF272-R272)/AO272,"")</f>
        <v/>
      </c>
      <c r="AQ272" s="20">
        <f>IF(AND(ISNUMBER(AC272),ISNUMBER(I272),I272&lt;&gt;0,AC272&gt;0),AC272/I272,"")</f>
        <v/>
      </c>
      <c r="AR272" s="17">
        <f>IF(AND(ISNUMBER(W272),ISNUMBER(Y272)),W272-IF(ISNUMBER(R272),R272,0)-(Y272-IF(ISNUMBER(T272),T272,0)),"")</f>
        <v/>
      </c>
      <c r="AS272" s="17">
        <f>IF(AND(ISNUMBER(X272),ISNUMBER(Z272)),X272-IF(ISNUMBER(S272),S272,0)-(Z272-IF(ISNUMBER(U272),U272,0)),"")</f>
        <v/>
      </c>
      <c r="AT272" s="17">
        <f>IF(AND(ISNUMBER(AR272),ISNUMBER(AS272)),AR272-AS272,"")</f>
        <v/>
      </c>
      <c r="AU272" s="17">
        <f>IF(E272="금융","",IF(AND(ISNUMBER(L272),ISNUMBER(M272),ISNUMBER(N272),ISNUMBER(AT272)),L272+M272-N272-AT272,IF(AND(ISNUMBER(O272),ISNUMBER(N272)),O272-N272,"")))</f>
        <v/>
      </c>
      <c r="AV272" s="8">
        <f>IF(E272="금융","금융업 - 정의되지 않음",IF(AND(ISNUMBER(L272),ISNUMBER(M272),ISNUMBER(N272),ISNUMBER(AT272)),"순이익+감가상각-설비투자-운전자본증감",IF(AND(ISNUMBER(O272),ISNUMBER(N272)),"영업현금흐름-설비투자","산출불가")))</f>
        <v/>
      </c>
      <c r="AW272" s="19">
        <f>IF(AND(ISNUMBER(AU272),ISNUMBER(G272),G272&lt;&gt;0),AU272/G272,"")</f>
        <v/>
      </c>
      <c r="AX272" s="19">
        <f>IF(AND(ISNUMBER(AC272),ISNUMBER(G272),G272&lt;&gt;0),AC272/G272,"")</f>
        <v/>
      </c>
    </row>
    <row r="273">
      <c r="A273" s="8" t="inlineStr">
        <is>
          <t>AMAT</t>
        </is>
      </c>
      <c r="B273" s="8" t="inlineStr">
        <is>
          <t>APPLIED MATERIALS INC /DE</t>
        </is>
      </c>
      <c r="C273" s="8" t="n">
        <v>2020</v>
      </c>
      <c r="D273" s="8" t="inlineStr">
        <is>
          <t>2020-10-25</t>
        </is>
      </c>
      <c r="E273" s="8" t="inlineStr">
        <is>
          <t>일반</t>
        </is>
      </c>
      <c r="F273" s="8" t="inlineStr">
        <is>
          <t>0000006951-22-000043</t>
        </is>
      </c>
      <c r="G273" s="15" t="n">
        <v>17.202</v>
      </c>
      <c r="H273" s="15" t="n">
        <v>4.166</v>
      </c>
      <c r="I273" s="15" t="n"/>
      <c r="J273" s="15" t="n">
        <v>0.547</v>
      </c>
      <c r="K273" s="15" t="n">
        <v>4.365</v>
      </c>
      <c r="L273" s="15" t="n">
        <v>3.619</v>
      </c>
      <c r="M273" s="15" t="n">
        <v>0.376</v>
      </c>
      <c r="N273" s="15" t="n">
        <v>0.422</v>
      </c>
      <c r="O273" s="15" t="n">
        <v>3.804</v>
      </c>
      <c r="P273" s="15" t="n">
        <v>10.578</v>
      </c>
      <c r="Q273" s="15" t="n">
        <v>8.214</v>
      </c>
      <c r="R273" s="15" t="n">
        <v>5.738</v>
      </c>
      <c r="S273" s="15" t="n">
        <v>3.618</v>
      </c>
      <c r="T273" s="15" t="n">
        <v>0</v>
      </c>
      <c r="U273" s="15" t="n">
        <v>0.6</v>
      </c>
      <c r="V273" s="15" t="n">
        <v>5.448</v>
      </c>
      <c r="W273" s="15" t="n">
        <v>13.369</v>
      </c>
      <c r="X273" s="15" t="n">
        <v>10.206</v>
      </c>
      <c r="Y273" s="15" t="n">
        <v>4.459</v>
      </c>
      <c r="Z273" s="15" t="n">
        <v>4.447</v>
      </c>
      <c r="AA273" s="15" t="n">
        <v>9.909000000000001</v>
      </c>
      <c r="AB273" s="16" t="n">
        <v>914</v>
      </c>
      <c r="AC273" s="17">
        <f>IF(AND(ISNUMBER(H273),ISNUMBER(I273)),H273+I273,IF(ISNUMBER(K273),K273,IF(ISNUMBER(H273),H273,"")))</f>
        <v/>
      </c>
      <c r="AD273" s="18">
        <f>IF(OR(NOT(ISNUMBER(J273)),NOT(ISNUMBER(H273)),H273&lt;=0),기준표!$B$8,MIN(MAX(J273/H273,기준표!$B$6),기준표!$B$7))</f>
        <v/>
      </c>
      <c r="AE273" s="17">
        <f>IF(ISNUMBER(AC273),AC273*(1-AD273),"")</f>
        <v/>
      </c>
      <c r="AF273" s="17">
        <f>IF(AND(NOT(ISNUMBER(T273)),NOT(ISNUMBER(V273))),"",IF(ISNUMBER(T273),T273,0)+IF(ISNUMBER(V273),V273,0))</f>
        <v/>
      </c>
      <c r="AG273" s="17">
        <f>IF(E273="금융","",IF(AND(ISNUMBER(P273),ISNUMBER(AF273),ISNUMBER(R273)),P273+AF273-R273,""))</f>
        <v/>
      </c>
      <c r="AH273" s="17">
        <f>IF(E273="금융","",IF(NOT(ISNUMBER(AG273)),"",IF(ISNUMBER(AA273),(AG273+AA273)/2,AG273)))</f>
        <v/>
      </c>
      <c r="AI273" s="19">
        <f>IF(AND(ISNUMBER(AE273),ISNUMBER(AH273),AH273&gt;0),AE273/AH273,"")</f>
        <v/>
      </c>
      <c r="AJ273" s="17">
        <f>IF(E273="금융","",IF(AND(ISNUMBER(P273),ISNUMBER(AF273)),P273+AF273,""))</f>
        <v/>
      </c>
      <c r="AK273" s="19">
        <f>IF(OR(NOT(ISNUMBER(AE273)),NOT(ISNUMBER(AJ273)),AJ273&lt;=0),"",IF(AND(ISNUMBER(G273),AJ273&lt;0.1*G273),"",AE273/AJ273))</f>
        <v/>
      </c>
      <c r="AL273" s="17">
        <f>IF(NOT(ISNUMBER(P273)),"",IF(ISNUMBER(Q273),(P273+Q273)/2,P273))</f>
        <v/>
      </c>
      <c r="AM273" s="19">
        <f>IF(AND(ISNUMBER(L273),ISNUMBER(AL273),AL273&gt;0),L273/AL273,"")</f>
        <v/>
      </c>
      <c r="AN273" s="19">
        <f>IF(AND(ISNUMBER(AM273),ISNUMBER({ROIC})),AM273-{ROIC},"")</f>
        <v/>
      </c>
      <c r="AO273" s="17">
        <f>IF(AND(ISNUMBER(AC273),ISNUMBER(M273)),AC273+M273,"")</f>
        <v/>
      </c>
      <c r="AP273" s="20">
        <f>IF(AND(ISNUMBER(AF273),ISNUMBER(R273),ISNUMBER(AO273),AO273&gt;0),(AF273-R273)/AO273,"")</f>
        <v/>
      </c>
      <c r="AQ273" s="20">
        <f>IF(AND(ISNUMBER(AC273),ISNUMBER(I273),I273&lt;&gt;0,AC273&gt;0),AC273/I273,"")</f>
        <v/>
      </c>
      <c r="AR273" s="17">
        <f>IF(AND(ISNUMBER(W273),ISNUMBER(Y273)),W273-IF(ISNUMBER(R273),R273,0)-(Y273-IF(ISNUMBER(T273),T273,0)),"")</f>
        <v/>
      </c>
      <c r="AS273" s="17">
        <f>IF(AND(ISNUMBER(X273),ISNUMBER(Z273)),X273-IF(ISNUMBER(S273),S273,0)-(Z273-IF(ISNUMBER(U273),U273,0)),"")</f>
        <v/>
      </c>
      <c r="AT273" s="17">
        <f>IF(AND(ISNUMBER(AR273),ISNUMBER(AS273)),AR273-AS273,"")</f>
        <v/>
      </c>
      <c r="AU273" s="17">
        <f>IF(E273="금융","",IF(AND(ISNUMBER(L273),ISNUMBER(M273),ISNUMBER(N273),ISNUMBER(AT273)),L273+M273-N273-AT273,IF(AND(ISNUMBER(O273),ISNUMBER(N273)),O273-N273,"")))</f>
        <v/>
      </c>
      <c r="AV273" s="8">
        <f>IF(E273="금융","금융업 - 정의되지 않음",IF(AND(ISNUMBER(L273),ISNUMBER(M273),ISNUMBER(N273),ISNUMBER(AT273)),"순이익+감가상각-설비투자-운전자본증감",IF(AND(ISNUMBER(O273),ISNUMBER(N273)),"영업현금흐름-설비투자","산출불가")))</f>
        <v/>
      </c>
      <c r="AW273" s="19">
        <f>IF(AND(ISNUMBER(AU273),ISNUMBER(G273),G273&lt;&gt;0),AU273/G273,"")</f>
        <v/>
      </c>
      <c r="AX273" s="19">
        <f>IF(AND(ISNUMBER(AC273),ISNUMBER(G273),G273&lt;&gt;0),AC273/G273,"")</f>
        <v/>
      </c>
    </row>
    <row r="274">
      <c r="A274" s="8" t="inlineStr">
        <is>
          <t>AMAT</t>
        </is>
      </c>
      <c r="B274" s="8" t="inlineStr">
        <is>
          <t>APPLIED MATERIALS INC /DE</t>
        </is>
      </c>
      <c r="C274" s="8" t="n">
        <v>2021</v>
      </c>
      <c r="D274" s="8" t="inlineStr">
        <is>
          <t>2021-10-31</t>
        </is>
      </c>
      <c r="E274" s="8" t="inlineStr">
        <is>
          <t>일반</t>
        </is>
      </c>
      <c r="F274" s="8" t="inlineStr">
        <is>
          <t>0000006951-23-000041</t>
        </is>
      </c>
      <c r="G274" s="15" t="n">
        <v>23.063</v>
      </c>
      <c r="H274" s="15" t="n">
        <v>6.771</v>
      </c>
      <c r="I274" s="15" t="n"/>
      <c r="J274" s="15" t="n">
        <v>0.883</v>
      </c>
      <c r="K274" s="15" t="n">
        <v>6.889</v>
      </c>
      <c r="L274" s="15" t="n">
        <v>5.888</v>
      </c>
      <c r="M274" s="15" t="n">
        <v>0.394</v>
      </c>
      <c r="N274" s="15" t="n">
        <v>0.668</v>
      </c>
      <c r="O274" s="15" t="n">
        <v>5.442</v>
      </c>
      <c r="P274" s="15" t="n">
        <v>12.247</v>
      </c>
      <c r="Q274" s="15" t="n">
        <v>10.578</v>
      </c>
      <c r="R274" s="15" t="n">
        <v>5.459</v>
      </c>
      <c r="S274" s="15" t="n">
        <v>5.738</v>
      </c>
      <c r="T274" s="15" t="n"/>
      <c r="U274" s="15" t="n">
        <v>0</v>
      </c>
      <c r="V274" s="15" t="n">
        <v>5.452</v>
      </c>
      <c r="W274" s="15" t="n">
        <v>16.107</v>
      </c>
      <c r="X274" s="15" t="n">
        <v>13.369</v>
      </c>
      <c r="Y274" s="15" t="n">
        <v>6.344</v>
      </c>
      <c r="Z274" s="15" t="n">
        <v>4.459</v>
      </c>
      <c r="AA274" s="15" t="n">
        <v>10.288</v>
      </c>
      <c r="AB274" s="16" t="n">
        <v>892</v>
      </c>
      <c r="AC274" s="17">
        <f>IF(AND(ISNUMBER(H274),ISNUMBER(I274)),H274+I274,IF(ISNUMBER(K274),K274,IF(ISNUMBER(H274),H274,"")))</f>
        <v/>
      </c>
      <c r="AD274" s="18">
        <f>IF(OR(NOT(ISNUMBER(J274)),NOT(ISNUMBER(H274)),H274&lt;=0),기준표!$B$8,MIN(MAX(J274/H274,기준표!$B$6),기준표!$B$7))</f>
        <v/>
      </c>
      <c r="AE274" s="17">
        <f>IF(ISNUMBER(AC274),AC274*(1-AD274),"")</f>
        <v/>
      </c>
      <c r="AF274" s="17">
        <f>IF(AND(NOT(ISNUMBER(T274)),NOT(ISNUMBER(V274))),"",IF(ISNUMBER(T274),T274,0)+IF(ISNUMBER(V274),V274,0))</f>
        <v/>
      </c>
      <c r="AG274" s="17">
        <f>IF(E274="금융","",IF(AND(ISNUMBER(P274),ISNUMBER(AF274),ISNUMBER(R274)),P274+AF274-R274,""))</f>
        <v/>
      </c>
      <c r="AH274" s="17">
        <f>IF(E274="금융","",IF(NOT(ISNUMBER(AG274)),"",IF(ISNUMBER(AA274),(AG274+AA274)/2,AG274)))</f>
        <v/>
      </c>
      <c r="AI274" s="19">
        <f>IF(AND(ISNUMBER(AE274),ISNUMBER(AH274),AH274&gt;0),AE274/AH274,"")</f>
        <v/>
      </c>
      <c r="AJ274" s="17">
        <f>IF(E274="금융","",IF(AND(ISNUMBER(P274),ISNUMBER(AF274)),P274+AF274,""))</f>
        <v/>
      </c>
      <c r="AK274" s="19">
        <f>IF(OR(NOT(ISNUMBER(AE274)),NOT(ISNUMBER(AJ274)),AJ274&lt;=0),"",IF(AND(ISNUMBER(G274),AJ274&lt;0.1*G274),"",AE274/AJ274))</f>
        <v/>
      </c>
      <c r="AL274" s="17">
        <f>IF(NOT(ISNUMBER(P274)),"",IF(ISNUMBER(Q274),(P274+Q274)/2,P274))</f>
        <v/>
      </c>
      <c r="AM274" s="19">
        <f>IF(AND(ISNUMBER(L274),ISNUMBER(AL274),AL274&gt;0),L274/AL274,"")</f>
        <v/>
      </c>
      <c r="AN274" s="19">
        <f>IF(AND(ISNUMBER(AM274),ISNUMBER({ROIC})),AM274-{ROIC},"")</f>
        <v/>
      </c>
      <c r="AO274" s="17">
        <f>IF(AND(ISNUMBER(AC274),ISNUMBER(M274)),AC274+M274,"")</f>
        <v/>
      </c>
      <c r="AP274" s="20">
        <f>IF(AND(ISNUMBER(AF274),ISNUMBER(R274),ISNUMBER(AO274),AO274&gt;0),(AF274-R274)/AO274,"")</f>
        <v/>
      </c>
      <c r="AQ274" s="20">
        <f>IF(AND(ISNUMBER(AC274),ISNUMBER(I274),I274&lt;&gt;0,AC274&gt;0),AC274/I274,"")</f>
        <v/>
      </c>
      <c r="AR274" s="17">
        <f>IF(AND(ISNUMBER(W274),ISNUMBER(Y274)),W274-IF(ISNUMBER(R274),R274,0)-(Y274-IF(ISNUMBER(T274),T274,0)),"")</f>
        <v/>
      </c>
      <c r="AS274" s="17">
        <f>IF(AND(ISNUMBER(X274),ISNUMBER(Z274)),X274-IF(ISNUMBER(S274),S274,0)-(Z274-IF(ISNUMBER(U274),U274,0)),"")</f>
        <v/>
      </c>
      <c r="AT274" s="17">
        <f>IF(AND(ISNUMBER(AR274),ISNUMBER(AS274)),AR274-AS274,"")</f>
        <v/>
      </c>
      <c r="AU274" s="17">
        <f>IF(E274="금융","",IF(AND(ISNUMBER(L274),ISNUMBER(M274),ISNUMBER(N274),ISNUMBER(AT274)),L274+M274-N274-AT274,IF(AND(ISNUMBER(O274),ISNUMBER(N274)),O274-N274,"")))</f>
        <v/>
      </c>
      <c r="AV274" s="8">
        <f>IF(E274="금융","금융업 - 정의되지 않음",IF(AND(ISNUMBER(L274),ISNUMBER(M274),ISNUMBER(N274),ISNUMBER(AT274)),"순이익+감가상각-설비투자-운전자본증감",IF(AND(ISNUMBER(O274),ISNUMBER(N274)),"영업현금흐름-설비투자","산출불가")))</f>
        <v/>
      </c>
      <c r="AW274" s="19">
        <f>IF(AND(ISNUMBER(AU274),ISNUMBER(G274),G274&lt;&gt;0),AU274/G274,"")</f>
        <v/>
      </c>
      <c r="AX274" s="19">
        <f>IF(AND(ISNUMBER(AC274),ISNUMBER(G274),G274&lt;&gt;0),AC274/G274,"")</f>
        <v/>
      </c>
    </row>
    <row r="275">
      <c r="A275" s="8" t="inlineStr">
        <is>
          <t>AMAT</t>
        </is>
      </c>
      <c r="B275" s="8" t="inlineStr">
        <is>
          <t>APPLIED MATERIALS INC /DE</t>
        </is>
      </c>
      <c r="C275" s="8" t="n">
        <v>2022</v>
      </c>
      <c r="D275" s="8" t="inlineStr">
        <is>
          <t>2022-10-30</t>
        </is>
      </c>
      <c r="E275" s="8" t="inlineStr">
        <is>
          <t>일반</t>
        </is>
      </c>
      <c r="F275" s="8" t="inlineStr">
        <is>
          <t>0000006951-24-000044</t>
        </is>
      </c>
      <c r="G275" s="15" t="n">
        <v>25.785</v>
      </c>
      <c r="H275" s="15" t="n">
        <v>7.599</v>
      </c>
      <c r="I275" s="15" t="n">
        <v>0.228</v>
      </c>
      <c r="J275" s="15" t="n">
        <v>1.074</v>
      </c>
      <c r="K275" s="15" t="n">
        <v>7.788</v>
      </c>
      <c r="L275" s="15" t="n">
        <v>6.525</v>
      </c>
      <c r="M275" s="15" t="n">
        <v>0.444</v>
      </c>
      <c r="N275" s="15" t="n">
        <v>0.787</v>
      </c>
      <c r="O275" s="15" t="n">
        <v>5.399</v>
      </c>
      <c r="P275" s="15" t="n">
        <v>12.194</v>
      </c>
      <c r="Q275" s="15" t="n">
        <v>12.247</v>
      </c>
      <c r="R275" s="15" t="n">
        <v>2.581</v>
      </c>
      <c r="S275" s="15" t="n">
        <v>5.459</v>
      </c>
      <c r="T275" s="15" t="n"/>
      <c r="U275" s="15" t="n"/>
      <c r="V275" s="15" t="n">
        <v>5.457</v>
      </c>
      <c r="W275" s="15" t="n">
        <v>15.925</v>
      </c>
      <c r="X275" s="15" t="n">
        <v>16.107</v>
      </c>
      <c r="Y275" s="15" t="n">
        <v>7.379</v>
      </c>
      <c r="Z275" s="15" t="n">
        <v>6.344</v>
      </c>
      <c r="AA275" s="15" t="n">
        <v>12.24</v>
      </c>
      <c r="AB275" s="16" t="n">
        <v>844</v>
      </c>
      <c r="AC275" s="17">
        <f>IF(AND(ISNUMBER(H275),ISNUMBER(I275)),H275+I275,IF(ISNUMBER(K275),K275,IF(ISNUMBER(H275),H275,"")))</f>
        <v/>
      </c>
      <c r="AD275" s="18">
        <f>IF(OR(NOT(ISNUMBER(J275)),NOT(ISNUMBER(H275)),H275&lt;=0),기준표!$B$8,MIN(MAX(J275/H275,기준표!$B$6),기준표!$B$7))</f>
        <v/>
      </c>
      <c r="AE275" s="17">
        <f>IF(ISNUMBER(AC275),AC275*(1-AD275),"")</f>
        <v/>
      </c>
      <c r="AF275" s="17">
        <f>IF(AND(NOT(ISNUMBER(T275)),NOT(ISNUMBER(V275))),"",IF(ISNUMBER(T275),T275,0)+IF(ISNUMBER(V275),V275,0))</f>
        <v/>
      </c>
      <c r="AG275" s="17">
        <f>IF(E275="금융","",IF(AND(ISNUMBER(P275),ISNUMBER(AF275),ISNUMBER(R275)),P275+AF275-R275,""))</f>
        <v/>
      </c>
      <c r="AH275" s="17">
        <f>IF(E275="금융","",IF(NOT(ISNUMBER(AG275)),"",IF(ISNUMBER(AA275),(AG275+AA275)/2,AG275)))</f>
        <v/>
      </c>
      <c r="AI275" s="19">
        <f>IF(AND(ISNUMBER(AE275),ISNUMBER(AH275),AH275&gt;0),AE275/AH275,"")</f>
        <v/>
      </c>
      <c r="AJ275" s="17">
        <f>IF(E275="금융","",IF(AND(ISNUMBER(P275),ISNUMBER(AF275)),P275+AF275,""))</f>
        <v/>
      </c>
      <c r="AK275" s="19">
        <f>IF(OR(NOT(ISNUMBER(AE275)),NOT(ISNUMBER(AJ275)),AJ275&lt;=0),"",IF(AND(ISNUMBER(G275),AJ275&lt;0.1*G275),"",AE275/AJ275))</f>
        <v/>
      </c>
      <c r="AL275" s="17">
        <f>IF(NOT(ISNUMBER(P275)),"",IF(ISNUMBER(Q275),(P275+Q275)/2,P275))</f>
        <v/>
      </c>
      <c r="AM275" s="19">
        <f>IF(AND(ISNUMBER(L275),ISNUMBER(AL275),AL275&gt;0),L275/AL275,"")</f>
        <v/>
      </c>
      <c r="AN275" s="19">
        <f>IF(AND(ISNUMBER(AM275),ISNUMBER({ROIC})),AM275-{ROIC},"")</f>
        <v/>
      </c>
      <c r="AO275" s="17">
        <f>IF(AND(ISNUMBER(AC275),ISNUMBER(M275)),AC275+M275,"")</f>
        <v/>
      </c>
      <c r="AP275" s="20">
        <f>IF(AND(ISNUMBER(AF275),ISNUMBER(R275),ISNUMBER(AO275),AO275&gt;0),(AF275-R275)/AO275,"")</f>
        <v/>
      </c>
      <c r="AQ275" s="20">
        <f>IF(AND(ISNUMBER(AC275),ISNUMBER(I275),I275&lt;&gt;0,AC275&gt;0),AC275/I275,"")</f>
        <v/>
      </c>
      <c r="AR275" s="17">
        <f>IF(AND(ISNUMBER(W275),ISNUMBER(Y275)),W275-IF(ISNUMBER(R275),R275,0)-(Y275-IF(ISNUMBER(T275),T275,0)),"")</f>
        <v/>
      </c>
      <c r="AS275" s="17">
        <f>IF(AND(ISNUMBER(X275),ISNUMBER(Z275)),X275-IF(ISNUMBER(S275),S275,0)-(Z275-IF(ISNUMBER(U275),U275,0)),"")</f>
        <v/>
      </c>
      <c r="AT275" s="17">
        <f>IF(AND(ISNUMBER(AR275),ISNUMBER(AS275)),AR275-AS275,"")</f>
        <v/>
      </c>
      <c r="AU275" s="17">
        <f>IF(E275="금융","",IF(AND(ISNUMBER(L275),ISNUMBER(M275),ISNUMBER(N275),ISNUMBER(AT275)),L275+M275-N275-AT275,IF(AND(ISNUMBER(O275),ISNUMBER(N275)),O275-N275,"")))</f>
        <v/>
      </c>
      <c r="AV275" s="8">
        <f>IF(E275="금융","금융업 - 정의되지 않음",IF(AND(ISNUMBER(L275),ISNUMBER(M275),ISNUMBER(N275),ISNUMBER(AT275)),"순이익+감가상각-설비투자-운전자본증감",IF(AND(ISNUMBER(O275),ISNUMBER(N275)),"영업현금흐름-설비투자","산출불가")))</f>
        <v/>
      </c>
      <c r="AW275" s="19">
        <f>IF(AND(ISNUMBER(AU275),ISNUMBER(G275),G275&lt;&gt;0),AU275/G275,"")</f>
        <v/>
      </c>
      <c r="AX275" s="19">
        <f>IF(AND(ISNUMBER(AC275),ISNUMBER(G275),G275&lt;&gt;0),AC275/G275,"")</f>
        <v/>
      </c>
    </row>
    <row r="276">
      <c r="A276" s="8" t="inlineStr">
        <is>
          <t>AMAT</t>
        </is>
      </c>
      <c r="B276" s="8" t="inlineStr">
        <is>
          <t>APPLIED MATERIALS INC /DE</t>
        </is>
      </c>
      <c r="C276" s="8" t="n">
        <v>2023</v>
      </c>
      <c r="D276" s="8" t="inlineStr">
        <is>
          <t>2023-10-29</t>
        </is>
      </c>
      <c r="E276" s="8" t="inlineStr">
        <is>
          <t>일반</t>
        </is>
      </c>
      <c r="F276" s="8" t="inlineStr">
        <is>
          <t>0001628280-25-056742</t>
        </is>
      </c>
      <c r="G276" s="15" t="n">
        <v>26.517</v>
      </c>
      <c r="H276" s="15" t="n">
        <v>7.716</v>
      </c>
      <c r="I276" s="15" t="n">
        <v>0.238</v>
      </c>
      <c r="J276" s="15" t="n">
        <v>0.86</v>
      </c>
      <c r="K276" s="15" t="n">
        <v>7.654</v>
      </c>
      <c r="L276" s="15" t="n">
        <v>6.856</v>
      </c>
      <c r="M276" s="15" t="n">
        <v>0.515</v>
      </c>
      <c r="N276" s="15" t="n">
        <v>1.106</v>
      </c>
      <c r="O276" s="15" t="n">
        <v>8.699999999999999</v>
      </c>
      <c r="P276" s="15" t="n">
        <v>16.349</v>
      </c>
      <c r="Q276" s="15" t="n">
        <v>12.194</v>
      </c>
      <c r="R276" s="15" t="n">
        <v>6.869</v>
      </c>
      <c r="S276" s="15" t="n">
        <v>2.581</v>
      </c>
      <c r="T276" s="15" t="n">
        <v>0</v>
      </c>
      <c r="U276" s="15" t="n"/>
      <c r="V276" s="15" t="n">
        <v>5.461</v>
      </c>
      <c r="W276" s="15" t="n">
        <v>19.147</v>
      </c>
      <c r="X276" s="15" t="n">
        <v>15.925</v>
      </c>
      <c r="Y276" s="15" t="n">
        <v>7.372</v>
      </c>
      <c r="Z276" s="15" t="n">
        <v>7.379</v>
      </c>
      <c r="AA276" s="15" t="n">
        <v>15.07</v>
      </c>
      <c r="AB276" s="16" t="n">
        <v>833</v>
      </c>
      <c r="AC276" s="17">
        <f>IF(AND(ISNUMBER(H276),ISNUMBER(I276)),H276+I276,IF(ISNUMBER(K276),K276,IF(ISNUMBER(H276),H276,"")))</f>
        <v/>
      </c>
      <c r="AD276" s="18">
        <f>IF(OR(NOT(ISNUMBER(J276)),NOT(ISNUMBER(H276)),H276&lt;=0),기준표!$B$8,MIN(MAX(J276/H276,기준표!$B$6),기준표!$B$7))</f>
        <v/>
      </c>
      <c r="AE276" s="17">
        <f>IF(ISNUMBER(AC276),AC276*(1-AD276),"")</f>
        <v/>
      </c>
      <c r="AF276" s="17">
        <f>IF(AND(NOT(ISNUMBER(T276)),NOT(ISNUMBER(V276))),"",IF(ISNUMBER(T276),T276,0)+IF(ISNUMBER(V276),V276,0))</f>
        <v/>
      </c>
      <c r="AG276" s="17">
        <f>IF(E276="금융","",IF(AND(ISNUMBER(P276),ISNUMBER(AF276),ISNUMBER(R276)),P276+AF276-R276,""))</f>
        <v/>
      </c>
      <c r="AH276" s="17">
        <f>IF(E276="금융","",IF(NOT(ISNUMBER(AG276)),"",IF(ISNUMBER(AA276),(AG276+AA276)/2,AG276)))</f>
        <v/>
      </c>
      <c r="AI276" s="19">
        <f>IF(AND(ISNUMBER(AE276),ISNUMBER(AH276),AH276&gt;0),AE276/AH276,"")</f>
        <v/>
      </c>
      <c r="AJ276" s="17">
        <f>IF(E276="금융","",IF(AND(ISNUMBER(P276),ISNUMBER(AF276)),P276+AF276,""))</f>
        <v/>
      </c>
      <c r="AK276" s="19">
        <f>IF(OR(NOT(ISNUMBER(AE276)),NOT(ISNUMBER(AJ276)),AJ276&lt;=0),"",IF(AND(ISNUMBER(G276),AJ276&lt;0.1*G276),"",AE276/AJ276))</f>
        <v/>
      </c>
      <c r="AL276" s="17">
        <f>IF(NOT(ISNUMBER(P276)),"",IF(ISNUMBER(Q276),(P276+Q276)/2,P276))</f>
        <v/>
      </c>
      <c r="AM276" s="19">
        <f>IF(AND(ISNUMBER(L276),ISNUMBER(AL276),AL276&gt;0),L276/AL276,"")</f>
        <v/>
      </c>
      <c r="AN276" s="19">
        <f>IF(AND(ISNUMBER(AM276),ISNUMBER({ROIC})),AM276-{ROIC},"")</f>
        <v/>
      </c>
      <c r="AO276" s="17">
        <f>IF(AND(ISNUMBER(AC276),ISNUMBER(M276)),AC276+M276,"")</f>
        <v/>
      </c>
      <c r="AP276" s="20">
        <f>IF(AND(ISNUMBER(AF276),ISNUMBER(R276),ISNUMBER(AO276),AO276&gt;0),(AF276-R276)/AO276,"")</f>
        <v/>
      </c>
      <c r="AQ276" s="20">
        <f>IF(AND(ISNUMBER(AC276),ISNUMBER(I276),I276&lt;&gt;0,AC276&gt;0),AC276/I276,"")</f>
        <v/>
      </c>
      <c r="AR276" s="17">
        <f>IF(AND(ISNUMBER(W276),ISNUMBER(Y276)),W276-IF(ISNUMBER(R276),R276,0)-(Y276-IF(ISNUMBER(T276),T276,0)),"")</f>
        <v/>
      </c>
      <c r="AS276" s="17">
        <f>IF(AND(ISNUMBER(X276),ISNUMBER(Z276)),X276-IF(ISNUMBER(S276),S276,0)-(Z276-IF(ISNUMBER(U276),U276,0)),"")</f>
        <v/>
      </c>
      <c r="AT276" s="17">
        <f>IF(AND(ISNUMBER(AR276),ISNUMBER(AS276)),AR276-AS276,"")</f>
        <v/>
      </c>
      <c r="AU276" s="17">
        <f>IF(E276="금융","",IF(AND(ISNUMBER(L276),ISNUMBER(M276),ISNUMBER(N276),ISNUMBER(AT276)),L276+M276-N276-AT276,IF(AND(ISNUMBER(O276),ISNUMBER(N276)),O276-N276,"")))</f>
        <v/>
      </c>
      <c r="AV276" s="8">
        <f>IF(E276="금융","금융업 - 정의되지 않음",IF(AND(ISNUMBER(L276),ISNUMBER(M276),ISNUMBER(N276),ISNUMBER(AT276)),"순이익+감가상각-설비투자-운전자본증감",IF(AND(ISNUMBER(O276),ISNUMBER(N276)),"영업현금흐름-설비투자","산출불가")))</f>
        <v/>
      </c>
      <c r="AW276" s="19">
        <f>IF(AND(ISNUMBER(AU276),ISNUMBER(G276),G276&lt;&gt;0),AU276/G276,"")</f>
        <v/>
      </c>
      <c r="AX276" s="19">
        <f>IF(AND(ISNUMBER(AC276),ISNUMBER(G276),G276&lt;&gt;0),AC276/G276,"")</f>
        <v/>
      </c>
    </row>
    <row r="277">
      <c r="A277" s="8" t="inlineStr">
        <is>
          <t>AMAT</t>
        </is>
      </c>
      <c r="B277" s="8" t="inlineStr">
        <is>
          <t>APPLIED MATERIALS INC /DE</t>
        </is>
      </c>
      <c r="C277" s="8" t="n">
        <v>2024</v>
      </c>
      <c r="D277" s="8" t="inlineStr">
        <is>
          <t>2024-10-27</t>
        </is>
      </c>
      <c r="E277" s="8" t="inlineStr">
        <is>
          <t>일반</t>
        </is>
      </c>
      <c r="F277" s="8" t="inlineStr">
        <is>
          <t>0001628280-25-056742</t>
        </is>
      </c>
      <c r="G277" s="15" t="n">
        <v>27.176</v>
      </c>
      <c r="H277" s="15" t="n">
        <v>8.151999999999999</v>
      </c>
      <c r="I277" s="15" t="n">
        <v>0.247</v>
      </c>
      <c r="J277" s="15" t="n">
        <v>0.975</v>
      </c>
      <c r="K277" s="15" t="n">
        <v>7.867</v>
      </c>
      <c r="L277" s="15" t="n">
        <v>7.177</v>
      </c>
      <c r="M277" s="15" t="n">
        <v>0.392</v>
      </c>
      <c r="N277" s="15" t="n">
        <v>1.19</v>
      </c>
      <c r="O277" s="15" t="n">
        <v>8.677</v>
      </c>
      <c r="P277" s="15" t="n">
        <v>19.001</v>
      </c>
      <c r="Q277" s="15" t="n">
        <v>16.349</v>
      </c>
      <c r="R277" s="15" t="n">
        <v>9.471</v>
      </c>
      <c r="S277" s="15" t="n">
        <v>6.869</v>
      </c>
      <c r="T277" s="15" t="n">
        <v>0.7</v>
      </c>
      <c r="U277" s="15" t="n">
        <v>0</v>
      </c>
      <c r="V277" s="15" t="n">
        <v>5.46</v>
      </c>
      <c r="W277" s="15" t="n">
        <v>21.22</v>
      </c>
      <c r="X277" s="15" t="n">
        <v>19.147</v>
      </c>
      <c r="Y277" s="15" t="n">
        <v>8.468</v>
      </c>
      <c r="Z277" s="15" t="n">
        <v>7.372</v>
      </c>
      <c r="AA277" s="15" t="n">
        <v>14.941</v>
      </c>
      <c r="AB277" s="16" t="n">
        <v>818</v>
      </c>
      <c r="AC277" s="17">
        <f>IF(AND(ISNUMBER(H277),ISNUMBER(I277)),H277+I277,IF(ISNUMBER(K277),K277,IF(ISNUMBER(H277),H277,"")))</f>
        <v/>
      </c>
      <c r="AD277" s="18">
        <f>IF(OR(NOT(ISNUMBER(J277)),NOT(ISNUMBER(H277)),H277&lt;=0),기준표!$B$8,MIN(MAX(J277/H277,기준표!$B$6),기준표!$B$7))</f>
        <v/>
      </c>
      <c r="AE277" s="17">
        <f>IF(ISNUMBER(AC277),AC277*(1-AD277),"")</f>
        <v/>
      </c>
      <c r="AF277" s="17">
        <f>IF(AND(NOT(ISNUMBER(T277)),NOT(ISNUMBER(V277))),"",IF(ISNUMBER(T277),T277,0)+IF(ISNUMBER(V277),V277,0))</f>
        <v/>
      </c>
      <c r="AG277" s="17">
        <f>IF(E277="금융","",IF(AND(ISNUMBER(P277),ISNUMBER(AF277),ISNUMBER(R277)),P277+AF277-R277,""))</f>
        <v/>
      </c>
      <c r="AH277" s="17">
        <f>IF(E277="금융","",IF(NOT(ISNUMBER(AG277)),"",IF(ISNUMBER(AA277),(AG277+AA277)/2,AG277)))</f>
        <v/>
      </c>
      <c r="AI277" s="19">
        <f>IF(AND(ISNUMBER(AE277),ISNUMBER(AH277),AH277&gt;0),AE277/AH277,"")</f>
        <v/>
      </c>
      <c r="AJ277" s="17">
        <f>IF(E277="금융","",IF(AND(ISNUMBER(P277),ISNUMBER(AF277)),P277+AF277,""))</f>
        <v/>
      </c>
      <c r="AK277" s="19">
        <f>IF(OR(NOT(ISNUMBER(AE277)),NOT(ISNUMBER(AJ277)),AJ277&lt;=0),"",IF(AND(ISNUMBER(G277),AJ277&lt;0.1*G277),"",AE277/AJ277))</f>
        <v/>
      </c>
      <c r="AL277" s="17">
        <f>IF(NOT(ISNUMBER(P277)),"",IF(ISNUMBER(Q277),(P277+Q277)/2,P277))</f>
        <v/>
      </c>
      <c r="AM277" s="19">
        <f>IF(AND(ISNUMBER(L277),ISNUMBER(AL277),AL277&gt;0),L277/AL277,"")</f>
        <v/>
      </c>
      <c r="AN277" s="19">
        <f>IF(AND(ISNUMBER(AM277),ISNUMBER({ROIC})),AM277-{ROIC},"")</f>
        <v/>
      </c>
      <c r="AO277" s="17">
        <f>IF(AND(ISNUMBER(AC277),ISNUMBER(M277)),AC277+M277,"")</f>
        <v/>
      </c>
      <c r="AP277" s="20">
        <f>IF(AND(ISNUMBER(AF277),ISNUMBER(R277),ISNUMBER(AO277),AO277&gt;0),(AF277-R277)/AO277,"")</f>
        <v/>
      </c>
      <c r="AQ277" s="20">
        <f>IF(AND(ISNUMBER(AC277),ISNUMBER(I277),I277&lt;&gt;0,AC277&gt;0),AC277/I277,"")</f>
        <v/>
      </c>
      <c r="AR277" s="17">
        <f>IF(AND(ISNUMBER(W277),ISNUMBER(Y277)),W277-IF(ISNUMBER(R277),R277,0)-(Y277-IF(ISNUMBER(T277),T277,0)),"")</f>
        <v/>
      </c>
      <c r="AS277" s="17">
        <f>IF(AND(ISNUMBER(X277),ISNUMBER(Z277)),X277-IF(ISNUMBER(S277),S277,0)-(Z277-IF(ISNUMBER(U277),U277,0)),"")</f>
        <v/>
      </c>
      <c r="AT277" s="17">
        <f>IF(AND(ISNUMBER(AR277),ISNUMBER(AS277)),AR277-AS277,"")</f>
        <v/>
      </c>
      <c r="AU277" s="17">
        <f>IF(E277="금융","",IF(AND(ISNUMBER(L277),ISNUMBER(M277),ISNUMBER(N277),ISNUMBER(AT277)),L277+M277-N277-AT277,IF(AND(ISNUMBER(O277),ISNUMBER(N277)),O277-N277,"")))</f>
        <v/>
      </c>
      <c r="AV277" s="8">
        <f>IF(E277="금융","금융업 - 정의되지 않음",IF(AND(ISNUMBER(L277),ISNUMBER(M277),ISNUMBER(N277),ISNUMBER(AT277)),"순이익+감가상각-설비투자-운전자본증감",IF(AND(ISNUMBER(O277),ISNUMBER(N277)),"영업현금흐름-설비투자","산출불가")))</f>
        <v/>
      </c>
      <c r="AW277" s="19">
        <f>IF(AND(ISNUMBER(AU277),ISNUMBER(G277),G277&lt;&gt;0),AU277/G277,"")</f>
        <v/>
      </c>
      <c r="AX277" s="19">
        <f>IF(AND(ISNUMBER(AC277),ISNUMBER(G277),G277&lt;&gt;0),AC277/G277,"")</f>
        <v/>
      </c>
    </row>
    <row r="278">
      <c r="A278" s="8" t="inlineStr">
        <is>
          <t>AMAT</t>
        </is>
      </c>
      <c r="B278" s="8" t="inlineStr">
        <is>
          <t>APPLIED MATERIALS INC /DE</t>
        </is>
      </c>
      <c r="C278" s="8" t="n">
        <v>2025</v>
      </c>
      <c r="D278" s="8" t="inlineStr">
        <is>
          <t>2025-10-26</t>
        </is>
      </c>
      <c r="E278" s="8" t="inlineStr">
        <is>
          <t>일반</t>
        </is>
      </c>
      <c r="F278" s="8" t="inlineStr">
        <is>
          <t>0001628280-25-056742</t>
        </is>
      </c>
      <c r="G278" s="15" t="n">
        <v>28.368</v>
      </c>
      <c r="H278" s="15" t="n">
        <v>9.271000000000001</v>
      </c>
      <c r="I278" s="15" t="n">
        <v>0.269</v>
      </c>
      <c r="J278" s="15" t="n">
        <v>2.273</v>
      </c>
      <c r="K278" s="15" t="n">
        <v>8.289</v>
      </c>
      <c r="L278" s="15" t="n">
        <v>6.998</v>
      </c>
      <c r="M278" s="15" t="n">
        <v>0.435</v>
      </c>
      <c r="N278" s="15" t="n">
        <v>2.26</v>
      </c>
      <c r="O278" s="15" t="n">
        <v>7.958</v>
      </c>
      <c r="P278" s="15" t="n">
        <v>20.415</v>
      </c>
      <c r="Q278" s="15" t="n">
        <v>19.001</v>
      </c>
      <c r="R278" s="15" t="n">
        <v>8.573</v>
      </c>
      <c r="S278" s="15" t="n">
        <v>9.471</v>
      </c>
      <c r="T278" s="15" t="n">
        <v>0</v>
      </c>
      <c r="U278" s="15" t="n">
        <v>0.7</v>
      </c>
      <c r="V278" s="15" t="n">
        <v>6.455</v>
      </c>
      <c r="W278" s="15" t="n">
        <v>20.881</v>
      </c>
      <c r="X278" s="15" t="n">
        <v>21.22</v>
      </c>
      <c r="Y278" s="15" t="n">
        <v>7.999</v>
      </c>
      <c r="Z278" s="15" t="n">
        <v>8.468</v>
      </c>
      <c r="AA278" s="15" t="n">
        <v>15.69</v>
      </c>
      <c r="AB278" s="16" t="n">
        <v>793</v>
      </c>
      <c r="AC278" s="17">
        <f>IF(AND(ISNUMBER(H278),ISNUMBER(I278)),H278+I278,IF(ISNUMBER(K278),K278,IF(ISNUMBER(H278),H278,"")))</f>
        <v/>
      </c>
      <c r="AD278" s="18">
        <f>IF(OR(NOT(ISNUMBER(J278)),NOT(ISNUMBER(H278)),H278&lt;=0),기준표!$B$8,MIN(MAX(J278/H278,기준표!$B$6),기준표!$B$7))</f>
        <v/>
      </c>
      <c r="AE278" s="17">
        <f>IF(ISNUMBER(AC278),AC278*(1-AD278),"")</f>
        <v/>
      </c>
      <c r="AF278" s="17">
        <f>IF(AND(NOT(ISNUMBER(T278)),NOT(ISNUMBER(V278))),"",IF(ISNUMBER(T278),T278,0)+IF(ISNUMBER(V278),V278,0))</f>
        <v/>
      </c>
      <c r="AG278" s="17">
        <f>IF(E278="금융","",IF(AND(ISNUMBER(P278),ISNUMBER(AF278),ISNUMBER(R278)),P278+AF278-R278,""))</f>
        <v/>
      </c>
      <c r="AH278" s="17">
        <f>IF(E278="금융","",IF(NOT(ISNUMBER(AG278)),"",IF(ISNUMBER(AA278),(AG278+AA278)/2,AG278)))</f>
        <v/>
      </c>
      <c r="AI278" s="19">
        <f>IF(AND(ISNUMBER(AE278),ISNUMBER(AH278),AH278&gt;0),AE278/AH278,"")</f>
        <v/>
      </c>
      <c r="AJ278" s="17">
        <f>IF(E278="금융","",IF(AND(ISNUMBER(P278),ISNUMBER(AF278)),P278+AF278,""))</f>
        <v/>
      </c>
      <c r="AK278" s="19">
        <f>IF(OR(NOT(ISNUMBER(AE278)),NOT(ISNUMBER(AJ278)),AJ278&lt;=0),"",IF(AND(ISNUMBER(G278),AJ278&lt;0.1*G278),"",AE278/AJ278))</f>
        <v/>
      </c>
      <c r="AL278" s="17">
        <f>IF(NOT(ISNUMBER(P278)),"",IF(ISNUMBER(Q278),(P278+Q278)/2,P278))</f>
        <v/>
      </c>
      <c r="AM278" s="19">
        <f>IF(AND(ISNUMBER(L278),ISNUMBER(AL278),AL278&gt;0),L278/AL278,"")</f>
        <v/>
      </c>
      <c r="AN278" s="19">
        <f>IF(AND(ISNUMBER(AM278),ISNUMBER({ROIC})),AM278-{ROIC},"")</f>
        <v/>
      </c>
      <c r="AO278" s="17">
        <f>IF(AND(ISNUMBER(AC278),ISNUMBER(M278)),AC278+M278,"")</f>
        <v/>
      </c>
      <c r="AP278" s="20">
        <f>IF(AND(ISNUMBER(AF278),ISNUMBER(R278),ISNUMBER(AO278),AO278&gt;0),(AF278-R278)/AO278,"")</f>
        <v/>
      </c>
      <c r="AQ278" s="20">
        <f>IF(AND(ISNUMBER(AC278),ISNUMBER(I278),I278&lt;&gt;0,AC278&gt;0),AC278/I278,"")</f>
        <v/>
      </c>
      <c r="AR278" s="17">
        <f>IF(AND(ISNUMBER(W278),ISNUMBER(Y278)),W278-IF(ISNUMBER(R278),R278,0)-(Y278-IF(ISNUMBER(T278),T278,0)),"")</f>
        <v/>
      </c>
      <c r="AS278" s="17">
        <f>IF(AND(ISNUMBER(X278),ISNUMBER(Z278)),X278-IF(ISNUMBER(S278),S278,0)-(Z278-IF(ISNUMBER(U278),U278,0)),"")</f>
        <v/>
      </c>
      <c r="AT278" s="17">
        <f>IF(AND(ISNUMBER(AR278),ISNUMBER(AS278)),AR278-AS278,"")</f>
        <v/>
      </c>
      <c r="AU278" s="17">
        <f>IF(E278="금융","",IF(AND(ISNUMBER(L278),ISNUMBER(M278),ISNUMBER(N278),ISNUMBER(AT278)),L278+M278-N278-AT278,IF(AND(ISNUMBER(O278),ISNUMBER(N278)),O278-N278,"")))</f>
        <v/>
      </c>
      <c r="AV278" s="8">
        <f>IF(E278="금융","금융업 - 정의되지 않음",IF(AND(ISNUMBER(L278),ISNUMBER(M278),ISNUMBER(N278),ISNUMBER(AT278)),"순이익+감가상각-설비투자-운전자본증감",IF(AND(ISNUMBER(O278),ISNUMBER(N278)),"영업현금흐름-설비투자","산출불가")))</f>
        <v/>
      </c>
      <c r="AW278" s="19">
        <f>IF(AND(ISNUMBER(AU278),ISNUMBER(G278),G278&lt;&gt;0),AU278/G278,"")</f>
        <v/>
      </c>
      <c r="AX278" s="19">
        <f>IF(AND(ISNUMBER(AC278),ISNUMBER(G278),G278&lt;&gt;0),AC278/G278,"")</f>
        <v/>
      </c>
    </row>
    <row r="279">
      <c r="A279" s="8" t="inlineStr">
        <is>
          <t>ORCL</t>
        </is>
      </c>
      <c r="B279" s="8" t="inlineStr">
        <is>
          <t>ORACLE CORP</t>
        </is>
      </c>
      <c r="C279" s="8" t="n">
        <v>2014</v>
      </c>
      <c r="D279" s="8" t="inlineStr">
        <is>
          <t>2015-05-31</t>
        </is>
      </c>
      <c r="E279" s="8" t="inlineStr">
        <is>
          <t>일반</t>
        </is>
      </c>
      <c r="F279" s="8" t="inlineStr">
        <is>
          <t>0001193125-17-214833</t>
        </is>
      </c>
      <c r="G279" s="15" t="n"/>
      <c r="H279" s="15" t="n">
        <v>12.834</v>
      </c>
      <c r="I279" s="15" t="n">
        <v>1.143</v>
      </c>
      <c r="J279" s="15" t="n">
        <v>2.896</v>
      </c>
      <c r="K279" s="15" t="n">
        <v>13.871</v>
      </c>
      <c r="L279" s="15" t="n">
        <v>9.938000000000001</v>
      </c>
      <c r="M279" s="15" t="n">
        <v>0.712</v>
      </c>
      <c r="N279" s="15" t="n">
        <v>1.391</v>
      </c>
      <c r="O279" s="15" t="n">
        <v>14.58</v>
      </c>
      <c r="P279" s="15" t="n">
        <v>48.663</v>
      </c>
      <c r="Q279" s="15" t="n"/>
      <c r="R279" s="15" t="n">
        <v>21.716</v>
      </c>
      <c r="S279" s="15" t="n"/>
      <c r="T279" s="15" t="n">
        <v>1.999</v>
      </c>
      <c r="U279" s="15" t="n"/>
      <c r="V279" s="15" t="n"/>
      <c r="W279" s="15" t="n">
        <v>62.52</v>
      </c>
      <c r="X279" s="15" t="n"/>
      <c r="Y279" s="15" t="n">
        <v>15.206</v>
      </c>
      <c r="Z279" s="15" t="n"/>
      <c r="AA279" s="15" t="n"/>
      <c r="AB279" s="16" t="n">
        <v>4454.889</v>
      </c>
      <c r="AC279" s="17">
        <f>IF(AND(ISNUMBER(H279),ISNUMBER(I279)),H279+I279,IF(ISNUMBER(K279),K279,IF(ISNUMBER(H279),H279,"")))</f>
        <v/>
      </c>
      <c r="AD279" s="18">
        <f>IF(OR(NOT(ISNUMBER(J279)),NOT(ISNUMBER(H279)),H279&lt;=0),기준표!$B$8,MIN(MAX(J279/H279,기준표!$B$6),기준표!$B$7))</f>
        <v/>
      </c>
      <c r="AE279" s="17">
        <f>IF(ISNUMBER(AC279),AC279*(1-AD279),"")</f>
        <v/>
      </c>
      <c r="AF279" s="17">
        <f>IF(AND(NOT(ISNUMBER(T279)),NOT(ISNUMBER(V279))),"",IF(ISNUMBER(T279),T279,0)+IF(ISNUMBER(V279),V279,0))</f>
        <v/>
      </c>
      <c r="AG279" s="17">
        <f>IF(E279="금융","",IF(AND(ISNUMBER(P279),ISNUMBER(AF279),ISNUMBER(R279)),P279+AF279-R279,""))</f>
        <v/>
      </c>
      <c r="AH279" s="17">
        <f>IF(E279="금융","",IF(NOT(ISNUMBER(AG279)),"",IF(ISNUMBER(AA279),(AG279+AA279)/2,AG279)))</f>
        <v/>
      </c>
      <c r="AI279" s="19">
        <f>IF(AND(ISNUMBER(AE279),ISNUMBER(AH279),AH279&gt;0),AE279/AH279,"")</f>
        <v/>
      </c>
      <c r="AJ279" s="17">
        <f>IF(E279="금융","",IF(AND(ISNUMBER(P279),ISNUMBER(AF279)),P279+AF279,""))</f>
        <v/>
      </c>
      <c r="AK279" s="19">
        <f>IF(OR(NOT(ISNUMBER(AE279)),NOT(ISNUMBER(AJ279)),AJ279&lt;=0),"",IF(AND(ISNUMBER(G279),AJ279&lt;0.1*G279),"",AE279/AJ279))</f>
        <v/>
      </c>
      <c r="AL279" s="17">
        <f>IF(NOT(ISNUMBER(P279)),"",IF(ISNUMBER(Q279),(P279+Q279)/2,P279))</f>
        <v/>
      </c>
      <c r="AM279" s="19">
        <f>IF(AND(ISNUMBER(L279),ISNUMBER(AL279),AL279&gt;0),L279/AL279,"")</f>
        <v/>
      </c>
      <c r="AN279" s="19">
        <f>IF(AND(ISNUMBER(AM279),ISNUMBER({ROIC})),AM279-{ROIC},"")</f>
        <v/>
      </c>
      <c r="AO279" s="17">
        <f>IF(AND(ISNUMBER(AC279),ISNUMBER(M279)),AC279+M279,"")</f>
        <v/>
      </c>
      <c r="AP279" s="20">
        <f>IF(AND(ISNUMBER(AF279),ISNUMBER(R279),ISNUMBER(AO279),AO279&gt;0),(AF279-R279)/AO279,"")</f>
        <v/>
      </c>
      <c r="AQ279" s="20">
        <f>IF(AND(ISNUMBER(AC279),ISNUMBER(I279),I279&lt;&gt;0,AC279&gt;0),AC279/I279,"")</f>
        <v/>
      </c>
      <c r="AR279" s="17">
        <f>IF(AND(ISNUMBER(W279),ISNUMBER(Y279)),W279-IF(ISNUMBER(R279),R279,0)-(Y279-IF(ISNUMBER(T279),T279,0)),"")</f>
        <v/>
      </c>
      <c r="AS279" s="17">
        <f>IF(AND(ISNUMBER(X279),ISNUMBER(Z279)),X279-IF(ISNUMBER(S279),S279,0)-(Z279-IF(ISNUMBER(U279),U279,0)),"")</f>
        <v/>
      </c>
      <c r="AT279" s="17">
        <f>IF(AND(ISNUMBER(AR279),ISNUMBER(AS279)),AR279-AS279,"")</f>
        <v/>
      </c>
      <c r="AU279" s="17">
        <f>IF(E279="금융","",IF(AND(ISNUMBER(L279),ISNUMBER(M279),ISNUMBER(N279),ISNUMBER(AT279)),L279+M279-N279-AT279,IF(AND(ISNUMBER(O279),ISNUMBER(N279)),O279-N279,"")))</f>
        <v/>
      </c>
      <c r="AV279" s="8">
        <f>IF(E279="금융","금융업 - 정의되지 않음",IF(AND(ISNUMBER(L279),ISNUMBER(M279),ISNUMBER(N279),ISNUMBER(AT279)),"순이익+감가상각-설비투자-운전자본증감",IF(AND(ISNUMBER(O279),ISNUMBER(N279)),"영업현금흐름-설비투자","산출불가")))</f>
        <v/>
      </c>
      <c r="AW279" s="19">
        <f>IF(AND(ISNUMBER(AU279),ISNUMBER(G279),G279&lt;&gt;0),AU279/G279,"")</f>
        <v/>
      </c>
      <c r="AX279" s="19">
        <f>IF(AND(ISNUMBER(AC279),ISNUMBER(G279),G279&lt;&gt;0),AC279/G279,"")</f>
        <v/>
      </c>
    </row>
    <row r="280">
      <c r="A280" s="8" t="inlineStr">
        <is>
          <t>ORCL</t>
        </is>
      </c>
      <c r="B280" s="8" t="inlineStr">
        <is>
          <t>ORACLE CORP</t>
        </is>
      </c>
      <c r="C280" s="8" t="n">
        <v>2015</v>
      </c>
      <c r="D280" s="8" t="inlineStr">
        <is>
          <t>2016-05-31</t>
        </is>
      </c>
      <c r="E280" s="8" t="inlineStr">
        <is>
          <t>일반</t>
        </is>
      </c>
      <c r="F280" s="8" t="inlineStr">
        <is>
          <t>0001193125-18-201034</t>
        </is>
      </c>
      <c r="G280" s="15" t="n"/>
      <c r="H280" s="15" t="n">
        <v>11.442</v>
      </c>
      <c r="I280" s="15" t="n">
        <v>1.467</v>
      </c>
      <c r="J280" s="15" t="n">
        <v>2.541</v>
      </c>
      <c r="K280" s="15" t="n">
        <v>12.604</v>
      </c>
      <c r="L280" s="15" t="n">
        <v>8.901</v>
      </c>
      <c r="M280" s="15" t="n">
        <v>0.871</v>
      </c>
      <c r="N280" s="15" t="n">
        <v>1.189</v>
      </c>
      <c r="O280" s="15" t="n">
        <v>13.685</v>
      </c>
      <c r="P280" s="15" t="n">
        <v>47.289</v>
      </c>
      <c r="Q280" s="15" t="n">
        <v>48.663</v>
      </c>
      <c r="R280" s="15" t="n">
        <v>20.152</v>
      </c>
      <c r="S280" s="15" t="n">
        <v>21.716</v>
      </c>
      <c r="T280" s="15" t="n">
        <v>3.75</v>
      </c>
      <c r="U280" s="15" t="n">
        <v>1.999</v>
      </c>
      <c r="V280" s="15" t="n"/>
      <c r="W280" s="15" t="n">
        <v>64.313</v>
      </c>
      <c r="X280" s="15" t="n">
        <v>62.52</v>
      </c>
      <c r="Y280" s="15" t="n">
        <v>17.208</v>
      </c>
      <c r="Z280" s="15" t="n">
        <v>15.206</v>
      </c>
      <c r="AA280" s="15" t="n">
        <v>28.946</v>
      </c>
      <c r="AB280" s="16" t="n">
        <v>4336.077</v>
      </c>
      <c r="AC280" s="17">
        <f>IF(AND(ISNUMBER(H280),ISNUMBER(I280)),H280+I280,IF(ISNUMBER(K280),K280,IF(ISNUMBER(H280),H280,"")))</f>
        <v/>
      </c>
      <c r="AD280" s="18">
        <f>IF(OR(NOT(ISNUMBER(J280)),NOT(ISNUMBER(H280)),H280&lt;=0),기준표!$B$8,MIN(MAX(J280/H280,기준표!$B$6),기준표!$B$7))</f>
        <v/>
      </c>
      <c r="AE280" s="17">
        <f>IF(ISNUMBER(AC280),AC280*(1-AD280),"")</f>
        <v/>
      </c>
      <c r="AF280" s="17">
        <f>IF(AND(NOT(ISNUMBER(T280)),NOT(ISNUMBER(V280))),"",IF(ISNUMBER(T280),T280,0)+IF(ISNUMBER(V280),V280,0))</f>
        <v/>
      </c>
      <c r="AG280" s="17">
        <f>IF(E280="금융","",IF(AND(ISNUMBER(P280),ISNUMBER(AF280),ISNUMBER(R280)),P280+AF280-R280,""))</f>
        <v/>
      </c>
      <c r="AH280" s="17">
        <f>IF(E280="금융","",IF(NOT(ISNUMBER(AG280)),"",IF(ISNUMBER(AA280),(AG280+AA280)/2,AG280)))</f>
        <v/>
      </c>
      <c r="AI280" s="19">
        <f>IF(AND(ISNUMBER(AE280),ISNUMBER(AH280),AH280&gt;0),AE280/AH280,"")</f>
        <v/>
      </c>
      <c r="AJ280" s="17">
        <f>IF(E280="금융","",IF(AND(ISNUMBER(P280),ISNUMBER(AF280)),P280+AF280,""))</f>
        <v/>
      </c>
      <c r="AK280" s="19">
        <f>IF(OR(NOT(ISNUMBER(AE280)),NOT(ISNUMBER(AJ280)),AJ280&lt;=0),"",IF(AND(ISNUMBER(G280),AJ280&lt;0.1*G280),"",AE280/AJ280))</f>
        <v/>
      </c>
      <c r="AL280" s="17">
        <f>IF(NOT(ISNUMBER(P280)),"",IF(ISNUMBER(Q280),(P280+Q280)/2,P280))</f>
        <v/>
      </c>
      <c r="AM280" s="19">
        <f>IF(AND(ISNUMBER(L280),ISNUMBER(AL280),AL280&gt;0),L280/AL280,"")</f>
        <v/>
      </c>
      <c r="AN280" s="19">
        <f>IF(AND(ISNUMBER(AM280),ISNUMBER({ROIC})),AM280-{ROIC},"")</f>
        <v/>
      </c>
      <c r="AO280" s="17">
        <f>IF(AND(ISNUMBER(AC280),ISNUMBER(M280)),AC280+M280,"")</f>
        <v/>
      </c>
      <c r="AP280" s="20">
        <f>IF(AND(ISNUMBER(AF280),ISNUMBER(R280),ISNUMBER(AO280),AO280&gt;0),(AF280-R280)/AO280,"")</f>
        <v/>
      </c>
      <c r="AQ280" s="20">
        <f>IF(AND(ISNUMBER(AC280),ISNUMBER(I280),I280&lt;&gt;0,AC280&gt;0),AC280/I280,"")</f>
        <v/>
      </c>
      <c r="AR280" s="17">
        <f>IF(AND(ISNUMBER(W280),ISNUMBER(Y280)),W280-IF(ISNUMBER(R280),R280,0)-(Y280-IF(ISNUMBER(T280),T280,0)),"")</f>
        <v/>
      </c>
      <c r="AS280" s="17">
        <f>IF(AND(ISNUMBER(X280),ISNUMBER(Z280)),X280-IF(ISNUMBER(S280),S280,0)-(Z280-IF(ISNUMBER(U280),U280,0)),"")</f>
        <v/>
      </c>
      <c r="AT280" s="17">
        <f>IF(AND(ISNUMBER(AR280),ISNUMBER(AS280)),AR280-AS280,"")</f>
        <v/>
      </c>
      <c r="AU280" s="17">
        <f>IF(E280="금융","",IF(AND(ISNUMBER(L280),ISNUMBER(M280),ISNUMBER(N280),ISNUMBER(AT280)),L280+M280-N280-AT280,IF(AND(ISNUMBER(O280),ISNUMBER(N280)),O280-N280,"")))</f>
        <v/>
      </c>
      <c r="AV280" s="8">
        <f>IF(E280="금융","금융업 - 정의되지 않음",IF(AND(ISNUMBER(L280),ISNUMBER(M280),ISNUMBER(N280),ISNUMBER(AT280)),"순이익+감가상각-설비투자-운전자본증감",IF(AND(ISNUMBER(O280),ISNUMBER(N280)),"영업현금흐름-설비투자","산출불가")))</f>
        <v/>
      </c>
      <c r="AW280" s="19">
        <f>IF(AND(ISNUMBER(AU280),ISNUMBER(G280),G280&lt;&gt;0),AU280/G280,"")</f>
        <v/>
      </c>
      <c r="AX280" s="19">
        <f>IF(AND(ISNUMBER(AC280),ISNUMBER(G280),G280&lt;&gt;0),AC280/G280,"")</f>
        <v/>
      </c>
    </row>
    <row r="281">
      <c r="A281" s="8" t="inlineStr">
        <is>
          <t>ORCL</t>
        </is>
      </c>
      <c r="B281" s="8" t="inlineStr">
        <is>
          <t>ORACLE CORP</t>
        </is>
      </c>
      <c r="C281" s="8" t="n">
        <v>2016</v>
      </c>
      <c r="D281" s="8" t="inlineStr">
        <is>
          <t>2017-05-31</t>
        </is>
      </c>
      <c r="E281" s="8" t="inlineStr">
        <is>
          <t>일반</t>
        </is>
      </c>
      <c r="F281" s="8" t="inlineStr">
        <is>
          <t>0001564590-19-023119</t>
        </is>
      </c>
      <c r="G281" s="15" t="n">
        <v>37.792</v>
      </c>
      <c r="H281" s="15" t="n">
        <v>11.517</v>
      </c>
      <c r="I281" s="15" t="n">
        <v>1.798</v>
      </c>
      <c r="J281" s="15" t="n">
        <v>2.228</v>
      </c>
      <c r="K281" s="15" t="n">
        <v>12.913</v>
      </c>
      <c r="L281" s="15" t="n">
        <v>9.452</v>
      </c>
      <c r="M281" s="15" t="n">
        <v>1</v>
      </c>
      <c r="N281" s="15" t="n">
        <v>2.021</v>
      </c>
      <c r="O281" s="15" t="n">
        <v>14.126</v>
      </c>
      <c r="P281" s="15" t="n">
        <v>53.86</v>
      </c>
      <c r="Q281" s="15" t="n">
        <v>47.289</v>
      </c>
      <c r="R281" s="15" t="n">
        <v>21.784</v>
      </c>
      <c r="S281" s="15" t="n">
        <v>20.152</v>
      </c>
      <c r="T281" s="15" t="n">
        <v>9.797000000000001</v>
      </c>
      <c r="U281" s="15" t="n">
        <v>3.75</v>
      </c>
      <c r="V281" s="15" t="n"/>
      <c r="W281" s="15" t="n">
        <v>74.515</v>
      </c>
      <c r="X281" s="15" t="n">
        <v>64.313</v>
      </c>
      <c r="Y281" s="15" t="n">
        <v>24.178</v>
      </c>
      <c r="Z281" s="15" t="n">
        <v>17.208</v>
      </c>
      <c r="AA281" s="15" t="n">
        <v>30.887</v>
      </c>
      <c r="AB281" s="16" t="n">
        <v>4122.73</v>
      </c>
      <c r="AC281" s="17">
        <f>IF(AND(ISNUMBER(H281),ISNUMBER(I281)),H281+I281,IF(ISNUMBER(K281),K281,IF(ISNUMBER(H281),H281,"")))</f>
        <v/>
      </c>
      <c r="AD281" s="18">
        <f>IF(OR(NOT(ISNUMBER(J281)),NOT(ISNUMBER(H281)),H281&lt;=0),기준표!$B$8,MIN(MAX(J281/H281,기준표!$B$6),기준표!$B$7))</f>
        <v/>
      </c>
      <c r="AE281" s="17">
        <f>IF(ISNUMBER(AC281),AC281*(1-AD281),"")</f>
        <v/>
      </c>
      <c r="AF281" s="17">
        <f>IF(AND(NOT(ISNUMBER(T281)),NOT(ISNUMBER(V281))),"",IF(ISNUMBER(T281),T281,0)+IF(ISNUMBER(V281),V281,0))</f>
        <v/>
      </c>
      <c r="AG281" s="17">
        <f>IF(E281="금융","",IF(AND(ISNUMBER(P281),ISNUMBER(AF281),ISNUMBER(R281)),P281+AF281-R281,""))</f>
        <v/>
      </c>
      <c r="AH281" s="17">
        <f>IF(E281="금융","",IF(NOT(ISNUMBER(AG281)),"",IF(ISNUMBER(AA281),(AG281+AA281)/2,AG281)))</f>
        <v/>
      </c>
      <c r="AI281" s="19">
        <f>IF(AND(ISNUMBER(AE281),ISNUMBER(AH281),AH281&gt;0),AE281/AH281,"")</f>
        <v/>
      </c>
      <c r="AJ281" s="17">
        <f>IF(E281="금융","",IF(AND(ISNUMBER(P281),ISNUMBER(AF281)),P281+AF281,""))</f>
        <v/>
      </c>
      <c r="AK281" s="19">
        <f>IF(OR(NOT(ISNUMBER(AE281)),NOT(ISNUMBER(AJ281)),AJ281&lt;=0),"",IF(AND(ISNUMBER(G281),AJ281&lt;0.1*G281),"",AE281/AJ281))</f>
        <v/>
      </c>
      <c r="AL281" s="17">
        <f>IF(NOT(ISNUMBER(P281)),"",IF(ISNUMBER(Q281),(P281+Q281)/2,P281))</f>
        <v/>
      </c>
      <c r="AM281" s="19">
        <f>IF(AND(ISNUMBER(L281),ISNUMBER(AL281),AL281&gt;0),L281/AL281,"")</f>
        <v/>
      </c>
      <c r="AN281" s="19">
        <f>IF(AND(ISNUMBER(AM281),ISNUMBER({ROIC})),AM281-{ROIC},"")</f>
        <v/>
      </c>
      <c r="AO281" s="17">
        <f>IF(AND(ISNUMBER(AC281),ISNUMBER(M281)),AC281+M281,"")</f>
        <v/>
      </c>
      <c r="AP281" s="20">
        <f>IF(AND(ISNUMBER(AF281),ISNUMBER(R281),ISNUMBER(AO281),AO281&gt;0),(AF281-R281)/AO281,"")</f>
        <v/>
      </c>
      <c r="AQ281" s="20">
        <f>IF(AND(ISNUMBER(AC281),ISNUMBER(I281),I281&lt;&gt;0,AC281&gt;0),AC281/I281,"")</f>
        <v/>
      </c>
      <c r="AR281" s="17">
        <f>IF(AND(ISNUMBER(W281),ISNUMBER(Y281)),W281-IF(ISNUMBER(R281),R281,0)-(Y281-IF(ISNUMBER(T281),T281,0)),"")</f>
        <v/>
      </c>
      <c r="AS281" s="17">
        <f>IF(AND(ISNUMBER(X281),ISNUMBER(Z281)),X281-IF(ISNUMBER(S281),S281,0)-(Z281-IF(ISNUMBER(U281),U281,0)),"")</f>
        <v/>
      </c>
      <c r="AT281" s="17">
        <f>IF(AND(ISNUMBER(AR281),ISNUMBER(AS281)),AR281-AS281,"")</f>
        <v/>
      </c>
      <c r="AU281" s="17">
        <f>IF(E281="금융","",IF(AND(ISNUMBER(L281),ISNUMBER(M281),ISNUMBER(N281),ISNUMBER(AT281)),L281+M281-N281-AT281,IF(AND(ISNUMBER(O281),ISNUMBER(N281)),O281-N281,"")))</f>
        <v/>
      </c>
      <c r="AV281" s="8">
        <f>IF(E281="금융","금융업 - 정의되지 않음",IF(AND(ISNUMBER(L281),ISNUMBER(M281),ISNUMBER(N281),ISNUMBER(AT281)),"순이익+감가상각-설비투자-운전자본증감",IF(AND(ISNUMBER(O281),ISNUMBER(N281)),"영업현금흐름-설비투자","산출불가")))</f>
        <v/>
      </c>
      <c r="AW281" s="19">
        <f>IF(AND(ISNUMBER(AU281),ISNUMBER(G281),G281&lt;&gt;0),AU281/G281,"")</f>
        <v/>
      </c>
      <c r="AX281" s="19">
        <f>IF(AND(ISNUMBER(AC281),ISNUMBER(G281),G281&lt;&gt;0),AC281/G281,"")</f>
        <v/>
      </c>
    </row>
    <row r="282">
      <c r="A282" s="8" t="inlineStr">
        <is>
          <t>ORCL</t>
        </is>
      </c>
      <c r="B282" s="8" t="inlineStr">
        <is>
          <t>ORACLE CORP</t>
        </is>
      </c>
      <c r="C282" s="8" t="n">
        <v>2017</v>
      </c>
      <c r="D282" s="8" t="inlineStr">
        <is>
          <t>2018-05-31</t>
        </is>
      </c>
      <c r="E282" s="8" t="inlineStr">
        <is>
          <t>일반</t>
        </is>
      </c>
      <c r="F282" s="8" t="inlineStr">
        <is>
          <t>0001564590-20-030125</t>
        </is>
      </c>
      <c r="G282" s="15" t="n">
        <v>39.383</v>
      </c>
      <c r="H282" s="15" t="n">
        <v>12.891</v>
      </c>
      <c r="I282" s="15" t="n">
        <v>2.025</v>
      </c>
      <c r="J282" s="15" t="n">
        <v>8.837</v>
      </c>
      <c r="K282" s="15" t="n">
        <v>13.264</v>
      </c>
      <c r="L282" s="15" t="n">
        <v>3.587</v>
      </c>
      <c r="M282" s="15" t="n">
        <v>1.165</v>
      </c>
      <c r="N282" s="15" t="n">
        <v>1.736</v>
      </c>
      <c r="O282" s="15" t="n">
        <v>15.386</v>
      </c>
      <c r="P282" s="15" t="n">
        <v>46.372</v>
      </c>
      <c r="Q282" s="15" t="n">
        <v>53.86</v>
      </c>
      <c r="R282" s="15" t="n">
        <v>67.261</v>
      </c>
      <c r="S282" s="15" t="n">
        <v>21.784</v>
      </c>
      <c r="T282" s="15" t="n">
        <v>4.491</v>
      </c>
      <c r="U282" s="15" t="n">
        <v>9.797000000000001</v>
      </c>
      <c r="V282" s="15" t="n"/>
      <c r="W282" s="15" t="n">
        <v>76.15900000000001</v>
      </c>
      <c r="X282" s="15" t="n">
        <v>74.515</v>
      </c>
      <c r="Y282" s="15" t="n">
        <v>19.124</v>
      </c>
      <c r="Z282" s="15" t="n">
        <v>24.178</v>
      </c>
      <c r="AA282" s="15" t="n">
        <v>41.873</v>
      </c>
      <c r="AB282" s="16" t="n">
        <v>4136.682</v>
      </c>
      <c r="AC282" s="17">
        <f>IF(AND(ISNUMBER(H282),ISNUMBER(I282)),H282+I282,IF(ISNUMBER(K282),K282,IF(ISNUMBER(H282),H282,"")))</f>
        <v/>
      </c>
      <c r="AD282" s="18">
        <f>IF(OR(NOT(ISNUMBER(J282)),NOT(ISNUMBER(H282)),H282&lt;=0),기준표!$B$8,MIN(MAX(J282/H282,기준표!$B$6),기준표!$B$7))</f>
        <v/>
      </c>
      <c r="AE282" s="17">
        <f>IF(ISNUMBER(AC282),AC282*(1-AD282),"")</f>
        <v/>
      </c>
      <c r="AF282" s="17">
        <f>IF(AND(NOT(ISNUMBER(T282)),NOT(ISNUMBER(V282))),"",IF(ISNUMBER(T282),T282,0)+IF(ISNUMBER(V282),V282,0))</f>
        <v/>
      </c>
      <c r="AG282" s="17">
        <f>IF(E282="금융","",IF(AND(ISNUMBER(P282),ISNUMBER(AF282),ISNUMBER(R282)),P282+AF282-R282,""))</f>
        <v/>
      </c>
      <c r="AH282" s="17">
        <f>IF(E282="금융","",IF(NOT(ISNUMBER(AG282)),"",IF(ISNUMBER(AA282),(AG282+AA282)/2,AG282)))</f>
        <v/>
      </c>
      <c r="AI282" s="19">
        <f>IF(AND(ISNUMBER(AE282),ISNUMBER(AH282),AH282&gt;0),AE282/AH282,"")</f>
        <v/>
      </c>
      <c r="AJ282" s="17">
        <f>IF(E282="금융","",IF(AND(ISNUMBER(P282),ISNUMBER(AF282)),P282+AF282,""))</f>
        <v/>
      </c>
      <c r="AK282" s="19">
        <f>IF(OR(NOT(ISNUMBER(AE282)),NOT(ISNUMBER(AJ282)),AJ282&lt;=0),"",IF(AND(ISNUMBER(G282),AJ282&lt;0.1*G282),"",AE282/AJ282))</f>
        <v/>
      </c>
      <c r="AL282" s="17">
        <f>IF(NOT(ISNUMBER(P282)),"",IF(ISNUMBER(Q282),(P282+Q282)/2,P282))</f>
        <v/>
      </c>
      <c r="AM282" s="19">
        <f>IF(AND(ISNUMBER(L282),ISNUMBER(AL282),AL282&gt;0),L282/AL282,"")</f>
        <v/>
      </c>
      <c r="AN282" s="19">
        <f>IF(AND(ISNUMBER(AM282),ISNUMBER({ROIC})),AM282-{ROIC},"")</f>
        <v/>
      </c>
      <c r="AO282" s="17">
        <f>IF(AND(ISNUMBER(AC282),ISNUMBER(M282)),AC282+M282,"")</f>
        <v/>
      </c>
      <c r="AP282" s="20">
        <f>IF(AND(ISNUMBER(AF282),ISNUMBER(R282),ISNUMBER(AO282),AO282&gt;0),(AF282-R282)/AO282,"")</f>
        <v/>
      </c>
      <c r="AQ282" s="20">
        <f>IF(AND(ISNUMBER(AC282),ISNUMBER(I282),I282&lt;&gt;0,AC282&gt;0),AC282/I282,"")</f>
        <v/>
      </c>
      <c r="AR282" s="17">
        <f>IF(AND(ISNUMBER(W282),ISNUMBER(Y282)),W282-IF(ISNUMBER(R282),R282,0)-(Y282-IF(ISNUMBER(T282),T282,0)),"")</f>
        <v/>
      </c>
      <c r="AS282" s="17">
        <f>IF(AND(ISNUMBER(X282),ISNUMBER(Z282)),X282-IF(ISNUMBER(S282),S282,0)-(Z282-IF(ISNUMBER(U282),U282,0)),"")</f>
        <v/>
      </c>
      <c r="AT282" s="17">
        <f>IF(AND(ISNUMBER(AR282),ISNUMBER(AS282)),AR282-AS282,"")</f>
        <v/>
      </c>
      <c r="AU282" s="17">
        <f>IF(E282="금융","",IF(AND(ISNUMBER(L282),ISNUMBER(M282),ISNUMBER(N282),ISNUMBER(AT282)),L282+M282-N282-AT282,IF(AND(ISNUMBER(O282),ISNUMBER(N282)),O282-N282,"")))</f>
        <v/>
      </c>
      <c r="AV282" s="8">
        <f>IF(E282="금융","금융업 - 정의되지 않음",IF(AND(ISNUMBER(L282),ISNUMBER(M282),ISNUMBER(N282),ISNUMBER(AT282)),"순이익+감가상각-설비투자-운전자본증감",IF(AND(ISNUMBER(O282),ISNUMBER(N282)),"영업현금흐름-설비투자","산출불가")))</f>
        <v/>
      </c>
      <c r="AW282" s="19">
        <f>IF(AND(ISNUMBER(AU282),ISNUMBER(G282),G282&lt;&gt;0),AU282/G282,"")</f>
        <v/>
      </c>
      <c r="AX282" s="19">
        <f>IF(AND(ISNUMBER(AC282),ISNUMBER(G282),G282&lt;&gt;0),AC282/G282,"")</f>
        <v/>
      </c>
    </row>
    <row r="283">
      <c r="A283" s="8" t="inlineStr">
        <is>
          <t>ORCL</t>
        </is>
      </c>
      <c r="B283" s="8" t="inlineStr">
        <is>
          <t>ORACLE CORP</t>
        </is>
      </c>
      <c r="C283" s="8" t="n">
        <v>2018</v>
      </c>
      <c r="D283" s="8" t="inlineStr">
        <is>
          <t>2019-05-31</t>
        </is>
      </c>
      <c r="E283" s="8" t="inlineStr">
        <is>
          <t>일반</t>
        </is>
      </c>
      <c r="F283" s="8" t="inlineStr">
        <is>
          <t>0001564590-21-033616</t>
        </is>
      </c>
      <c r="G283" s="15" t="n">
        <v>39.506</v>
      </c>
      <c r="H283" s="15" t="n">
        <v>12.268</v>
      </c>
      <c r="I283" s="15" t="n">
        <v>2.082</v>
      </c>
      <c r="J283" s="15" t="n">
        <v>1.185</v>
      </c>
      <c r="K283" s="15" t="n">
        <v>13.535</v>
      </c>
      <c r="L283" s="15" t="n">
        <v>11.083</v>
      </c>
      <c r="M283" s="15" t="n">
        <v>1.23</v>
      </c>
      <c r="N283" s="15" t="n">
        <v>1.66</v>
      </c>
      <c r="O283" s="15" t="n">
        <v>14.551</v>
      </c>
      <c r="P283" s="15" t="n">
        <v>21.785</v>
      </c>
      <c r="Q283" s="15" t="n">
        <v>46.372</v>
      </c>
      <c r="R283" s="15" t="n">
        <v>37.827</v>
      </c>
      <c r="S283" s="15" t="n">
        <v>67.261</v>
      </c>
      <c r="T283" s="15" t="n">
        <v>4.494</v>
      </c>
      <c r="U283" s="15" t="n">
        <v>4.491</v>
      </c>
      <c r="V283" s="15" t="n"/>
      <c r="W283" s="15" t="n">
        <v>46.386</v>
      </c>
      <c r="X283" s="15" t="n">
        <v>76.15900000000001</v>
      </c>
      <c r="Y283" s="15" t="n">
        <v>18.63</v>
      </c>
      <c r="Z283" s="15" t="n">
        <v>19.124</v>
      </c>
      <c r="AA283" s="15" t="n">
        <v>-16.398</v>
      </c>
      <c r="AB283" s="16" t="n">
        <v>3981.155</v>
      </c>
      <c r="AC283" s="17">
        <f>IF(AND(ISNUMBER(H283),ISNUMBER(I283)),H283+I283,IF(ISNUMBER(K283),K283,IF(ISNUMBER(H283),H283,"")))</f>
        <v/>
      </c>
      <c r="AD283" s="18">
        <f>IF(OR(NOT(ISNUMBER(J283)),NOT(ISNUMBER(H283)),H283&lt;=0),기준표!$B$8,MIN(MAX(J283/H283,기준표!$B$6),기준표!$B$7))</f>
        <v/>
      </c>
      <c r="AE283" s="17">
        <f>IF(ISNUMBER(AC283),AC283*(1-AD283),"")</f>
        <v/>
      </c>
      <c r="AF283" s="17">
        <f>IF(AND(NOT(ISNUMBER(T283)),NOT(ISNUMBER(V283))),"",IF(ISNUMBER(T283),T283,0)+IF(ISNUMBER(V283),V283,0))</f>
        <v/>
      </c>
      <c r="AG283" s="17">
        <f>IF(E283="금융","",IF(AND(ISNUMBER(P283),ISNUMBER(AF283),ISNUMBER(R283)),P283+AF283-R283,""))</f>
        <v/>
      </c>
      <c r="AH283" s="17">
        <f>IF(E283="금융","",IF(NOT(ISNUMBER(AG283)),"",IF(ISNUMBER(AA283),(AG283+AA283)/2,AG283)))</f>
        <v/>
      </c>
      <c r="AI283" s="19">
        <f>IF(AND(ISNUMBER(AE283),ISNUMBER(AH283),AH283&gt;0),AE283/AH283,"")</f>
        <v/>
      </c>
      <c r="AJ283" s="17">
        <f>IF(E283="금융","",IF(AND(ISNUMBER(P283),ISNUMBER(AF283)),P283+AF283,""))</f>
        <v/>
      </c>
      <c r="AK283" s="19">
        <f>IF(OR(NOT(ISNUMBER(AE283)),NOT(ISNUMBER(AJ283)),AJ283&lt;=0),"",IF(AND(ISNUMBER(G283),AJ283&lt;0.1*G283),"",AE283/AJ283))</f>
        <v/>
      </c>
      <c r="AL283" s="17">
        <f>IF(NOT(ISNUMBER(P283)),"",IF(ISNUMBER(Q283),(P283+Q283)/2,P283))</f>
        <v/>
      </c>
      <c r="AM283" s="19">
        <f>IF(AND(ISNUMBER(L283),ISNUMBER(AL283),AL283&gt;0),L283/AL283,"")</f>
        <v/>
      </c>
      <c r="AN283" s="19">
        <f>IF(AND(ISNUMBER(AM283),ISNUMBER({ROIC})),AM283-{ROIC},"")</f>
        <v/>
      </c>
      <c r="AO283" s="17">
        <f>IF(AND(ISNUMBER(AC283),ISNUMBER(M283)),AC283+M283,"")</f>
        <v/>
      </c>
      <c r="AP283" s="20">
        <f>IF(AND(ISNUMBER(AF283),ISNUMBER(R283),ISNUMBER(AO283),AO283&gt;0),(AF283-R283)/AO283,"")</f>
        <v/>
      </c>
      <c r="AQ283" s="20">
        <f>IF(AND(ISNUMBER(AC283),ISNUMBER(I283),I283&lt;&gt;0,AC283&gt;0),AC283/I283,"")</f>
        <v/>
      </c>
      <c r="AR283" s="17">
        <f>IF(AND(ISNUMBER(W283),ISNUMBER(Y283)),W283-IF(ISNUMBER(R283),R283,0)-(Y283-IF(ISNUMBER(T283),T283,0)),"")</f>
        <v/>
      </c>
      <c r="AS283" s="17">
        <f>IF(AND(ISNUMBER(X283),ISNUMBER(Z283)),X283-IF(ISNUMBER(S283),S283,0)-(Z283-IF(ISNUMBER(U283),U283,0)),"")</f>
        <v/>
      </c>
      <c r="AT283" s="17">
        <f>IF(AND(ISNUMBER(AR283),ISNUMBER(AS283)),AR283-AS283,"")</f>
        <v/>
      </c>
      <c r="AU283" s="17">
        <f>IF(E283="금융","",IF(AND(ISNUMBER(L283),ISNUMBER(M283),ISNUMBER(N283),ISNUMBER(AT283)),L283+M283-N283-AT283,IF(AND(ISNUMBER(O283),ISNUMBER(N283)),O283-N283,"")))</f>
        <v/>
      </c>
      <c r="AV283" s="8">
        <f>IF(E283="금융","금융업 - 정의되지 않음",IF(AND(ISNUMBER(L283),ISNUMBER(M283),ISNUMBER(N283),ISNUMBER(AT283)),"순이익+감가상각-설비투자-운전자본증감",IF(AND(ISNUMBER(O283),ISNUMBER(N283)),"영업현금흐름-설비투자","산출불가")))</f>
        <v/>
      </c>
      <c r="AW283" s="19">
        <f>IF(AND(ISNUMBER(AU283),ISNUMBER(G283),G283&lt;&gt;0),AU283/G283,"")</f>
        <v/>
      </c>
      <c r="AX283" s="19">
        <f>IF(AND(ISNUMBER(AC283),ISNUMBER(G283),G283&lt;&gt;0),AC283/G283,"")</f>
        <v/>
      </c>
    </row>
    <row r="284">
      <c r="A284" s="8" t="inlineStr">
        <is>
          <t>ORCL</t>
        </is>
      </c>
      <c r="B284" s="8" t="inlineStr">
        <is>
          <t>ORACLE CORP</t>
        </is>
      </c>
      <c r="C284" s="8" t="n">
        <v>2019</v>
      </c>
      <c r="D284" s="8" t="inlineStr">
        <is>
          <t>2020-05-31</t>
        </is>
      </c>
      <c r="E284" s="8" t="inlineStr">
        <is>
          <t>일반</t>
        </is>
      </c>
      <c r="F284" s="8" t="inlineStr">
        <is>
          <t>0001564590-22-023675</t>
        </is>
      </c>
      <c r="G284" s="15" t="n">
        <v>39.068</v>
      </c>
      <c r="H284" s="15" t="n">
        <v>12.063</v>
      </c>
      <c r="I284" s="15" t="n">
        <v>1.995</v>
      </c>
      <c r="J284" s="15" t="n">
        <v>1.928</v>
      </c>
      <c r="K284" s="15" t="n">
        <v>13.896</v>
      </c>
      <c r="L284" s="15" t="n">
        <v>10.135</v>
      </c>
      <c r="M284" s="15" t="n">
        <v>1.382</v>
      </c>
      <c r="N284" s="15" t="n">
        <v>1.564</v>
      </c>
      <c r="O284" s="15" t="n">
        <v>13.139</v>
      </c>
      <c r="P284" s="15" t="n">
        <v>12.074</v>
      </c>
      <c r="Q284" s="15" t="n">
        <v>21.785</v>
      </c>
      <c r="R284" s="15" t="n">
        <v>43.057</v>
      </c>
      <c r="S284" s="15" t="n">
        <v>37.827</v>
      </c>
      <c r="T284" s="15" t="n">
        <v>2.371</v>
      </c>
      <c r="U284" s="15" t="n">
        <v>4.494</v>
      </c>
      <c r="V284" s="15" t="n"/>
      <c r="W284" s="15" t="n">
        <v>52.14</v>
      </c>
      <c r="X284" s="15" t="n">
        <v>46.386</v>
      </c>
      <c r="Y284" s="15" t="n">
        <v>17.2</v>
      </c>
      <c r="Z284" s="15" t="n">
        <v>18.63</v>
      </c>
      <c r="AA284" s="15" t="n">
        <v>-11.548</v>
      </c>
      <c r="AB284" s="16" t="n">
        <v>3335.819</v>
      </c>
      <c r="AC284" s="17">
        <f>IF(AND(ISNUMBER(H284),ISNUMBER(I284)),H284+I284,IF(ISNUMBER(K284),K284,IF(ISNUMBER(H284),H284,"")))</f>
        <v/>
      </c>
      <c r="AD284" s="18">
        <f>IF(OR(NOT(ISNUMBER(J284)),NOT(ISNUMBER(H284)),H284&lt;=0),기준표!$B$8,MIN(MAX(J284/H284,기준표!$B$6),기준표!$B$7))</f>
        <v/>
      </c>
      <c r="AE284" s="17">
        <f>IF(ISNUMBER(AC284),AC284*(1-AD284),"")</f>
        <v/>
      </c>
      <c r="AF284" s="17">
        <f>IF(AND(NOT(ISNUMBER(T284)),NOT(ISNUMBER(V284))),"",IF(ISNUMBER(T284),T284,0)+IF(ISNUMBER(V284),V284,0))</f>
        <v/>
      </c>
      <c r="AG284" s="17">
        <f>IF(E284="금융","",IF(AND(ISNUMBER(P284),ISNUMBER(AF284),ISNUMBER(R284)),P284+AF284-R284,""))</f>
        <v/>
      </c>
      <c r="AH284" s="17">
        <f>IF(E284="금융","",IF(NOT(ISNUMBER(AG284)),"",IF(ISNUMBER(AA284),(AG284+AA284)/2,AG284)))</f>
        <v/>
      </c>
      <c r="AI284" s="19">
        <f>IF(AND(ISNUMBER(AE284),ISNUMBER(AH284),AH284&gt;0),AE284/AH284,"")</f>
        <v/>
      </c>
      <c r="AJ284" s="17">
        <f>IF(E284="금융","",IF(AND(ISNUMBER(P284),ISNUMBER(AF284)),P284+AF284,""))</f>
        <v/>
      </c>
      <c r="AK284" s="19">
        <f>IF(OR(NOT(ISNUMBER(AE284)),NOT(ISNUMBER(AJ284)),AJ284&lt;=0),"",IF(AND(ISNUMBER(G284),AJ284&lt;0.1*G284),"",AE284/AJ284))</f>
        <v/>
      </c>
      <c r="AL284" s="17">
        <f>IF(NOT(ISNUMBER(P284)),"",IF(ISNUMBER(Q284),(P284+Q284)/2,P284))</f>
        <v/>
      </c>
      <c r="AM284" s="19">
        <f>IF(AND(ISNUMBER(L284),ISNUMBER(AL284),AL284&gt;0),L284/AL284,"")</f>
        <v/>
      </c>
      <c r="AN284" s="19">
        <f>IF(AND(ISNUMBER(AM284),ISNUMBER({ROIC})),AM284-{ROIC},"")</f>
        <v/>
      </c>
      <c r="AO284" s="17">
        <f>IF(AND(ISNUMBER(AC284),ISNUMBER(M284)),AC284+M284,"")</f>
        <v/>
      </c>
      <c r="AP284" s="20">
        <f>IF(AND(ISNUMBER(AF284),ISNUMBER(R284),ISNUMBER(AO284),AO284&gt;0),(AF284-R284)/AO284,"")</f>
        <v/>
      </c>
      <c r="AQ284" s="20">
        <f>IF(AND(ISNUMBER(AC284),ISNUMBER(I284),I284&lt;&gt;0,AC284&gt;0),AC284/I284,"")</f>
        <v/>
      </c>
      <c r="AR284" s="17">
        <f>IF(AND(ISNUMBER(W284),ISNUMBER(Y284)),W284-IF(ISNUMBER(R284),R284,0)-(Y284-IF(ISNUMBER(T284),T284,0)),"")</f>
        <v/>
      </c>
      <c r="AS284" s="17">
        <f>IF(AND(ISNUMBER(X284),ISNUMBER(Z284)),X284-IF(ISNUMBER(S284),S284,0)-(Z284-IF(ISNUMBER(U284),U284,0)),"")</f>
        <v/>
      </c>
      <c r="AT284" s="17">
        <f>IF(AND(ISNUMBER(AR284),ISNUMBER(AS284)),AR284-AS284,"")</f>
        <v/>
      </c>
      <c r="AU284" s="17">
        <f>IF(E284="금융","",IF(AND(ISNUMBER(L284),ISNUMBER(M284),ISNUMBER(N284),ISNUMBER(AT284)),L284+M284-N284-AT284,IF(AND(ISNUMBER(O284),ISNUMBER(N284)),O284-N284,"")))</f>
        <v/>
      </c>
      <c r="AV284" s="8">
        <f>IF(E284="금융","금융업 - 정의되지 않음",IF(AND(ISNUMBER(L284),ISNUMBER(M284),ISNUMBER(N284),ISNUMBER(AT284)),"순이익+감가상각-설비투자-운전자본증감",IF(AND(ISNUMBER(O284),ISNUMBER(N284)),"영업현금흐름-설비투자","산출불가")))</f>
        <v/>
      </c>
      <c r="AW284" s="19">
        <f>IF(AND(ISNUMBER(AU284),ISNUMBER(G284),G284&lt;&gt;0),AU284/G284,"")</f>
        <v/>
      </c>
      <c r="AX284" s="19">
        <f>IF(AND(ISNUMBER(AC284),ISNUMBER(G284),G284&lt;&gt;0),AC284/G284,"")</f>
        <v/>
      </c>
    </row>
    <row r="285">
      <c r="A285" s="8" t="inlineStr">
        <is>
          <t>ORCL</t>
        </is>
      </c>
      <c r="B285" s="8" t="inlineStr">
        <is>
          <t>ORACLE CORP</t>
        </is>
      </c>
      <c r="C285" s="8" t="n">
        <v>2020</v>
      </c>
      <c r="D285" s="8" t="inlineStr">
        <is>
          <t>2021-05-31</t>
        </is>
      </c>
      <c r="E285" s="8" t="inlineStr">
        <is>
          <t>일반</t>
        </is>
      </c>
      <c r="F285" s="8" t="inlineStr">
        <is>
          <t>0000950170-23-028914</t>
        </is>
      </c>
      <c r="G285" s="15" t="n">
        <v>40.479</v>
      </c>
      <c r="H285" s="15" t="n">
        <v>12.999</v>
      </c>
      <c r="I285" s="15" t="n">
        <v>2.496</v>
      </c>
      <c r="J285" s="15" t="n">
        <v>-0.747</v>
      </c>
      <c r="K285" s="15" t="n">
        <v>15.213</v>
      </c>
      <c r="L285" s="15" t="n">
        <v>13.746</v>
      </c>
      <c r="M285" s="15" t="n">
        <v>1.537</v>
      </c>
      <c r="N285" s="15" t="n">
        <v>2.135</v>
      </c>
      <c r="O285" s="15" t="n">
        <v>15.887</v>
      </c>
      <c r="P285" s="15" t="n">
        <v>5.238</v>
      </c>
      <c r="Q285" s="15" t="n">
        <v>12.074</v>
      </c>
      <c r="R285" s="15" t="n">
        <v>46.554</v>
      </c>
      <c r="S285" s="15" t="n">
        <v>43.057</v>
      </c>
      <c r="T285" s="15" t="n">
        <v>8.25</v>
      </c>
      <c r="U285" s="15" t="n">
        <v>2.371</v>
      </c>
      <c r="V285" s="15" t="n"/>
      <c r="W285" s="15" t="n">
        <v>55.567</v>
      </c>
      <c r="X285" s="15" t="n">
        <v>52.14</v>
      </c>
      <c r="Y285" s="15" t="n">
        <v>24.164</v>
      </c>
      <c r="Z285" s="15" t="n">
        <v>17.2</v>
      </c>
      <c r="AA285" s="15" t="n">
        <v>-28.612</v>
      </c>
      <c r="AB285" s="16" t="n">
        <v>3068.682</v>
      </c>
      <c r="AC285" s="17">
        <f>IF(AND(ISNUMBER(H285),ISNUMBER(I285)),H285+I285,IF(ISNUMBER(K285),K285,IF(ISNUMBER(H285),H285,"")))</f>
        <v/>
      </c>
      <c r="AD285" s="18">
        <f>IF(OR(NOT(ISNUMBER(J285)),NOT(ISNUMBER(H285)),H285&lt;=0),기준표!$B$8,MIN(MAX(J285/H285,기준표!$B$6),기준표!$B$7))</f>
        <v/>
      </c>
      <c r="AE285" s="17">
        <f>IF(ISNUMBER(AC285),AC285*(1-AD285),"")</f>
        <v/>
      </c>
      <c r="AF285" s="17">
        <f>IF(AND(NOT(ISNUMBER(T285)),NOT(ISNUMBER(V285))),"",IF(ISNUMBER(T285),T285,0)+IF(ISNUMBER(V285),V285,0))</f>
        <v/>
      </c>
      <c r="AG285" s="17">
        <f>IF(E285="금융","",IF(AND(ISNUMBER(P285),ISNUMBER(AF285),ISNUMBER(R285)),P285+AF285-R285,""))</f>
        <v/>
      </c>
      <c r="AH285" s="17">
        <f>IF(E285="금융","",IF(NOT(ISNUMBER(AG285)),"",IF(ISNUMBER(AA285),(AG285+AA285)/2,AG285)))</f>
        <v/>
      </c>
      <c r="AI285" s="19">
        <f>IF(AND(ISNUMBER(AE285),ISNUMBER(AH285),AH285&gt;0),AE285/AH285,"")</f>
        <v/>
      </c>
      <c r="AJ285" s="17">
        <f>IF(E285="금융","",IF(AND(ISNUMBER(P285),ISNUMBER(AF285)),P285+AF285,""))</f>
        <v/>
      </c>
      <c r="AK285" s="19">
        <f>IF(OR(NOT(ISNUMBER(AE285)),NOT(ISNUMBER(AJ285)),AJ285&lt;=0),"",IF(AND(ISNUMBER(G285),AJ285&lt;0.1*G285),"",AE285/AJ285))</f>
        <v/>
      </c>
      <c r="AL285" s="17">
        <f>IF(NOT(ISNUMBER(P285)),"",IF(ISNUMBER(Q285),(P285+Q285)/2,P285))</f>
        <v/>
      </c>
      <c r="AM285" s="19">
        <f>IF(AND(ISNUMBER(L285),ISNUMBER(AL285),AL285&gt;0),L285/AL285,"")</f>
        <v/>
      </c>
      <c r="AN285" s="19">
        <f>IF(AND(ISNUMBER(AM285),ISNUMBER({ROIC})),AM285-{ROIC},"")</f>
        <v/>
      </c>
      <c r="AO285" s="17">
        <f>IF(AND(ISNUMBER(AC285),ISNUMBER(M285)),AC285+M285,"")</f>
        <v/>
      </c>
      <c r="AP285" s="20">
        <f>IF(AND(ISNUMBER(AF285),ISNUMBER(R285),ISNUMBER(AO285),AO285&gt;0),(AF285-R285)/AO285,"")</f>
        <v/>
      </c>
      <c r="AQ285" s="20">
        <f>IF(AND(ISNUMBER(AC285),ISNUMBER(I285),I285&lt;&gt;0,AC285&gt;0),AC285/I285,"")</f>
        <v/>
      </c>
      <c r="AR285" s="17">
        <f>IF(AND(ISNUMBER(W285),ISNUMBER(Y285)),W285-IF(ISNUMBER(R285),R285,0)-(Y285-IF(ISNUMBER(T285),T285,0)),"")</f>
        <v/>
      </c>
      <c r="AS285" s="17">
        <f>IF(AND(ISNUMBER(X285),ISNUMBER(Z285)),X285-IF(ISNUMBER(S285),S285,0)-(Z285-IF(ISNUMBER(U285),U285,0)),"")</f>
        <v/>
      </c>
      <c r="AT285" s="17">
        <f>IF(AND(ISNUMBER(AR285),ISNUMBER(AS285)),AR285-AS285,"")</f>
        <v/>
      </c>
      <c r="AU285" s="17">
        <f>IF(E285="금융","",IF(AND(ISNUMBER(L285),ISNUMBER(M285),ISNUMBER(N285),ISNUMBER(AT285)),L285+M285-N285-AT285,IF(AND(ISNUMBER(O285),ISNUMBER(N285)),O285-N285,"")))</f>
        <v/>
      </c>
      <c r="AV285" s="8">
        <f>IF(E285="금융","금융업 - 정의되지 않음",IF(AND(ISNUMBER(L285),ISNUMBER(M285),ISNUMBER(N285),ISNUMBER(AT285)),"순이익+감가상각-설비투자-운전자본증감",IF(AND(ISNUMBER(O285),ISNUMBER(N285)),"영업현금흐름-설비투자","산출불가")))</f>
        <v/>
      </c>
      <c r="AW285" s="19">
        <f>IF(AND(ISNUMBER(AU285),ISNUMBER(G285),G285&lt;&gt;0),AU285/G285,"")</f>
        <v/>
      </c>
      <c r="AX285" s="19">
        <f>IF(AND(ISNUMBER(AC285),ISNUMBER(G285),G285&lt;&gt;0),AC285/G285,"")</f>
        <v/>
      </c>
    </row>
    <row r="286">
      <c r="A286" s="8" t="inlineStr">
        <is>
          <t>ORCL</t>
        </is>
      </c>
      <c r="B286" s="8" t="inlineStr">
        <is>
          <t>ORACLE CORP</t>
        </is>
      </c>
      <c r="C286" s="8" t="n">
        <v>2021</v>
      </c>
      <c r="D286" s="8" t="inlineStr">
        <is>
          <t>2022-05-31</t>
        </is>
      </c>
      <c r="E286" s="8" t="inlineStr">
        <is>
          <t>일반</t>
        </is>
      </c>
      <c r="F286" s="8" t="inlineStr">
        <is>
          <t>0000950170-24-075605</t>
        </is>
      </c>
      <c r="G286" s="15" t="n">
        <v>42.44</v>
      </c>
      <c r="H286" s="15" t="n">
        <v>7.649</v>
      </c>
      <c r="I286" s="15" t="n">
        <v>2.755</v>
      </c>
      <c r="J286" s="15" t="n">
        <v>0.9320000000000001</v>
      </c>
      <c r="K286" s="15" t="n">
        <v>10.926</v>
      </c>
      <c r="L286" s="15" t="n">
        <v>6.717</v>
      </c>
      <c r="M286" s="15" t="n">
        <v>1.972</v>
      </c>
      <c r="N286" s="15" t="n">
        <v>4.511</v>
      </c>
      <c r="O286" s="15" t="n">
        <v>9.539</v>
      </c>
      <c r="P286" s="15" t="n">
        <v>-6.22</v>
      </c>
      <c r="Q286" s="15" t="n">
        <v>5.238</v>
      </c>
      <c r="R286" s="15" t="n">
        <v>21.902</v>
      </c>
      <c r="S286" s="15" t="n">
        <v>46.554</v>
      </c>
      <c r="T286" s="15" t="n">
        <v>3.749</v>
      </c>
      <c r="U286" s="15" t="n">
        <v>8.25</v>
      </c>
      <c r="V286" s="15" t="n">
        <v>0</v>
      </c>
      <c r="W286" s="15" t="n">
        <v>31.633</v>
      </c>
      <c r="X286" s="15" t="n">
        <v>55.567</v>
      </c>
      <c r="Y286" s="15" t="n">
        <v>19.511</v>
      </c>
      <c r="Z286" s="15" t="n">
        <v>24.164</v>
      </c>
      <c r="AA286" s="15" t="n">
        <v>-33.066</v>
      </c>
      <c r="AB286" s="16" t="n">
        <v>2792</v>
      </c>
      <c r="AC286" s="17">
        <f>IF(AND(ISNUMBER(H286),ISNUMBER(I286)),H286+I286,IF(ISNUMBER(K286),K286,IF(ISNUMBER(H286),H286,"")))</f>
        <v/>
      </c>
      <c r="AD286" s="18">
        <f>IF(OR(NOT(ISNUMBER(J286)),NOT(ISNUMBER(H286)),H286&lt;=0),기준표!$B$8,MIN(MAX(J286/H286,기준표!$B$6),기준표!$B$7))</f>
        <v/>
      </c>
      <c r="AE286" s="17">
        <f>IF(ISNUMBER(AC286),AC286*(1-AD286),"")</f>
        <v/>
      </c>
      <c r="AF286" s="17">
        <f>IF(AND(NOT(ISNUMBER(T286)),NOT(ISNUMBER(V286))),"",IF(ISNUMBER(T286),T286,0)+IF(ISNUMBER(V286),V286,0))</f>
        <v/>
      </c>
      <c r="AG286" s="17">
        <f>IF(E286="금융","",IF(AND(ISNUMBER(P286),ISNUMBER(AF286),ISNUMBER(R286)),P286+AF286-R286,""))</f>
        <v/>
      </c>
      <c r="AH286" s="17">
        <f>IF(E286="금융","",IF(NOT(ISNUMBER(AG286)),"",IF(ISNUMBER(AA286),(AG286+AA286)/2,AG286)))</f>
        <v/>
      </c>
      <c r="AI286" s="19">
        <f>IF(AND(ISNUMBER(AE286),ISNUMBER(AH286),AH286&gt;0),AE286/AH286,"")</f>
        <v/>
      </c>
      <c r="AJ286" s="17">
        <f>IF(E286="금융","",IF(AND(ISNUMBER(P286),ISNUMBER(AF286)),P286+AF286,""))</f>
        <v/>
      </c>
      <c r="AK286" s="19">
        <f>IF(OR(NOT(ISNUMBER(AE286)),NOT(ISNUMBER(AJ286)),AJ286&lt;=0),"",IF(AND(ISNUMBER(G286),AJ286&lt;0.1*G286),"",AE286/AJ286))</f>
        <v/>
      </c>
      <c r="AL286" s="17">
        <f>IF(NOT(ISNUMBER(P286)),"",IF(ISNUMBER(Q286),(P286+Q286)/2,P286))</f>
        <v/>
      </c>
      <c r="AM286" s="19">
        <f>IF(AND(ISNUMBER(L286),ISNUMBER(AL286),AL286&gt;0),L286/AL286,"")</f>
        <v/>
      </c>
      <c r="AN286" s="19">
        <f>IF(AND(ISNUMBER(AM286),ISNUMBER({ROIC})),AM286-{ROIC},"")</f>
        <v/>
      </c>
      <c r="AO286" s="17">
        <f>IF(AND(ISNUMBER(AC286),ISNUMBER(M286)),AC286+M286,"")</f>
        <v/>
      </c>
      <c r="AP286" s="20">
        <f>IF(AND(ISNUMBER(AF286),ISNUMBER(R286),ISNUMBER(AO286),AO286&gt;0),(AF286-R286)/AO286,"")</f>
        <v/>
      </c>
      <c r="AQ286" s="20">
        <f>IF(AND(ISNUMBER(AC286),ISNUMBER(I286),I286&lt;&gt;0,AC286&gt;0),AC286/I286,"")</f>
        <v/>
      </c>
      <c r="AR286" s="17">
        <f>IF(AND(ISNUMBER(W286),ISNUMBER(Y286)),W286-IF(ISNUMBER(R286),R286,0)-(Y286-IF(ISNUMBER(T286),T286,0)),"")</f>
        <v/>
      </c>
      <c r="AS286" s="17">
        <f>IF(AND(ISNUMBER(X286),ISNUMBER(Z286)),X286-IF(ISNUMBER(S286),S286,0)-(Z286-IF(ISNUMBER(U286),U286,0)),"")</f>
        <v/>
      </c>
      <c r="AT286" s="17">
        <f>IF(AND(ISNUMBER(AR286),ISNUMBER(AS286)),AR286-AS286,"")</f>
        <v/>
      </c>
      <c r="AU286" s="17">
        <f>IF(E286="금융","",IF(AND(ISNUMBER(L286),ISNUMBER(M286),ISNUMBER(N286),ISNUMBER(AT286)),L286+M286-N286-AT286,IF(AND(ISNUMBER(O286),ISNUMBER(N286)),O286-N286,"")))</f>
        <v/>
      </c>
      <c r="AV286" s="8">
        <f>IF(E286="금융","금융업 - 정의되지 않음",IF(AND(ISNUMBER(L286),ISNUMBER(M286),ISNUMBER(N286),ISNUMBER(AT286)),"순이익+감가상각-설비투자-운전자본증감",IF(AND(ISNUMBER(O286),ISNUMBER(N286)),"영업현금흐름-설비투자","산출불가")))</f>
        <v/>
      </c>
      <c r="AW286" s="19">
        <f>IF(AND(ISNUMBER(AU286),ISNUMBER(G286),G286&lt;&gt;0),AU286/G286,"")</f>
        <v/>
      </c>
      <c r="AX286" s="19">
        <f>IF(AND(ISNUMBER(AC286),ISNUMBER(G286),G286&lt;&gt;0),AC286/G286,"")</f>
        <v/>
      </c>
    </row>
    <row r="287">
      <c r="A287" s="8" t="inlineStr">
        <is>
          <t>ORCL</t>
        </is>
      </c>
      <c r="B287" s="8" t="inlineStr">
        <is>
          <t>ORACLE CORP</t>
        </is>
      </c>
      <c r="C287" s="8" t="n">
        <v>2022</v>
      </c>
      <c r="D287" s="8" t="inlineStr">
        <is>
          <t>2023-05-31</t>
        </is>
      </c>
      <c r="E287" s="8" t="inlineStr">
        <is>
          <t>일반</t>
        </is>
      </c>
      <c r="F287" s="8" t="inlineStr">
        <is>
          <t>0000950170-25-087926</t>
        </is>
      </c>
      <c r="G287" s="15" t="n">
        <v>49.954</v>
      </c>
      <c r="H287" s="15" t="n">
        <v>9.125999999999999</v>
      </c>
      <c r="I287" s="15" t="n">
        <v>3.505</v>
      </c>
      <c r="J287" s="15" t="n">
        <v>0.623</v>
      </c>
      <c r="K287" s="15" t="n">
        <v>13.093</v>
      </c>
      <c r="L287" s="15" t="n">
        <v>8.503</v>
      </c>
      <c r="M287" s="15" t="n">
        <v>2.526</v>
      </c>
      <c r="N287" s="15" t="n">
        <v>8.695</v>
      </c>
      <c r="O287" s="15" t="n">
        <v>17.165</v>
      </c>
      <c r="P287" s="15" t="n">
        <v>1.073</v>
      </c>
      <c r="Q287" s="15" t="n">
        <v>-6.22</v>
      </c>
      <c r="R287" s="15" t="n">
        <v>10.187</v>
      </c>
      <c r="S287" s="15" t="n">
        <v>21.902</v>
      </c>
      <c r="T287" s="15" t="n">
        <v>4.061</v>
      </c>
      <c r="U287" s="15" t="n">
        <v>3.749</v>
      </c>
      <c r="V287" s="15" t="n"/>
      <c r="W287" s="15" t="n">
        <v>21.004</v>
      </c>
      <c r="X287" s="15" t="n">
        <v>31.633</v>
      </c>
      <c r="Y287" s="15" t="n">
        <v>23.09</v>
      </c>
      <c r="Z287" s="15" t="n">
        <v>19.511</v>
      </c>
      <c r="AA287" s="15" t="n">
        <v>-24.373</v>
      </c>
      <c r="AB287" s="16" t="n">
        <v>2664.926</v>
      </c>
      <c r="AC287" s="17">
        <f>IF(AND(ISNUMBER(H287),ISNUMBER(I287)),H287+I287,IF(ISNUMBER(K287),K287,IF(ISNUMBER(H287),H287,"")))</f>
        <v/>
      </c>
      <c r="AD287" s="18">
        <f>IF(OR(NOT(ISNUMBER(J287)),NOT(ISNUMBER(H287)),H287&lt;=0),기준표!$B$8,MIN(MAX(J287/H287,기준표!$B$6),기준표!$B$7))</f>
        <v/>
      </c>
      <c r="AE287" s="17">
        <f>IF(ISNUMBER(AC287),AC287*(1-AD287),"")</f>
        <v/>
      </c>
      <c r="AF287" s="17">
        <f>IF(AND(NOT(ISNUMBER(T287)),NOT(ISNUMBER(V287))),"",IF(ISNUMBER(T287),T287,0)+IF(ISNUMBER(V287),V287,0))</f>
        <v/>
      </c>
      <c r="AG287" s="17">
        <f>IF(E287="금융","",IF(AND(ISNUMBER(P287),ISNUMBER(AF287),ISNUMBER(R287)),P287+AF287-R287,""))</f>
        <v/>
      </c>
      <c r="AH287" s="17">
        <f>IF(E287="금융","",IF(NOT(ISNUMBER(AG287)),"",IF(ISNUMBER(AA287),(AG287+AA287)/2,AG287)))</f>
        <v/>
      </c>
      <c r="AI287" s="19">
        <f>IF(AND(ISNUMBER(AE287),ISNUMBER(AH287),AH287&gt;0),AE287/AH287,"")</f>
        <v/>
      </c>
      <c r="AJ287" s="17">
        <f>IF(E287="금융","",IF(AND(ISNUMBER(P287),ISNUMBER(AF287)),P287+AF287,""))</f>
        <v/>
      </c>
      <c r="AK287" s="19">
        <f>IF(OR(NOT(ISNUMBER(AE287)),NOT(ISNUMBER(AJ287)),AJ287&lt;=0),"",IF(AND(ISNUMBER(G287),AJ287&lt;0.1*G287),"",AE287/AJ287))</f>
        <v/>
      </c>
      <c r="AL287" s="17">
        <f>IF(NOT(ISNUMBER(P287)),"",IF(ISNUMBER(Q287),(P287+Q287)/2,P287))</f>
        <v/>
      </c>
      <c r="AM287" s="19">
        <f>IF(AND(ISNUMBER(L287),ISNUMBER(AL287),AL287&gt;0),L287/AL287,"")</f>
        <v/>
      </c>
      <c r="AN287" s="19">
        <f>IF(AND(ISNUMBER(AM287),ISNUMBER({ROIC})),AM287-{ROIC},"")</f>
        <v/>
      </c>
      <c r="AO287" s="17">
        <f>IF(AND(ISNUMBER(AC287),ISNUMBER(M287)),AC287+M287,"")</f>
        <v/>
      </c>
      <c r="AP287" s="20">
        <f>IF(AND(ISNUMBER(AF287),ISNUMBER(R287),ISNUMBER(AO287),AO287&gt;0),(AF287-R287)/AO287,"")</f>
        <v/>
      </c>
      <c r="AQ287" s="20">
        <f>IF(AND(ISNUMBER(AC287),ISNUMBER(I287),I287&lt;&gt;0,AC287&gt;0),AC287/I287,"")</f>
        <v/>
      </c>
      <c r="AR287" s="17">
        <f>IF(AND(ISNUMBER(W287),ISNUMBER(Y287)),W287-IF(ISNUMBER(R287),R287,0)-(Y287-IF(ISNUMBER(T287),T287,0)),"")</f>
        <v/>
      </c>
      <c r="AS287" s="17">
        <f>IF(AND(ISNUMBER(X287),ISNUMBER(Z287)),X287-IF(ISNUMBER(S287),S287,0)-(Z287-IF(ISNUMBER(U287),U287,0)),"")</f>
        <v/>
      </c>
      <c r="AT287" s="17">
        <f>IF(AND(ISNUMBER(AR287),ISNUMBER(AS287)),AR287-AS287,"")</f>
        <v/>
      </c>
      <c r="AU287" s="17">
        <f>IF(E287="금융","",IF(AND(ISNUMBER(L287),ISNUMBER(M287),ISNUMBER(N287),ISNUMBER(AT287)),L287+M287-N287-AT287,IF(AND(ISNUMBER(O287),ISNUMBER(N287)),O287-N287,"")))</f>
        <v/>
      </c>
      <c r="AV287" s="8">
        <f>IF(E287="금융","금융업 - 정의되지 않음",IF(AND(ISNUMBER(L287),ISNUMBER(M287),ISNUMBER(N287),ISNUMBER(AT287)),"순이익+감가상각-설비투자-운전자본증감",IF(AND(ISNUMBER(O287),ISNUMBER(N287)),"영업현금흐름-설비투자","산출불가")))</f>
        <v/>
      </c>
      <c r="AW287" s="19">
        <f>IF(AND(ISNUMBER(AU287),ISNUMBER(G287),G287&lt;&gt;0),AU287/G287,"")</f>
        <v/>
      </c>
      <c r="AX287" s="19">
        <f>IF(AND(ISNUMBER(AC287),ISNUMBER(G287),G287&lt;&gt;0),AC287/G287,"")</f>
        <v/>
      </c>
    </row>
    <row r="288">
      <c r="A288" s="8" t="inlineStr">
        <is>
          <t>ORCL</t>
        </is>
      </c>
      <c r="B288" s="8" t="inlineStr">
        <is>
          <t>ORACLE CORP</t>
        </is>
      </c>
      <c r="C288" s="8" t="n">
        <v>2023</v>
      </c>
      <c r="D288" s="8" t="inlineStr">
        <is>
          <t>2024-05-31</t>
        </is>
      </c>
      <c r="E288" s="8" t="inlineStr">
        <is>
          <t>일반</t>
        </is>
      </c>
      <c r="F288" s="8" t="inlineStr">
        <is>
          <t>0001193125-26-277521</t>
        </is>
      </c>
      <c r="G288" s="15" t="n">
        <v>52.961</v>
      </c>
      <c r="H288" s="15" t="n">
        <v>11.741</v>
      </c>
      <c r="I288" s="15" t="n">
        <v>3.514</v>
      </c>
      <c r="J288" s="15" t="n">
        <v>1.274</v>
      </c>
      <c r="K288" s="15" t="n">
        <v>15.353</v>
      </c>
      <c r="L288" s="15" t="n">
        <v>10.467</v>
      </c>
      <c r="M288" s="15" t="n">
        <v>3.129</v>
      </c>
      <c r="N288" s="15" t="n">
        <v>6.866</v>
      </c>
      <c r="O288" s="15" t="n">
        <v>18.673</v>
      </c>
      <c r="P288" s="15" t="n">
        <v>8.704000000000001</v>
      </c>
      <c r="Q288" s="15" t="n">
        <v>1.073</v>
      </c>
      <c r="R288" s="15" t="n">
        <v>10.661</v>
      </c>
      <c r="S288" s="15" t="n">
        <v>10.187</v>
      </c>
      <c r="T288" s="15" t="n">
        <v>10.605</v>
      </c>
      <c r="U288" s="15" t="n">
        <v>4.061</v>
      </c>
      <c r="V288" s="15" t="n"/>
      <c r="W288" s="15" t="n">
        <v>22.554</v>
      </c>
      <c r="X288" s="15" t="n">
        <v>21.004</v>
      </c>
      <c r="Y288" s="15" t="n">
        <v>31.544</v>
      </c>
      <c r="Z288" s="15" t="n">
        <v>23.09</v>
      </c>
      <c r="AA288" s="15" t="n">
        <v>-5.053</v>
      </c>
      <c r="AB288" s="16" t="n">
        <v>2714.259</v>
      </c>
      <c r="AC288" s="17">
        <f>IF(AND(ISNUMBER(H288),ISNUMBER(I288)),H288+I288,IF(ISNUMBER(K288),K288,IF(ISNUMBER(H288),H288,"")))</f>
        <v/>
      </c>
      <c r="AD288" s="18">
        <f>IF(OR(NOT(ISNUMBER(J288)),NOT(ISNUMBER(H288)),H288&lt;=0),기준표!$B$8,MIN(MAX(J288/H288,기준표!$B$6),기준표!$B$7))</f>
        <v/>
      </c>
      <c r="AE288" s="17">
        <f>IF(ISNUMBER(AC288),AC288*(1-AD288),"")</f>
        <v/>
      </c>
      <c r="AF288" s="17">
        <f>IF(AND(NOT(ISNUMBER(T288)),NOT(ISNUMBER(V288))),"",IF(ISNUMBER(T288),T288,0)+IF(ISNUMBER(V288),V288,0))</f>
        <v/>
      </c>
      <c r="AG288" s="17">
        <f>IF(E288="금융","",IF(AND(ISNUMBER(P288),ISNUMBER(AF288),ISNUMBER(R288)),P288+AF288-R288,""))</f>
        <v/>
      </c>
      <c r="AH288" s="17">
        <f>IF(E288="금융","",IF(NOT(ISNUMBER(AG288)),"",IF(ISNUMBER(AA288),(AG288+AA288)/2,AG288)))</f>
        <v/>
      </c>
      <c r="AI288" s="19">
        <f>IF(AND(ISNUMBER(AE288),ISNUMBER(AH288),AH288&gt;0),AE288/AH288,"")</f>
        <v/>
      </c>
      <c r="AJ288" s="17">
        <f>IF(E288="금융","",IF(AND(ISNUMBER(P288),ISNUMBER(AF288)),P288+AF288,""))</f>
        <v/>
      </c>
      <c r="AK288" s="19">
        <f>IF(OR(NOT(ISNUMBER(AE288)),NOT(ISNUMBER(AJ288)),AJ288&lt;=0),"",IF(AND(ISNUMBER(G288),AJ288&lt;0.1*G288),"",AE288/AJ288))</f>
        <v/>
      </c>
      <c r="AL288" s="17">
        <f>IF(NOT(ISNUMBER(P288)),"",IF(ISNUMBER(Q288),(P288+Q288)/2,P288))</f>
        <v/>
      </c>
      <c r="AM288" s="19">
        <f>IF(AND(ISNUMBER(L288),ISNUMBER(AL288),AL288&gt;0),L288/AL288,"")</f>
        <v/>
      </c>
      <c r="AN288" s="19">
        <f>IF(AND(ISNUMBER(AM288),ISNUMBER({ROIC})),AM288-{ROIC},"")</f>
        <v/>
      </c>
      <c r="AO288" s="17">
        <f>IF(AND(ISNUMBER(AC288),ISNUMBER(M288)),AC288+M288,"")</f>
        <v/>
      </c>
      <c r="AP288" s="20">
        <f>IF(AND(ISNUMBER(AF288),ISNUMBER(R288),ISNUMBER(AO288),AO288&gt;0),(AF288-R288)/AO288,"")</f>
        <v/>
      </c>
      <c r="AQ288" s="20">
        <f>IF(AND(ISNUMBER(AC288),ISNUMBER(I288),I288&lt;&gt;0,AC288&gt;0),AC288/I288,"")</f>
        <v/>
      </c>
      <c r="AR288" s="17">
        <f>IF(AND(ISNUMBER(W288),ISNUMBER(Y288)),W288-IF(ISNUMBER(R288),R288,0)-(Y288-IF(ISNUMBER(T288),T288,0)),"")</f>
        <v/>
      </c>
      <c r="AS288" s="17">
        <f>IF(AND(ISNUMBER(X288),ISNUMBER(Z288)),X288-IF(ISNUMBER(S288),S288,0)-(Z288-IF(ISNUMBER(U288),U288,0)),"")</f>
        <v/>
      </c>
      <c r="AT288" s="17">
        <f>IF(AND(ISNUMBER(AR288),ISNUMBER(AS288)),AR288-AS288,"")</f>
        <v/>
      </c>
      <c r="AU288" s="17">
        <f>IF(E288="금융","",IF(AND(ISNUMBER(L288),ISNUMBER(M288),ISNUMBER(N288),ISNUMBER(AT288)),L288+M288-N288-AT288,IF(AND(ISNUMBER(O288),ISNUMBER(N288)),O288-N288,"")))</f>
        <v/>
      </c>
      <c r="AV288" s="8">
        <f>IF(E288="금융","금융업 - 정의되지 않음",IF(AND(ISNUMBER(L288),ISNUMBER(M288),ISNUMBER(N288),ISNUMBER(AT288)),"순이익+감가상각-설비투자-운전자본증감",IF(AND(ISNUMBER(O288),ISNUMBER(N288)),"영업현금흐름-설비투자","산출불가")))</f>
        <v/>
      </c>
      <c r="AW288" s="19">
        <f>IF(AND(ISNUMBER(AU288),ISNUMBER(G288),G288&lt;&gt;0),AU288/G288,"")</f>
        <v/>
      </c>
      <c r="AX288" s="19">
        <f>IF(AND(ISNUMBER(AC288),ISNUMBER(G288),G288&lt;&gt;0),AC288/G288,"")</f>
        <v/>
      </c>
    </row>
    <row r="289">
      <c r="A289" s="8" t="inlineStr">
        <is>
          <t>ORCL</t>
        </is>
      </c>
      <c r="B289" s="8" t="inlineStr">
        <is>
          <t>ORACLE CORP</t>
        </is>
      </c>
      <c r="C289" s="8" t="n">
        <v>2024</v>
      </c>
      <c r="D289" s="8" t="inlineStr">
        <is>
          <t>2025-05-31</t>
        </is>
      </c>
      <c r="E289" s="8" t="inlineStr">
        <is>
          <t>일반</t>
        </is>
      </c>
      <c r="F289" s="8" t="inlineStr">
        <is>
          <t>0001193125-26-277521</t>
        </is>
      </c>
      <c r="G289" s="15" t="n">
        <v>57.399</v>
      </c>
      <c r="H289" s="15" t="n">
        <v>14.16</v>
      </c>
      <c r="I289" s="15" t="n">
        <v>3.578</v>
      </c>
      <c r="J289" s="15" t="n">
        <v>1.717</v>
      </c>
      <c r="K289" s="15" t="n">
        <v>17.678</v>
      </c>
      <c r="L289" s="15" t="n">
        <v>12.443</v>
      </c>
      <c r="M289" s="15" t="n">
        <v>3.867</v>
      </c>
      <c r="N289" s="15" t="n">
        <v>21.215</v>
      </c>
      <c r="O289" s="15" t="n">
        <v>20.821</v>
      </c>
      <c r="P289" s="15" t="n">
        <v>20.451</v>
      </c>
      <c r="Q289" s="15" t="n">
        <v>8.704000000000001</v>
      </c>
      <c r="R289" s="15" t="n">
        <v>11.203</v>
      </c>
      <c r="S289" s="15" t="n">
        <v>10.661</v>
      </c>
      <c r="T289" s="15" t="n">
        <v>7.271</v>
      </c>
      <c r="U289" s="15" t="n">
        <v>10.605</v>
      </c>
      <c r="V289" s="15" t="n"/>
      <c r="W289" s="15" t="n">
        <v>24.579</v>
      </c>
      <c r="X289" s="15" t="n">
        <v>22.554</v>
      </c>
      <c r="Y289" s="15" t="n">
        <v>32.643</v>
      </c>
      <c r="Z289" s="15" t="n">
        <v>31.544</v>
      </c>
      <c r="AA289" s="15" t="n">
        <v>8.648</v>
      </c>
      <c r="AB289" s="16" t="n">
        <v>2755.86</v>
      </c>
      <c r="AC289" s="17">
        <f>IF(AND(ISNUMBER(H289),ISNUMBER(I289)),H289+I289,IF(ISNUMBER(K289),K289,IF(ISNUMBER(H289),H289,"")))</f>
        <v/>
      </c>
      <c r="AD289" s="18">
        <f>IF(OR(NOT(ISNUMBER(J289)),NOT(ISNUMBER(H289)),H289&lt;=0),기준표!$B$8,MIN(MAX(J289/H289,기준표!$B$6),기준표!$B$7))</f>
        <v/>
      </c>
      <c r="AE289" s="17">
        <f>IF(ISNUMBER(AC289),AC289*(1-AD289),"")</f>
        <v/>
      </c>
      <c r="AF289" s="17">
        <f>IF(AND(NOT(ISNUMBER(T289)),NOT(ISNUMBER(V289))),"",IF(ISNUMBER(T289),T289,0)+IF(ISNUMBER(V289),V289,0))</f>
        <v/>
      </c>
      <c r="AG289" s="17">
        <f>IF(E289="금융","",IF(AND(ISNUMBER(P289),ISNUMBER(AF289),ISNUMBER(R289)),P289+AF289-R289,""))</f>
        <v/>
      </c>
      <c r="AH289" s="17">
        <f>IF(E289="금융","",IF(NOT(ISNUMBER(AG289)),"",IF(ISNUMBER(AA289),(AG289+AA289)/2,AG289)))</f>
        <v/>
      </c>
      <c r="AI289" s="19">
        <f>IF(AND(ISNUMBER(AE289),ISNUMBER(AH289),AH289&gt;0),AE289/AH289,"")</f>
        <v/>
      </c>
      <c r="AJ289" s="17">
        <f>IF(E289="금융","",IF(AND(ISNUMBER(P289),ISNUMBER(AF289)),P289+AF289,""))</f>
        <v/>
      </c>
      <c r="AK289" s="19">
        <f>IF(OR(NOT(ISNUMBER(AE289)),NOT(ISNUMBER(AJ289)),AJ289&lt;=0),"",IF(AND(ISNUMBER(G289),AJ289&lt;0.1*G289),"",AE289/AJ289))</f>
        <v/>
      </c>
      <c r="AL289" s="17">
        <f>IF(NOT(ISNUMBER(P289)),"",IF(ISNUMBER(Q289),(P289+Q289)/2,P289))</f>
        <v/>
      </c>
      <c r="AM289" s="19">
        <f>IF(AND(ISNUMBER(L289),ISNUMBER(AL289),AL289&gt;0),L289/AL289,"")</f>
        <v/>
      </c>
      <c r="AN289" s="19">
        <f>IF(AND(ISNUMBER(AM289),ISNUMBER({ROIC})),AM289-{ROIC},"")</f>
        <v/>
      </c>
      <c r="AO289" s="17">
        <f>IF(AND(ISNUMBER(AC289),ISNUMBER(M289)),AC289+M289,"")</f>
        <v/>
      </c>
      <c r="AP289" s="20">
        <f>IF(AND(ISNUMBER(AF289),ISNUMBER(R289),ISNUMBER(AO289),AO289&gt;0),(AF289-R289)/AO289,"")</f>
        <v/>
      </c>
      <c r="AQ289" s="20">
        <f>IF(AND(ISNUMBER(AC289),ISNUMBER(I289),I289&lt;&gt;0,AC289&gt;0),AC289/I289,"")</f>
        <v/>
      </c>
      <c r="AR289" s="17">
        <f>IF(AND(ISNUMBER(W289),ISNUMBER(Y289)),W289-IF(ISNUMBER(R289),R289,0)-(Y289-IF(ISNUMBER(T289),T289,0)),"")</f>
        <v/>
      </c>
      <c r="AS289" s="17">
        <f>IF(AND(ISNUMBER(X289),ISNUMBER(Z289)),X289-IF(ISNUMBER(S289),S289,0)-(Z289-IF(ISNUMBER(U289),U289,0)),"")</f>
        <v/>
      </c>
      <c r="AT289" s="17">
        <f>IF(AND(ISNUMBER(AR289),ISNUMBER(AS289)),AR289-AS289,"")</f>
        <v/>
      </c>
      <c r="AU289" s="17">
        <f>IF(E289="금융","",IF(AND(ISNUMBER(L289),ISNUMBER(M289),ISNUMBER(N289),ISNUMBER(AT289)),L289+M289-N289-AT289,IF(AND(ISNUMBER(O289),ISNUMBER(N289)),O289-N289,"")))</f>
        <v/>
      </c>
      <c r="AV289" s="8">
        <f>IF(E289="금융","금융업 - 정의되지 않음",IF(AND(ISNUMBER(L289),ISNUMBER(M289),ISNUMBER(N289),ISNUMBER(AT289)),"순이익+감가상각-설비투자-운전자본증감",IF(AND(ISNUMBER(O289),ISNUMBER(N289)),"영업현금흐름-설비투자","산출불가")))</f>
        <v/>
      </c>
      <c r="AW289" s="19">
        <f>IF(AND(ISNUMBER(AU289),ISNUMBER(G289),G289&lt;&gt;0),AU289/G289,"")</f>
        <v/>
      </c>
      <c r="AX289" s="19">
        <f>IF(AND(ISNUMBER(AC289),ISNUMBER(G289),G289&lt;&gt;0),AC289/G289,"")</f>
        <v/>
      </c>
    </row>
    <row r="290">
      <c r="A290" s="8" t="inlineStr">
        <is>
          <t>ORCL</t>
        </is>
      </c>
      <c r="B290" s="8" t="inlineStr">
        <is>
          <t>ORACLE CORP</t>
        </is>
      </c>
      <c r="C290" s="8" t="n">
        <v>2025</v>
      </c>
      <c r="D290" s="8" t="inlineStr">
        <is>
          <t>2026-05-31</t>
        </is>
      </c>
      <c r="E290" s="8" t="inlineStr">
        <is>
          <t>일반</t>
        </is>
      </c>
      <c r="F290" s="8" t="inlineStr">
        <is>
          <t>0001193125-26-277521</t>
        </is>
      </c>
      <c r="G290" s="15" t="n">
        <v>67.357</v>
      </c>
      <c r="H290" s="15" t="n">
        <v>19.554</v>
      </c>
      <c r="I290" s="15" t="n">
        <v>4.599</v>
      </c>
      <c r="J290" s="15" t="n">
        <v>2.467</v>
      </c>
      <c r="K290" s="15" t="n">
        <v>20.606</v>
      </c>
      <c r="L290" s="15" t="n">
        <v>17.087</v>
      </c>
      <c r="M290" s="15" t="n">
        <v>7.623</v>
      </c>
      <c r="N290" s="15" t="n">
        <v>55.663</v>
      </c>
      <c r="O290" s="15" t="n">
        <v>31.977</v>
      </c>
      <c r="P290" s="15" t="n">
        <v>42.508</v>
      </c>
      <c r="Q290" s="15" t="n">
        <v>20.451</v>
      </c>
      <c r="R290" s="15" t="n">
        <v>31.894</v>
      </c>
      <c r="S290" s="15" t="n">
        <v>11.203</v>
      </c>
      <c r="T290" s="15" t="n">
        <v>7.199</v>
      </c>
      <c r="U290" s="15" t="n">
        <v>7.271</v>
      </c>
      <c r="V290" s="15" t="n"/>
      <c r="W290" s="15" t="n">
        <v>46.567</v>
      </c>
      <c r="X290" s="15" t="n">
        <v>24.579</v>
      </c>
      <c r="Y290" s="15" t="n">
        <v>41.764</v>
      </c>
      <c r="Z290" s="15" t="n">
        <v>32.643</v>
      </c>
      <c r="AA290" s="15" t="n">
        <v>16.519</v>
      </c>
      <c r="AB290" s="16" t="n">
        <v>2808.833</v>
      </c>
      <c r="AC290" s="17">
        <f>IF(AND(ISNUMBER(H290),ISNUMBER(I290)),H290+I290,IF(ISNUMBER(K290),K290,IF(ISNUMBER(H290),H290,"")))</f>
        <v/>
      </c>
      <c r="AD290" s="18">
        <f>IF(OR(NOT(ISNUMBER(J290)),NOT(ISNUMBER(H290)),H290&lt;=0),기준표!$B$8,MIN(MAX(J290/H290,기준표!$B$6),기준표!$B$7))</f>
        <v/>
      </c>
      <c r="AE290" s="17">
        <f>IF(ISNUMBER(AC290),AC290*(1-AD290),"")</f>
        <v/>
      </c>
      <c r="AF290" s="17">
        <f>IF(AND(NOT(ISNUMBER(T290)),NOT(ISNUMBER(V290))),"",IF(ISNUMBER(T290),T290,0)+IF(ISNUMBER(V290),V290,0))</f>
        <v/>
      </c>
      <c r="AG290" s="17">
        <f>IF(E290="금융","",IF(AND(ISNUMBER(P290),ISNUMBER(AF290),ISNUMBER(R290)),P290+AF290-R290,""))</f>
        <v/>
      </c>
      <c r="AH290" s="17">
        <f>IF(E290="금융","",IF(NOT(ISNUMBER(AG290)),"",IF(ISNUMBER(AA290),(AG290+AA290)/2,AG290)))</f>
        <v/>
      </c>
      <c r="AI290" s="19">
        <f>IF(AND(ISNUMBER(AE290),ISNUMBER(AH290),AH290&gt;0),AE290/AH290,"")</f>
        <v/>
      </c>
      <c r="AJ290" s="17">
        <f>IF(E290="금융","",IF(AND(ISNUMBER(P290),ISNUMBER(AF290)),P290+AF290,""))</f>
        <v/>
      </c>
      <c r="AK290" s="19">
        <f>IF(OR(NOT(ISNUMBER(AE290)),NOT(ISNUMBER(AJ290)),AJ290&lt;=0),"",IF(AND(ISNUMBER(G290),AJ290&lt;0.1*G290),"",AE290/AJ290))</f>
        <v/>
      </c>
      <c r="AL290" s="17">
        <f>IF(NOT(ISNUMBER(P290)),"",IF(ISNUMBER(Q290),(P290+Q290)/2,P290))</f>
        <v/>
      </c>
      <c r="AM290" s="19">
        <f>IF(AND(ISNUMBER(L290),ISNUMBER(AL290),AL290&gt;0),L290/AL290,"")</f>
        <v/>
      </c>
      <c r="AN290" s="19">
        <f>IF(AND(ISNUMBER(AM290),ISNUMBER({ROIC})),AM290-{ROIC},"")</f>
        <v/>
      </c>
      <c r="AO290" s="17">
        <f>IF(AND(ISNUMBER(AC290),ISNUMBER(M290)),AC290+M290,"")</f>
        <v/>
      </c>
      <c r="AP290" s="20">
        <f>IF(AND(ISNUMBER(AF290),ISNUMBER(R290),ISNUMBER(AO290),AO290&gt;0),(AF290-R290)/AO290,"")</f>
        <v/>
      </c>
      <c r="AQ290" s="20">
        <f>IF(AND(ISNUMBER(AC290),ISNUMBER(I290),I290&lt;&gt;0,AC290&gt;0),AC290/I290,"")</f>
        <v/>
      </c>
      <c r="AR290" s="17">
        <f>IF(AND(ISNUMBER(W290),ISNUMBER(Y290)),W290-IF(ISNUMBER(R290),R290,0)-(Y290-IF(ISNUMBER(T290),T290,0)),"")</f>
        <v/>
      </c>
      <c r="AS290" s="17">
        <f>IF(AND(ISNUMBER(X290),ISNUMBER(Z290)),X290-IF(ISNUMBER(S290),S290,0)-(Z290-IF(ISNUMBER(U290),U290,0)),"")</f>
        <v/>
      </c>
      <c r="AT290" s="17">
        <f>IF(AND(ISNUMBER(AR290),ISNUMBER(AS290)),AR290-AS290,"")</f>
        <v/>
      </c>
      <c r="AU290" s="17">
        <f>IF(E290="금융","",IF(AND(ISNUMBER(L290),ISNUMBER(M290),ISNUMBER(N290),ISNUMBER(AT290)),L290+M290-N290-AT290,IF(AND(ISNUMBER(O290),ISNUMBER(N290)),O290-N290,"")))</f>
        <v/>
      </c>
      <c r="AV290" s="8">
        <f>IF(E290="금융","금융업 - 정의되지 않음",IF(AND(ISNUMBER(L290),ISNUMBER(M290),ISNUMBER(N290),ISNUMBER(AT290)),"순이익+감가상각-설비투자-운전자본증감",IF(AND(ISNUMBER(O290),ISNUMBER(N290)),"영업현금흐름-설비투자","산출불가")))</f>
        <v/>
      </c>
      <c r="AW290" s="19">
        <f>IF(AND(ISNUMBER(AU290),ISNUMBER(G290),G290&lt;&gt;0),AU290/G290,"")</f>
        <v/>
      </c>
      <c r="AX290" s="19">
        <f>IF(AND(ISNUMBER(AC290),ISNUMBER(G290),G290&lt;&gt;0),AC290/G290,"")</f>
        <v/>
      </c>
    </row>
    <row r="291">
      <c r="A291" s="8" t="inlineStr">
        <is>
          <t>COST</t>
        </is>
      </c>
      <c r="B291" s="8" t="inlineStr">
        <is>
          <t>COSTCO WHOLESALE CORP /NEW</t>
        </is>
      </c>
      <c r="C291" s="8" t="n">
        <v>2014</v>
      </c>
      <c r="D291" s="8" t="inlineStr">
        <is>
          <t>2014-08-31</t>
        </is>
      </c>
      <c r="E291" s="8" t="inlineStr">
        <is>
          <t>일반</t>
        </is>
      </c>
      <c r="F291" s="8" t="inlineStr">
        <is>
          <t>0000909832-16-000032</t>
        </is>
      </c>
      <c r="G291" s="15" t="n"/>
      <c r="H291" s="15" t="n">
        <v>3.197</v>
      </c>
      <c r="I291" s="15" t="n">
        <v>0.113</v>
      </c>
      <c r="J291" s="15" t="n">
        <v>1.109</v>
      </c>
      <c r="K291" s="15" t="n">
        <v>3.22</v>
      </c>
      <c r="L291" s="15" t="n">
        <v>2.058</v>
      </c>
      <c r="M291" s="15" t="n">
        <v>1.029</v>
      </c>
      <c r="N291" s="15" t="n">
        <v>1.993</v>
      </c>
      <c r="O291" s="15" t="n">
        <v>3.984</v>
      </c>
      <c r="P291" s="15" t="n">
        <v>12.303</v>
      </c>
      <c r="Q291" s="15" t="n"/>
      <c r="R291" s="15" t="n">
        <v>7.315</v>
      </c>
      <c r="S291" s="15" t="n"/>
      <c r="T291" s="15" t="n">
        <v>0</v>
      </c>
      <c r="U291" s="15" t="n"/>
      <c r="V291" s="15" t="n">
        <v>5.093</v>
      </c>
      <c r="W291" s="15" t="n">
        <v>17.588</v>
      </c>
      <c r="X291" s="15" t="n"/>
      <c r="Y291" s="15" t="n">
        <v>14.412</v>
      </c>
      <c r="Z291" s="15" t="n"/>
      <c r="AA291" s="15" t="n"/>
      <c r="AB291" s="16" t="n">
        <v>437.683</v>
      </c>
      <c r="AC291" s="17">
        <f>IF(AND(ISNUMBER(H291),ISNUMBER(I291)),H291+I291,IF(ISNUMBER(K291),K291,IF(ISNUMBER(H291),H291,"")))</f>
        <v/>
      </c>
      <c r="AD291" s="18">
        <f>IF(OR(NOT(ISNUMBER(J291)),NOT(ISNUMBER(H291)),H291&lt;=0),기준표!$B$8,MIN(MAX(J291/H291,기준표!$B$6),기준표!$B$7))</f>
        <v/>
      </c>
      <c r="AE291" s="17">
        <f>IF(ISNUMBER(AC291),AC291*(1-AD291),"")</f>
        <v/>
      </c>
      <c r="AF291" s="17">
        <f>IF(AND(NOT(ISNUMBER(T291)),NOT(ISNUMBER(V291))),"",IF(ISNUMBER(T291),T291,0)+IF(ISNUMBER(V291),V291,0))</f>
        <v/>
      </c>
      <c r="AG291" s="17">
        <f>IF(E291="금융","",IF(AND(ISNUMBER(P291),ISNUMBER(AF291),ISNUMBER(R291)),P291+AF291-R291,""))</f>
        <v/>
      </c>
      <c r="AH291" s="17">
        <f>IF(E291="금융","",IF(NOT(ISNUMBER(AG291)),"",IF(ISNUMBER(AA291),(AG291+AA291)/2,AG291)))</f>
        <v/>
      </c>
      <c r="AI291" s="19">
        <f>IF(AND(ISNUMBER(AE291),ISNUMBER(AH291),AH291&gt;0),AE291/AH291,"")</f>
        <v/>
      </c>
      <c r="AJ291" s="17">
        <f>IF(E291="금융","",IF(AND(ISNUMBER(P291),ISNUMBER(AF291)),P291+AF291,""))</f>
        <v/>
      </c>
      <c r="AK291" s="19">
        <f>IF(OR(NOT(ISNUMBER(AE291)),NOT(ISNUMBER(AJ291)),AJ291&lt;=0),"",IF(AND(ISNUMBER(G291),AJ291&lt;0.1*G291),"",AE291/AJ291))</f>
        <v/>
      </c>
      <c r="AL291" s="17">
        <f>IF(NOT(ISNUMBER(P291)),"",IF(ISNUMBER(Q291),(P291+Q291)/2,P291))</f>
        <v/>
      </c>
      <c r="AM291" s="19">
        <f>IF(AND(ISNUMBER(L291),ISNUMBER(AL291),AL291&gt;0),L291/AL291,"")</f>
        <v/>
      </c>
      <c r="AN291" s="19">
        <f>IF(AND(ISNUMBER(AM291),ISNUMBER({ROIC})),AM291-{ROIC},"")</f>
        <v/>
      </c>
      <c r="AO291" s="17">
        <f>IF(AND(ISNUMBER(AC291),ISNUMBER(M291)),AC291+M291,"")</f>
        <v/>
      </c>
      <c r="AP291" s="20">
        <f>IF(AND(ISNUMBER(AF291),ISNUMBER(R291),ISNUMBER(AO291),AO291&gt;0),(AF291-R291)/AO291,"")</f>
        <v/>
      </c>
      <c r="AQ291" s="20">
        <f>IF(AND(ISNUMBER(AC291),ISNUMBER(I291),I291&lt;&gt;0,AC291&gt;0),AC291/I291,"")</f>
        <v/>
      </c>
      <c r="AR291" s="17">
        <f>IF(AND(ISNUMBER(W291),ISNUMBER(Y291)),W291-IF(ISNUMBER(R291),R291,0)-(Y291-IF(ISNUMBER(T291),T291,0)),"")</f>
        <v/>
      </c>
      <c r="AS291" s="17">
        <f>IF(AND(ISNUMBER(X291),ISNUMBER(Z291)),X291-IF(ISNUMBER(S291),S291,0)-(Z291-IF(ISNUMBER(U291),U291,0)),"")</f>
        <v/>
      </c>
      <c r="AT291" s="17">
        <f>IF(AND(ISNUMBER(AR291),ISNUMBER(AS291)),AR291-AS291,"")</f>
        <v/>
      </c>
      <c r="AU291" s="17">
        <f>IF(E291="금융","",IF(AND(ISNUMBER(L291),ISNUMBER(M291),ISNUMBER(N291),ISNUMBER(AT291)),L291+M291-N291-AT291,IF(AND(ISNUMBER(O291),ISNUMBER(N291)),O291-N291,"")))</f>
        <v/>
      </c>
      <c r="AV291" s="8">
        <f>IF(E291="금융","금융업 - 정의되지 않음",IF(AND(ISNUMBER(L291),ISNUMBER(M291),ISNUMBER(N291),ISNUMBER(AT291)),"순이익+감가상각-설비투자-운전자본증감",IF(AND(ISNUMBER(O291),ISNUMBER(N291)),"영업현금흐름-설비투자","산출불가")))</f>
        <v/>
      </c>
      <c r="AW291" s="19">
        <f>IF(AND(ISNUMBER(AU291),ISNUMBER(G291),G291&lt;&gt;0),AU291/G291,"")</f>
        <v/>
      </c>
      <c r="AX291" s="19">
        <f>IF(AND(ISNUMBER(AC291),ISNUMBER(G291),G291&lt;&gt;0),AC291/G291,"")</f>
        <v/>
      </c>
    </row>
    <row r="292">
      <c r="A292" s="8" t="inlineStr">
        <is>
          <t>COST</t>
        </is>
      </c>
      <c r="B292" s="8" t="inlineStr">
        <is>
          <t>COSTCO WHOLESALE CORP /NEW</t>
        </is>
      </c>
      <c r="C292" s="8" t="n">
        <v>2015</v>
      </c>
      <c r="D292" s="8" t="inlineStr">
        <is>
          <t>2015-08-30</t>
        </is>
      </c>
      <c r="E292" s="8" t="inlineStr">
        <is>
          <t>일반</t>
        </is>
      </c>
      <c r="F292" s="8" t="inlineStr">
        <is>
          <t>0000909832-17-000014</t>
        </is>
      </c>
      <c r="G292" s="15" t="n"/>
      <c r="H292" s="15" t="n">
        <v>3.604</v>
      </c>
      <c r="I292" s="15" t="n">
        <v>0.124</v>
      </c>
      <c r="J292" s="15" t="n">
        <v>1.195</v>
      </c>
      <c r="K292" s="15" t="n">
        <v>3.624</v>
      </c>
      <c r="L292" s="15" t="n">
        <v>2.377</v>
      </c>
      <c r="M292" s="15" t="n">
        <v>1.127</v>
      </c>
      <c r="N292" s="15" t="n">
        <v>2.393</v>
      </c>
      <c r="O292" s="15" t="n">
        <v>4.285</v>
      </c>
      <c r="P292" s="15" t="n">
        <v>10.617</v>
      </c>
      <c r="Q292" s="15" t="n">
        <v>12.303</v>
      </c>
      <c r="R292" s="15" t="n">
        <v>6.419</v>
      </c>
      <c r="S292" s="15" t="n">
        <v>7.315</v>
      </c>
      <c r="T292" s="15" t="n">
        <v>1.283</v>
      </c>
      <c r="U292" s="15" t="n">
        <v>0</v>
      </c>
      <c r="V292" s="15" t="n">
        <v>4.852</v>
      </c>
      <c r="W292" s="15" t="n">
        <v>16.779</v>
      </c>
      <c r="X292" s="15" t="n">
        <v>17.588</v>
      </c>
      <c r="Y292" s="15" t="n">
        <v>16.539</v>
      </c>
      <c r="Z292" s="15" t="n">
        <v>14.412</v>
      </c>
      <c r="AA292" s="15" t="n">
        <v>10.081</v>
      </c>
      <c r="AB292" s="16" t="n">
        <v>437.952</v>
      </c>
      <c r="AC292" s="17">
        <f>IF(AND(ISNUMBER(H292),ISNUMBER(I292)),H292+I292,IF(ISNUMBER(K292),K292,IF(ISNUMBER(H292),H292,"")))</f>
        <v/>
      </c>
      <c r="AD292" s="18">
        <f>IF(OR(NOT(ISNUMBER(J292)),NOT(ISNUMBER(H292)),H292&lt;=0),기준표!$B$8,MIN(MAX(J292/H292,기준표!$B$6),기준표!$B$7))</f>
        <v/>
      </c>
      <c r="AE292" s="17">
        <f>IF(ISNUMBER(AC292),AC292*(1-AD292),"")</f>
        <v/>
      </c>
      <c r="AF292" s="17">
        <f>IF(AND(NOT(ISNUMBER(T292)),NOT(ISNUMBER(V292))),"",IF(ISNUMBER(T292),T292,0)+IF(ISNUMBER(V292),V292,0))</f>
        <v/>
      </c>
      <c r="AG292" s="17">
        <f>IF(E292="금융","",IF(AND(ISNUMBER(P292),ISNUMBER(AF292),ISNUMBER(R292)),P292+AF292-R292,""))</f>
        <v/>
      </c>
      <c r="AH292" s="17">
        <f>IF(E292="금융","",IF(NOT(ISNUMBER(AG292)),"",IF(ISNUMBER(AA292),(AG292+AA292)/2,AG292)))</f>
        <v/>
      </c>
      <c r="AI292" s="19">
        <f>IF(AND(ISNUMBER(AE292),ISNUMBER(AH292),AH292&gt;0),AE292/AH292,"")</f>
        <v/>
      </c>
      <c r="AJ292" s="17">
        <f>IF(E292="금융","",IF(AND(ISNUMBER(P292),ISNUMBER(AF292)),P292+AF292,""))</f>
        <v/>
      </c>
      <c r="AK292" s="19">
        <f>IF(OR(NOT(ISNUMBER(AE292)),NOT(ISNUMBER(AJ292)),AJ292&lt;=0),"",IF(AND(ISNUMBER(G292),AJ292&lt;0.1*G292),"",AE292/AJ292))</f>
        <v/>
      </c>
      <c r="AL292" s="17">
        <f>IF(NOT(ISNUMBER(P292)),"",IF(ISNUMBER(Q292),(P292+Q292)/2,P292))</f>
        <v/>
      </c>
      <c r="AM292" s="19">
        <f>IF(AND(ISNUMBER(L292),ISNUMBER(AL292),AL292&gt;0),L292/AL292,"")</f>
        <v/>
      </c>
      <c r="AN292" s="19">
        <f>IF(AND(ISNUMBER(AM292),ISNUMBER({ROIC})),AM292-{ROIC},"")</f>
        <v/>
      </c>
      <c r="AO292" s="17">
        <f>IF(AND(ISNUMBER(AC292),ISNUMBER(M292)),AC292+M292,"")</f>
        <v/>
      </c>
      <c r="AP292" s="20">
        <f>IF(AND(ISNUMBER(AF292),ISNUMBER(R292),ISNUMBER(AO292),AO292&gt;0),(AF292-R292)/AO292,"")</f>
        <v/>
      </c>
      <c r="AQ292" s="20">
        <f>IF(AND(ISNUMBER(AC292),ISNUMBER(I292),I292&lt;&gt;0,AC292&gt;0),AC292/I292,"")</f>
        <v/>
      </c>
      <c r="AR292" s="17">
        <f>IF(AND(ISNUMBER(W292),ISNUMBER(Y292)),W292-IF(ISNUMBER(R292),R292,0)-(Y292-IF(ISNUMBER(T292),T292,0)),"")</f>
        <v/>
      </c>
      <c r="AS292" s="17">
        <f>IF(AND(ISNUMBER(X292),ISNUMBER(Z292)),X292-IF(ISNUMBER(S292),S292,0)-(Z292-IF(ISNUMBER(U292),U292,0)),"")</f>
        <v/>
      </c>
      <c r="AT292" s="17">
        <f>IF(AND(ISNUMBER(AR292),ISNUMBER(AS292)),AR292-AS292,"")</f>
        <v/>
      </c>
      <c r="AU292" s="17">
        <f>IF(E292="금융","",IF(AND(ISNUMBER(L292),ISNUMBER(M292),ISNUMBER(N292),ISNUMBER(AT292)),L292+M292-N292-AT292,IF(AND(ISNUMBER(O292),ISNUMBER(N292)),O292-N292,"")))</f>
        <v/>
      </c>
      <c r="AV292" s="8">
        <f>IF(E292="금융","금융업 - 정의되지 않음",IF(AND(ISNUMBER(L292),ISNUMBER(M292),ISNUMBER(N292),ISNUMBER(AT292)),"순이익+감가상각-설비투자-운전자본증감",IF(AND(ISNUMBER(O292),ISNUMBER(N292)),"영업현금흐름-설비투자","산출불가")))</f>
        <v/>
      </c>
      <c r="AW292" s="19">
        <f>IF(AND(ISNUMBER(AU292),ISNUMBER(G292),G292&lt;&gt;0),AU292/G292,"")</f>
        <v/>
      </c>
      <c r="AX292" s="19">
        <f>IF(AND(ISNUMBER(AC292),ISNUMBER(G292),G292&lt;&gt;0),AC292/G292,"")</f>
        <v/>
      </c>
    </row>
    <row r="293">
      <c r="A293" s="8" t="inlineStr">
        <is>
          <t>COST</t>
        </is>
      </c>
      <c r="B293" s="8" t="inlineStr">
        <is>
          <t>COSTCO WHOLESALE CORP /NEW</t>
        </is>
      </c>
      <c r="C293" s="8" t="n">
        <v>2016</v>
      </c>
      <c r="D293" s="8" t="inlineStr">
        <is>
          <t>2016-08-28</t>
        </is>
      </c>
      <c r="E293" s="8" t="inlineStr">
        <is>
          <t>일반</t>
        </is>
      </c>
      <c r="F293" s="8" t="inlineStr">
        <is>
          <t>0000909832-18-000013</t>
        </is>
      </c>
      <c r="G293" s="15" t="n">
        <v>118.719</v>
      </c>
      <c r="H293" s="15" t="n">
        <v>3.619</v>
      </c>
      <c r="I293" s="15" t="n">
        <v>0.133</v>
      </c>
      <c r="J293" s="15" t="n">
        <v>1.243</v>
      </c>
      <c r="K293" s="15" t="n">
        <v>3.672</v>
      </c>
      <c r="L293" s="15" t="n">
        <v>2.35</v>
      </c>
      <c r="M293" s="15" t="n">
        <v>1.255</v>
      </c>
      <c r="N293" s="15" t="n">
        <v>2.649</v>
      </c>
      <c r="O293" s="15" t="n">
        <v>3.292</v>
      </c>
      <c r="P293" s="15" t="n">
        <v>12.079</v>
      </c>
      <c r="Q293" s="15" t="n">
        <v>10.617</v>
      </c>
      <c r="R293" s="15" t="n">
        <v>4.729</v>
      </c>
      <c r="S293" s="15" t="n">
        <v>6.419</v>
      </c>
      <c r="T293" s="15" t="n">
        <v>1.1</v>
      </c>
      <c r="U293" s="15" t="n">
        <v>1.283</v>
      </c>
      <c r="V293" s="15" t="n">
        <v>4.061</v>
      </c>
      <c r="W293" s="15" t="n">
        <v>15.218</v>
      </c>
      <c r="X293" s="15" t="n">
        <v>16.779</v>
      </c>
      <c r="Y293" s="15" t="n">
        <v>15.575</v>
      </c>
      <c r="Z293" s="15" t="n">
        <v>16.539</v>
      </c>
      <c r="AA293" s="15" t="n">
        <v>10.333</v>
      </c>
      <c r="AB293" s="16" t="n">
        <v>437.524</v>
      </c>
      <c r="AC293" s="17">
        <f>IF(AND(ISNUMBER(H293),ISNUMBER(I293)),H293+I293,IF(ISNUMBER(K293),K293,IF(ISNUMBER(H293),H293,"")))</f>
        <v/>
      </c>
      <c r="AD293" s="18">
        <f>IF(OR(NOT(ISNUMBER(J293)),NOT(ISNUMBER(H293)),H293&lt;=0),기준표!$B$8,MIN(MAX(J293/H293,기준표!$B$6),기준표!$B$7))</f>
        <v/>
      </c>
      <c r="AE293" s="17">
        <f>IF(ISNUMBER(AC293),AC293*(1-AD293),"")</f>
        <v/>
      </c>
      <c r="AF293" s="17">
        <f>IF(AND(NOT(ISNUMBER(T293)),NOT(ISNUMBER(V293))),"",IF(ISNUMBER(T293),T293,0)+IF(ISNUMBER(V293),V293,0))</f>
        <v/>
      </c>
      <c r="AG293" s="17">
        <f>IF(E293="금융","",IF(AND(ISNUMBER(P293),ISNUMBER(AF293),ISNUMBER(R293)),P293+AF293-R293,""))</f>
        <v/>
      </c>
      <c r="AH293" s="17">
        <f>IF(E293="금융","",IF(NOT(ISNUMBER(AG293)),"",IF(ISNUMBER(AA293),(AG293+AA293)/2,AG293)))</f>
        <v/>
      </c>
      <c r="AI293" s="19">
        <f>IF(AND(ISNUMBER(AE293),ISNUMBER(AH293),AH293&gt;0),AE293/AH293,"")</f>
        <v/>
      </c>
      <c r="AJ293" s="17">
        <f>IF(E293="금융","",IF(AND(ISNUMBER(P293),ISNUMBER(AF293)),P293+AF293,""))</f>
        <v/>
      </c>
      <c r="AK293" s="19">
        <f>IF(OR(NOT(ISNUMBER(AE293)),NOT(ISNUMBER(AJ293)),AJ293&lt;=0),"",IF(AND(ISNUMBER(G293),AJ293&lt;0.1*G293),"",AE293/AJ293))</f>
        <v/>
      </c>
      <c r="AL293" s="17">
        <f>IF(NOT(ISNUMBER(P293)),"",IF(ISNUMBER(Q293),(P293+Q293)/2,P293))</f>
        <v/>
      </c>
      <c r="AM293" s="19">
        <f>IF(AND(ISNUMBER(L293),ISNUMBER(AL293),AL293&gt;0),L293/AL293,"")</f>
        <v/>
      </c>
      <c r="AN293" s="19">
        <f>IF(AND(ISNUMBER(AM293),ISNUMBER({ROIC})),AM293-{ROIC},"")</f>
        <v/>
      </c>
      <c r="AO293" s="17">
        <f>IF(AND(ISNUMBER(AC293),ISNUMBER(M293)),AC293+M293,"")</f>
        <v/>
      </c>
      <c r="AP293" s="20">
        <f>IF(AND(ISNUMBER(AF293),ISNUMBER(R293),ISNUMBER(AO293),AO293&gt;0),(AF293-R293)/AO293,"")</f>
        <v/>
      </c>
      <c r="AQ293" s="20">
        <f>IF(AND(ISNUMBER(AC293),ISNUMBER(I293),I293&lt;&gt;0,AC293&gt;0),AC293/I293,"")</f>
        <v/>
      </c>
      <c r="AR293" s="17">
        <f>IF(AND(ISNUMBER(W293),ISNUMBER(Y293)),W293-IF(ISNUMBER(R293),R293,0)-(Y293-IF(ISNUMBER(T293),T293,0)),"")</f>
        <v/>
      </c>
      <c r="AS293" s="17">
        <f>IF(AND(ISNUMBER(X293),ISNUMBER(Z293)),X293-IF(ISNUMBER(S293),S293,0)-(Z293-IF(ISNUMBER(U293),U293,0)),"")</f>
        <v/>
      </c>
      <c r="AT293" s="17">
        <f>IF(AND(ISNUMBER(AR293),ISNUMBER(AS293)),AR293-AS293,"")</f>
        <v/>
      </c>
      <c r="AU293" s="17">
        <f>IF(E293="금융","",IF(AND(ISNUMBER(L293),ISNUMBER(M293),ISNUMBER(N293),ISNUMBER(AT293)),L293+M293-N293-AT293,IF(AND(ISNUMBER(O293),ISNUMBER(N293)),O293-N293,"")))</f>
        <v/>
      </c>
      <c r="AV293" s="8">
        <f>IF(E293="금융","금융업 - 정의되지 않음",IF(AND(ISNUMBER(L293),ISNUMBER(M293),ISNUMBER(N293),ISNUMBER(AT293)),"순이익+감가상각-설비투자-운전자본증감",IF(AND(ISNUMBER(O293),ISNUMBER(N293)),"영업현금흐름-설비투자","산출불가")))</f>
        <v/>
      </c>
      <c r="AW293" s="19">
        <f>IF(AND(ISNUMBER(AU293),ISNUMBER(G293),G293&lt;&gt;0),AU293/G293,"")</f>
        <v/>
      </c>
      <c r="AX293" s="19">
        <f>IF(AND(ISNUMBER(AC293),ISNUMBER(G293),G293&lt;&gt;0),AC293/G293,"")</f>
        <v/>
      </c>
    </row>
    <row r="294">
      <c r="A294" s="8" t="inlineStr">
        <is>
          <t>COST</t>
        </is>
      </c>
      <c r="B294" s="8" t="inlineStr">
        <is>
          <t>COSTCO WHOLESALE CORP /NEW</t>
        </is>
      </c>
      <c r="C294" s="8" t="n">
        <v>2017</v>
      </c>
      <c r="D294" s="8" t="inlineStr">
        <is>
          <t>2017-09-03</t>
        </is>
      </c>
      <c r="E294" s="8" t="inlineStr">
        <is>
          <t>일반</t>
        </is>
      </c>
      <c r="F294" s="8" t="inlineStr">
        <is>
          <t>0000909832-19-000019</t>
        </is>
      </c>
      <c r="G294" s="15" t="n">
        <v>129.025</v>
      </c>
      <c r="H294" s="15" t="n">
        <v>4.039</v>
      </c>
      <c r="I294" s="15" t="n">
        <v>0.134</v>
      </c>
      <c r="J294" s="15" t="n">
        <v>1.325</v>
      </c>
      <c r="K294" s="15" t="n">
        <v>4.111</v>
      </c>
      <c r="L294" s="15" t="n">
        <v>2.679</v>
      </c>
      <c r="M294" s="15" t="n">
        <v>1.37</v>
      </c>
      <c r="N294" s="15" t="n">
        <v>2.502</v>
      </c>
      <c r="O294" s="15" t="n">
        <v>6.726</v>
      </c>
      <c r="P294" s="15" t="n">
        <v>10.778</v>
      </c>
      <c r="Q294" s="15" t="n">
        <v>12.079</v>
      </c>
      <c r="R294" s="15" t="n">
        <v>5.779</v>
      </c>
      <c r="S294" s="15" t="n">
        <v>4.729</v>
      </c>
      <c r="T294" s="15" t="n">
        <v>0.08599999999999999</v>
      </c>
      <c r="U294" s="15" t="n">
        <v>1.1</v>
      </c>
      <c r="V294" s="15" t="n">
        <v>6.573</v>
      </c>
      <c r="W294" s="15" t="n">
        <v>17.317</v>
      </c>
      <c r="X294" s="15" t="n">
        <v>15.218</v>
      </c>
      <c r="Y294" s="15" t="n">
        <v>17.495</v>
      </c>
      <c r="Z294" s="15" t="n">
        <v>15.575</v>
      </c>
      <c r="AA294" s="15" t="n">
        <v>12.511</v>
      </c>
      <c r="AB294" s="16" t="n">
        <v>437.204</v>
      </c>
      <c r="AC294" s="17">
        <f>IF(AND(ISNUMBER(H294),ISNUMBER(I294)),H294+I294,IF(ISNUMBER(K294),K294,IF(ISNUMBER(H294),H294,"")))</f>
        <v/>
      </c>
      <c r="AD294" s="18">
        <f>IF(OR(NOT(ISNUMBER(J294)),NOT(ISNUMBER(H294)),H294&lt;=0),기준표!$B$8,MIN(MAX(J294/H294,기준표!$B$6),기준표!$B$7))</f>
        <v/>
      </c>
      <c r="AE294" s="17">
        <f>IF(ISNUMBER(AC294),AC294*(1-AD294),"")</f>
        <v/>
      </c>
      <c r="AF294" s="17">
        <f>IF(AND(NOT(ISNUMBER(T294)),NOT(ISNUMBER(V294))),"",IF(ISNUMBER(T294),T294,0)+IF(ISNUMBER(V294),V294,0))</f>
        <v/>
      </c>
      <c r="AG294" s="17">
        <f>IF(E294="금융","",IF(AND(ISNUMBER(P294),ISNUMBER(AF294),ISNUMBER(R294)),P294+AF294-R294,""))</f>
        <v/>
      </c>
      <c r="AH294" s="17">
        <f>IF(E294="금융","",IF(NOT(ISNUMBER(AG294)),"",IF(ISNUMBER(AA294),(AG294+AA294)/2,AG294)))</f>
        <v/>
      </c>
      <c r="AI294" s="19">
        <f>IF(AND(ISNUMBER(AE294),ISNUMBER(AH294),AH294&gt;0),AE294/AH294,"")</f>
        <v/>
      </c>
      <c r="AJ294" s="17">
        <f>IF(E294="금융","",IF(AND(ISNUMBER(P294),ISNUMBER(AF294)),P294+AF294,""))</f>
        <v/>
      </c>
      <c r="AK294" s="19">
        <f>IF(OR(NOT(ISNUMBER(AE294)),NOT(ISNUMBER(AJ294)),AJ294&lt;=0),"",IF(AND(ISNUMBER(G294),AJ294&lt;0.1*G294),"",AE294/AJ294))</f>
        <v/>
      </c>
      <c r="AL294" s="17">
        <f>IF(NOT(ISNUMBER(P294)),"",IF(ISNUMBER(Q294),(P294+Q294)/2,P294))</f>
        <v/>
      </c>
      <c r="AM294" s="19">
        <f>IF(AND(ISNUMBER(L294),ISNUMBER(AL294),AL294&gt;0),L294/AL294,"")</f>
        <v/>
      </c>
      <c r="AN294" s="19">
        <f>IF(AND(ISNUMBER(AM294),ISNUMBER({ROIC})),AM294-{ROIC},"")</f>
        <v/>
      </c>
      <c r="AO294" s="17">
        <f>IF(AND(ISNUMBER(AC294),ISNUMBER(M294)),AC294+M294,"")</f>
        <v/>
      </c>
      <c r="AP294" s="20">
        <f>IF(AND(ISNUMBER(AF294),ISNUMBER(R294),ISNUMBER(AO294),AO294&gt;0),(AF294-R294)/AO294,"")</f>
        <v/>
      </c>
      <c r="AQ294" s="20">
        <f>IF(AND(ISNUMBER(AC294),ISNUMBER(I294),I294&lt;&gt;0,AC294&gt;0),AC294/I294,"")</f>
        <v/>
      </c>
      <c r="AR294" s="17">
        <f>IF(AND(ISNUMBER(W294),ISNUMBER(Y294)),W294-IF(ISNUMBER(R294),R294,0)-(Y294-IF(ISNUMBER(T294),T294,0)),"")</f>
        <v/>
      </c>
      <c r="AS294" s="17">
        <f>IF(AND(ISNUMBER(X294),ISNUMBER(Z294)),X294-IF(ISNUMBER(S294),S294,0)-(Z294-IF(ISNUMBER(U294),U294,0)),"")</f>
        <v/>
      </c>
      <c r="AT294" s="17">
        <f>IF(AND(ISNUMBER(AR294),ISNUMBER(AS294)),AR294-AS294,"")</f>
        <v/>
      </c>
      <c r="AU294" s="17">
        <f>IF(E294="금융","",IF(AND(ISNUMBER(L294),ISNUMBER(M294),ISNUMBER(N294),ISNUMBER(AT294)),L294+M294-N294-AT294,IF(AND(ISNUMBER(O294),ISNUMBER(N294)),O294-N294,"")))</f>
        <v/>
      </c>
      <c r="AV294" s="8">
        <f>IF(E294="금융","금융업 - 정의되지 않음",IF(AND(ISNUMBER(L294),ISNUMBER(M294),ISNUMBER(N294),ISNUMBER(AT294)),"순이익+감가상각-설비투자-운전자본증감",IF(AND(ISNUMBER(O294),ISNUMBER(N294)),"영업현금흐름-설비투자","산출불가")))</f>
        <v/>
      </c>
      <c r="AW294" s="19">
        <f>IF(AND(ISNUMBER(AU294),ISNUMBER(G294),G294&lt;&gt;0),AU294/G294,"")</f>
        <v/>
      </c>
      <c r="AX294" s="19">
        <f>IF(AND(ISNUMBER(AC294),ISNUMBER(G294),G294&lt;&gt;0),AC294/G294,"")</f>
        <v/>
      </c>
    </row>
    <row r="295">
      <c r="A295" s="8" t="inlineStr">
        <is>
          <t>COST</t>
        </is>
      </c>
      <c r="B295" s="8" t="inlineStr">
        <is>
          <t>COSTCO WHOLESALE CORP /NEW</t>
        </is>
      </c>
      <c r="C295" s="8" t="n">
        <v>2018</v>
      </c>
      <c r="D295" s="8" t="inlineStr">
        <is>
          <t>2018-09-02</t>
        </is>
      </c>
      <c r="E295" s="8" t="inlineStr">
        <is>
          <t>일반</t>
        </is>
      </c>
      <c r="F295" s="8" t="inlineStr">
        <is>
          <t>0000909832-20-000017</t>
        </is>
      </c>
      <c r="G295" s="15" t="n">
        <v>141.576</v>
      </c>
      <c r="H295" s="15" t="n">
        <v>4.442</v>
      </c>
      <c r="I295" s="15" t="n">
        <v>0.159</v>
      </c>
      <c r="J295" s="15" t="n">
        <v>1.263</v>
      </c>
      <c r="K295" s="15" t="n">
        <v>4.48</v>
      </c>
      <c r="L295" s="15" t="n">
        <v>3.134</v>
      </c>
      <c r="M295" s="15" t="n">
        <v>1.437</v>
      </c>
      <c r="N295" s="15" t="n">
        <v>2.969</v>
      </c>
      <c r="O295" s="15" t="n">
        <v>5.774</v>
      </c>
      <c r="P295" s="15" t="n">
        <v>12.799</v>
      </c>
      <c r="Q295" s="15" t="n">
        <v>10.778</v>
      </c>
      <c r="R295" s="15" t="n">
        <v>7.259</v>
      </c>
      <c r="S295" s="15" t="n">
        <v>5.779</v>
      </c>
      <c r="T295" s="15" t="n">
        <v>0.09</v>
      </c>
      <c r="U295" s="15" t="n">
        <v>0.08599999999999999</v>
      </c>
      <c r="V295" s="15" t="n">
        <v>6.487</v>
      </c>
      <c r="W295" s="15" t="n">
        <v>20.289</v>
      </c>
      <c r="X295" s="15" t="n">
        <v>17.317</v>
      </c>
      <c r="Y295" s="15" t="n">
        <v>19.926</v>
      </c>
      <c r="Z295" s="15" t="n">
        <v>17.495</v>
      </c>
      <c r="AA295" s="15" t="n">
        <v>11.658</v>
      </c>
      <c r="AB295" s="16" t="n">
        <v>438.189</v>
      </c>
      <c r="AC295" s="17">
        <f>IF(AND(ISNUMBER(H295),ISNUMBER(I295)),H295+I295,IF(ISNUMBER(K295),K295,IF(ISNUMBER(H295),H295,"")))</f>
        <v/>
      </c>
      <c r="AD295" s="18">
        <f>IF(OR(NOT(ISNUMBER(J295)),NOT(ISNUMBER(H295)),H295&lt;=0),기준표!$B$8,MIN(MAX(J295/H295,기준표!$B$6),기준표!$B$7))</f>
        <v/>
      </c>
      <c r="AE295" s="17">
        <f>IF(ISNUMBER(AC295),AC295*(1-AD295),"")</f>
        <v/>
      </c>
      <c r="AF295" s="17">
        <f>IF(AND(NOT(ISNUMBER(T295)),NOT(ISNUMBER(V295))),"",IF(ISNUMBER(T295),T295,0)+IF(ISNUMBER(V295),V295,0))</f>
        <v/>
      </c>
      <c r="AG295" s="17">
        <f>IF(E295="금융","",IF(AND(ISNUMBER(P295),ISNUMBER(AF295),ISNUMBER(R295)),P295+AF295-R295,""))</f>
        <v/>
      </c>
      <c r="AH295" s="17">
        <f>IF(E295="금융","",IF(NOT(ISNUMBER(AG295)),"",IF(ISNUMBER(AA295),(AG295+AA295)/2,AG295)))</f>
        <v/>
      </c>
      <c r="AI295" s="19">
        <f>IF(AND(ISNUMBER(AE295),ISNUMBER(AH295),AH295&gt;0),AE295/AH295,"")</f>
        <v/>
      </c>
      <c r="AJ295" s="17">
        <f>IF(E295="금융","",IF(AND(ISNUMBER(P295),ISNUMBER(AF295)),P295+AF295,""))</f>
        <v/>
      </c>
      <c r="AK295" s="19">
        <f>IF(OR(NOT(ISNUMBER(AE295)),NOT(ISNUMBER(AJ295)),AJ295&lt;=0),"",IF(AND(ISNUMBER(G295),AJ295&lt;0.1*G295),"",AE295/AJ295))</f>
        <v/>
      </c>
      <c r="AL295" s="17">
        <f>IF(NOT(ISNUMBER(P295)),"",IF(ISNUMBER(Q295),(P295+Q295)/2,P295))</f>
        <v/>
      </c>
      <c r="AM295" s="19">
        <f>IF(AND(ISNUMBER(L295),ISNUMBER(AL295),AL295&gt;0),L295/AL295,"")</f>
        <v/>
      </c>
      <c r="AN295" s="19">
        <f>IF(AND(ISNUMBER(AM295),ISNUMBER({ROIC})),AM295-{ROIC},"")</f>
        <v/>
      </c>
      <c r="AO295" s="17">
        <f>IF(AND(ISNUMBER(AC295),ISNUMBER(M295)),AC295+M295,"")</f>
        <v/>
      </c>
      <c r="AP295" s="20">
        <f>IF(AND(ISNUMBER(AF295),ISNUMBER(R295),ISNUMBER(AO295),AO295&gt;0),(AF295-R295)/AO295,"")</f>
        <v/>
      </c>
      <c r="AQ295" s="20">
        <f>IF(AND(ISNUMBER(AC295),ISNUMBER(I295),I295&lt;&gt;0,AC295&gt;0),AC295/I295,"")</f>
        <v/>
      </c>
      <c r="AR295" s="17">
        <f>IF(AND(ISNUMBER(W295),ISNUMBER(Y295)),W295-IF(ISNUMBER(R295),R295,0)-(Y295-IF(ISNUMBER(T295),T295,0)),"")</f>
        <v/>
      </c>
      <c r="AS295" s="17">
        <f>IF(AND(ISNUMBER(X295),ISNUMBER(Z295)),X295-IF(ISNUMBER(S295),S295,0)-(Z295-IF(ISNUMBER(U295),U295,0)),"")</f>
        <v/>
      </c>
      <c r="AT295" s="17">
        <f>IF(AND(ISNUMBER(AR295),ISNUMBER(AS295)),AR295-AS295,"")</f>
        <v/>
      </c>
      <c r="AU295" s="17">
        <f>IF(E295="금융","",IF(AND(ISNUMBER(L295),ISNUMBER(M295),ISNUMBER(N295),ISNUMBER(AT295)),L295+M295-N295-AT295,IF(AND(ISNUMBER(O295),ISNUMBER(N295)),O295-N295,"")))</f>
        <v/>
      </c>
      <c r="AV295" s="8">
        <f>IF(E295="금융","금융업 - 정의되지 않음",IF(AND(ISNUMBER(L295),ISNUMBER(M295),ISNUMBER(N295),ISNUMBER(AT295)),"순이익+감가상각-설비투자-운전자본증감",IF(AND(ISNUMBER(O295),ISNUMBER(N295)),"영업현금흐름-설비투자","산출불가")))</f>
        <v/>
      </c>
      <c r="AW295" s="19">
        <f>IF(AND(ISNUMBER(AU295),ISNUMBER(G295),G295&lt;&gt;0),AU295/G295,"")</f>
        <v/>
      </c>
      <c r="AX295" s="19">
        <f>IF(AND(ISNUMBER(AC295),ISNUMBER(G295),G295&lt;&gt;0),AC295/G295,"")</f>
        <v/>
      </c>
    </row>
    <row r="296">
      <c r="A296" s="8" t="inlineStr">
        <is>
          <t>COST</t>
        </is>
      </c>
      <c r="B296" s="8" t="inlineStr">
        <is>
          <t>COSTCO WHOLESALE CORP /NEW</t>
        </is>
      </c>
      <c r="C296" s="8" t="n">
        <v>2019</v>
      </c>
      <c r="D296" s="8" t="inlineStr">
        <is>
          <t>2019-09-01</t>
        </is>
      </c>
      <c r="E296" s="8" t="inlineStr">
        <is>
          <t>일반</t>
        </is>
      </c>
      <c r="F296" s="8" t="inlineStr">
        <is>
          <t>0000909832-21-000014</t>
        </is>
      </c>
      <c r="G296" s="15" t="n">
        <v>152.703</v>
      </c>
      <c r="H296" s="15" t="n">
        <v>4.765</v>
      </c>
      <c r="I296" s="15" t="n">
        <v>0.15</v>
      </c>
      <c r="J296" s="15" t="n">
        <v>1.061</v>
      </c>
      <c r="K296" s="15" t="n">
        <v>4.737</v>
      </c>
      <c r="L296" s="15" t="n">
        <v>3.659</v>
      </c>
      <c r="M296" s="15" t="n">
        <v>1.492</v>
      </c>
      <c r="N296" s="15" t="n">
        <v>2.998</v>
      </c>
      <c r="O296" s="15" t="n">
        <v>6.356</v>
      </c>
      <c r="P296" s="15" t="n">
        <v>15.243</v>
      </c>
      <c r="Q296" s="15" t="n">
        <v>12.799</v>
      </c>
      <c r="R296" s="15" t="n">
        <v>9.444000000000001</v>
      </c>
      <c r="S296" s="15" t="n">
        <v>7.259</v>
      </c>
      <c r="T296" s="15" t="n">
        <v>1.699</v>
      </c>
      <c r="U296" s="15" t="n">
        <v>0.09</v>
      </c>
      <c r="V296" s="15" t="n">
        <v>5.124</v>
      </c>
      <c r="W296" s="15" t="n">
        <v>23.485</v>
      </c>
      <c r="X296" s="15" t="n">
        <v>20.289</v>
      </c>
      <c r="Y296" s="15" t="n">
        <v>23.237</v>
      </c>
      <c r="Z296" s="15" t="n">
        <v>19.926</v>
      </c>
      <c r="AA296" s="15" t="n">
        <v>12.117</v>
      </c>
      <c r="AB296" s="16" t="n">
        <v>439.625</v>
      </c>
      <c r="AC296" s="17">
        <f>IF(AND(ISNUMBER(H296),ISNUMBER(I296)),H296+I296,IF(ISNUMBER(K296),K296,IF(ISNUMBER(H296),H296,"")))</f>
        <v/>
      </c>
      <c r="AD296" s="18">
        <f>IF(OR(NOT(ISNUMBER(J296)),NOT(ISNUMBER(H296)),H296&lt;=0),기준표!$B$8,MIN(MAX(J296/H296,기준표!$B$6),기준표!$B$7))</f>
        <v/>
      </c>
      <c r="AE296" s="17">
        <f>IF(ISNUMBER(AC296),AC296*(1-AD296),"")</f>
        <v/>
      </c>
      <c r="AF296" s="17">
        <f>IF(AND(NOT(ISNUMBER(T296)),NOT(ISNUMBER(V296))),"",IF(ISNUMBER(T296),T296,0)+IF(ISNUMBER(V296),V296,0))</f>
        <v/>
      </c>
      <c r="AG296" s="17">
        <f>IF(E296="금융","",IF(AND(ISNUMBER(P296),ISNUMBER(AF296),ISNUMBER(R296)),P296+AF296-R296,""))</f>
        <v/>
      </c>
      <c r="AH296" s="17">
        <f>IF(E296="금융","",IF(NOT(ISNUMBER(AG296)),"",IF(ISNUMBER(AA296),(AG296+AA296)/2,AG296)))</f>
        <v/>
      </c>
      <c r="AI296" s="19">
        <f>IF(AND(ISNUMBER(AE296),ISNUMBER(AH296),AH296&gt;0),AE296/AH296,"")</f>
        <v/>
      </c>
      <c r="AJ296" s="17">
        <f>IF(E296="금융","",IF(AND(ISNUMBER(P296),ISNUMBER(AF296)),P296+AF296,""))</f>
        <v/>
      </c>
      <c r="AK296" s="19">
        <f>IF(OR(NOT(ISNUMBER(AE296)),NOT(ISNUMBER(AJ296)),AJ296&lt;=0),"",IF(AND(ISNUMBER(G296),AJ296&lt;0.1*G296),"",AE296/AJ296))</f>
        <v/>
      </c>
      <c r="AL296" s="17">
        <f>IF(NOT(ISNUMBER(P296)),"",IF(ISNUMBER(Q296),(P296+Q296)/2,P296))</f>
        <v/>
      </c>
      <c r="AM296" s="19">
        <f>IF(AND(ISNUMBER(L296),ISNUMBER(AL296),AL296&gt;0),L296/AL296,"")</f>
        <v/>
      </c>
      <c r="AN296" s="19">
        <f>IF(AND(ISNUMBER(AM296),ISNUMBER({ROIC})),AM296-{ROIC},"")</f>
        <v/>
      </c>
      <c r="AO296" s="17">
        <f>IF(AND(ISNUMBER(AC296),ISNUMBER(M296)),AC296+M296,"")</f>
        <v/>
      </c>
      <c r="AP296" s="20">
        <f>IF(AND(ISNUMBER(AF296),ISNUMBER(R296),ISNUMBER(AO296),AO296&gt;0),(AF296-R296)/AO296,"")</f>
        <v/>
      </c>
      <c r="AQ296" s="20">
        <f>IF(AND(ISNUMBER(AC296),ISNUMBER(I296),I296&lt;&gt;0,AC296&gt;0),AC296/I296,"")</f>
        <v/>
      </c>
      <c r="AR296" s="17">
        <f>IF(AND(ISNUMBER(W296),ISNUMBER(Y296)),W296-IF(ISNUMBER(R296),R296,0)-(Y296-IF(ISNUMBER(T296),T296,0)),"")</f>
        <v/>
      </c>
      <c r="AS296" s="17">
        <f>IF(AND(ISNUMBER(X296),ISNUMBER(Z296)),X296-IF(ISNUMBER(S296),S296,0)-(Z296-IF(ISNUMBER(U296),U296,0)),"")</f>
        <v/>
      </c>
      <c r="AT296" s="17">
        <f>IF(AND(ISNUMBER(AR296),ISNUMBER(AS296)),AR296-AS296,"")</f>
        <v/>
      </c>
      <c r="AU296" s="17">
        <f>IF(E296="금융","",IF(AND(ISNUMBER(L296),ISNUMBER(M296),ISNUMBER(N296),ISNUMBER(AT296)),L296+M296-N296-AT296,IF(AND(ISNUMBER(O296),ISNUMBER(N296)),O296-N296,"")))</f>
        <v/>
      </c>
      <c r="AV296" s="8">
        <f>IF(E296="금융","금융업 - 정의되지 않음",IF(AND(ISNUMBER(L296),ISNUMBER(M296),ISNUMBER(N296),ISNUMBER(AT296)),"순이익+감가상각-설비투자-운전자본증감",IF(AND(ISNUMBER(O296),ISNUMBER(N296)),"영업현금흐름-설비투자","산출불가")))</f>
        <v/>
      </c>
      <c r="AW296" s="19">
        <f>IF(AND(ISNUMBER(AU296),ISNUMBER(G296),G296&lt;&gt;0),AU296/G296,"")</f>
        <v/>
      </c>
      <c r="AX296" s="19">
        <f>IF(AND(ISNUMBER(AC296),ISNUMBER(G296),G296&lt;&gt;0),AC296/G296,"")</f>
        <v/>
      </c>
    </row>
    <row r="297">
      <c r="A297" s="8" t="inlineStr">
        <is>
          <t>COST</t>
        </is>
      </c>
      <c r="B297" s="8" t="inlineStr">
        <is>
          <t>COSTCO WHOLESALE CORP /NEW</t>
        </is>
      </c>
      <c r="C297" s="8" t="n">
        <v>2020</v>
      </c>
      <c r="D297" s="8" t="inlineStr">
        <is>
          <t>2020-08-30</t>
        </is>
      </c>
      <c r="E297" s="8" t="inlineStr">
        <is>
          <t>일반</t>
        </is>
      </c>
      <c r="F297" s="8" t="inlineStr">
        <is>
          <t>0000909832-22-000021</t>
        </is>
      </c>
      <c r="G297" s="15" t="n">
        <v>166.761</v>
      </c>
      <c r="H297" s="15" t="n">
        <v>5.367</v>
      </c>
      <c r="I297" s="15" t="n">
        <v>0.16</v>
      </c>
      <c r="J297" s="15" t="n">
        <v>1.308</v>
      </c>
      <c r="K297" s="15" t="n">
        <v>5.435</v>
      </c>
      <c r="L297" s="15" t="n">
        <v>4.002</v>
      </c>
      <c r="M297" s="15" t="n">
        <v>1.645</v>
      </c>
      <c r="N297" s="15" t="n">
        <v>2.81</v>
      </c>
      <c r="O297" s="15" t="n">
        <v>8.861000000000001</v>
      </c>
      <c r="P297" s="15" t="n">
        <v>18.284</v>
      </c>
      <c r="Q297" s="15" t="n">
        <v>15.243</v>
      </c>
      <c r="R297" s="15" t="n">
        <v>13.305</v>
      </c>
      <c r="S297" s="15" t="n">
        <v>9.444000000000001</v>
      </c>
      <c r="T297" s="15" t="n">
        <v>0.095</v>
      </c>
      <c r="U297" s="15" t="n">
        <v>1.699</v>
      </c>
      <c r="V297" s="15" t="n">
        <v>7.514</v>
      </c>
      <c r="W297" s="15" t="n">
        <v>28.12</v>
      </c>
      <c r="X297" s="15" t="n">
        <v>23.485</v>
      </c>
      <c r="Y297" s="15" t="n">
        <v>24.844</v>
      </c>
      <c r="Z297" s="15" t="n">
        <v>23.237</v>
      </c>
      <c r="AA297" s="15" t="n">
        <v>12.622</v>
      </c>
      <c r="AB297" s="16" t="n">
        <v>441.255</v>
      </c>
      <c r="AC297" s="17">
        <f>IF(AND(ISNUMBER(H297),ISNUMBER(I297)),H297+I297,IF(ISNUMBER(K297),K297,IF(ISNUMBER(H297),H297,"")))</f>
        <v/>
      </c>
      <c r="AD297" s="18">
        <f>IF(OR(NOT(ISNUMBER(J297)),NOT(ISNUMBER(H297)),H297&lt;=0),기준표!$B$8,MIN(MAX(J297/H297,기준표!$B$6),기준표!$B$7))</f>
        <v/>
      </c>
      <c r="AE297" s="17">
        <f>IF(ISNUMBER(AC297),AC297*(1-AD297),"")</f>
        <v/>
      </c>
      <c r="AF297" s="17">
        <f>IF(AND(NOT(ISNUMBER(T297)),NOT(ISNUMBER(V297))),"",IF(ISNUMBER(T297),T297,0)+IF(ISNUMBER(V297),V297,0))</f>
        <v/>
      </c>
      <c r="AG297" s="17">
        <f>IF(E297="금융","",IF(AND(ISNUMBER(P297),ISNUMBER(AF297),ISNUMBER(R297)),P297+AF297-R297,""))</f>
        <v/>
      </c>
      <c r="AH297" s="17">
        <f>IF(E297="금융","",IF(NOT(ISNUMBER(AG297)),"",IF(ISNUMBER(AA297),(AG297+AA297)/2,AG297)))</f>
        <v/>
      </c>
      <c r="AI297" s="19">
        <f>IF(AND(ISNUMBER(AE297),ISNUMBER(AH297),AH297&gt;0),AE297/AH297,"")</f>
        <v/>
      </c>
      <c r="AJ297" s="17">
        <f>IF(E297="금융","",IF(AND(ISNUMBER(P297),ISNUMBER(AF297)),P297+AF297,""))</f>
        <v/>
      </c>
      <c r="AK297" s="19">
        <f>IF(OR(NOT(ISNUMBER(AE297)),NOT(ISNUMBER(AJ297)),AJ297&lt;=0),"",IF(AND(ISNUMBER(G297),AJ297&lt;0.1*G297),"",AE297/AJ297))</f>
        <v/>
      </c>
      <c r="AL297" s="17">
        <f>IF(NOT(ISNUMBER(P297)),"",IF(ISNUMBER(Q297),(P297+Q297)/2,P297))</f>
        <v/>
      </c>
      <c r="AM297" s="19">
        <f>IF(AND(ISNUMBER(L297),ISNUMBER(AL297),AL297&gt;0),L297/AL297,"")</f>
        <v/>
      </c>
      <c r="AN297" s="19">
        <f>IF(AND(ISNUMBER(AM297),ISNUMBER({ROIC})),AM297-{ROIC},"")</f>
        <v/>
      </c>
      <c r="AO297" s="17">
        <f>IF(AND(ISNUMBER(AC297),ISNUMBER(M297)),AC297+M297,"")</f>
        <v/>
      </c>
      <c r="AP297" s="20">
        <f>IF(AND(ISNUMBER(AF297),ISNUMBER(R297),ISNUMBER(AO297),AO297&gt;0),(AF297-R297)/AO297,"")</f>
        <v/>
      </c>
      <c r="AQ297" s="20">
        <f>IF(AND(ISNUMBER(AC297),ISNUMBER(I297),I297&lt;&gt;0,AC297&gt;0),AC297/I297,"")</f>
        <v/>
      </c>
      <c r="AR297" s="17">
        <f>IF(AND(ISNUMBER(W297),ISNUMBER(Y297)),W297-IF(ISNUMBER(R297),R297,0)-(Y297-IF(ISNUMBER(T297),T297,0)),"")</f>
        <v/>
      </c>
      <c r="AS297" s="17">
        <f>IF(AND(ISNUMBER(X297),ISNUMBER(Z297)),X297-IF(ISNUMBER(S297),S297,0)-(Z297-IF(ISNUMBER(U297),U297,0)),"")</f>
        <v/>
      </c>
      <c r="AT297" s="17">
        <f>IF(AND(ISNUMBER(AR297),ISNUMBER(AS297)),AR297-AS297,"")</f>
        <v/>
      </c>
      <c r="AU297" s="17">
        <f>IF(E297="금융","",IF(AND(ISNUMBER(L297),ISNUMBER(M297),ISNUMBER(N297),ISNUMBER(AT297)),L297+M297-N297-AT297,IF(AND(ISNUMBER(O297),ISNUMBER(N297)),O297-N297,"")))</f>
        <v/>
      </c>
      <c r="AV297" s="8">
        <f>IF(E297="금융","금융업 - 정의되지 않음",IF(AND(ISNUMBER(L297),ISNUMBER(M297),ISNUMBER(N297),ISNUMBER(AT297)),"순이익+감가상각-설비투자-운전자본증감",IF(AND(ISNUMBER(O297),ISNUMBER(N297)),"영업현금흐름-설비투자","산출불가")))</f>
        <v/>
      </c>
      <c r="AW297" s="19">
        <f>IF(AND(ISNUMBER(AU297),ISNUMBER(G297),G297&lt;&gt;0),AU297/G297,"")</f>
        <v/>
      </c>
      <c r="AX297" s="19">
        <f>IF(AND(ISNUMBER(AC297),ISNUMBER(G297),G297&lt;&gt;0),AC297/G297,"")</f>
        <v/>
      </c>
    </row>
    <row r="298">
      <c r="A298" s="8" t="inlineStr">
        <is>
          <t>COST</t>
        </is>
      </c>
      <c r="B298" s="8" t="inlineStr">
        <is>
          <t>COSTCO WHOLESALE CORP /NEW</t>
        </is>
      </c>
      <c r="C298" s="8" t="n">
        <v>2021</v>
      </c>
      <c r="D298" s="8" t="inlineStr">
        <is>
          <t>2021-08-29</t>
        </is>
      </c>
      <c r="E298" s="8" t="inlineStr">
        <is>
          <t>일반</t>
        </is>
      </c>
      <c r="F298" s="8" t="inlineStr">
        <is>
          <t>0000909832-23-000042</t>
        </is>
      </c>
      <c r="G298" s="15" t="n">
        <v>195.929</v>
      </c>
      <c r="H298" s="15" t="n">
        <v>6.68</v>
      </c>
      <c r="I298" s="15" t="n">
        <v>0.171</v>
      </c>
      <c r="J298" s="15" t="n">
        <v>1.601</v>
      </c>
      <c r="K298" s="15" t="n">
        <v>6.708</v>
      </c>
      <c r="L298" s="15" t="n">
        <v>5.007</v>
      </c>
      <c r="M298" s="15" t="n">
        <v>1.781</v>
      </c>
      <c r="N298" s="15" t="n">
        <v>3.588</v>
      </c>
      <c r="O298" s="15" t="n">
        <v>8.958</v>
      </c>
      <c r="P298" s="15" t="n">
        <v>17.564</v>
      </c>
      <c r="Q298" s="15" t="n">
        <v>18.284</v>
      </c>
      <c r="R298" s="15" t="n">
        <v>12.175</v>
      </c>
      <c r="S298" s="15" t="n">
        <v>13.305</v>
      </c>
      <c r="T298" s="15" t="n">
        <v>0.799</v>
      </c>
      <c r="U298" s="15" t="n">
        <v>0.095</v>
      </c>
      <c r="V298" s="15" t="n">
        <v>6.692</v>
      </c>
      <c r="W298" s="15" t="n">
        <v>29.505</v>
      </c>
      <c r="X298" s="15" t="n">
        <v>28.12</v>
      </c>
      <c r="Y298" s="15" t="n">
        <v>29.441</v>
      </c>
      <c r="Z298" s="15" t="n">
        <v>24.844</v>
      </c>
      <c r="AA298" s="15" t="n">
        <v>12.588</v>
      </c>
      <c r="AB298" s="16" t="n">
        <v>441.825</v>
      </c>
      <c r="AC298" s="17">
        <f>IF(AND(ISNUMBER(H298),ISNUMBER(I298)),H298+I298,IF(ISNUMBER(K298),K298,IF(ISNUMBER(H298),H298,"")))</f>
        <v/>
      </c>
      <c r="AD298" s="18">
        <f>IF(OR(NOT(ISNUMBER(J298)),NOT(ISNUMBER(H298)),H298&lt;=0),기준표!$B$8,MIN(MAX(J298/H298,기준표!$B$6),기준표!$B$7))</f>
        <v/>
      </c>
      <c r="AE298" s="17">
        <f>IF(ISNUMBER(AC298),AC298*(1-AD298),"")</f>
        <v/>
      </c>
      <c r="AF298" s="17">
        <f>IF(AND(NOT(ISNUMBER(T298)),NOT(ISNUMBER(V298))),"",IF(ISNUMBER(T298),T298,0)+IF(ISNUMBER(V298),V298,0))</f>
        <v/>
      </c>
      <c r="AG298" s="17">
        <f>IF(E298="금융","",IF(AND(ISNUMBER(P298),ISNUMBER(AF298),ISNUMBER(R298)),P298+AF298-R298,""))</f>
        <v/>
      </c>
      <c r="AH298" s="17">
        <f>IF(E298="금융","",IF(NOT(ISNUMBER(AG298)),"",IF(ISNUMBER(AA298),(AG298+AA298)/2,AG298)))</f>
        <v/>
      </c>
      <c r="AI298" s="19">
        <f>IF(AND(ISNUMBER(AE298),ISNUMBER(AH298),AH298&gt;0),AE298/AH298,"")</f>
        <v/>
      </c>
      <c r="AJ298" s="17">
        <f>IF(E298="금융","",IF(AND(ISNUMBER(P298),ISNUMBER(AF298)),P298+AF298,""))</f>
        <v/>
      </c>
      <c r="AK298" s="19">
        <f>IF(OR(NOT(ISNUMBER(AE298)),NOT(ISNUMBER(AJ298)),AJ298&lt;=0),"",IF(AND(ISNUMBER(G298),AJ298&lt;0.1*G298),"",AE298/AJ298))</f>
        <v/>
      </c>
      <c r="AL298" s="17">
        <f>IF(NOT(ISNUMBER(P298)),"",IF(ISNUMBER(Q298),(P298+Q298)/2,P298))</f>
        <v/>
      </c>
      <c r="AM298" s="19">
        <f>IF(AND(ISNUMBER(L298),ISNUMBER(AL298),AL298&gt;0),L298/AL298,"")</f>
        <v/>
      </c>
      <c r="AN298" s="19">
        <f>IF(AND(ISNUMBER(AM298),ISNUMBER({ROIC})),AM298-{ROIC},"")</f>
        <v/>
      </c>
      <c r="AO298" s="17">
        <f>IF(AND(ISNUMBER(AC298),ISNUMBER(M298)),AC298+M298,"")</f>
        <v/>
      </c>
      <c r="AP298" s="20">
        <f>IF(AND(ISNUMBER(AF298),ISNUMBER(R298),ISNUMBER(AO298),AO298&gt;0),(AF298-R298)/AO298,"")</f>
        <v/>
      </c>
      <c r="AQ298" s="20">
        <f>IF(AND(ISNUMBER(AC298),ISNUMBER(I298),I298&lt;&gt;0,AC298&gt;0),AC298/I298,"")</f>
        <v/>
      </c>
      <c r="AR298" s="17">
        <f>IF(AND(ISNUMBER(W298),ISNUMBER(Y298)),W298-IF(ISNUMBER(R298),R298,0)-(Y298-IF(ISNUMBER(T298),T298,0)),"")</f>
        <v/>
      </c>
      <c r="AS298" s="17">
        <f>IF(AND(ISNUMBER(X298),ISNUMBER(Z298)),X298-IF(ISNUMBER(S298),S298,0)-(Z298-IF(ISNUMBER(U298),U298,0)),"")</f>
        <v/>
      </c>
      <c r="AT298" s="17">
        <f>IF(AND(ISNUMBER(AR298),ISNUMBER(AS298)),AR298-AS298,"")</f>
        <v/>
      </c>
      <c r="AU298" s="17">
        <f>IF(E298="금융","",IF(AND(ISNUMBER(L298),ISNUMBER(M298),ISNUMBER(N298),ISNUMBER(AT298)),L298+M298-N298-AT298,IF(AND(ISNUMBER(O298),ISNUMBER(N298)),O298-N298,"")))</f>
        <v/>
      </c>
      <c r="AV298" s="8">
        <f>IF(E298="금융","금융업 - 정의되지 않음",IF(AND(ISNUMBER(L298),ISNUMBER(M298),ISNUMBER(N298),ISNUMBER(AT298)),"순이익+감가상각-설비투자-운전자본증감",IF(AND(ISNUMBER(O298),ISNUMBER(N298)),"영업현금흐름-설비투자","산출불가")))</f>
        <v/>
      </c>
      <c r="AW298" s="19">
        <f>IF(AND(ISNUMBER(AU298),ISNUMBER(G298),G298&lt;&gt;0),AU298/G298,"")</f>
        <v/>
      </c>
      <c r="AX298" s="19">
        <f>IF(AND(ISNUMBER(AC298),ISNUMBER(G298),G298&lt;&gt;0),AC298/G298,"")</f>
        <v/>
      </c>
    </row>
    <row r="299">
      <c r="A299" s="8" t="inlineStr">
        <is>
          <t>COST</t>
        </is>
      </c>
      <c r="B299" s="8" t="inlineStr">
        <is>
          <t>COSTCO WHOLESALE CORP /NEW</t>
        </is>
      </c>
      <c r="C299" s="8" t="n">
        <v>2022</v>
      </c>
      <c r="D299" s="8" t="inlineStr">
        <is>
          <t>2022-08-28</t>
        </is>
      </c>
      <c r="E299" s="8" t="inlineStr">
        <is>
          <t>일반</t>
        </is>
      </c>
      <c r="F299" s="8" t="inlineStr">
        <is>
          <t>0000909832-24-000049</t>
        </is>
      </c>
      <c r="G299" s="15" t="n">
        <v>226.954</v>
      </c>
      <c r="H299" s="15" t="n">
        <v>7.84</v>
      </c>
      <c r="I299" s="15" t="n">
        <v>0.158</v>
      </c>
      <c r="J299" s="15" t="n">
        <v>1.925</v>
      </c>
      <c r="K299" s="15" t="n">
        <v>7.793</v>
      </c>
      <c r="L299" s="15" t="n">
        <v>5.844</v>
      </c>
      <c r="M299" s="15" t="n">
        <v>1.9</v>
      </c>
      <c r="N299" s="15" t="n">
        <v>3.891</v>
      </c>
      <c r="O299" s="15" t="n">
        <v>7.392</v>
      </c>
      <c r="P299" s="15" t="n">
        <v>20.642</v>
      </c>
      <c r="Q299" s="15" t="n">
        <v>17.564</v>
      </c>
      <c r="R299" s="15" t="n">
        <v>11.049</v>
      </c>
      <c r="S299" s="15" t="n">
        <v>12.175</v>
      </c>
      <c r="T299" s="15" t="n">
        <v>0.073</v>
      </c>
      <c r="U299" s="15" t="n">
        <v>0.799</v>
      </c>
      <c r="V299" s="15" t="n">
        <v>6.484</v>
      </c>
      <c r="W299" s="15" t="n">
        <v>32.696</v>
      </c>
      <c r="X299" s="15" t="n">
        <v>29.505</v>
      </c>
      <c r="Y299" s="15" t="n">
        <v>31.998</v>
      </c>
      <c r="Z299" s="15" t="n">
        <v>29.441</v>
      </c>
      <c r="AA299" s="15" t="n">
        <v>12.88</v>
      </c>
      <c r="AB299" s="16" t="n">
        <v>442.664</v>
      </c>
      <c r="AC299" s="17">
        <f>IF(AND(ISNUMBER(H299),ISNUMBER(I299)),H299+I299,IF(ISNUMBER(K299),K299,IF(ISNUMBER(H299),H299,"")))</f>
        <v/>
      </c>
      <c r="AD299" s="18">
        <f>IF(OR(NOT(ISNUMBER(J299)),NOT(ISNUMBER(H299)),H299&lt;=0),기준표!$B$8,MIN(MAX(J299/H299,기준표!$B$6),기준표!$B$7))</f>
        <v/>
      </c>
      <c r="AE299" s="17">
        <f>IF(ISNUMBER(AC299),AC299*(1-AD299),"")</f>
        <v/>
      </c>
      <c r="AF299" s="17">
        <f>IF(AND(NOT(ISNUMBER(T299)),NOT(ISNUMBER(V299))),"",IF(ISNUMBER(T299),T299,0)+IF(ISNUMBER(V299),V299,0))</f>
        <v/>
      </c>
      <c r="AG299" s="17">
        <f>IF(E299="금융","",IF(AND(ISNUMBER(P299),ISNUMBER(AF299),ISNUMBER(R299)),P299+AF299-R299,""))</f>
        <v/>
      </c>
      <c r="AH299" s="17">
        <f>IF(E299="금융","",IF(NOT(ISNUMBER(AG299)),"",IF(ISNUMBER(AA299),(AG299+AA299)/2,AG299)))</f>
        <v/>
      </c>
      <c r="AI299" s="19">
        <f>IF(AND(ISNUMBER(AE299),ISNUMBER(AH299),AH299&gt;0),AE299/AH299,"")</f>
        <v/>
      </c>
      <c r="AJ299" s="17">
        <f>IF(E299="금융","",IF(AND(ISNUMBER(P299),ISNUMBER(AF299)),P299+AF299,""))</f>
        <v/>
      </c>
      <c r="AK299" s="19">
        <f>IF(OR(NOT(ISNUMBER(AE299)),NOT(ISNUMBER(AJ299)),AJ299&lt;=0),"",IF(AND(ISNUMBER(G299),AJ299&lt;0.1*G299),"",AE299/AJ299))</f>
        <v/>
      </c>
      <c r="AL299" s="17">
        <f>IF(NOT(ISNUMBER(P299)),"",IF(ISNUMBER(Q299),(P299+Q299)/2,P299))</f>
        <v/>
      </c>
      <c r="AM299" s="19">
        <f>IF(AND(ISNUMBER(L299),ISNUMBER(AL299),AL299&gt;0),L299/AL299,"")</f>
        <v/>
      </c>
      <c r="AN299" s="19">
        <f>IF(AND(ISNUMBER(AM299),ISNUMBER({ROIC})),AM299-{ROIC},"")</f>
        <v/>
      </c>
      <c r="AO299" s="17">
        <f>IF(AND(ISNUMBER(AC299),ISNUMBER(M299)),AC299+M299,"")</f>
        <v/>
      </c>
      <c r="AP299" s="20">
        <f>IF(AND(ISNUMBER(AF299),ISNUMBER(R299),ISNUMBER(AO299),AO299&gt;0),(AF299-R299)/AO299,"")</f>
        <v/>
      </c>
      <c r="AQ299" s="20">
        <f>IF(AND(ISNUMBER(AC299),ISNUMBER(I299),I299&lt;&gt;0,AC299&gt;0),AC299/I299,"")</f>
        <v/>
      </c>
      <c r="AR299" s="17">
        <f>IF(AND(ISNUMBER(W299),ISNUMBER(Y299)),W299-IF(ISNUMBER(R299),R299,0)-(Y299-IF(ISNUMBER(T299),T299,0)),"")</f>
        <v/>
      </c>
      <c r="AS299" s="17">
        <f>IF(AND(ISNUMBER(X299),ISNUMBER(Z299)),X299-IF(ISNUMBER(S299),S299,0)-(Z299-IF(ISNUMBER(U299),U299,0)),"")</f>
        <v/>
      </c>
      <c r="AT299" s="17">
        <f>IF(AND(ISNUMBER(AR299),ISNUMBER(AS299)),AR299-AS299,"")</f>
        <v/>
      </c>
      <c r="AU299" s="17">
        <f>IF(E299="금융","",IF(AND(ISNUMBER(L299),ISNUMBER(M299),ISNUMBER(N299),ISNUMBER(AT299)),L299+M299-N299-AT299,IF(AND(ISNUMBER(O299),ISNUMBER(N299)),O299-N299,"")))</f>
        <v/>
      </c>
      <c r="AV299" s="8">
        <f>IF(E299="금융","금융업 - 정의되지 않음",IF(AND(ISNUMBER(L299),ISNUMBER(M299),ISNUMBER(N299),ISNUMBER(AT299)),"순이익+감가상각-설비투자-운전자본증감",IF(AND(ISNUMBER(O299),ISNUMBER(N299)),"영업현금흐름-설비투자","산출불가")))</f>
        <v/>
      </c>
      <c r="AW299" s="19">
        <f>IF(AND(ISNUMBER(AU299),ISNUMBER(G299),G299&lt;&gt;0),AU299/G299,"")</f>
        <v/>
      </c>
      <c r="AX299" s="19">
        <f>IF(AND(ISNUMBER(AC299),ISNUMBER(G299),G299&lt;&gt;0),AC299/G299,"")</f>
        <v/>
      </c>
    </row>
    <row r="300">
      <c r="A300" s="8" t="inlineStr">
        <is>
          <t>COST</t>
        </is>
      </c>
      <c r="B300" s="8" t="inlineStr">
        <is>
          <t>COSTCO WHOLESALE CORP /NEW</t>
        </is>
      </c>
      <c r="C300" s="8" t="n">
        <v>2023</v>
      </c>
      <c r="D300" s="8" t="inlineStr">
        <is>
          <t>2023-09-03</t>
        </is>
      </c>
      <c r="E300" s="8" t="inlineStr">
        <is>
          <t>일반</t>
        </is>
      </c>
      <c r="F300" s="8" t="inlineStr">
        <is>
          <t>0000909832-25-000101</t>
        </is>
      </c>
      <c r="G300" s="15" t="n">
        <v>242.29</v>
      </c>
      <c r="H300" s="15" t="n">
        <v>8.487</v>
      </c>
      <c r="I300" s="15" t="n">
        <v>0.16</v>
      </c>
      <c r="J300" s="15" t="n">
        <v>2.195</v>
      </c>
      <c r="K300" s="15" t="n">
        <v>8.114000000000001</v>
      </c>
      <c r="L300" s="15" t="n">
        <v>6.292</v>
      </c>
      <c r="M300" s="15" t="n">
        <v>2.077</v>
      </c>
      <c r="N300" s="15" t="n">
        <v>4.323</v>
      </c>
      <c r="O300" s="15" t="n">
        <v>11.068</v>
      </c>
      <c r="P300" s="15" t="n">
        <v>25.058</v>
      </c>
      <c r="Q300" s="15" t="n">
        <v>20.642</v>
      </c>
      <c r="R300" s="15" t="n">
        <v>15.234</v>
      </c>
      <c r="S300" s="15" t="n">
        <v>11.049</v>
      </c>
      <c r="T300" s="15" t="n">
        <v>1.081</v>
      </c>
      <c r="U300" s="15" t="n">
        <v>0.073</v>
      </c>
      <c r="V300" s="15" t="n">
        <v>5.377</v>
      </c>
      <c r="W300" s="15" t="n">
        <v>35.879</v>
      </c>
      <c r="X300" s="15" t="n">
        <v>32.696</v>
      </c>
      <c r="Y300" s="15" t="n">
        <v>33.583</v>
      </c>
      <c r="Z300" s="15" t="n">
        <v>31.998</v>
      </c>
      <c r="AA300" s="15" t="n">
        <v>16.15</v>
      </c>
      <c r="AB300" s="16" t="n">
        <v>442.793</v>
      </c>
      <c r="AC300" s="17">
        <f>IF(AND(ISNUMBER(H300),ISNUMBER(I300)),H300+I300,IF(ISNUMBER(K300),K300,IF(ISNUMBER(H300),H300,"")))</f>
        <v/>
      </c>
      <c r="AD300" s="18">
        <f>IF(OR(NOT(ISNUMBER(J300)),NOT(ISNUMBER(H300)),H300&lt;=0),기준표!$B$8,MIN(MAX(J300/H300,기준표!$B$6),기준표!$B$7))</f>
        <v/>
      </c>
      <c r="AE300" s="17">
        <f>IF(ISNUMBER(AC300),AC300*(1-AD300),"")</f>
        <v/>
      </c>
      <c r="AF300" s="17">
        <f>IF(AND(NOT(ISNUMBER(T300)),NOT(ISNUMBER(V300))),"",IF(ISNUMBER(T300),T300,0)+IF(ISNUMBER(V300),V300,0))</f>
        <v/>
      </c>
      <c r="AG300" s="17">
        <f>IF(E300="금융","",IF(AND(ISNUMBER(P300),ISNUMBER(AF300),ISNUMBER(R300)),P300+AF300-R300,""))</f>
        <v/>
      </c>
      <c r="AH300" s="17">
        <f>IF(E300="금융","",IF(NOT(ISNUMBER(AG300)),"",IF(ISNUMBER(AA300),(AG300+AA300)/2,AG300)))</f>
        <v/>
      </c>
      <c r="AI300" s="19">
        <f>IF(AND(ISNUMBER(AE300),ISNUMBER(AH300),AH300&gt;0),AE300/AH300,"")</f>
        <v/>
      </c>
      <c r="AJ300" s="17">
        <f>IF(E300="금융","",IF(AND(ISNUMBER(P300),ISNUMBER(AF300)),P300+AF300,""))</f>
        <v/>
      </c>
      <c r="AK300" s="19">
        <f>IF(OR(NOT(ISNUMBER(AE300)),NOT(ISNUMBER(AJ300)),AJ300&lt;=0),"",IF(AND(ISNUMBER(G300),AJ300&lt;0.1*G300),"",AE300/AJ300))</f>
        <v/>
      </c>
      <c r="AL300" s="17">
        <f>IF(NOT(ISNUMBER(P300)),"",IF(ISNUMBER(Q300),(P300+Q300)/2,P300))</f>
        <v/>
      </c>
      <c r="AM300" s="19">
        <f>IF(AND(ISNUMBER(L300),ISNUMBER(AL300),AL300&gt;0),L300/AL300,"")</f>
        <v/>
      </c>
      <c r="AN300" s="19">
        <f>IF(AND(ISNUMBER(AM300),ISNUMBER({ROIC})),AM300-{ROIC},"")</f>
        <v/>
      </c>
      <c r="AO300" s="17">
        <f>IF(AND(ISNUMBER(AC300),ISNUMBER(M300)),AC300+M300,"")</f>
        <v/>
      </c>
      <c r="AP300" s="20">
        <f>IF(AND(ISNUMBER(AF300),ISNUMBER(R300),ISNUMBER(AO300),AO300&gt;0),(AF300-R300)/AO300,"")</f>
        <v/>
      </c>
      <c r="AQ300" s="20">
        <f>IF(AND(ISNUMBER(AC300),ISNUMBER(I300),I300&lt;&gt;0,AC300&gt;0),AC300/I300,"")</f>
        <v/>
      </c>
      <c r="AR300" s="17">
        <f>IF(AND(ISNUMBER(W300),ISNUMBER(Y300)),W300-IF(ISNUMBER(R300),R300,0)-(Y300-IF(ISNUMBER(T300),T300,0)),"")</f>
        <v/>
      </c>
      <c r="AS300" s="17">
        <f>IF(AND(ISNUMBER(X300),ISNUMBER(Z300)),X300-IF(ISNUMBER(S300),S300,0)-(Z300-IF(ISNUMBER(U300),U300,0)),"")</f>
        <v/>
      </c>
      <c r="AT300" s="17">
        <f>IF(AND(ISNUMBER(AR300),ISNUMBER(AS300)),AR300-AS300,"")</f>
        <v/>
      </c>
      <c r="AU300" s="17">
        <f>IF(E300="금융","",IF(AND(ISNUMBER(L300),ISNUMBER(M300),ISNUMBER(N300),ISNUMBER(AT300)),L300+M300-N300-AT300,IF(AND(ISNUMBER(O300),ISNUMBER(N300)),O300-N300,"")))</f>
        <v/>
      </c>
      <c r="AV300" s="8">
        <f>IF(E300="금융","금융업 - 정의되지 않음",IF(AND(ISNUMBER(L300),ISNUMBER(M300),ISNUMBER(N300),ISNUMBER(AT300)),"순이익+감가상각-설비투자-운전자본증감",IF(AND(ISNUMBER(O300),ISNUMBER(N300)),"영업현금흐름-설비투자","산출불가")))</f>
        <v/>
      </c>
      <c r="AW300" s="19">
        <f>IF(AND(ISNUMBER(AU300),ISNUMBER(G300),G300&lt;&gt;0),AU300/G300,"")</f>
        <v/>
      </c>
      <c r="AX300" s="19">
        <f>IF(AND(ISNUMBER(AC300),ISNUMBER(G300),G300&lt;&gt;0),AC300/G300,"")</f>
        <v/>
      </c>
    </row>
    <row r="301">
      <c r="A301" s="8" t="inlineStr">
        <is>
          <t>COST</t>
        </is>
      </c>
      <c r="B301" s="8" t="inlineStr">
        <is>
          <t>COSTCO WHOLESALE CORP /NEW</t>
        </is>
      </c>
      <c r="C301" s="8" t="n">
        <v>2024</v>
      </c>
      <c r="D301" s="8" t="inlineStr">
        <is>
          <t>2024-09-01</t>
        </is>
      </c>
      <c r="E301" s="8" t="inlineStr">
        <is>
          <t>일반</t>
        </is>
      </c>
      <c r="F301" s="8" t="inlineStr">
        <is>
          <t>0000909832-25-000101</t>
        </is>
      </c>
      <c r="G301" s="15" t="n">
        <v>254.453</v>
      </c>
      <c r="H301" s="15" t="n">
        <v>9.74</v>
      </c>
      <c r="I301" s="15" t="n">
        <v>0.169</v>
      </c>
      <c r="J301" s="15" t="n">
        <v>2.373</v>
      </c>
      <c r="K301" s="15" t="n">
        <v>9.285</v>
      </c>
      <c r="L301" s="15" t="n">
        <v>7.367</v>
      </c>
      <c r="M301" s="15" t="n">
        <v>2.237</v>
      </c>
      <c r="N301" s="15" t="n">
        <v>4.71</v>
      </c>
      <c r="O301" s="15" t="n">
        <v>11.339</v>
      </c>
      <c r="P301" s="15" t="n">
        <v>23.622</v>
      </c>
      <c r="Q301" s="15" t="n">
        <v>25.058</v>
      </c>
      <c r="R301" s="15" t="n">
        <v>11.144</v>
      </c>
      <c r="S301" s="15" t="n">
        <v>15.234</v>
      </c>
      <c r="T301" s="15" t="n">
        <v>0.103</v>
      </c>
      <c r="U301" s="15" t="n">
        <v>1.081</v>
      </c>
      <c r="V301" s="15" t="n">
        <v>5.794</v>
      </c>
      <c r="W301" s="15" t="n">
        <v>34.246</v>
      </c>
      <c r="X301" s="15" t="n">
        <v>35.879</v>
      </c>
      <c r="Y301" s="15" t="n">
        <v>35.464</v>
      </c>
      <c r="Z301" s="15" t="n">
        <v>33.583</v>
      </c>
      <c r="AA301" s="15" t="n">
        <v>16.282</v>
      </c>
      <c r="AB301" s="16" t="n">
        <v>443.126</v>
      </c>
      <c r="AC301" s="17">
        <f>IF(AND(ISNUMBER(H301),ISNUMBER(I301)),H301+I301,IF(ISNUMBER(K301),K301,IF(ISNUMBER(H301),H301,"")))</f>
        <v/>
      </c>
      <c r="AD301" s="18">
        <f>IF(OR(NOT(ISNUMBER(J301)),NOT(ISNUMBER(H301)),H301&lt;=0),기준표!$B$8,MIN(MAX(J301/H301,기준표!$B$6),기준표!$B$7))</f>
        <v/>
      </c>
      <c r="AE301" s="17">
        <f>IF(ISNUMBER(AC301),AC301*(1-AD301),"")</f>
        <v/>
      </c>
      <c r="AF301" s="17">
        <f>IF(AND(NOT(ISNUMBER(T301)),NOT(ISNUMBER(V301))),"",IF(ISNUMBER(T301),T301,0)+IF(ISNUMBER(V301),V301,0))</f>
        <v/>
      </c>
      <c r="AG301" s="17">
        <f>IF(E301="금융","",IF(AND(ISNUMBER(P301),ISNUMBER(AF301),ISNUMBER(R301)),P301+AF301-R301,""))</f>
        <v/>
      </c>
      <c r="AH301" s="17">
        <f>IF(E301="금융","",IF(NOT(ISNUMBER(AG301)),"",IF(ISNUMBER(AA301),(AG301+AA301)/2,AG301)))</f>
        <v/>
      </c>
      <c r="AI301" s="19">
        <f>IF(AND(ISNUMBER(AE301),ISNUMBER(AH301),AH301&gt;0),AE301/AH301,"")</f>
        <v/>
      </c>
      <c r="AJ301" s="17">
        <f>IF(E301="금융","",IF(AND(ISNUMBER(P301),ISNUMBER(AF301)),P301+AF301,""))</f>
        <v/>
      </c>
      <c r="AK301" s="19">
        <f>IF(OR(NOT(ISNUMBER(AE301)),NOT(ISNUMBER(AJ301)),AJ301&lt;=0),"",IF(AND(ISNUMBER(G301),AJ301&lt;0.1*G301),"",AE301/AJ301))</f>
        <v/>
      </c>
      <c r="AL301" s="17">
        <f>IF(NOT(ISNUMBER(P301)),"",IF(ISNUMBER(Q301),(P301+Q301)/2,P301))</f>
        <v/>
      </c>
      <c r="AM301" s="19">
        <f>IF(AND(ISNUMBER(L301),ISNUMBER(AL301),AL301&gt;0),L301/AL301,"")</f>
        <v/>
      </c>
      <c r="AN301" s="19">
        <f>IF(AND(ISNUMBER(AM301),ISNUMBER({ROIC})),AM301-{ROIC},"")</f>
        <v/>
      </c>
      <c r="AO301" s="17">
        <f>IF(AND(ISNUMBER(AC301),ISNUMBER(M301)),AC301+M301,"")</f>
        <v/>
      </c>
      <c r="AP301" s="20">
        <f>IF(AND(ISNUMBER(AF301),ISNUMBER(R301),ISNUMBER(AO301),AO301&gt;0),(AF301-R301)/AO301,"")</f>
        <v/>
      </c>
      <c r="AQ301" s="20">
        <f>IF(AND(ISNUMBER(AC301),ISNUMBER(I301),I301&lt;&gt;0,AC301&gt;0),AC301/I301,"")</f>
        <v/>
      </c>
      <c r="AR301" s="17">
        <f>IF(AND(ISNUMBER(W301),ISNUMBER(Y301)),W301-IF(ISNUMBER(R301),R301,0)-(Y301-IF(ISNUMBER(T301),T301,0)),"")</f>
        <v/>
      </c>
      <c r="AS301" s="17">
        <f>IF(AND(ISNUMBER(X301),ISNUMBER(Z301)),X301-IF(ISNUMBER(S301),S301,0)-(Z301-IF(ISNUMBER(U301),U301,0)),"")</f>
        <v/>
      </c>
      <c r="AT301" s="17">
        <f>IF(AND(ISNUMBER(AR301),ISNUMBER(AS301)),AR301-AS301,"")</f>
        <v/>
      </c>
      <c r="AU301" s="17">
        <f>IF(E301="금융","",IF(AND(ISNUMBER(L301),ISNUMBER(M301),ISNUMBER(N301),ISNUMBER(AT301)),L301+M301-N301-AT301,IF(AND(ISNUMBER(O301),ISNUMBER(N301)),O301-N301,"")))</f>
        <v/>
      </c>
      <c r="AV301" s="8">
        <f>IF(E301="금융","금융업 - 정의되지 않음",IF(AND(ISNUMBER(L301),ISNUMBER(M301),ISNUMBER(N301),ISNUMBER(AT301)),"순이익+감가상각-설비투자-운전자본증감",IF(AND(ISNUMBER(O301),ISNUMBER(N301)),"영업현금흐름-설비투자","산출불가")))</f>
        <v/>
      </c>
      <c r="AW301" s="19">
        <f>IF(AND(ISNUMBER(AU301),ISNUMBER(G301),G301&lt;&gt;0),AU301/G301,"")</f>
        <v/>
      </c>
      <c r="AX301" s="19">
        <f>IF(AND(ISNUMBER(AC301),ISNUMBER(G301),G301&lt;&gt;0),AC301/G301,"")</f>
        <v/>
      </c>
    </row>
    <row r="302">
      <c r="A302" s="8" t="inlineStr">
        <is>
          <t>COST</t>
        </is>
      </c>
      <c r="B302" s="8" t="inlineStr">
        <is>
          <t>COSTCO WHOLESALE CORP /NEW</t>
        </is>
      </c>
      <c r="C302" s="8" t="n">
        <v>2025</v>
      </c>
      <c r="D302" s="8" t="inlineStr">
        <is>
          <t>2025-08-31</t>
        </is>
      </c>
      <c r="E302" s="8" t="inlineStr">
        <is>
          <t>일반</t>
        </is>
      </c>
      <c r="F302" s="8" t="inlineStr">
        <is>
          <t>0000909832-25-000101</t>
        </is>
      </c>
      <c r="G302" s="15" t="n">
        <v>275.235</v>
      </c>
      <c r="H302" s="15" t="n">
        <v>10.818</v>
      </c>
      <c r="I302" s="15" t="n">
        <v>0.154</v>
      </c>
      <c r="J302" s="15" t="n">
        <v>2.719</v>
      </c>
      <c r="K302" s="15" t="n">
        <v>10.383</v>
      </c>
      <c r="L302" s="15" t="n">
        <v>8.099</v>
      </c>
      <c r="M302" s="15" t="n">
        <v>2.426</v>
      </c>
      <c r="N302" s="15" t="n">
        <v>5.498</v>
      </c>
      <c r="O302" s="15" t="n">
        <v>13.335</v>
      </c>
      <c r="P302" s="15" t="n">
        <v>29.164</v>
      </c>
      <c r="Q302" s="15" t="n">
        <v>23.622</v>
      </c>
      <c r="R302" s="15" t="n">
        <v>15.284</v>
      </c>
      <c r="S302" s="15" t="n">
        <v>11.144</v>
      </c>
      <c r="T302" s="15" t="n">
        <v>0.075</v>
      </c>
      <c r="U302" s="15" t="n">
        <v>0.103</v>
      </c>
      <c r="V302" s="15" t="n">
        <v>5.713</v>
      </c>
      <c r="W302" s="15" t="n">
        <v>38.38</v>
      </c>
      <c r="X302" s="15" t="n">
        <v>34.246</v>
      </c>
      <c r="Y302" s="15" t="n">
        <v>37.108</v>
      </c>
      <c r="Z302" s="15" t="n">
        <v>35.464</v>
      </c>
      <c r="AA302" s="15" t="n">
        <v>18.375</v>
      </c>
      <c r="AB302" s="16" t="n">
        <v>443.237</v>
      </c>
      <c r="AC302" s="17">
        <f>IF(AND(ISNUMBER(H302),ISNUMBER(I302)),H302+I302,IF(ISNUMBER(K302),K302,IF(ISNUMBER(H302),H302,"")))</f>
        <v/>
      </c>
      <c r="AD302" s="18">
        <f>IF(OR(NOT(ISNUMBER(J302)),NOT(ISNUMBER(H302)),H302&lt;=0),기준표!$B$8,MIN(MAX(J302/H302,기준표!$B$6),기준표!$B$7))</f>
        <v/>
      </c>
      <c r="AE302" s="17">
        <f>IF(ISNUMBER(AC302),AC302*(1-AD302),"")</f>
        <v/>
      </c>
      <c r="AF302" s="17">
        <f>IF(AND(NOT(ISNUMBER(T302)),NOT(ISNUMBER(V302))),"",IF(ISNUMBER(T302),T302,0)+IF(ISNUMBER(V302),V302,0))</f>
        <v/>
      </c>
      <c r="AG302" s="17">
        <f>IF(E302="금융","",IF(AND(ISNUMBER(P302),ISNUMBER(AF302),ISNUMBER(R302)),P302+AF302-R302,""))</f>
        <v/>
      </c>
      <c r="AH302" s="17">
        <f>IF(E302="금융","",IF(NOT(ISNUMBER(AG302)),"",IF(ISNUMBER(AA302),(AG302+AA302)/2,AG302)))</f>
        <v/>
      </c>
      <c r="AI302" s="19">
        <f>IF(AND(ISNUMBER(AE302),ISNUMBER(AH302),AH302&gt;0),AE302/AH302,"")</f>
        <v/>
      </c>
      <c r="AJ302" s="17">
        <f>IF(E302="금융","",IF(AND(ISNUMBER(P302),ISNUMBER(AF302)),P302+AF302,""))</f>
        <v/>
      </c>
      <c r="AK302" s="19">
        <f>IF(OR(NOT(ISNUMBER(AE302)),NOT(ISNUMBER(AJ302)),AJ302&lt;=0),"",IF(AND(ISNUMBER(G302),AJ302&lt;0.1*G302),"",AE302/AJ302))</f>
        <v/>
      </c>
      <c r="AL302" s="17">
        <f>IF(NOT(ISNUMBER(P302)),"",IF(ISNUMBER(Q302),(P302+Q302)/2,P302))</f>
        <v/>
      </c>
      <c r="AM302" s="19">
        <f>IF(AND(ISNUMBER(L302),ISNUMBER(AL302),AL302&gt;0),L302/AL302,"")</f>
        <v/>
      </c>
      <c r="AN302" s="19">
        <f>IF(AND(ISNUMBER(AM302),ISNUMBER({ROIC})),AM302-{ROIC},"")</f>
        <v/>
      </c>
      <c r="AO302" s="17">
        <f>IF(AND(ISNUMBER(AC302),ISNUMBER(M302)),AC302+M302,"")</f>
        <v/>
      </c>
      <c r="AP302" s="20">
        <f>IF(AND(ISNUMBER(AF302),ISNUMBER(R302),ISNUMBER(AO302),AO302&gt;0),(AF302-R302)/AO302,"")</f>
        <v/>
      </c>
      <c r="AQ302" s="20">
        <f>IF(AND(ISNUMBER(AC302),ISNUMBER(I302),I302&lt;&gt;0,AC302&gt;0),AC302/I302,"")</f>
        <v/>
      </c>
      <c r="AR302" s="17">
        <f>IF(AND(ISNUMBER(W302),ISNUMBER(Y302)),W302-IF(ISNUMBER(R302),R302,0)-(Y302-IF(ISNUMBER(T302),T302,0)),"")</f>
        <v/>
      </c>
      <c r="AS302" s="17">
        <f>IF(AND(ISNUMBER(X302),ISNUMBER(Z302)),X302-IF(ISNUMBER(S302),S302,0)-(Z302-IF(ISNUMBER(U302),U302,0)),"")</f>
        <v/>
      </c>
      <c r="AT302" s="17">
        <f>IF(AND(ISNUMBER(AR302),ISNUMBER(AS302)),AR302-AS302,"")</f>
        <v/>
      </c>
      <c r="AU302" s="17">
        <f>IF(E302="금융","",IF(AND(ISNUMBER(L302),ISNUMBER(M302),ISNUMBER(N302),ISNUMBER(AT302)),L302+M302-N302-AT302,IF(AND(ISNUMBER(O302),ISNUMBER(N302)),O302-N302,"")))</f>
        <v/>
      </c>
      <c r="AV302" s="8">
        <f>IF(E302="금융","금융업 - 정의되지 않음",IF(AND(ISNUMBER(L302),ISNUMBER(M302),ISNUMBER(N302),ISNUMBER(AT302)),"순이익+감가상각-설비투자-운전자본증감",IF(AND(ISNUMBER(O302),ISNUMBER(N302)),"영업현금흐름-설비투자","산출불가")))</f>
        <v/>
      </c>
      <c r="AW302" s="19">
        <f>IF(AND(ISNUMBER(AU302),ISNUMBER(G302),G302&lt;&gt;0),AU302/G302,"")</f>
        <v/>
      </c>
      <c r="AX302" s="19">
        <f>IF(AND(ISNUMBER(AC302),ISNUMBER(G302),G302&lt;&gt;0),AC302/G302,"")</f>
        <v/>
      </c>
    </row>
    <row r="303">
      <c r="A303" s="8" t="inlineStr">
        <is>
          <t>PLTR</t>
        </is>
      </c>
      <c r="B303" s="8" t="inlineStr">
        <is>
          <t>Palantir Technologies Inc.</t>
        </is>
      </c>
      <c r="C303" s="8" t="n">
        <v>2018</v>
      </c>
      <c r="D303" s="8" t="inlineStr">
        <is>
          <t>2018-12-31</t>
        </is>
      </c>
      <c r="E303" s="8" t="inlineStr">
        <is>
          <t>일반</t>
        </is>
      </c>
      <c r="F303" s="8" t="inlineStr">
        <is>
          <t>0001193125-21-060650</t>
        </is>
      </c>
      <c r="G303" s="15" t="n">
        <v>0.595409</v>
      </c>
      <c r="H303" s="15" t="n">
        <v>-0.570925</v>
      </c>
      <c r="I303" s="15" t="n">
        <v>0.00344</v>
      </c>
      <c r="J303" s="15" t="n">
        <v>0.009102000000000001</v>
      </c>
      <c r="K303" s="15" t="n">
        <v>-0.62344</v>
      </c>
      <c r="L303" s="15" t="n">
        <v>-0.580027</v>
      </c>
      <c r="M303" s="15" t="n">
        <v>0.01391</v>
      </c>
      <c r="N303" s="15" t="n">
        <v>0.013004</v>
      </c>
      <c r="O303" s="15" t="n">
        <v>-0.039012</v>
      </c>
      <c r="P303" s="15" t="n">
        <v>-1.751428</v>
      </c>
      <c r="Q303" s="15" t="n"/>
      <c r="R303" s="15" t="n">
        <v>1.266835</v>
      </c>
      <c r="S303" s="15" t="n"/>
      <c r="T303" s="15" t="n">
        <v>0</v>
      </c>
      <c r="U303" s="15" t="n"/>
      <c r="V303" s="15" t="n"/>
      <c r="W303" s="15" t="n"/>
      <c r="X303" s="15" t="n"/>
      <c r="Y303" s="15" t="n"/>
      <c r="Z303" s="15" t="n"/>
      <c r="AA303" s="15" t="n"/>
      <c r="AB303" s="16" t="n">
        <v>544.014393</v>
      </c>
      <c r="AC303" s="17">
        <f>IF(AND(ISNUMBER(H303),ISNUMBER(I303)),H303+I303,IF(ISNUMBER(K303),K303,IF(ISNUMBER(H303),H303,"")))</f>
        <v/>
      </c>
      <c r="AD303" s="18">
        <f>IF(OR(NOT(ISNUMBER(J303)),NOT(ISNUMBER(H303)),H303&lt;=0),기준표!$B$8,MIN(MAX(J303/H303,기준표!$B$6),기준표!$B$7))</f>
        <v/>
      </c>
      <c r="AE303" s="17">
        <f>IF(ISNUMBER(AC303),AC303*(1-AD303),"")</f>
        <v/>
      </c>
      <c r="AF303" s="17">
        <f>IF(AND(NOT(ISNUMBER(T303)),NOT(ISNUMBER(V303))),"",IF(ISNUMBER(T303),T303,0)+IF(ISNUMBER(V303),V303,0))</f>
        <v/>
      </c>
      <c r="AG303" s="17">
        <f>IF(E303="금융","",IF(AND(ISNUMBER(P303),ISNUMBER(AF303),ISNUMBER(R303)),P303+AF303-R303,""))</f>
        <v/>
      </c>
      <c r="AH303" s="17">
        <f>IF(E303="금융","",IF(NOT(ISNUMBER(AG303)),"",IF(ISNUMBER(AA303),(AG303+AA303)/2,AG303)))</f>
        <v/>
      </c>
      <c r="AI303" s="19">
        <f>IF(AND(ISNUMBER(AE303),ISNUMBER(AH303),AH303&gt;0),AE303/AH303,"")</f>
        <v/>
      </c>
      <c r="AJ303" s="17">
        <f>IF(E303="금융","",IF(AND(ISNUMBER(P303),ISNUMBER(AF303)),P303+AF303,""))</f>
        <v/>
      </c>
      <c r="AK303" s="19">
        <f>IF(OR(NOT(ISNUMBER(AE303)),NOT(ISNUMBER(AJ303)),AJ303&lt;=0),"",IF(AND(ISNUMBER(G303),AJ303&lt;0.1*G303),"",AE303/AJ303))</f>
        <v/>
      </c>
      <c r="AL303" s="17">
        <f>IF(NOT(ISNUMBER(P303)),"",IF(ISNUMBER(Q303),(P303+Q303)/2,P303))</f>
        <v/>
      </c>
      <c r="AM303" s="19">
        <f>IF(AND(ISNUMBER(L303),ISNUMBER(AL303),AL303&gt;0),L303/AL303,"")</f>
        <v/>
      </c>
      <c r="AN303" s="19">
        <f>IF(AND(ISNUMBER(AM303),ISNUMBER({ROIC})),AM303-{ROIC},"")</f>
        <v/>
      </c>
      <c r="AO303" s="17">
        <f>IF(AND(ISNUMBER(AC303),ISNUMBER(M303)),AC303+M303,"")</f>
        <v/>
      </c>
      <c r="AP303" s="20">
        <f>IF(AND(ISNUMBER(AF303),ISNUMBER(R303),ISNUMBER(AO303),AO303&gt;0),(AF303-R303)/AO303,"")</f>
        <v/>
      </c>
      <c r="AQ303" s="20">
        <f>IF(AND(ISNUMBER(AC303),ISNUMBER(I303),I303&lt;&gt;0,AC303&gt;0),AC303/I303,"")</f>
        <v/>
      </c>
      <c r="AR303" s="17">
        <f>IF(AND(ISNUMBER(W303),ISNUMBER(Y303)),W303-IF(ISNUMBER(R303),R303,0)-(Y303-IF(ISNUMBER(T303),T303,0)),"")</f>
        <v/>
      </c>
      <c r="AS303" s="17">
        <f>IF(AND(ISNUMBER(X303),ISNUMBER(Z303)),X303-IF(ISNUMBER(S303),S303,0)-(Z303-IF(ISNUMBER(U303),U303,0)),"")</f>
        <v/>
      </c>
      <c r="AT303" s="17">
        <f>IF(AND(ISNUMBER(AR303),ISNUMBER(AS303)),AR303-AS303,"")</f>
        <v/>
      </c>
      <c r="AU303" s="17">
        <f>IF(E303="금융","",IF(AND(ISNUMBER(L303),ISNUMBER(M303),ISNUMBER(N303),ISNUMBER(AT303)),L303+M303-N303-AT303,IF(AND(ISNUMBER(O303),ISNUMBER(N303)),O303-N303,"")))</f>
        <v/>
      </c>
      <c r="AV303" s="8">
        <f>IF(E303="금융","금융업 - 정의되지 않음",IF(AND(ISNUMBER(L303),ISNUMBER(M303),ISNUMBER(N303),ISNUMBER(AT303)),"순이익+감가상각-설비투자-운전자본증감",IF(AND(ISNUMBER(O303),ISNUMBER(N303)),"영업현금흐름-설비투자","산출불가")))</f>
        <v/>
      </c>
      <c r="AW303" s="19">
        <f>IF(AND(ISNUMBER(AU303),ISNUMBER(G303),G303&lt;&gt;0),AU303/G303,"")</f>
        <v/>
      </c>
      <c r="AX303" s="19">
        <f>IF(AND(ISNUMBER(AC303),ISNUMBER(G303),G303&lt;&gt;0),AC303/G303,"")</f>
        <v/>
      </c>
    </row>
    <row r="304">
      <c r="A304" s="8" t="inlineStr">
        <is>
          <t>PLTR</t>
        </is>
      </c>
      <c r="B304" s="8" t="inlineStr">
        <is>
          <t>Palantir Technologies Inc.</t>
        </is>
      </c>
      <c r="C304" s="8" t="n">
        <v>2019</v>
      </c>
      <c r="D304" s="8" t="inlineStr">
        <is>
          <t>2019-12-31</t>
        </is>
      </c>
      <c r="E304" s="8" t="inlineStr">
        <is>
          <t>일반</t>
        </is>
      </c>
      <c r="F304" s="8" t="inlineStr">
        <is>
          <t>0001193125-22-050913</t>
        </is>
      </c>
      <c r="G304" s="15" t="n">
        <v>0.742555</v>
      </c>
      <c r="H304" s="15" t="n">
        <v>-0.567271</v>
      </c>
      <c r="I304" s="15" t="n">
        <v>0.003061</v>
      </c>
      <c r="J304" s="15" t="n">
        <v>0.012375</v>
      </c>
      <c r="K304" s="15" t="n">
        <v>-0.576444</v>
      </c>
      <c r="L304" s="15" t="n">
        <v>-0.579646</v>
      </c>
      <c r="M304" s="15" t="n">
        <v>0.012255</v>
      </c>
      <c r="N304" s="15" t="n">
        <v>0.013096</v>
      </c>
      <c r="O304" s="15" t="n">
        <v>-0.165215</v>
      </c>
      <c r="P304" s="15" t="n">
        <v>-1.980642</v>
      </c>
      <c r="Q304" s="15" t="n">
        <v>-1.751428</v>
      </c>
      <c r="R304" s="15" t="n">
        <v>1.401962</v>
      </c>
      <c r="S304" s="15" t="n">
        <v>1.266835</v>
      </c>
      <c r="T304" s="15" t="n">
        <v>0</v>
      </c>
      <c r="U304" s="15" t="n">
        <v>0</v>
      </c>
      <c r="V304" s="15" t="n">
        <v>0.396065</v>
      </c>
      <c r="W304" s="15" t="n">
        <v>1.214153</v>
      </c>
      <c r="X304" s="15" t="n"/>
      <c r="Y304" s="15" t="n">
        <v>0.728598</v>
      </c>
      <c r="Z304" s="15" t="n"/>
      <c r="AA304" s="15" t="n">
        <v>-3.018263</v>
      </c>
      <c r="AB304" s="16" t="n">
        <v>576.9589999999999</v>
      </c>
      <c r="AC304" s="17">
        <f>IF(AND(ISNUMBER(H304),ISNUMBER(I304)),H304+I304,IF(ISNUMBER(K304),K304,IF(ISNUMBER(H304),H304,"")))</f>
        <v/>
      </c>
      <c r="AD304" s="18">
        <f>IF(OR(NOT(ISNUMBER(J304)),NOT(ISNUMBER(H304)),H304&lt;=0),기준표!$B$8,MIN(MAX(J304/H304,기준표!$B$6),기준표!$B$7))</f>
        <v/>
      </c>
      <c r="AE304" s="17">
        <f>IF(ISNUMBER(AC304),AC304*(1-AD304),"")</f>
        <v/>
      </c>
      <c r="AF304" s="17">
        <f>IF(AND(NOT(ISNUMBER(T304)),NOT(ISNUMBER(V304))),"",IF(ISNUMBER(T304),T304,0)+IF(ISNUMBER(V304),V304,0))</f>
        <v/>
      </c>
      <c r="AG304" s="17">
        <f>IF(E304="금융","",IF(AND(ISNUMBER(P304),ISNUMBER(AF304),ISNUMBER(R304)),P304+AF304-R304,""))</f>
        <v/>
      </c>
      <c r="AH304" s="17">
        <f>IF(E304="금융","",IF(NOT(ISNUMBER(AG304)),"",IF(ISNUMBER(AA304),(AG304+AA304)/2,AG304)))</f>
        <v/>
      </c>
      <c r="AI304" s="19">
        <f>IF(AND(ISNUMBER(AE304),ISNUMBER(AH304),AH304&gt;0),AE304/AH304,"")</f>
        <v/>
      </c>
      <c r="AJ304" s="17">
        <f>IF(E304="금융","",IF(AND(ISNUMBER(P304),ISNUMBER(AF304)),P304+AF304,""))</f>
        <v/>
      </c>
      <c r="AK304" s="19">
        <f>IF(OR(NOT(ISNUMBER(AE304)),NOT(ISNUMBER(AJ304)),AJ304&lt;=0),"",IF(AND(ISNUMBER(G304),AJ304&lt;0.1*G304),"",AE304/AJ304))</f>
        <v/>
      </c>
      <c r="AL304" s="17">
        <f>IF(NOT(ISNUMBER(P304)),"",IF(ISNUMBER(Q304),(P304+Q304)/2,P304))</f>
        <v/>
      </c>
      <c r="AM304" s="19">
        <f>IF(AND(ISNUMBER(L304),ISNUMBER(AL304),AL304&gt;0),L304/AL304,"")</f>
        <v/>
      </c>
      <c r="AN304" s="19">
        <f>IF(AND(ISNUMBER(AM304),ISNUMBER({ROIC})),AM304-{ROIC},"")</f>
        <v/>
      </c>
      <c r="AO304" s="17">
        <f>IF(AND(ISNUMBER(AC304),ISNUMBER(M304)),AC304+M304,"")</f>
        <v/>
      </c>
      <c r="AP304" s="20">
        <f>IF(AND(ISNUMBER(AF304),ISNUMBER(R304),ISNUMBER(AO304),AO304&gt;0),(AF304-R304)/AO304,"")</f>
        <v/>
      </c>
      <c r="AQ304" s="20">
        <f>IF(AND(ISNUMBER(AC304),ISNUMBER(I304),I304&lt;&gt;0,AC304&gt;0),AC304/I304,"")</f>
        <v/>
      </c>
      <c r="AR304" s="17">
        <f>IF(AND(ISNUMBER(W304),ISNUMBER(Y304)),W304-IF(ISNUMBER(R304),R304,0)-(Y304-IF(ISNUMBER(T304),T304,0)),"")</f>
        <v/>
      </c>
      <c r="AS304" s="17">
        <f>IF(AND(ISNUMBER(X304),ISNUMBER(Z304)),X304-IF(ISNUMBER(S304),S304,0)-(Z304-IF(ISNUMBER(U304),U304,0)),"")</f>
        <v/>
      </c>
      <c r="AT304" s="17">
        <f>IF(AND(ISNUMBER(AR304),ISNUMBER(AS304)),AR304-AS304,"")</f>
        <v/>
      </c>
      <c r="AU304" s="17">
        <f>IF(E304="금융","",IF(AND(ISNUMBER(L304),ISNUMBER(M304),ISNUMBER(N304),ISNUMBER(AT304)),L304+M304-N304-AT304,IF(AND(ISNUMBER(O304),ISNUMBER(N304)),O304-N304,"")))</f>
        <v/>
      </c>
      <c r="AV304" s="8">
        <f>IF(E304="금융","금융업 - 정의되지 않음",IF(AND(ISNUMBER(L304),ISNUMBER(M304),ISNUMBER(N304),ISNUMBER(AT304)),"순이익+감가상각-설비투자-운전자본증감",IF(AND(ISNUMBER(O304),ISNUMBER(N304)),"영업현금흐름-설비투자","산출불가")))</f>
        <v/>
      </c>
      <c r="AW304" s="19">
        <f>IF(AND(ISNUMBER(AU304),ISNUMBER(G304),G304&lt;&gt;0),AU304/G304,"")</f>
        <v/>
      </c>
      <c r="AX304" s="19">
        <f>IF(AND(ISNUMBER(AC304),ISNUMBER(G304),G304&lt;&gt;0),AC304/G304,"")</f>
        <v/>
      </c>
    </row>
    <row r="305">
      <c r="A305" s="8" t="inlineStr">
        <is>
          <t>PLTR</t>
        </is>
      </c>
      <c r="B305" s="8" t="inlineStr">
        <is>
          <t>Palantir Technologies Inc.</t>
        </is>
      </c>
      <c r="C305" s="8" t="n">
        <v>2020</v>
      </c>
      <c r="D305" s="8" t="inlineStr">
        <is>
          <t>2020-12-31</t>
        </is>
      </c>
      <c r="E305" s="8" t="inlineStr">
        <is>
          <t>일반</t>
        </is>
      </c>
      <c r="F305" s="8" t="inlineStr">
        <is>
          <t>0001321655-23-000011</t>
        </is>
      </c>
      <c r="G305" s="15" t="n">
        <v>1.092673</v>
      </c>
      <c r="H305" s="15" t="n">
        <v>-1.179027</v>
      </c>
      <c r="I305" s="15" t="n">
        <v>0.014139</v>
      </c>
      <c r="J305" s="15" t="n">
        <v>-0.012636</v>
      </c>
      <c r="K305" s="15" t="n">
        <v>-1.173679</v>
      </c>
      <c r="L305" s="15" t="n">
        <v>-1.166391</v>
      </c>
      <c r="M305" s="15" t="n">
        <v>0.013871</v>
      </c>
      <c r="N305" s="15" t="n">
        <v>0.012236</v>
      </c>
      <c r="O305" s="15" t="n">
        <v>-0.296608</v>
      </c>
      <c r="P305" s="15" t="n">
        <v>1.52255</v>
      </c>
      <c r="Q305" s="15" t="n">
        <v>-1.980642</v>
      </c>
      <c r="R305" s="15" t="n">
        <v>2.128146</v>
      </c>
      <c r="S305" s="15" t="n">
        <v>1.401962</v>
      </c>
      <c r="T305" s="15" t="n">
        <v>0</v>
      </c>
      <c r="U305" s="15" t="n">
        <v>0</v>
      </c>
      <c r="V305" s="15" t="n">
        <v>0.197977</v>
      </c>
      <c r="W305" s="15" t="n">
        <v>2.257429</v>
      </c>
      <c r="X305" s="15" t="n">
        <v>1.214153</v>
      </c>
      <c r="Y305" s="15" t="n">
        <v>0.603823</v>
      </c>
      <c r="Z305" s="15" t="n">
        <v>0.728598</v>
      </c>
      <c r="AA305" s="15" t="n">
        <v>-2.986539</v>
      </c>
      <c r="AB305" s="16" t="n">
        <v>979.33</v>
      </c>
      <c r="AC305" s="17">
        <f>IF(AND(ISNUMBER(H305),ISNUMBER(I305)),H305+I305,IF(ISNUMBER(K305),K305,IF(ISNUMBER(H305),H305,"")))</f>
        <v/>
      </c>
      <c r="AD305" s="18">
        <f>IF(OR(NOT(ISNUMBER(J305)),NOT(ISNUMBER(H305)),H305&lt;=0),기준표!$B$8,MIN(MAX(J305/H305,기준표!$B$6),기준표!$B$7))</f>
        <v/>
      </c>
      <c r="AE305" s="17">
        <f>IF(ISNUMBER(AC305),AC305*(1-AD305),"")</f>
        <v/>
      </c>
      <c r="AF305" s="17">
        <f>IF(AND(NOT(ISNUMBER(T305)),NOT(ISNUMBER(V305))),"",IF(ISNUMBER(T305),T305,0)+IF(ISNUMBER(V305),V305,0))</f>
        <v/>
      </c>
      <c r="AG305" s="17">
        <f>IF(E305="금융","",IF(AND(ISNUMBER(P305),ISNUMBER(AF305),ISNUMBER(R305)),P305+AF305-R305,""))</f>
        <v/>
      </c>
      <c r="AH305" s="17">
        <f>IF(E305="금융","",IF(NOT(ISNUMBER(AG305)),"",IF(ISNUMBER(AA305),(AG305+AA305)/2,AG305)))</f>
        <v/>
      </c>
      <c r="AI305" s="19">
        <f>IF(AND(ISNUMBER(AE305),ISNUMBER(AH305),AH305&gt;0),AE305/AH305,"")</f>
        <v/>
      </c>
      <c r="AJ305" s="17">
        <f>IF(E305="금융","",IF(AND(ISNUMBER(P305),ISNUMBER(AF305)),P305+AF305,""))</f>
        <v/>
      </c>
      <c r="AK305" s="19">
        <f>IF(OR(NOT(ISNUMBER(AE305)),NOT(ISNUMBER(AJ305)),AJ305&lt;=0),"",IF(AND(ISNUMBER(G305),AJ305&lt;0.1*G305),"",AE305/AJ305))</f>
        <v/>
      </c>
      <c r="AL305" s="17">
        <f>IF(NOT(ISNUMBER(P305)),"",IF(ISNUMBER(Q305),(P305+Q305)/2,P305))</f>
        <v/>
      </c>
      <c r="AM305" s="19">
        <f>IF(AND(ISNUMBER(L305),ISNUMBER(AL305),AL305&gt;0),L305/AL305,"")</f>
        <v/>
      </c>
      <c r="AN305" s="19">
        <f>IF(AND(ISNUMBER(AM305),ISNUMBER({ROIC})),AM305-{ROIC},"")</f>
        <v/>
      </c>
      <c r="AO305" s="17">
        <f>IF(AND(ISNUMBER(AC305),ISNUMBER(M305)),AC305+M305,"")</f>
        <v/>
      </c>
      <c r="AP305" s="20">
        <f>IF(AND(ISNUMBER(AF305),ISNUMBER(R305),ISNUMBER(AO305),AO305&gt;0),(AF305-R305)/AO305,"")</f>
        <v/>
      </c>
      <c r="AQ305" s="20">
        <f>IF(AND(ISNUMBER(AC305),ISNUMBER(I305),I305&lt;&gt;0,AC305&gt;0),AC305/I305,"")</f>
        <v/>
      </c>
      <c r="AR305" s="17">
        <f>IF(AND(ISNUMBER(W305),ISNUMBER(Y305)),W305-IF(ISNUMBER(R305),R305,0)-(Y305-IF(ISNUMBER(T305),T305,0)),"")</f>
        <v/>
      </c>
      <c r="AS305" s="17">
        <f>IF(AND(ISNUMBER(X305),ISNUMBER(Z305)),X305-IF(ISNUMBER(S305),S305,0)-(Z305-IF(ISNUMBER(U305),U305,0)),"")</f>
        <v/>
      </c>
      <c r="AT305" s="17">
        <f>IF(AND(ISNUMBER(AR305),ISNUMBER(AS305)),AR305-AS305,"")</f>
        <v/>
      </c>
      <c r="AU305" s="17">
        <f>IF(E305="금융","",IF(AND(ISNUMBER(L305),ISNUMBER(M305),ISNUMBER(N305),ISNUMBER(AT305)),L305+M305-N305-AT305,IF(AND(ISNUMBER(O305),ISNUMBER(N305)),O305-N305,"")))</f>
        <v/>
      </c>
      <c r="AV305" s="8">
        <f>IF(E305="금융","금융업 - 정의되지 않음",IF(AND(ISNUMBER(L305),ISNUMBER(M305),ISNUMBER(N305),ISNUMBER(AT305)),"순이익+감가상각-설비투자-운전자본증감",IF(AND(ISNUMBER(O305),ISNUMBER(N305)),"영업현금흐름-설비투자","산출불가")))</f>
        <v/>
      </c>
      <c r="AW305" s="19">
        <f>IF(AND(ISNUMBER(AU305),ISNUMBER(G305),G305&lt;&gt;0),AU305/G305,"")</f>
        <v/>
      </c>
      <c r="AX305" s="19">
        <f>IF(AND(ISNUMBER(AC305),ISNUMBER(G305),G305&lt;&gt;0),AC305/G305,"")</f>
        <v/>
      </c>
    </row>
    <row r="306">
      <c r="A306" s="8" t="inlineStr">
        <is>
          <t>PLTR</t>
        </is>
      </c>
      <c r="B306" s="8" t="inlineStr">
        <is>
          <t>Palantir Technologies Inc.</t>
        </is>
      </c>
      <c r="C306" s="8" t="n">
        <v>2021</v>
      </c>
      <c r="D306" s="8" t="inlineStr">
        <is>
          <t>2021-12-31</t>
        </is>
      </c>
      <c r="E306" s="8" t="inlineStr">
        <is>
          <t>일반</t>
        </is>
      </c>
      <c r="F306" s="8" t="inlineStr">
        <is>
          <t>0001321655-24-000022</t>
        </is>
      </c>
      <c r="G306" s="15" t="n">
        <v>1.541889</v>
      </c>
      <c r="H306" s="15" t="n">
        <v>-0.488494</v>
      </c>
      <c r="I306" s="15" t="n">
        <v>0.00364</v>
      </c>
      <c r="J306" s="15" t="n">
        <v>0.031885</v>
      </c>
      <c r="K306" s="15" t="n">
        <v>-0.411046</v>
      </c>
      <c r="L306" s="15" t="n">
        <v>-0.520379</v>
      </c>
      <c r="M306" s="15" t="n">
        <v>0.014897</v>
      </c>
      <c r="N306" s="15" t="n">
        <v>0.012627</v>
      </c>
      <c r="O306" s="15" t="n">
        <v>0.333851</v>
      </c>
      <c r="P306" s="15" t="n">
        <v>2.29103</v>
      </c>
      <c r="Q306" s="15" t="n">
        <v>1.52255</v>
      </c>
      <c r="R306" s="15" t="n">
        <v>2.601067</v>
      </c>
      <c r="S306" s="15" t="n">
        <v>2.128146</v>
      </c>
      <c r="T306" s="15" t="n">
        <v>0</v>
      </c>
      <c r="U306" s="15" t="n">
        <v>0</v>
      </c>
      <c r="V306" s="15" t="n">
        <v>0</v>
      </c>
      <c r="W306" s="15" t="n">
        <v>2.86325</v>
      </c>
      <c r="X306" s="15" t="n">
        <v>2.257429</v>
      </c>
      <c r="Y306" s="15" t="n">
        <v>0.660061</v>
      </c>
      <c r="Z306" s="15" t="n">
        <v>0.603823</v>
      </c>
      <c r="AA306" s="15" t="n">
        <v>-0.407619</v>
      </c>
      <c r="AB306" s="16" t="n">
        <v>1923.617</v>
      </c>
      <c r="AC306" s="17">
        <f>IF(AND(ISNUMBER(H306),ISNUMBER(I306)),H306+I306,IF(ISNUMBER(K306),K306,IF(ISNUMBER(H306),H306,"")))</f>
        <v/>
      </c>
      <c r="AD306" s="18">
        <f>IF(OR(NOT(ISNUMBER(J306)),NOT(ISNUMBER(H306)),H306&lt;=0),기준표!$B$8,MIN(MAX(J306/H306,기준표!$B$6),기준표!$B$7))</f>
        <v/>
      </c>
      <c r="AE306" s="17">
        <f>IF(ISNUMBER(AC306),AC306*(1-AD306),"")</f>
        <v/>
      </c>
      <c r="AF306" s="17">
        <f>IF(AND(NOT(ISNUMBER(T306)),NOT(ISNUMBER(V306))),"",IF(ISNUMBER(T306),T306,0)+IF(ISNUMBER(V306),V306,0))</f>
        <v/>
      </c>
      <c r="AG306" s="17">
        <f>IF(E306="금융","",IF(AND(ISNUMBER(P306),ISNUMBER(AF306),ISNUMBER(R306)),P306+AF306-R306,""))</f>
        <v/>
      </c>
      <c r="AH306" s="17">
        <f>IF(E306="금융","",IF(NOT(ISNUMBER(AG306)),"",IF(ISNUMBER(AA306),(AG306+AA306)/2,AG306)))</f>
        <v/>
      </c>
      <c r="AI306" s="19">
        <f>IF(AND(ISNUMBER(AE306),ISNUMBER(AH306),AH306&gt;0),AE306/AH306,"")</f>
        <v/>
      </c>
      <c r="AJ306" s="17">
        <f>IF(E306="금융","",IF(AND(ISNUMBER(P306),ISNUMBER(AF306)),P306+AF306,""))</f>
        <v/>
      </c>
      <c r="AK306" s="19">
        <f>IF(OR(NOT(ISNUMBER(AE306)),NOT(ISNUMBER(AJ306)),AJ306&lt;=0),"",IF(AND(ISNUMBER(G306),AJ306&lt;0.1*G306),"",AE306/AJ306))</f>
        <v/>
      </c>
      <c r="AL306" s="17">
        <f>IF(NOT(ISNUMBER(P306)),"",IF(ISNUMBER(Q306),(P306+Q306)/2,P306))</f>
        <v/>
      </c>
      <c r="AM306" s="19">
        <f>IF(AND(ISNUMBER(L306),ISNUMBER(AL306),AL306&gt;0),L306/AL306,"")</f>
        <v/>
      </c>
      <c r="AN306" s="19">
        <f>IF(AND(ISNUMBER(AM306),ISNUMBER({ROIC})),AM306-{ROIC},"")</f>
        <v/>
      </c>
      <c r="AO306" s="17">
        <f>IF(AND(ISNUMBER(AC306),ISNUMBER(M306)),AC306+M306,"")</f>
        <v/>
      </c>
      <c r="AP306" s="20">
        <f>IF(AND(ISNUMBER(AF306),ISNUMBER(R306),ISNUMBER(AO306),AO306&gt;0),(AF306-R306)/AO306,"")</f>
        <v/>
      </c>
      <c r="AQ306" s="20">
        <f>IF(AND(ISNUMBER(AC306),ISNUMBER(I306),I306&lt;&gt;0,AC306&gt;0),AC306/I306,"")</f>
        <v/>
      </c>
      <c r="AR306" s="17">
        <f>IF(AND(ISNUMBER(W306),ISNUMBER(Y306)),W306-IF(ISNUMBER(R306),R306,0)-(Y306-IF(ISNUMBER(T306),T306,0)),"")</f>
        <v/>
      </c>
      <c r="AS306" s="17">
        <f>IF(AND(ISNUMBER(X306),ISNUMBER(Z306)),X306-IF(ISNUMBER(S306),S306,0)-(Z306-IF(ISNUMBER(U306),U306,0)),"")</f>
        <v/>
      </c>
      <c r="AT306" s="17">
        <f>IF(AND(ISNUMBER(AR306),ISNUMBER(AS306)),AR306-AS306,"")</f>
        <v/>
      </c>
      <c r="AU306" s="17">
        <f>IF(E306="금융","",IF(AND(ISNUMBER(L306),ISNUMBER(M306),ISNUMBER(N306),ISNUMBER(AT306)),L306+M306-N306-AT306,IF(AND(ISNUMBER(O306),ISNUMBER(N306)),O306-N306,"")))</f>
        <v/>
      </c>
      <c r="AV306" s="8">
        <f>IF(E306="금융","금융업 - 정의되지 않음",IF(AND(ISNUMBER(L306),ISNUMBER(M306),ISNUMBER(N306),ISNUMBER(AT306)),"순이익+감가상각-설비투자-운전자본증감",IF(AND(ISNUMBER(O306),ISNUMBER(N306)),"영업현금흐름-설비투자","산출불가")))</f>
        <v/>
      </c>
      <c r="AW306" s="19">
        <f>IF(AND(ISNUMBER(AU306),ISNUMBER(G306),G306&lt;&gt;0),AU306/G306,"")</f>
        <v/>
      </c>
      <c r="AX306" s="19">
        <f>IF(AND(ISNUMBER(AC306),ISNUMBER(G306),G306&lt;&gt;0),AC306/G306,"")</f>
        <v/>
      </c>
    </row>
    <row r="307">
      <c r="A307" s="8" t="inlineStr">
        <is>
          <t>PLTR</t>
        </is>
      </c>
      <c r="B307" s="8" t="inlineStr">
        <is>
          <t>Palantir Technologies Inc.</t>
        </is>
      </c>
      <c r="C307" s="8" t="n">
        <v>2022</v>
      </c>
      <c r="D307" s="8" t="inlineStr">
        <is>
          <t>2022-12-31</t>
        </is>
      </c>
      <c r="E307" s="8" t="inlineStr">
        <is>
          <t>일반</t>
        </is>
      </c>
      <c r="F307" s="8" t="inlineStr">
        <is>
          <t>0001321655-25-000022</t>
        </is>
      </c>
      <c r="G307" s="15" t="n">
        <v>1.905871</v>
      </c>
      <c r="H307" s="15" t="n">
        <v>-0.361027</v>
      </c>
      <c r="I307" s="15" t="n">
        <v>0.004058</v>
      </c>
      <c r="J307" s="15" t="n">
        <v>0.010067</v>
      </c>
      <c r="K307" s="15" t="n">
        <v>-0.161201</v>
      </c>
      <c r="L307" s="15" t="n">
        <v>-0.373705</v>
      </c>
      <c r="M307" s="15" t="n">
        <v>0.022522</v>
      </c>
      <c r="N307" s="15" t="n">
        <v>0.040027</v>
      </c>
      <c r="O307" s="15" t="n">
        <v>0.223737</v>
      </c>
      <c r="P307" s="15" t="n">
        <v>2.565326</v>
      </c>
      <c r="Q307" s="15" t="n">
        <v>2.29103</v>
      </c>
      <c r="R307" s="15" t="n">
        <v>2.66247</v>
      </c>
      <c r="S307" s="15" t="n">
        <v>2.601067</v>
      </c>
      <c r="T307" s="15" t="n">
        <v>0</v>
      </c>
      <c r="U307" s="15" t="n">
        <v>0</v>
      </c>
      <c r="V307" s="15" t="n"/>
      <c r="W307" s="15" t="n">
        <v>3.041577</v>
      </c>
      <c r="X307" s="15" t="n">
        <v>2.86325</v>
      </c>
      <c r="Y307" s="15" t="n">
        <v>0.587941</v>
      </c>
      <c r="Z307" s="15" t="n">
        <v>0.660061</v>
      </c>
      <c r="AA307" s="15" t="n">
        <v>-0.310037</v>
      </c>
      <c r="AB307" s="16" t="n">
        <v>2063.793</v>
      </c>
      <c r="AC307" s="17">
        <f>IF(AND(ISNUMBER(H307),ISNUMBER(I307)),H307+I307,IF(ISNUMBER(K307),K307,IF(ISNUMBER(H307),H307,"")))</f>
        <v/>
      </c>
      <c r="AD307" s="18">
        <f>IF(OR(NOT(ISNUMBER(J307)),NOT(ISNUMBER(H307)),H307&lt;=0),기준표!$B$8,MIN(MAX(J307/H307,기준표!$B$6),기준표!$B$7))</f>
        <v/>
      </c>
      <c r="AE307" s="17">
        <f>IF(ISNUMBER(AC307),AC307*(1-AD307),"")</f>
        <v/>
      </c>
      <c r="AF307" s="17">
        <f>IF(AND(NOT(ISNUMBER(T307)),NOT(ISNUMBER(V307))),"",IF(ISNUMBER(T307),T307,0)+IF(ISNUMBER(V307),V307,0))</f>
        <v/>
      </c>
      <c r="AG307" s="17">
        <f>IF(E307="금융","",IF(AND(ISNUMBER(P307),ISNUMBER(AF307),ISNUMBER(R307)),P307+AF307-R307,""))</f>
        <v/>
      </c>
      <c r="AH307" s="17">
        <f>IF(E307="금융","",IF(NOT(ISNUMBER(AG307)),"",IF(ISNUMBER(AA307),(AG307+AA307)/2,AG307)))</f>
        <v/>
      </c>
      <c r="AI307" s="19">
        <f>IF(AND(ISNUMBER(AE307),ISNUMBER(AH307),AH307&gt;0),AE307/AH307,"")</f>
        <v/>
      </c>
      <c r="AJ307" s="17">
        <f>IF(E307="금융","",IF(AND(ISNUMBER(P307),ISNUMBER(AF307)),P307+AF307,""))</f>
        <v/>
      </c>
      <c r="AK307" s="19">
        <f>IF(OR(NOT(ISNUMBER(AE307)),NOT(ISNUMBER(AJ307)),AJ307&lt;=0),"",IF(AND(ISNUMBER(G307),AJ307&lt;0.1*G307),"",AE307/AJ307))</f>
        <v/>
      </c>
      <c r="AL307" s="17">
        <f>IF(NOT(ISNUMBER(P307)),"",IF(ISNUMBER(Q307),(P307+Q307)/2,P307))</f>
        <v/>
      </c>
      <c r="AM307" s="19">
        <f>IF(AND(ISNUMBER(L307),ISNUMBER(AL307),AL307&gt;0),L307/AL307,"")</f>
        <v/>
      </c>
      <c r="AN307" s="19">
        <f>IF(AND(ISNUMBER(AM307),ISNUMBER({ROIC})),AM307-{ROIC},"")</f>
        <v/>
      </c>
      <c r="AO307" s="17">
        <f>IF(AND(ISNUMBER(AC307),ISNUMBER(M307)),AC307+M307,"")</f>
        <v/>
      </c>
      <c r="AP307" s="20">
        <f>IF(AND(ISNUMBER(AF307),ISNUMBER(R307),ISNUMBER(AO307),AO307&gt;0),(AF307-R307)/AO307,"")</f>
        <v/>
      </c>
      <c r="AQ307" s="20">
        <f>IF(AND(ISNUMBER(AC307),ISNUMBER(I307),I307&lt;&gt;0,AC307&gt;0),AC307/I307,"")</f>
        <v/>
      </c>
      <c r="AR307" s="17">
        <f>IF(AND(ISNUMBER(W307),ISNUMBER(Y307)),W307-IF(ISNUMBER(R307),R307,0)-(Y307-IF(ISNUMBER(T307),T307,0)),"")</f>
        <v/>
      </c>
      <c r="AS307" s="17">
        <f>IF(AND(ISNUMBER(X307),ISNUMBER(Z307)),X307-IF(ISNUMBER(S307),S307,0)-(Z307-IF(ISNUMBER(U307),U307,0)),"")</f>
        <v/>
      </c>
      <c r="AT307" s="17">
        <f>IF(AND(ISNUMBER(AR307),ISNUMBER(AS307)),AR307-AS307,"")</f>
        <v/>
      </c>
      <c r="AU307" s="17">
        <f>IF(E307="금융","",IF(AND(ISNUMBER(L307),ISNUMBER(M307),ISNUMBER(N307),ISNUMBER(AT307)),L307+M307-N307-AT307,IF(AND(ISNUMBER(O307),ISNUMBER(N307)),O307-N307,"")))</f>
        <v/>
      </c>
      <c r="AV307" s="8">
        <f>IF(E307="금융","금융업 - 정의되지 않음",IF(AND(ISNUMBER(L307),ISNUMBER(M307),ISNUMBER(N307),ISNUMBER(AT307)),"순이익+감가상각-설비투자-운전자본증감",IF(AND(ISNUMBER(O307),ISNUMBER(N307)),"영업현금흐름-설비투자","산출불가")))</f>
        <v/>
      </c>
      <c r="AW307" s="19">
        <f>IF(AND(ISNUMBER(AU307),ISNUMBER(G307),G307&lt;&gt;0),AU307/G307,"")</f>
        <v/>
      </c>
      <c r="AX307" s="19">
        <f>IF(AND(ISNUMBER(AC307),ISNUMBER(G307),G307&lt;&gt;0),AC307/G307,"")</f>
        <v/>
      </c>
    </row>
    <row r="308">
      <c r="A308" s="8" t="inlineStr">
        <is>
          <t>PLTR</t>
        </is>
      </c>
      <c r="B308" s="8" t="inlineStr">
        <is>
          <t>Palantir Technologies Inc.</t>
        </is>
      </c>
      <c r="C308" s="8" t="n">
        <v>2023</v>
      </c>
      <c r="D308" s="8" t="inlineStr">
        <is>
          <t>2023-12-31</t>
        </is>
      </c>
      <c r="E308" s="8" t="inlineStr">
        <is>
          <t>일반</t>
        </is>
      </c>
      <c r="F308" s="8" t="inlineStr">
        <is>
          <t>0001321655-26-000011</t>
        </is>
      </c>
      <c r="G308" s="15" t="n">
        <v>2.225012</v>
      </c>
      <c r="H308" s="15" t="n">
        <v>0.237091</v>
      </c>
      <c r="I308" s="15" t="n">
        <v>0.00347</v>
      </c>
      <c r="J308" s="15" t="n">
        <v>0.019716</v>
      </c>
      <c r="K308" s="15" t="n">
        <v>0.119966</v>
      </c>
      <c r="L308" s="15" t="n">
        <v>0.209825</v>
      </c>
      <c r="M308" s="15" t="n">
        <v>0.033354</v>
      </c>
      <c r="N308" s="15" t="n">
        <v>0.015114</v>
      </c>
      <c r="O308" s="15" t="n">
        <v>0.712183</v>
      </c>
      <c r="P308" s="15" t="n">
        <v>3.475561</v>
      </c>
      <c r="Q308" s="15" t="n">
        <v>2.565326</v>
      </c>
      <c r="R308" s="15" t="n">
        <v>3.693239</v>
      </c>
      <c r="S308" s="15" t="n">
        <v>2.66247</v>
      </c>
      <c r="T308" s="15" t="n">
        <v>0</v>
      </c>
      <c r="U308" s="15" t="n">
        <v>0</v>
      </c>
      <c r="V308" s="15" t="n"/>
      <c r="W308" s="15" t="n">
        <v>4.138618</v>
      </c>
      <c r="X308" s="15" t="n">
        <v>3.041577</v>
      </c>
      <c r="Y308" s="15" t="n">
        <v>0.746018</v>
      </c>
      <c r="Z308" s="15" t="n">
        <v>0.587941</v>
      </c>
      <c r="AA308" s="15" t="n">
        <v>-0.09714399999999999</v>
      </c>
      <c r="AB308" s="16" t="n">
        <v>2297.927</v>
      </c>
      <c r="AC308" s="17">
        <f>IF(AND(ISNUMBER(H308),ISNUMBER(I308)),H308+I308,IF(ISNUMBER(K308),K308,IF(ISNUMBER(H308),H308,"")))</f>
        <v/>
      </c>
      <c r="AD308" s="18">
        <f>IF(OR(NOT(ISNUMBER(J308)),NOT(ISNUMBER(H308)),H308&lt;=0),기준표!$B$8,MIN(MAX(J308/H308,기준표!$B$6),기준표!$B$7))</f>
        <v/>
      </c>
      <c r="AE308" s="17">
        <f>IF(ISNUMBER(AC308),AC308*(1-AD308),"")</f>
        <v/>
      </c>
      <c r="AF308" s="17">
        <f>IF(AND(NOT(ISNUMBER(T308)),NOT(ISNUMBER(V308))),"",IF(ISNUMBER(T308),T308,0)+IF(ISNUMBER(V308),V308,0))</f>
        <v/>
      </c>
      <c r="AG308" s="17">
        <f>IF(E308="금융","",IF(AND(ISNUMBER(P308),ISNUMBER(AF308),ISNUMBER(R308)),P308+AF308-R308,""))</f>
        <v/>
      </c>
      <c r="AH308" s="17">
        <f>IF(E308="금융","",IF(NOT(ISNUMBER(AG308)),"",IF(ISNUMBER(AA308),(AG308+AA308)/2,AG308)))</f>
        <v/>
      </c>
      <c r="AI308" s="19">
        <f>IF(AND(ISNUMBER(AE308),ISNUMBER(AH308),AH308&gt;0),AE308/AH308,"")</f>
        <v/>
      </c>
      <c r="AJ308" s="17">
        <f>IF(E308="금융","",IF(AND(ISNUMBER(P308),ISNUMBER(AF308)),P308+AF308,""))</f>
        <v/>
      </c>
      <c r="AK308" s="19">
        <f>IF(OR(NOT(ISNUMBER(AE308)),NOT(ISNUMBER(AJ308)),AJ308&lt;=0),"",IF(AND(ISNUMBER(G308),AJ308&lt;0.1*G308),"",AE308/AJ308))</f>
        <v/>
      </c>
      <c r="AL308" s="17">
        <f>IF(NOT(ISNUMBER(P308)),"",IF(ISNUMBER(Q308),(P308+Q308)/2,P308))</f>
        <v/>
      </c>
      <c r="AM308" s="19">
        <f>IF(AND(ISNUMBER(L308),ISNUMBER(AL308),AL308&gt;0),L308/AL308,"")</f>
        <v/>
      </c>
      <c r="AN308" s="19">
        <f>IF(AND(ISNUMBER(AM308),ISNUMBER({ROIC})),AM308-{ROIC},"")</f>
        <v/>
      </c>
      <c r="AO308" s="17">
        <f>IF(AND(ISNUMBER(AC308),ISNUMBER(M308)),AC308+M308,"")</f>
        <v/>
      </c>
      <c r="AP308" s="20">
        <f>IF(AND(ISNUMBER(AF308),ISNUMBER(R308),ISNUMBER(AO308),AO308&gt;0),(AF308-R308)/AO308,"")</f>
        <v/>
      </c>
      <c r="AQ308" s="20">
        <f>IF(AND(ISNUMBER(AC308),ISNUMBER(I308),I308&lt;&gt;0,AC308&gt;0),AC308/I308,"")</f>
        <v/>
      </c>
      <c r="AR308" s="17">
        <f>IF(AND(ISNUMBER(W308),ISNUMBER(Y308)),W308-IF(ISNUMBER(R308),R308,0)-(Y308-IF(ISNUMBER(T308),T308,0)),"")</f>
        <v/>
      </c>
      <c r="AS308" s="17">
        <f>IF(AND(ISNUMBER(X308),ISNUMBER(Z308)),X308-IF(ISNUMBER(S308),S308,0)-(Z308-IF(ISNUMBER(U308),U308,0)),"")</f>
        <v/>
      </c>
      <c r="AT308" s="17">
        <f>IF(AND(ISNUMBER(AR308),ISNUMBER(AS308)),AR308-AS308,"")</f>
        <v/>
      </c>
      <c r="AU308" s="17">
        <f>IF(E308="금융","",IF(AND(ISNUMBER(L308),ISNUMBER(M308),ISNUMBER(N308),ISNUMBER(AT308)),L308+M308-N308-AT308,IF(AND(ISNUMBER(O308),ISNUMBER(N308)),O308-N308,"")))</f>
        <v/>
      </c>
      <c r="AV308" s="8">
        <f>IF(E308="금융","금융업 - 정의되지 않음",IF(AND(ISNUMBER(L308),ISNUMBER(M308),ISNUMBER(N308),ISNUMBER(AT308)),"순이익+감가상각-설비투자-운전자본증감",IF(AND(ISNUMBER(O308),ISNUMBER(N308)),"영업현금흐름-설비투자","산출불가")))</f>
        <v/>
      </c>
      <c r="AW308" s="19">
        <f>IF(AND(ISNUMBER(AU308),ISNUMBER(G308),G308&lt;&gt;0),AU308/G308,"")</f>
        <v/>
      </c>
      <c r="AX308" s="19">
        <f>IF(AND(ISNUMBER(AC308),ISNUMBER(G308),G308&lt;&gt;0),AC308/G308,"")</f>
        <v/>
      </c>
    </row>
    <row r="309">
      <c r="A309" s="8" t="inlineStr">
        <is>
          <t>PLTR</t>
        </is>
      </c>
      <c r="B309" s="8" t="inlineStr">
        <is>
          <t>Palantir Technologies Inc.</t>
        </is>
      </c>
      <c r="C309" s="8" t="n">
        <v>2024</v>
      </c>
      <c r="D309" s="8" t="inlineStr">
        <is>
          <t>2024-12-31</t>
        </is>
      </c>
      <c r="E309" s="8" t="inlineStr">
        <is>
          <t>일반</t>
        </is>
      </c>
      <c r="F309" s="8" t="inlineStr">
        <is>
          <t>0001321655-26-000011</t>
        </is>
      </c>
      <c r="G309" s="15" t="n">
        <v>2.865507</v>
      </c>
      <c r="H309" s="15" t="n">
        <v>0.489173</v>
      </c>
      <c r="I309" s="15" t="n"/>
      <c r="J309" s="15" t="n">
        <v>0.021255</v>
      </c>
      <c r="K309" s="15" t="n">
        <v>0.310403</v>
      </c>
      <c r="L309" s="15" t="n">
        <v>0.46219</v>
      </c>
      <c r="M309" s="15" t="n">
        <v>0.031587</v>
      </c>
      <c r="N309" s="15" t="n">
        <v>0.012634</v>
      </c>
      <c r="O309" s="15" t="n">
        <v>1.153865</v>
      </c>
      <c r="P309" s="15" t="n">
        <v>5.003275</v>
      </c>
      <c r="Q309" s="15" t="n">
        <v>3.475561</v>
      </c>
      <c r="R309" s="15" t="n">
        <v>5.251399</v>
      </c>
      <c r="S309" s="15" t="n">
        <v>3.693239</v>
      </c>
      <c r="T309" s="15" t="n">
        <v>0</v>
      </c>
      <c r="U309" s="15" t="n">
        <v>0</v>
      </c>
      <c r="V309" s="15" t="n"/>
      <c r="W309" s="15" t="n">
        <v>5.934289</v>
      </c>
      <c r="X309" s="15" t="n">
        <v>4.138618</v>
      </c>
      <c r="Y309" s="15" t="n">
        <v>0.996018</v>
      </c>
      <c r="Z309" s="15" t="n">
        <v>0.746018</v>
      </c>
      <c r="AA309" s="15" t="n">
        <v>-0.217678</v>
      </c>
      <c r="AB309" s="16" t="n">
        <v>2450.818</v>
      </c>
      <c r="AC309" s="17">
        <f>IF(AND(ISNUMBER(H309),ISNUMBER(I309)),H309+I309,IF(ISNUMBER(K309),K309,IF(ISNUMBER(H309),H309,"")))</f>
        <v/>
      </c>
      <c r="AD309" s="18">
        <f>IF(OR(NOT(ISNUMBER(J309)),NOT(ISNUMBER(H309)),H309&lt;=0),기준표!$B$8,MIN(MAX(J309/H309,기준표!$B$6),기준표!$B$7))</f>
        <v/>
      </c>
      <c r="AE309" s="17">
        <f>IF(ISNUMBER(AC309),AC309*(1-AD309),"")</f>
        <v/>
      </c>
      <c r="AF309" s="17">
        <f>IF(AND(NOT(ISNUMBER(T309)),NOT(ISNUMBER(V309))),"",IF(ISNUMBER(T309),T309,0)+IF(ISNUMBER(V309),V309,0))</f>
        <v/>
      </c>
      <c r="AG309" s="17">
        <f>IF(E309="금융","",IF(AND(ISNUMBER(P309),ISNUMBER(AF309),ISNUMBER(R309)),P309+AF309-R309,""))</f>
        <v/>
      </c>
      <c r="AH309" s="17">
        <f>IF(E309="금융","",IF(NOT(ISNUMBER(AG309)),"",IF(ISNUMBER(AA309),(AG309+AA309)/2,AG309)))</f>
        <v/>
      </c>
      <c r="AI309" s="19">
        <f>IF(AND(ISNUMBER(AE309),ISNUMBER(AH309),AH309&gt;0),AE309/AH309,"")</f>
        <v/>
      </c>
      <c r="AJ309" s="17">
        <f>IF(E309="금융","",IF(AND(ISNUMBER(P309),ISNUMBER(AF309)),P309+AF309,""))</f>
        <v/>
      </c>
      <c r="AK309" s="19">
        <f>IF(OR(NOT(ISNUMBER(AE309)),NOT(ISNUMBER(AJ309)),AJ309&lt;=0),"",IF(AND(ISNUMBER(G309),AJ309&lt;0.1*G309),"",AE309/AJ309))</f>
        <v/>
      </c>
      <c r="AL309" s="17">
        <f>IF(NOT(ISNUMBER(P309)),"",IF(ISNUMBER(Q309),(P309+Q309)/2,P309))</f>
        <v/>
      </c>
      <c r="AM309" s="19">
        <f>IF(AND(ISNUMBER(L309),ISNUMBER(AL309),AL309&gt;0),L309/AL309,"")</f>
        <v/>
      </c>
      <c r="AN309" s="19">
        <f>IF(AND(ISNUMBER(AM309),ISNUMBER({ROIC})),AM309-{ROIC},"")</f>
        <v/>
      </c>
      <c r="AO309" s="17">
        <f>IF(AND(ISNUMBER(AC309),ISNUMBER(M309)),AC309+M309,"")</f>
        <v/>
      </c>
      <c r="AP309" s="20">
        <f>IF(AND(ISNUMBER(AF309),ISNUMBER(R309),ISNUMBER(AO309),AO309&gt;0),(AF309-R309)/AO309,"")</f>
        <v/>
      </c>
      <c r="AQ309" s="20">
        <f>IF(AND(ISNUMBER(AC309),ISNUMBER(I309),I309&lt;&gt;0,AC309&gt;0),AC309/I309,"")</f>
        <v/>
      </c>
      <c r="AR309" s="17">
        <f>IF(AND(ISNUMBER(W309),ISNUMBER(Y309)),W309-IF(ISNUMBER(R309),R309,0)-(Y309-IF(ISNUMBER(T309),T309,0)),"")</f>
        <v/>
      </c>
      <c r="AS309" s="17">
        <f>IF(AND(ISNUMBER(X309),ISNUMBER(Z309)),X309-IF(ISNUMBER(S309),S309,0)-(Z309-IF(ISNUMBER(U309),U309,0)),"")</f>
        <v/>
      </c>
      <c r="AT309" s="17">
        <f>IF(AND(ISNUMBER(AR309),ISNUMBER(AS309)),AR309-AS309,"")</f>
        <v/>
      </c>
      <c r="AU309" s="17">
        <f>IF(E309="금융","",IF(AND(ISNUMBER(L309),ISNUMBER(M309),ISNUMBER(N309),ISNUMBER(AT309)),L309+M309-N309-AT309,IF(AND(ISNUMBER(O309),ISNUMBER(N309)),O309-N309,"")))</f>
        <v/>
      </c>
      <c r="AV309" s="8">
        <f>IF(E309="금융","금융업 - 정의되지 않음",IF(AND(ISNUMBER(L309),ISNUMBER(M309),ISNUMBER(N309),ISNUMBER(AT309)),"순이익+감가상각-설비투자-운전자본증감",IF(AND(ISNUMBER(O309),ISNUMBER(N309)),"영업현금흐름-설비투자","산출불가")))</f>
        <v/>
      </c>
      <c r="AW309" s="19">
        <f>IF(AND(ISNUMBER(AU309),ISNUMBER(G309),G309&lt;&gt;0),AU309/G309,"")</f>
        <v/>
      </c>
      <c r="AX309" s="19">
        <f>IF(AND(ISNUMBER(AC309),ISNUMBER(G309),G309&lt;&gt;0),AC309/G309,"")</f>
        <v/>
      </c>
    </row>
    <row r="310">
      <c r="A310" s="8" t="inlineStr">
        <is>
          <t>PLTR</t>
        </is>
      </c>
      <c r="B310" s="8" t="inlineStr">
        <is>
          <t>Palantir Technologies Inc.</t>
        </is>
      </c>
      <c r="C310" s="8" t="n">
        <v>2025</v>
      </c>
      <c r="D310" s="8" t="inlineStr">
        <is>
          <t>2025-12-31</t>
        </is>
      </c>
      <c r="E310" s="8" t="inlineStr">
        <is>
          <t>일반</t>
        </is>
      </c>
      <c r="F310" s="8" t="inlineStr">
        <is>
          <t>0001321655-26-000011</t>
        </is>
      </c>
      <c r="G310" s="15" t="n">
        <v>4.475446</v>
      </c>
      <c r="H310" s="15" t="n">
        <v>1.657368</v>
      </c>
      <c r="I310" s="15" t="n"/>
      <c r="J310" s="15" t="n">
        <v>0.022724</v>
      </c>
      <c r="K310" s="15" t="n">
        <v>1.414015</v>
      </c>
      <c r="L310" s="15" t="n">
        <v>1.625033</v>
      </c>
      <c r="M310" s="15" t="n">
        <v>0.026145</v>
      </c>
      <c r="N310" s="15" t="n">
        <v>0.033882</v>
      </c>
      <c r="O310" s="15" t="n">
        <v>2.134473</v>
      </c>
      <c r="P310" s="15" t="n">
        <v>7.387268</v>
      </c>
      <c r="Q310" s="15" t="n">
        <v>5.003275</v>
      </c>
      <c r="R310" s="15" t="n">
        <v>7.204672</v>
      </c>
      <c r="S310" s="15" t="n">
        <v>5.251399</v>
      </c>
      <c r="T310" s="15" t="n">
        <v>0</v>
      </c>
      <c r="U310" s="15" t="n">
        <v>0</v>
      </c>
      <c r="V310" s="15" t="n"/>
      <c r="W310" s="15" t="n">
        <v>8.358174</v>
      </c>
      <c r="X310" s="15" t="n">
        <v>5.934289</v>
      </c>
      <c r="Y310" s="15" t="n">
        <v>1.175581</v>
      </c>
      <c r="Z310" s="15" t="n">
        <v>0.996018</v>
      </c>
      <c r="AA310" s="15" t="n">
        <v>-0.248124</v>
      </c>
      <c r="AB310" s="16" t="n">
        <v>2565.197</v>
      </c>
      <c r="AC310" s="17">
        <f>IF(AND(ISNUMBER(H310),ISNUMBER(I310)),H310+I310,IF(ISNUMBER(K310),K310,IF(ISNUMBER(H310),H310,"")))</f>
        <v/>
      </c>
      <c r="AD310" s="18">
        <f>IF(OR(NOT(ISNUMBER(J310)),NOT(ISNUMBER(H310)),H310&lt;=0),기준표!$B$8,MIN(MAX(J310/H310,기준표!$B$6),기준표!$B$7))</f>
        <v/>
      </c>
      <c r="AE310" s="17">
        <f>IF(ISNUMBER(AC310),AC310*(1-AD310),"")</f>
        <v/>
      </c>
      <c r="AF310" s="17">
        <f>IF(AND(NOT(ISNUMBER(T310)),NOT(ISNUMBER(V310))),"",IF(ISNUMBER(T310),T310,0)+IF(ISNUMBER(V310),V310,0))</f>
        <v/>
      </c>
      <c r="AG310" s="17">
        <f>IF(E310="금융","",IF(AND(ISNUMBER(P310),ISNUMBER(AF310),ISNUMBER(R310)),P310+AF310-R310,""))</f>
        <v/>
      </c>
      <c r="AH310" s="17">
        <f>IF(E310="금융","",IF(NOT(ISNUMBER(AG310)),"",IF(ISNUMBER(AA310),(AG310+AA310)/2,AG310)))</f>
        <v/>
      </c>
      <c r="AI310" s="19">
        <f>IF(AND(ISNUMBER(AE310),ISNUMBER(AH310),AH310&gt;0),AE310/AH310,"")</f>
        <v/>
      </c>
      <c r="AJ310" s="17">
        <f>IF(E310="금융","",IF(AND(ISNUMBER(P310),ISNUMBER(AF310)),P310+AF310,""))</f>
        <v/>
      </c>
      <c r="AK310" s="19">
        <f>IF(OR(NOT(ISNUMBER(AE310)),NOT(ISNUMBER(AJ310)),AJ310&lt;=0),"",IF(AND(ISNUMBER(G310),AJ310&lt;0.1*G310),"",AE310/AJ310))</f>
        <v/>
      </c>
      <c r="AL310" s="17">
        <f>IF(NOT(ISNUMBER(P310)),"",IF(ISNUMBER(Q310),(P310+Q310)/2,P310))</f>
        <v/>
      </c>
      <c r="AM310" s="19">
        <f>IF(AND(ISNUMBER(L310),ISNUMBER(AL310),AL310&gt;0),L310/AL310,"")</f>
        <v/>
      </c>
      <c r="AN310" s="19">
        <f>IF(AND(ISNUMBER(AM310),ISNUMBER({ROIC})),AM310-{ROIC},"")</f>
        <v/>
      </c>
      <c r="AO310" s="17">
        <f>IF(AND(ISNUMBER(AC310),ISNUMBER(M310)),AC310+M310,"")</f>
        <v/>
      </c>
      <c r="AP310" s="20">
        <f>IF(AND(ISNUMBER(AF310),ISNUMBER(R310),ISNUMBER(AO310),AO310&gt;0),(AF310-R310)/AO310,"")</f>
        <v/>
      </c>
      <c r="AQ310" s="20">
        <f>IF(AND(ISNUMBER(AC310),ISNUMBER(I310),I310&lt;&gt;0,AC310&gt;0),AC310/I310,"")</f>
        <v/>
      </c>
      <c r="AR310" s="17">
        <f>IF(AND(ISNUMBER(W310),ISNUMBER(Y310)),W310-IF(ISNUMBER(R310),R310,0)-(Y310-IF(ISNUMBER(T310),T310,0)),"")</f>
        <v/>
      </c>
      <c r="AS310" s="17">
        <f>IF(AND(ISNUMBER(X310),ISNUMBER(Z310)),X310-IF(ISNUMBER(S310),S310,0)-(Z310-IF(ISNUMBER(U310),U310,0)),"")</f>
        <v/>
      </c>
      <c r="AT310" s="17">
        <f>IF(AND(ISNUMBER(AR310),ISNUMBER(AS310)),AR310-AS310,"")</f>
        <v/>
      </c>
      <c r="AU310" s="17">
        <f>IF(E310="금융","",IF(AND(ISNUMBER(L310),ISNUMBER(M310),ISNUMBER(N310),ISNUMBER(AT310)),L310+M310-N310-AT310,IF(AND(ISNUMBER(O310),ISNUMBER(N310)),O310-N310,"")))</f>
        <v/>
      </c>
      <c r="AV310" s="8">
        <f>IF(E310="금융","금융업 - 정의되지 않음",IF(AND(ISNUMBER(L310),ISNUMBER(M310),ISNUMBER(N310),ISNUMBER(AT310)),"순이익+감가상각-설비투자-운전자본증감",IF(AND(ISNUMBER(O310),ISNUMBER(N310)),"영업현금흐름-설비투자","산출불가")))</f>
        <v/>
      </c>
      <c r="AW310" s="19">
        <f>IF(AND(ISNUMBER(AU310),ISNUMBER(G310),G310&lt;&gt;0),AU310/G310,"")</f>
        <v/>
      </c>
      <c r="AX310" s="19">
        <f>IF(AND(ISNUMBER(AC310),ISNUMBER(G310),G310&lt;&gt;0),AC310/G310,"")</f>
        <v/>
      </c>
    </row>
    <row r="311">
      <c r="A311" s="8" t="inlineStr">
        <is>
          <t>LRCX</t>
        </is>
      </c>
      <c r="B311" s="8" t="inlineStr">
        <is>
          <t>LAM RESEARCH CORP</t>
        </is>
      </c>
      <c r="C311" s="8" t="n">
        <v>2015</v>
      </c>
      <c r="D311" s="8" t="inlineStr">
        <is>
          <t>2015-06-28</t>
        </is>
      </c>
      <c r="E311" s="8" t="inlineStr">
        <is>
          <t>일반</t>
        </is>
      </c>
      <c r="F311" s="8" t="inlineStr">
        <is>
          <t>0000707549-17-000100</t>
        </is>
      </c>
      <c r="G311" s="15" t="n"/>
      <c r="H311" s="15" t="n"/>
      <c r="I311" s="15" t="n">
        <v>0.073508</v>
      </c>
      <c r="J311" s="15" t="n">
        <v>0.085273</v>
      </c>
      <c r="K311" s="15" t="n">
        <v>0.788039</v>
      </c>
      <c r="L311" s="15" t="n">
        <v>0.655577</v>
      </c>
      <c r="M311" s="15" t="n">
        <v>0.27792</v>
      </c>
      <c r="N311" s="15" t="n">
        <v>0.198265</v>
      </c>
      <c r="O311" s="15" t="n">
        <v>0.785503</v>
      </c>
      <c r="P311" s="15" t="n">
        <v>5.103144</v>
      </c>
      <c r="Q311" s="15" t="n"/>
      <c r="R311" s="15" t="n">
        <v>4.076486</v>
      </c>
      <c r="S311" s="15" t="n"/>
      <c r="T311" s="15" t="n">
        <v>1.358126</v>
      </c>
      <c r="U311" s="15" t="n"/>
      <c r="V311" s="15" t="n">
        <v>0.99396</v>
      </c>
      <c r="W311" s="15" t="n">
        <v>6.270849</v>
      </c>
      <c r="X311" s="15" t="n"/>
      <c r="Y311" s="15" t="n">
        <v>2.631361</v>
      </c>
      <c r="Z311" s="15" t="n"/>
      <c r="AA311" s="15" t="n"/>
      <c r="AB311" s="16" t="n">
        <v>1585.31</v>
      </c>
      <c r="AC311" s="17">
        <f>IF(AND(ISNUMBER(H311),ISNUMBER(I311)),H311+I311,IF(ISNUMBER(K311),K311,IF(ISNUMBER(H311),H311,"")))</f>
        <v/>
      </c>
      <c r="AD311" s="18">
        <f>IF(OR(NOT(ISNUMBER(J311)),NOT(ISNUMBER(H311)),H311&lt;=0),기준표!$B$8,MIN(MAX(J311/H311,기준표!$B$6),기준표!$B$7))</f>
        <v/>
      </c>
      <c r="AE311" s="17">
        <f>IF(ISNUMBER(AC311),AC311*(1-AD311),"")</f>
        <v/>
      </c>
      <c r="AF311" s="17">
        <f>IF(AND(NOT(ISNUMBER(T311)),NOT(ISNUMBER(V311))),"",IF(ISNUMBER(T311),T311,0)+IF(ISNUMBER(V311),V311,0))</f>
        <v/>
      </c>
      <c r="AG311" s="17">
        <f>IF(E311="금융","",IF(AND(ISNUMBER(P311),ISNUMBER(AF311),ISNUMBER(R311)),P311+AF311-R311,""))</f>
        <v/>
      </c>
      <c r="AH311" s="17">
        <f>IF(E311="금융","",IF(NOT(ISNUMBER(AG311)),"",IF(ISNUMBER(AA311),(AG311+AA311)/2,AG311)))</f>
        <v/>
      </c>
      <c r="AI311" s="19">
        <f>IF(AND(ISNUMBER(AE311),ISNUMBER(AH311),AH311&gt;0),AE311/AH311,"")</f>
        <v/>
      </c>
      <c r="AJ311" s="17">
        <f>IF(E311="금융","",IF(AND(ISNUMBER(P311),ISNUMBER(AF311)),P311+AF311,""))</f>
        <v/>
      </c>
      <c r="AK311" s="19">
        <f>IF(OR(NOT(ISNUMBER(AE311)),NOT(ISNUMBER(AJ311)),AJ311&lt;=0),"",IF(AND(ISNUMBER(G311),AJ311&lt;0.1*G311),"",AE311/AJ311))</f>
        <v/>
      </c>
      <c r="AL311" s="17">
        <f>IF(NOT(ISNUMBER(P311)),"",IF(ISNUMBER(Q311),(P311+Q311)/2,P311))</f>
        <v/>
      </c>
      <c r="AM311" s="19">
        <f>IF(AND(ISNUMBER(L311),ISNUMBER(AL311),AL311&gt;0),L311/AL311,"")</f>
        <v/>
      </c>
      <c r="AN311" s="19">
        <f>IF(AND(ISNUMBER(AM311),ISNUMBER({ROIC})),AM311-{ROIC},"")</f>
        <v/>
      </c>
      <c r="AO311" s="17">
        <f>IF(AND(ISNUMBER(AC311),ISNUMBER(M311)),AC311+M311,"")</f>
        <v/>
      </c>
      <c r="AP311" s="20">
        <f>IF(AND(ISNUMBER(AF311),ISNUMBER(R311),ISNUMBER(AO311),AO311&gt;0),(AF311-R311)/AO311,"")</f>
        <v/>
      </c>
      <c r="AQ311" s="20">
        <f>IF(AND(ISNUMBER(AC311),ISNUMBER(I311),I311&lt;&gt;0,AC311&gt;0),AC311/I311,"")</f>
        <v/>
      </c>
      <c r="AR311" s="17">
        <f>IF(AND(ISNUMBER(W311),ISNUMBER(Y311)),W311-IF(ISNUMBER(R311),R311,0)-(Y311-IF(ISNUMBER(T311),T311,0)),"")</f>
        <v/>
      </c>
      <c r="AS311" s="17">
        <f>IF(AND(ISNUMBER(X311),ISNUMBER(Z311)),X311-IF(ISNUMBER(S311),S311,0)-(Z311-IF(ISNUMBER(U311),U311,0)),"")</f>
        <v/>
      </c>
      <c r="AT311" s="17">
        <f>IF(AND(ISNUMBER(AR311),ISNUMBER(AS311)),AR311-AS311,"")</f>
        <v/>
      </c>
      <c r="AU311" s="17">
        <f>IF(E311="금융","",IF(AND(ISNUMBER(L311),ISNUMBER(M311),ISNUMBER(N311),ISNUMBER(AT311)),L311+M311-N311-AT311,IF(AND(ISNUMBER(O311),ISNUMBER(N311)),O311-N311,"")))</f>
        <v/>
      </c>
      <c r="AV311" s="8">
        <f>IF(E311="금융","금융업 - 정의되지 않음",IF(AND(ISNUMBER(L311),ISNUMBER(M311),ISNUMBER(N311),ISNUMBER(AT311)),"순이익+감가상각-설비투자-운전자본증감",IF(AND(ISNUMBER(O311),ISNUMBER(N311)),"영업현금흐름-설비투자","산출불가")))</f>
        <v/>
      </c>
      <c r="AW311" s="19">
        <f>IF(AND(ISNUMBER(AU311),ISNUMBER(G311),G311&lt;&gt;0),AU311/G311,"")</f>
        <v/>
      </c>
      <c r="AX311" s="19">
        <f>IF(AND(ISNUMBER(AC311),ISNUMBER(G311),G311&lt;&gt;0),AC311/G311,"")</f>
        <v/>
      </c>
    </row>
    <row r="312">
      <c r="A312" s="8" t="inlineStr">
        <is>
          <t>LRCX</t>
        </is>
      </c>
      <c r="B312" s="8" t="inlineStr">
        <is>
          <t>LAM RESEARCH CORP</t>
        </is>
      </c>
      <c r="C312" s="8" t="n">
        <v>2016</v>
      </c>
      <c r="D312" s="8" t="inlineStr">
        <is>
          <t>2016-06-26</t>
        </is>
      </c>
      <c r="E312" s="8" t="inlineStr">
        <is>
          <t>일반</t>
        </is>
      </c>
      <c r="F312" s="8" t="inlineStr">
        <is>
          <t>0000707549-18-000115</t>
        </is>
      </c>
      <c r="G312" s="15" t="n"/>
      <c r="H312" s="15" t="n"/>
      <c r="I312" s="15" t="n">
        <v>0.133933</v>
      </c>
      <c r="J312" s="15" t="n">
        <v>0.046068</v>
      </c>
      <c r="K312" s="15" t="n">
        <v>1.074256</v>
      </c>
      <c r="L312" s="15" t="n">
        <v>0.914049</v>
      </c>
      <c r="M312" s="15" t="n">
        <v>0.291028</v>
      </c>
      <c r="N312" s="15" t="n">
        <v>0.17533</v>
      </c>
      <c r="O312" s="15" t="n">
        <v>1.350277</v>
      </c>
      <c r="P312" s="15" t="n">
        <v>5.894517</v>
      </c>
      <c r="Q312" s="15" t="n">
        <v>5.103144</v>
      </c>
      <c r="R312" s="15" t="n">
        <v>5.039322</v>
      </c>
      <c r="S312" s="15" t="n">
        <v>4.076486</v>
      </c>
      <c r="T312" s="15" t="n">
        <v>0.940537</v>
      </c>
      <c r="U312" s="15" t="n">
        <v>1.358126</v>
      </c>
      <c r="V312" s="15" t="n">
        <v>3.377924</v>
      </c>
      <c r="W312" s="15" t="n">
        <v>9.213150000000001</v>
      </c>
      <c r="X312" s="15" t="n">
        <v>6.270849</v>
      </c>
      <c r="Y312" s="15" t="n">
        <v>2.418041</v>
      </c>
      <c r="Z312" s="15" t="n">
        <v>2.631361</v>
      </c>
      <c r="AA312" s="15" t="n">
        <v>3.378744</v>
      </c>
      <c r="AB312" s="16" t="n">
        <v>1602.01</v>
      </c>
      <c r="AC312" s="17">
        <f>IF(AND(ISNUMBER(H312),ISNUMBER(I312)),H312+I312,IF(ISNUMBER(K312),K312,IF(ISNUMBER(H312),H312,"")))</f>
        <v/>
      </c>
      <c r="AD312" s="18">
        <f>IF(OR(NOT(ISNUMBER(J312)),NOT(ISNUMBER(H312)),H312&lt;=0),기준표!$B$8,MIN(MAX(J312/H312,기준표!$B$6),기준표!$B$7))</f>
        <v/>
      </c>
      <c r="AE312" s="17">
        <f>IF(ISNUMBER(AC312),AC312*(1-AD312),"")</f>
        <v/>
      </c>
      <c r="AF312" s="17">
        <f>IF(AND(NOT(ISNUMBER(T312)),NOT(ISNUMBER(V312))),"",IF(ISNUMBER(T312),T312,0)+IF(ISNUMBER(V312),V312,0))</f>
        <v/>
      </c>
      <c r="AG312" s="17">
        <f>IF(E312="금융","",IF(AND(ISNUMBER(P312),ISNUMBER(AF312),ISNUMBER(R312)),P312+AF312-R312,""))</f>
        <v/>
      </c>
      <c r="AH312" s="17">
        <f>IF(E312="금융","",IF(NOT(ISNUMBER(AG312)),"",IF(ISNUMBER(AA312),(AG312+AA312)/2,AG312)))</f>
        <v/>
      </c>
      <c r="AI312" s="19">
        <f>IF(AND(ISNUMBER(AE312),ISNUMBER(AH312),AH312&gt;0),AE312/AH312,"")</f>
        <v/>
      </c>
      <c r="AJ312" s="17">
        <f>IF(E312="금융","",IF(AND(ISNUMBER(P312),ISNUMBER(AF312)),P312+AF312,""))</f>
        <v/>
      </c>
      <c r="AK312" s="19">
        <f>IF(OR(NOT(ISNUMBER(AE312)),NOT(ISNUMBER(AJ312)),AJ312&lt;=0),"",IF(AND(ISNUMBER(G312),AJ312&lt;0.1*G312),"",AE312/AJ312))</f>
        <v/>
      </c>
      <c r="AL312" s="17">
        <f>IF(NOT(ISNUMBER(P312)),"",IF(ISNUMBER(Q312),(P312+Q312)/2,P312))</f>
        <v/>
      </c>
      <c r="AM312" s="19">
        <f>IF(AND(ISNUMBER(L312),ISNUMBER(AL312),AL312&gt;0),L312/AL312,"")</f>
        <v/>
      </c>
      <c r="AN312" s="19">
        <f>IF(AND(ISNUMBER(AM312),ISNUMBER({ROIC})),AM312-{ROIC},"")</f>
        <v/>
      </c>
      <c r="AO312" s="17">
        <f>IF(AND(ISNUMBER(AC312),ISNUMBER(M312)),AC312+M312,"")</f>
        <v/>
      </c>
      <c r="AP312" s="20">
        <f>IF(AND(ISNUMBER(AF312),ISNUMBER(R312),ISNUMBER(AO312),AO312&gt;0),(AF312-R312)/AO312,"")</f>
        <v/>
      </c>
      <c r="AQ312" s="20">
        <f>IF(AND(ISNUMBER(AC312),ISNUMBER(I312),I312&lt;&gt;0,AC312&gt;0),AC312/I312,"")</f>
        <v/>
      </c>
      <c r="AR312" s="17">
        <f>IF(AND(ISNUMBER(W312),ISNUMBER(Y312)),W312-IF(ISNUMBER(R312),R312,0)-(Y312-IF(ISNUMBER(T312),T312,0)),"")</f>
        <v/>
      </c>
      <c r="AS312" s="17">
        <f>IF(AND(ISNUMBER(X312),ISNUMBER(Z312)),X312-IF(ISNUMBER(S312),S312,0)-(Z312-IF(ISNUMBER(U312),U312,0)),"")</f>
        <v/>
      </c>
      <c r="AT312" s="17">
        <f>IF(AND(ISNUMBER(AR312),ISNUMBER(AS312)),AR312-AS312,"")</f>
        <v/>
      </c>
      <c r="AU312" s="17">
        <f>IF(E312="금융","",IF(AND(ISNUMBER(L312),ISNUMBER(M312),ISNUMBER(N312),ISNUMBER(AT312)),L312+M312-N312-AT312,IF(AND(ISNUMBER(O312),ISNUMBER(N312)),O312-N312,"")))</f>
        <v/>
      </c>
      <c r="AV312" s="8">
        <f>IF(E312="금융","금융업 - 정의되지 않음",IF(AND(ISNUMBER(L312),ISNUMBER(M312),ISNUMBER(N312),ISNUMBER(AT312)),"순이익+감가상각-설비투자-운전자본증감",IF(AND(ISNUMBER(O312),ISNUMBER(N312)),"영업현금흐름-설비투자","산출불가")))</f>
        <v/>
      </c>
      <c r="AW312" s="19">
        <f>IF(AND(ISNUMBER(AU312),ISNUMBER(G312),G312&lt;&gt;0),AU312/G312,"")</f>
        <v/>
      </c>
      <c r="AX312" s="19">
        <f>IF(AND(ISNUMBER(AC312),ISNUMBER(G312),G312&lt;&gt;0),AC312/G312,"")</f>
        <v/>
      </c>
    </row>
    <row r="313">
      <c r="A313" s="8" t="inlineStr">
        <is>
          <t>LRCX</t>
        </is>
      </c>
      <c r="B313" s="8" t="inlineStr">
        <is>
          <t>LAM RESEARCH CORP</t>
        </is>
      </c>
      <c r="C313" s="8" t="n">
        <v>2017</v>
      </c>
      <c r="D313" s="8" t="inlineStr">
        <is>
          <t>2017-06-25</t>
        </is>
      </c>
      <c r="E313" s="8" t="inlineStr">
        <is>
          <t>일반</t>
        </is>
      </c>
      <c r="F313" s="8" t="inlineStr">
        <is>
          <t>0000707549-19-000124</t>
        </is>
      </c>
      <c r="G313" s="15" t="n">
        <v>8.01362</v>
      </c>
      <c r="H313" s="15" t="n"/>
      <c r="I313" s="15" t="n">
        <v>0.115726</v>
      </c>
      <c r="J313" s="15" t="n">
        <v>0.11391</v>
      </c>
      <c r="K313" s="15" t="n">
        <v>1.902132</v>
      </c>
      <c r="L313" s="15" t="n">
        <v>1.697763</v>
      </c>
      <c r="M313" s="15" t="n">
        <v>0.306905</v>
      </c>
      <c r="N313" s="15" t="n">
        <v>0.157419</v>
      </c>
      <c r="O313" s="15" t="n">
        <v>2.029282</v>
      </c>
      <c r="P313" s="15" t="n">
        <v>6.817451</v>
      </c>
      <c r="Q313" s="15" t="n">
        <v>5.894517</v>
      </c>
      <c r="R313" s="15" t="n">
        <v>2.377534</v>
      </c>
      <c r="S313" s="15" t="n">
        <v>5.039322</v>
      </c>
      <c r="T313" s="15" t="n">
        <v>0.9078270000000001</v>
      </c>
      <c r="U313" s="15" t="n">
        <v>0.940537</v>
      </c>
      <c r="V313" s="15" t="n">
        <v>1.778831</v>
      </c>
      <c r="W313" s="15" t="n">
        <v>9.142498</v>
      </c>
      <c r="X313" s="15" t="n">
        <v>9.213150000000001</v>
      </c>
      <c r="Y313" s="15" t="n">
        <v>2.950115</v>
      </c>
      <c r="Z313" s="15" t="n">
        <v>2.418041</v>
      </c>
      <c r="AA313" s="15" t="n">
        <v>5.173656</v>
      </c>
      <c r="AB313" s="16" t="n">
        <v>1617.23</v>
      </c>
      <c r="AC313" s="17">
        <f>IF(AND(ISNUMBER(H313),ISNUMBER(I313)),H313+I313,IF(ISNUMBER(K313),K313,IF(ISNUMBER(H313),H313,"")))</f>
        <v/>
      </c>
      <c r="AD313" s="18">
        <f>IF(OR(NOT(ISNUMBER(J313)),NOT(ISNUMBER(H313)),H313&lt;=0),기준표!$B$8,MIN(MAX(J313/H313,기준표!$B$6),기준표!$B$7))</f>
        <v/>
      </c>
      <c r="AE313" s="17">
        <f>IF(ISNUMBER(AC313),AC313*(1-AD313),"")</f>
        <v/>
      </c>
      <c r="AF313" s="17">
        <f>IF(AND(NOT(ISNUMBER(T313)),NOT(ISNUMBER(V313))),"",IF(ISNUMBER(T313),T313,0)+IF(ISNUMBER(V313),V313,0))</f>
        <v/>
      </c>
      <c r="AG313" s="17">
        <f>IF(E313="금융","",IF(AND(ISNUMBER(P313),ISNUMBER(AF313),ISNUMBER(R313)),P313+AF313-R313,""))</f>
        <v/>
      </c>
      <c r="AH313" s="17">
        <f>IF(E313="금융","",IF(NOT(ISNUMBER(AG313)),"",IF(ISNUMBER(AA313),(AG313+AA313)/2,AG313)))</f>
        <v/>
      </c>
      <c r="AI313" s="19">
        <f>IF(AND(ISNUMBER(AE313),ISNUMBER(AH313),AH313&gt;0),AE313/AH313,"")</f>
        <v/>
      </c>
      <c r="AJ313" s="17">
        <f>IF(E313="금융","",IF(AND(ISNUMBER(P313),ISNUMBER(AF313)),P313+AF313,""))</f>
        <v/>
      </c>
      <c r="AK313" s="19">
        <f>IF(OR(NOT(ISNUMBER(AE313)),NOT(ISNUMBER(AJ313)),AJ313&lt;=0),"",IF(AND(ISNUMBER(G313),AJ313&lt;0.1*G313),"",AE313/AJ313))</f>
        <v/>
      </c>
      <c r="AL313" s="17">
        <f>IF(NOT(ISNUMBER(P313)),"",IF(ISNUMBER(Q313),(P313+Q313)/2,P313))</f>
        <v/>
      </c>
      <c r="AM313" s="19">
        <f>IF(AND(ISNUMBER(L313),ISNUMBER(AL313),AL313&gt;0),L313/AL313,"")</f>
        <v/>
      </c>
      <c r="AN313" s="19">
        <f>IF(AND(ISNUMBER(AM313),ISNUMBER({ROIC})),AM313-{ROIC},"")</f>
        <v/>
      </c>
      <c r="AO313" s="17">
        <f>IF(AND(ISNUMBER(AC313),ISNUMBER(M313)),AC313+M313,"")</f>
        <v/>
      </c>
      <c r="AP313" s="20">
        <f>IF(AND(ISNUMBER(AF313),ISNUMBER(R313),ISNUMBER(AO313),AO313&gt;0),(AF313-R313)/AO313,"")</f>
        <v/>
      </c>
      <c r="AQ313" s="20">
        <f>IF(AND(ISNUMBER(AC313),ISNUMBER(I313),I313&lt;&gt;0,AC313&gt;0),AC313/I313,"")</f>
        <v/>
      </c>
      <c r="AR313" s="17">
        <f>IF(AND(ISNUMBER(W313),ISNUMBER(Y313)),W313-IF(ISNUMBER(R313),R313,0)-(Y313-IF(ISNUMBER(T313),T313,0)),"")</f>
        <v/>
      </c>
      <c r="AS313" s="17">
        <f>IF(AND(ISNUMBER(X313),ISNUMBER(Z313)),X313-IF(ISNUMBER(S313),S313,0)-(Z313-IF(ISNUMBER(U313),U313,0)),"")</f>
        <v/>
      </c>
      <c r="AT313" s="17">
        <f>IF(AND(ISNUMBER(AR313),ISNUMBER(AS313)),AR313-AS313,"")</f>
        <v/>
      </c>
      <c r="AU313" s="17">
        <f>IF(E313="금융","",IF(AND(ISNUMBER(L313),ISNUMBER(M313),ISNUMBER(N313),ISNUMBER(AT313)),L313+M313-N313-AT313,IF(AND(ISNUMBER(O313),ISNUMBER(N313)),O313-N313,"")))</f>
        <v/>
      </c>
      <c r="AV313" s="8">
        <f>IF(E313="금융","금융업 - 정의되지 않음",IF(AND(ISNUMBER(L313),ISNUMBER(M313),ISNUMBER(N313),ISNUMBER(AT313)),"순이익+감가상각-설비투자-운전자본증감",IF(AND(ISNUMBER(O313),ISNUMBER(N313)),"영업현금흐름-설비투자","산출불가")))</f>
        <v/>
      </c>
      <c r="AW313" s="19">
        <f>IF(AND(ISNUMBER(AU313),ISNUMBER(G313),G313&lt;&gt;0),AU313/G313,"")</f>
        <v/>
      </c>
      <c r="AX313" s="19">
        <f>IF(AND(ISNUMBER(AC313),ISNUMBER(G313),G313&lt;&gt;0),AC313/G313,"")</f>
        <v/>
      </c>
    </row>
    <row r="314">
      <c r="A314" s="8" t="inlineStr">
        <is>
          <t>LRCX</t>
        </is>
      </c>
      <c r="B314" s="8" t="inlineStr">
        <is>
          <t>LAM RESEARCH CORP</t>
        </is>
      </c>
      <c r="C314" s="8" t="n">
        <v>2018</v>
      </c>
      <c r="D314" s="8" t="inlineStr">
        <is>
          <t>2018-06-24</t>
        </is>
      </c>
      <c r="E314" s="8" t="inlineStr">
        <is>
          <t>일반</t>
        </is>
      </c>
      <c r="F314" s="8" t="inlineStr">
        <is>
          <t>0000707549-20-000138</t>
        </is>
      </c>
      <c r="G314" s="15" t="n">
        <v>11.076998</v>
      </c>
      <c r="H314" s="15" t="n"/>
      <c r="I314" s="15" t="n">
        <v>0.091353</v>
      </c>
      <c r="J314" s="15" t="n">
        <v>0.771108</v>
      </c>
      <c r="K314" s="15" t="n">
        <v>3.213299</v>
      </c>
      <c r="L314" s="15" t="n">
        <v>2.380681</v>
      </c>
      <c r="M314" s="15" t="n">
        <v>0.326395</v>
      </c>
      <c r="N314" s="15" t="n">
        <v>0.273469</v>
      </c>
      <c r="O314" s="15" t="n">
        <v>2.655747</v>
      </c>
      <c r="P314" s="15" t="n">
        <v>6.641206</v>
      </c>
      <c r="Q314" s="15" t="n">
        <v>6.817451</v>
      </c>
      <c r="R314" s="15" t="n">
        <v>4.512257</v>
      </c>
      <c r="S314" s="15" t="n">
        <v>2.377534</v>
      </c>
      <c r="T314" s="15" t="n">
        <v>0.608532</v>
      </c>
      <c r="U314" s="15" t="n">
        <v>0.9078270000000001</v>
      </c>
      <c r="V314" s="15" t="n">
        <v>1.760216</v>
      </c>
      <c r="W314" s="15" t="n">
        <v>9.149910999999999</v>
      </c>
      <c r="X314" s="15" t="n">
        <v>9.142498</v>
      </c>
      <c r="Y314" s="15" t="n">
        <v>3.150308</v>
      </c>
      <c r="Z314" s="15" t="n">
        <v>2.950115</v>
      </c>
      <c r="AA314" s="15" t="n">
        <v>7.126575</v>
      </c>
      <c r="AB314" s="16" t="n">
        <v>1568.92</v>
      </c>
      <c r="AC314" s="17">
        <f>IF(AND(ISNUMBER(H314),ISNUMBER(I314)),H314+I314,IF(ISNUMBER(K314),K314,IF(ISNUMBER(H314),H314,"")))</f>
        <v/>
      </c>
      <c r="AD314" s="18">
        <f>IF(OR(NOT(ISNUMBER(J314)),NOT(ISNUMBER(H314)),H314&lt;=0),기준표!$B$8,MIN(MAX(J314/H314,기준표!$B$6),기준표!$B$7))</f>
        <v/>
      </c>
      <c r="AE314" s="17">
        <f>IF(ISNUMBER(AC314),AC314*(1-AD314),"")</f>
        <v/>
      </c>
      <c r="AF314" s="17">
        <f>IF(AND(NOT(ISNUMBER(T314)),NOT(ISNUMBER(V314))),"",IF(ISNUMBER(T314),T314,0)+IF(ISNUMBER(V314),V314,0))</f>
        <v/>
      </c>
      <c r="AG314" s="17">
        <f>IF(E314="금융","",IF(AND(ISNUMBER(P314),ISNUMBER(AF314),ISNUMBER(R314)),P314+AF314-R314,""))</f>
        <v/>
      </c>
      <c r="AH314" s="17">
        <f>IF(E314="금융","",IF(NOT(ISNUMBER(AG314)),"",IF(ISNUMBER(AA314),(AG314+AA314)/2,AG314)))</f>
        <v/>
      </c>
      <c r="AI314" s="19">
        <f>IF(AND(ISNUMBER(AE314),ISNUMBER(AH314),AH314&gt;0),AE314/AH314,"")</f>
        <v/>
      </c>
      <c r="AJ314" s="17">
        <f>IF(E314="금융","",IF(AND(ISNUMBER(P314),ISNUMBER(AF314)),P314+AF314,""))</f>
        <v/>
      </c>
      <c r="AK314" s="19">
        <f>IF(OR(NOT(ISNUMBER(AE314)),NOT(ISNUMBER(AJ314)),AJ314&lt;=0),"",IF(AND(ISNUMBER(G314),AJ314&lt;0.1*G314),"",AE314/AJ314))</f>
        <v/>
      </c>
      <c r="AL314" s="17">
        <f>IF(NOT(ISNUMBER(P314)),"",IF(ISNUMBER(Q314),(P314+Q314)/2,P314))</f>
        <v/>
      </c>
      <c r="AM314" s="19">
        <f>IF(AND(ISNUMBER(L314),ISNUMBER(AL314),AL314&gt;0),L314/AL314,"")</f>
        <v/>
      </c>
      <c r="AN314" s="19">
        <f>IF(AND(ISNUMBER(AM314),ISNUMBER({ROIC})),AM314-{ROIC},"")</f>
        <v/>
      </c>
      <c r="AO314" s="17">
        <f>IF(AND(ISNUMBER(AC314),ISNUMBER(M314)),AC314+M314,"")</f>
        <v/>
      </c>
      <c r="AP314" s="20">
        <f>IF(AND(ISNUMBER(AF314),ISNUMBER(R314),ISNUMBER(AO314),AO314&gt;0),(AF314-R314)/AO314,"")</f>
        <v/>
      </c>
      <c r="AQ314" s="20">
        <f>IF(AND(ISNUMBER(AC314),ISNUMBER(I314),I314&lt;&gt;0,AC314&gt;0),AC314/I314,"")</f>
        <v/>
      </c>
      <c r="AR314" s="17">
        <f>IF(AND(ISNUMBER(W314),ISNUMBER(Y314)),W314-IF(ISNUMBER(R314),R314,0)-(Y314-IF(ISNUMBER(T314),T314,0)),"")</f>
        <v/>
      </c>
      <c r="AS314" s="17">
        <f>IF(AND(ISNUMBER(X314),ISNUMBER(Z314)),X314-IF(ISNUMBER(S314),S314,0)-(Z314-IF(ISNUMBER(U314),U314,0)),"")</f>
        <v/>
      </c>
      <c r="AT314" s="17">
        <f>IF(AND(ISNUMBER(AR314),ISNUMBER(AS314)),AR314-AS314,"")</f>
        <v/>
      </c>
      <c r="AU314" s="17">
        <f>IF(E314="금융","",IF(AND(ISNUMBER(L314),ISNUMBER(M314),ISNUMBER(N314),ISNUMBER(AT314)),L314+M314-N314-AT314,IF(AND(ISNUMBER(O314),ISNUMBER(N314)),O314-N314,"")))</f>
        <v/>
      </c>
      <c r="AV314" s="8">
        <f>IF(E314="금융","금융업 - 정의되지 않음",IF(AND(ISNUMBER(L314),ISNUMBER(M314),ISNUMBER(N314),ISNUMBER(AT314)),"순이익+감가상각-설비투자-운전자본증감",IF(AND(ISNUMBER(O314),ISNUMBER(N314)),"영업현금흐름-설비투자","산출불가")))</f>
        <v/>
      </c>
      <c r="AW314" s="19">
        <f>IF(AND(ISNUMBER(AU314),ISNUMBER(G314),G314&lt;&gt;0),AU314/G314,"")</f>
        <v/>
      </c>
      <c r="AX314" s="19">
        <f>IF(AND(ISNUMBER(AC314),ISNUMBER(G314),G314&lt;&gt;0),AC314/G314,"")</f>
        <v/>
      </c>
    </row>
    <row r="315">
      <c r="A315" s="8" t="inlineStr">
        <is>
          <t>LRCX</t>
        </is>
      </c>
      <c r="B315" s="8" t="inlineStr">
        <is>
          <t>LAM RESEARCH CORP</t>
        </is>
      </c>
      <c r="C315" s="8" t="n">
        <v>2019</v>
      </c>
      <c r="D315" s="8" t="inlineStr">
        <is>
          <t>2019-06-30</t>
        </is>
      </c>
      <c r="E315" s="8" t="inlineStr">
        <is>
          <t>일반</t>
        </is>
      </c>
      <c r="F315" s="8" t="inlineStr">
        <is>
          <t>0000707549-21-000136</t>
        </is>
      </c>
      <c r="G315" s="15" t="n">
        <v>9.653559</v>
      </c>
      <c r="H315" s="15" t="n"/>
      <c r="I315" s="15" t="n">
        <v>0.110161</v>
      </c>
      <c r="J315" s="15" t="n">
        <v>0.255141</v>
      </c>
      <c r="K315" s="15" t="n">
        <v>2.464732</v>
      </c>
      <c r="L315" s="15" t="n">
        <v>2.19143</v>
      </c>
      <c r="M315" s="15" t="n">
        <v>0.309281</v>
      </c>
      <c r="N315" s="15" t="n">
        <v>0.303491</v>
      </c>
      <c r="O315" s="15" t="n">
        <v>3.176013</v>
      </c>
      <c r="P315" s="15" t="n">
        <v>4.673865</v>
      </c>
      <c r="Q315" s="15" t="n">
        <v>6.641206</v>
      </c>
      <c r="R315" s="15" t="n">
        <v>3.658219</v>
      </c>
      <c r="S315" s="15" t="n">
        <v>4.512257</v>
      </c>
      <c r="T315" s="15" t="n">
        <v>0.662308</v>
      </c>
      <c r="U315" s="15" t="n">
        <v>0.608532</v>
      </c>
      <c r="V315" s="15" t="n">
        <v>3.767703</v>
      </c>
      <c r="W315" s="15" t="n">
        <v>8.560409</v>
      </c>
      <c r="X315" s="15" t="n">
        <v>9.149910999999999</v>
      </c>
      <c r="Y315" s="15" t="n">
        <v>2.37165</v>
      </c>
      <c r="Z315" s="15" t="n">
        <v>3.150308</v>
      </c>
      <c r="AA315" s="15" t="n">
        <v>4.497697</v>
      </c>
      <c r="AB315" s="16" t="n">
        <v>1444.33</v>
      </c>
      <c r="AC315" s="17">
        <f>IF(AND(ISNUMBER(H315),ISNUMBER(I315)),H315+I315,IF(ISNUMBER(K315),K315,IF(ISNUMBER(H315),H315,"")))</f>
        <v/>
      </c>
      <c r="AD315" s="18">
        <f>IF(OR(NOT(ISNUMBER(J315)),NOT(ISNUMBER(H315)),H315&lt;=0),기준표!$B$8,MIN(MAX(J315/H315,기준표!$B$6),기준표!$B$7))</f>
        <v/>
      </c>
      <c r="AE315" s="17">
        <f>IF(ISNUMBER(AC315),AC315*(1-AD315),"")</f>
        <v/>
      </c>
      <c r="AF315" s="17">
        <f>IF(AND(NOT(ISNUMBER(T315)),NOT(ISNUMBER(V315))),"",IF(ISNUMBER(T315),T315,0)+IF(ISNUMBER(V315),V315,0))</f>
        <v/>
      </c>
      <c r="AG315" s="17">
        <f>IF(E315="금융","",IF(AND(ISNUMBER(P315),ISNUMBER(AF315),ISNUMBER(R315)),P315+AF315-R315,""))</f>
        <v/>
      </c>
      <c r="AH315" s="17">
        <f>IF(E315="금융","",IF(NOT(ISNUMBER(AG315)),"",IF(ISNUMBER(AA315),(AG315+AA315)/2,AG315)))</f>
        <v/>
      </c>
      <c r="AI315" s="19">
        <f>IF(AND(ISNUMBER(AE315),ISNUMBER(AH315),AH315&gt;0),AE315/AH315,"")</f>
        <v/>
      </c>
      <c r="AJ315" s="17">
        <f>IF(E315="금융","",IF(AND(ISNUMBER(P315),ISNUMBER(AF315)),P315+AF315,""))</f>
        <v/>
      </c>
      <c r="AK315" s="19">
        <f>IF(OR(NOT(ISNUMBER(AE315)),NOT(ISNUMBER(AJ315)),AJ315&lt;=0),"",IF(AND(ISNUMBER(G315),AJ315&lt;0.1*G315),"",AE315/AJ315))</f>
        <v/>
      </c>
      <c r="AL315" s="17">
        <f>IF(NOT(ISNUMBER(P315)),"",IF(ISNUMBER(Q315),(P315+Q315)/2,P315))</f>
        <v/>
      </c>
      <c r="AM315" s="19">
        <f>IF(AND(ISNUMBER(L315),ISNUMBER(AL315),AL315&gt;0),L315/AL315,"")</f>
        <v/>
      </c>
      <c r="AN315" s="19">
        <f>IF(AND(ISNUMBER(AM315),ISNUMBER({ROIC})),AM315-{ROIC},"")</f>
        <v/>
      </c>
      <c r="AO315" s="17">
        <f>IF(AND(ISNUMBER(AC315),ISNUMBER(M315)),AC315+M315,"")</f>
        <v/>
      </c>
      <c r="AP315" s="20">
        <f>IF(AND(ISNUMBER(AF315),ISNUMBER(R315),ISNUMBER(AO315),AO315&gt;0),(AF315-R315)/AO315,"")</f>
        <v/>
      </c>
      <c r="AQ315" s="20">
        <f>IF(AND(ISNUMBER(AC315),ISNUMBER(I315),I315&lt;&gt;0,AC315&gt;0),AC315/I315,"")</f>
        <v/>
      </c>
      <c r="AR315" s="17">
        <f>IF(AND(ISNUMBER(W315),ISNUMBER(Y315)),W315-IF(ISNUMBER(R315),R315,0)-(Y315-IF(ISNUMBER(T315),T315,0)),"")</f>
        <v/>
      </c>
      <c r="AS315" s="17">
        <f>IF(AND(ISNUMBER(X315),ISNUMBER(Z315)),X315-IF(ISNUMBER(S315),S315,0)-(Z315-IF(ISNUMBER(U315),U315,0)),"")</f>
        <v/>
      </c>
      <c r="AT315" s="17">
        <f>IF(AND(ISNUMBER(AR315),ISNUMBER(AS315)),AR315-AS315,"")</f>
        <v/>
      </c>
      <c r="AU315" s="17">
        <f>IF(E315="금융","",IF(AND(ISNUMBER(L315),ISNUMBER(M315),ISNUMBER(N315),ISNUMBER(AT315)),L315+M315-N315-AT315,IF(AND(ISNUMBER(O315),ISNUMBER(N315)),O315-N315,"")))</f>
        <v/>
      </c>
      <c r="AV315" s="8">
        <f>IF(E315="금융","금융업 - 정의되지 않음",IF(AND(ISNUMBER(L315),ISNUMBER(M315),ISNUMBER(N315),ISNUMBER(AT315)),"순이익+감가상각-설비투자-운전자본증감",IF(AND(ISNUMBER(O315),ISNUMBER(N315)),"영업현금흐름-설비투자","산출불가")))</f>
        <v/>
      </c>
      <c r="AW315" s="19">
        <f>IF(AND(ISNUMBER(AU315),ISNUMBER(G315),G315&lt;&gt;0),AU315/G315,"")</f>
        <v/>
      </c>
      <c r="AX315" s="19">
        <f>IF(AND(ISNUMBER(AC315),ISNUMBER(G315),G315&lt;&gt;0),AC315/G315,"")</f>
        <v/>
      </c>
    </row>
    <row r="316">
      <c r="A316" s="8" t="inlineStr">
        <is>
          <t>LRCX</t>
        </is>
      </c>
      <c r="B316" s="8" t="inlineStr">
        <is>
          <t>LAM RESEARCH CORP</t>
        </is>
      </c>
      <c r="C316" s="8" t="n">
        <v>2020</v>
      </c>
      <c r="D316" s="8" t="inlineStr">
        <is>
          <t>2020-06-28</t>
        </is>
      </c>
      <c r="E316" s="8" t="inlineStr">
        <is>
          <t>일반</t>
        </is>
      </c>
      <c r="F316" s="8" t="inlineStr">
        <is>
          <t>0000707549-22-000107</t>
        </is>
      </c>
      <c r="G316" s="15" t="n">
        <v>10.044736</v>
      </c>
      <c r="H316" s="15" t="n">
        <v>2.574978</v>
      </c>
      <c r="I316" s="15" t="n">
        <v>0.176432</v>
      </c>
      <c r="J316" s="15" t="n">
        <v>0.323225</v>
      </c>
      <c r="K316" s="15" t="n">
        <v>2.673802</v>
      </c>
      <c r="L316" s="15" t="n">
        <v>2.251753</v>
      </c>
      <c r="M316" s="15" t="n">
        <v>0.268525</v>
      </c>
      <c r="N316" s="15" t="n">
        <v>0.203239</v>
      </c>
      <c r="O316" s="15" t="n">
        <v>2.126451</v>
      </c>
      <c r="P316" s="15" t="n">
        <v>5.172494</v>
      </c>
      <c r="Q316" s="15" t="n">
        <v>4.673865</v>
      </c>
      <c r="R316" s="15" t="n">
        <v>4.915172</v>
      </c>
      <c r="S316" s="15" t="n">
        <v>3.658219</v>
      </c>
      <c r="T316" s="15" t="n">
        <v>0.836107</v>
      </c>
      <c r="U316" s="15" t="n">
        <v>0.662308</v>
      </c>
      <c r="V316" s="15" t="n">
        <v>4.959371</v>
      </c>
      <c r="W316" s="15" t="n">
        <v>10.853535</v>
      </c>
      <c r="X316" s="15" t="n">
        <v>8.560409</v>
      </c>
      <c r="Y316" s="15" t="n">
        <v>3.162442</v>
      </c>
      <c r="Z316" s="15" t="n">
        <v>2.37165</v>
      </c>
      <c r="AA316" s="15" t="n">
        <v>5.445657</v>
      </c>
      <c r="AB316" s="16" t="n">
        <v>1453.31</v>
      </c>
      <c r="AC316" s="17">
        <f>IF(AND(ISNUMBER(H316),ISNUMBER(I316)),H316+I316,IF(ISNUMBER(K316),K316,IF(ISNUMBER(H316),H316,"")))</f>
        <v/>
      </c>
      <c r="AD316" s="18">
        <f>IF(OR(NOT(ISNUMBER(J316)),NOT(ISNUMBER(H316)),H316&lt;=0),기준표!$B$8,MIN(MAX(J316/H316,기준표!$B$6),기준표!$B$7))</f>
        <v/>
      </c>
      <c r="AE316" s="17">
        <f>IF(ISNUMBER(AC316),AC316*(1-AD316),"")</f>
        <v/>
      </c>
      <c r="AF316" s="17">
        <f>IF(AND(NOT(ISNUMBER(T316)),NOT(ISNUMBER(V316))),"",IF(ISNUMBER(T316),T316,0)+IF(ISNUMBER(V316),V316,0))</f>
        <v/>
      </c>
      <c r="AG316" s="17">
        <f>IF(E316="금융","",IF(AND(ISNUMBER(P316),ISNUMBER(AF316),ISNUMBER(R316)),P316+AF316-R316,""))</f>
        <v/>
      </c>
      <c r="AH316" s="17">
        <f>IF(E316="금융","",IF(NOT(ISNUMBER(AG316)),"",IF(ISNUMBER(AA316),(AG316+AA316)/2,AG316)))</f>
        <v/>
      </c>
      <c r="AI316" s="19">
        <f>IF(AND(ISNUMBER(AE316),ISNUMBER(AH316),AH316&gt;0),AE316/AH316,"")</f>
        <v/>
      </c>
      <c r="AJ316" s="17">
        <f>IF(E316="금융","",IF(AND(ISNUMBER(P316),ISNUMBER(AF316)),P316+AF316,""))</f>
        <v/>
      </c>
      <c r="AK316" s="19">
        <f>IF(OR(NOT(ISNUMBER(AE316)),NOT(ISNUMBER(AJ316)),AJ316&lt;=0),"",IF(AND(ISNUMBER(G316),AJ316&lt;0.1*G316),"",AE316/AJ316))</f>
        <v/>
      </c>
      <c r="AL316" s="17">
        <f>IF(NOT(ISNUMBER(P316)),"",IF(ISNUMBER(Q316),(P316+Q316)/2,P316))</f>
        <v/>
      </c>
      <c r="AM316" s="19">
        <f>IF(AND(ISNUMBER(L316),ISNUMBER(AL316),AL316&gt;0),L316/AL316,"")</f>
        <v/>
      </c>
      <c r="AN316" s="19">
        <f>IF(AND(ISNUMBER(AM316),ISNUMBER({ROIC})),AM316-{ROIC},"")</f>
        <v/>
      </c>
      <c r="AO316" s="17">
        <f>IF(AND(ISNUMBER(AC316),ISNUMBER(M316)),AC316+M316,"")</f>
        <v/>
      </c>
      <c r="AP316" s="20">
        <f>IF(AND(ISNUMBER(AF316),ISNUMBER(R316),ISNUMBER(AO316),AO316&gt;0),(AF316-R316)/AO316,"")</f>
        <v/>
      </c>
      <c r="AQ316" s="20">
        <f>IF(AND(ISNUMBER(AC316),ISNUMBER(I316),I316&lt;&gt;0,AC316&gt;0),AC316/I316,"")</f>
        <v/>
      </c>
      <c r="AR316" s="17">
        <f>IF(AND(ISNUMBER(W316),ISNUMBER(Y316)),W316-IF(ISNUMBER(R316),R316,0)-(Y316-IF(ISNUMBER(T316),T316,0)),"")</f>
        <v/>
      </c>
      <c r="AS316" s="17">
        <f>IF(AND(ISNUMBER(X316),ISNUMBER(Z316)),X316-IF(ISNUMBER(S316),S316,0)-(Z316-IF(ISNUMBER(U316),U316,0)),"")</f>
        <v/>
      </c>
      <c r="AT316" s="17">
        <f>IF(AND(ISNUMBER(AR316),ISNUMBER(AS316)),AR316-AS316,"")</f>
        <v/>
      </c>
      <c r="AU316" s="17">
        <f>IF(E316="금융","",IF(AND(ISNUMBER(L316),ISNUMBER(M316),ISNUMBER(N316),ISNUMBER(AT316)),L316+M316-N316-AT316,IF(AND(ISNUMBER(O316),ISNUMBER(N316)),O316-N316,"")))</f>
        <v/>
      </c>
      <c r="AV316" s="8">
        <f>IF(E316="금융","금융업 - 정의되지 않음",IF(AND(ISNUMBER(L316),ISNUMBER(M316),ISNUMBER(N316),ISNUMBER(AT316)),"순이익+감가상각-설비투자-운전자본증감",IF(AND(ISNUMBER(O316),ISNUMBER(N316)),"영업현금흐름-설비투자","산출불가")))</f>
        <v/>
      </c>
      <c r="AW316" s="19">
        <f>IF(AND(ISNUMBER(AU316),ISNUMBER(G316),G316&lt;&gt;0),AU316/G316,"")</f>
        <v/>
      </c>
      <c r="AX316" s="19">
        <f>IF(AND(ISNUMBER(AC316),ISNUMBER(G316),G316&lt;&gt;0),AC316/G316,"")</f>
        <v/>
      </c>
    </row>
    <row r="317">
      <c r="A317" s="8" t="inlineStr">
        <is>
          <t>LRCX</t>
        </is>
      </c>
      <c r="B317" s="8" t="inlineStr">
        <is>
          <t>LAM RESEARCH CORP</t>
        </is>
      </c>
      <c r="C317" s="8" t="n">
        <v>2021</v>
      </c>
      <c r="D317" s="8" t="inlineStr">
        <is>
          <t>2021-06-27</t>
        </is>
      </c>
      <c r="E317" s="8" t="inlineStr">
        <is>
          <t>일반</t>
        </is>
      </c>
      <c r="F317" s="8" t="inlineStr">
        <is>
          <t>0000707549-23-000102</t>
        </is>
      </c>
      <c r="G317" s="15" t="n">
        <v>14.62615</v>
      </c>
      <c r="H317" s="15" t="n">
        <v>4.370804</v>
      </c>
      <c r="I317" s="15" t="n">
        <v>0.20501</v>
      </c>
      <c r="J317" s="15" t="n">
        <v>0.462346</v>
      </c>
      <c r="K317" s="15" t="n">
        <v>4.482023</v>
      </c>
      <c r="L317" s="15" t="n">
        <v>3.908458</v>
      </c>
      <c r="M317" s="15" t="n">
        <v>0.307151</v>
      </c>
      <c r="N317" s="15" t="n">
        <v>0.349096</v>
      </c>
      <c r="O317" s="15" t="n">
        <v>3.588163</v>
      </c>
      <c r="P317" s="15" t="n">
        <v>6.027188</v>
      </c>
      <c r="Q317" s="15" t="n">
        <v>5.172494</v>
      </c>
      <c r="R317" s="15" t="n">
        <v>4.418263</v>
      </c>
      <c r="S317" s="15" t="n">
        <v>4.915172</v>
      </c>
      <c r="T317" s="15" t="n">
        <v>0</v>
      </c>
      <c r="U317" s="15" t="n">
        <v>0.836107</v>
      </c>
      <c r="V317" s="15" t="n">
        <v>4.960935</v>
      </c>
      <c r="W317" s="15" t="n">
        <v>11.652387</v>
      </c>
      <c r="X317" s="15" t="n">
        <v>10.853535</v>
      </c>
      <c r="Y317" s="15" t="n">
        <v>3.527867</v>
      </c>
      <c r="Z317" s="15" t="n">
        <v>3.162442</v>
      </c>
      <c r="AA317" s="15" t="n">
        <v>6.0528</v>
      </c>
      <c r="AB317" s="16" t="n">
        <v>1425.01</v>
      </c>
      <c r="AC317" s="17">
        <f>IF(AND(ISNUMBER(H317),ISNUMBER(I317)),H317+I317,IF(ISNUMBER(K317),K317,IF(ISNUMBER(H317),H317,"")))</f>
        <v/>
      </c>
      <c r="AD317" s="18">
        <f>IF(OR(NOT(ISNUMBER(J317)),NOT(ISNUMBER(H317)),H317&lt;=0),기준표!$B$8,MIN(MAX(J317/H317,기준표!$B$6),기준표!$B$7))</f>
        <v/>
      </c>
      <c r="AE317" s="17">
        <f>IF(ISNUMBER(AC317),AC317*(1-AD317),"")</f>
        <v/>
      </c>
      <c r="AF317" s="17">
        <f>IF(AND(NOT(ISNUMBER(T317)),NOT(ISNUMBER(V317))),"",IF(ISNUMBER(T317),T317,0)+IF(ISNUMBER(V317),V317,0))</f>
        <v/>
      </c>
      <c r="AG317" s="17">
        <f>IF(E317="금융","",IF(AND(ISNUMBER(P317),ISNUMBER(AF317),ISNUMBER(R317)),P317+AF317-R317,""))</f>
        <v/>
      </c>
      <c r="AH317" s="17">
        <f>IF(E317="금융","",IF(NOT(ISNUMBER(AG317)),"",IF(ISNUMBER(AA317),(AG317+AA317)/2,AG317)))</f>
        <v/>
      </c>
      <c r="AI317" s="19">
        <f>IF(AND(ISNUMBER(AE317),ISNUMBER(AH317),AH317&gt;0),AE317/AH317,"")</f>
        <v/>
      </c>
      <c r="AJ317" s="17">
        <f>IF(E317="금융","",IF(AND(ISNUMBER(P317),ISNUMBER(AF317)),P317+AF317,""))</f>
        <v/>
      </c>
      <c r="AK317" s="19">
        <f>IF(OR(NOT(ISNUMBER(AE317)),NOT(ISNUMBER(AJ317)),AJ317&lt;=0),"",IF(AND(ISNUMBER(G317),AJ317&lt;0.1*G317),"",AE317/AJ317))</f>
        <v/>
      </c>
      <c r="AL317" s="17">
        <f>IF(NOT(ISNUMBER(P317)),"",IF(ISNUMBER(Q317),(P317+Q317)/2,P317))</f>
        <v/>
      </c>
      <c r="AM317" s="19">
        <f>IF(AND(ISNUMBER(L317),ISNUMBER(AL317),AL317&gt;0),L317/AL317,"")</f>
        <v/>
      </c>
      <c r="AN317" s="19">
        <f>IF(AND(ISNUMBER(AM317),ISNUMBER({ROIC})),AM317-{ROIC},"")</f>
        <v/>
      </c>
      <c r="AO317" s="17">
        <f>IF(AND(ISNUMBER(AC317),ISNUMBER(M317)),AC317+M317,"")</f>
        <v/>
      </c>
      <c r="AP317" s="20">
        <f>IF(AND(ISNUMBER(AF317),ISNUMBER(R317),ISNUMBER(AO317),AO317&gt;0),(AF317-R317)/AO317,"")</f>
        <v/>
      </c>
      <c r="AQ317" s="20">
        <f>IF(AND(ISNUMBER(AC317),ISNUMBER(I317),I317&lt;&gt;0,AC317&gt;0),AC317/I317,"")</f>
        <v/>
      </c>
      <c r="AR317" s="17">
        <f>IF(AND(ISNUMBER(W317),ISNUMBER(Y317)),W317-IF(ISNUMBER(R317),R317,0)-(Y317-IF(ISNUMBER(T317),T317,0)),"")</f>
        <v/>
      </c>
      <c r="AS317" s="17">
        <f>IF(AND(ISNUMBER(X317),ISNUMBER(Z317)),X317-IF(ISNUMBER(S317),S317,0)-(Z317-IF(ISNUMBER(U317),U317,0)),"")</f>
        <v/>
      </c>
      <c r="AT317" s="17">
        <f>IF(AND(ISNUMBER(AR317),ISNUMBER(AS317)),AR317-AS317,"")</f>
        <v/>
      </c>
      <c r="AU317" s="17">
        <f>IF(E317="금융","",IF(AND(ISNUMBER(L317),ISNUMBER(M317),ISNUMBER(N317),ISNUMBER(AT317)),L317+M317-N317-AT317,IF(AND(ISNUMBER(O317),ISNUMBER(N317)),O317-N317,"")))</f>
        <v/>
      </c>
      <c r="AV317" s="8">
        <f>IF(E317="금융","금융업 - 정의되지 않음",IF(AND(ISNUMBER(L317),ISNUMBER(M317),ISNUMBER(N317),ISNUMBER(AT317)),"순이익+감가상각-설비투자-운전자본증감",IF(AND(ISNUMBER(O317),ISNUMBER(N317)),"영업현금흐름-설비투자","산출불가")))</f>
        <v/>
      </c>
      <c r="AW317" s="19">
        <f>IF(AND(ISNUMBER(AU317),ISNUMBER(G317),G317&lt;&gt;0),AU317/G317,"")</f>
        <v/>
      </c>
      <c r="AX317" s="19">
        <f>IF(AND(ISNUMBER(AC317),ISNUMBER(G317),G317&lt;&gt;0),AC317/G317,"")</f>
        <v/>
      </c>
    </row>
    <row r="318">
      <c r="A318" s="8" t="inlineStr">
        <is>
          <t>LRCX</t>
        </is>
      </c>
      <c r="B318" s="8" t="inlineStr">
        <is>
          <t>LAM RESEARCH CORP</t>
        </is>
      </c>
      <c r="C318" s="8" t="n">
        <v>2022</v>
      </c>
      <c r="D318" s="8" t="inlineStr">
        <is>
          <t>2022-06-26</t>
        </is>
      </c>
      <c r="E318" s="8" t="inlineStr">
        <is>
          <t>일반</t>
        </is>
      </c>
      <c r="F318" s="8" t="inlineStr">
        <is>
          <t>0000707549-24-000106</t>
        </is>
      </c>
      <c r="G318" s="15" t="n">
        <v>17.227039</v>
      </c>
      <c r="H318" s="15" t="n">
        <v>5.193114</v>
      </c>
      <c r="I318" s="15" t="n">
        <v>0.181701</v>
      </c>
      <c r="J318" s="15" t="n">
        <v>0.587828</v>
      </c>
      <c r="K318" s="15" t="n">
        <v>5.381822</v>
      </c>
      <c r="L318" s="15" t="n">
        <v>4.605286</v>
      </c>
      <c r="M318" s="15" t="n">
        <v>0.333739</v>
      </c>
      <c r="N318" s="15" t="n">
        <v>0.546034</v>
      </c>
      <c r="O318" s="15" t="n">
        <v>3.099674</v>
      </c>
      <c r="P318" s="15" t="n">
        <v>6.278366</v>
      </c>
      <c r="Q318" s="15" t="n">
        <v>6.027188</v>
      </c>
      <c r="R318" s="15" t="n">
        <v>3.522001</v>
      </c>
      <c r="S318" s="15" t="n">
        <v>4.418263</v>
      </c>
      <c r="T318" s="15" t="n">
        <v>0</v>
      </c>
      <c r="U318" s="15" t="n">
        <v>0</v>
      </c>
      <c r="V318" s="15" t="n">
        <v>4.962459</v>
      </c>
      <c r="W318" s="15" t="n">
        <v>12.285235</v>
      </c>
      <c r="X318" s="15" t="n">
        <v>11.652387</v>
      </c>
      <c r="Y318" s="15" t="n">
        <v>4.564759</v>
      </c>
      <c r="Z318" s="15" t="n">
        <v>3.527867</v>
      </c>
      <c r="AA318" s="15" t="n">
        <v>6.56986</v>
      </c>
      <c r="AB318" s="16" t="n">
        <v>1369.75</v>
      </c>
      <c r="AC318" s="17">
        <f>IF(AND(ISNUMBER(H318),ISNUMBER(I318)),H318+I318,IF(ISNUMBER(K318),K318,IF(ISNUMBER(H318),H318,"")))</f>
        <v/>
      </c>
      <c r="AD318" s="18">
        <f>IF(OR(NOT(ISNUMBER(J318)),NOT(ISNUMBER(H318)),H318&lt;=0),기준표!$B$8,MIN(MAX(J318/H318,기준표!$B$6),기준표!$B$7))</f>
        <v/>
      </c>
      <c r="AE318" s="17">
        <f>IF(ISNUMBER(AC318),AC318*(1-AD318),"")</f>
        <v/>
      </c>
      <c r="AF318" s="17">
        <f>IF(AND(NOT(ISNUMBER(T318)),NOT(ISNUMBER(V318))),"",IF(ISNUMBER(T318),T318,0)+IF(ISNUMBER(V318),V318,0))</f>
        <v/>
      </c>
      <c r="AG318" s="17">
        <f>IF(E318="금융","",IF(AND(ISNUMBER(P318),ISNUMBER(AF318),ISNUMBER(R318)),P318+AF318-R318,""))</f>
        <v/>
      </c>
      <c r="AH318" s="17">
        <f>IF(E318="금융","",IF(NOT(ISNUMBER(AG318)),"",IF(ISNUMBER(AA318),(AG318+AA318)/2,AG318)))</f>
        <v/>
      </c>
      <c r="AI318" s="19">
        <f>IF(AND(ISNUMBER(AE318),ISNUMBER(AH318),AH318&gt;0),AE318/AH318,"")</f>
        <v/>
      </c>
      <c r="AJ318" s="17">
        <f>IF(E318="금융","",IF(AND(ISNUMBER(P318),ISNUMBER(AF318)),P318+AF318,""))</f>
        <v/>
      </c>
      <c r="AK318" s="19">
        <f>IF(OR(NOT(ISNUMBER(AE318)),NOT(ISNUMBER(AJ318)),AJ318&lt;=0),"",IF(AND(ISNUMBER(G318),AJ318&lt;0.1*G318),"",AE318/AJ318))</f>
        <v/>
      </c>
      <c r="AL318" s="17">
        <f>IF(NOT(ISNUMBER(P318)),"",IF(ISNUMBER(Q318),(P318+Q318)/2,P318))</f>
        <v/>
      </c>
      <c r="AM318" s="19">
        <f>IF(AND(ISNUMBER(L318),ISNUMBER(AL318),AL318&gt;0),L318/AL318,"")</f>
        <v/>
      </c>
      <c r="AN318" s="19">
        <f>IF(AND(ISNUMBER(AM318),ISNUMBER({ROIC})),AM318-{ROIC},"")</f>
        <v/>
      </c>
      <c r="AO318" s="17">
        <f>IF(AND(ISNUMBER(AC318),ISNUMBER(M318)),AC318+M318,"")</f>
        <v/>
      </c>
      <c r="AP318" s="20">
        <f>IF(AND(ISNUMBER(AF318),ISNUMBER(R318),ISNUMBER(AO318),AO318&gt;0),(AF318-R318)/AO318,"")</f>
        <v/>
      </c>
      <c r="AQ318" s="20">
        <f>IF(AND(ISNUMBER(AC318),ISNUMBER(I318),I318&lt;&gt;0,AC318&gt;0),AC318/I318,"")</f>
        <v/>
      </c>
      <c r="AR318" s="17">
        <f>IF(AND(ISNUMBER(W318),ISNUMBER(Y318)),W318-IF(ISNUMBER(R318),R318,0)-(Y318-IF(ISNUMBER(T318),T318,0)),"")</f>
        <v/>
      </c>
      <c r="AS318" s="17">
        <f>IF(AND(ISNUMBER(X318),ISNUMBER(Z318)),X318-IF(ISNUMBER(S318),S318,0)-(Z318-IF(ISNUMBER(U318),U318,0)),"")</f>
        <v/>
      </c>
      <c r="AT318" s="17">
        <f>IF(AND(ISNUMBER(AR318),ISNUMBER(AS318)),AR318-AS318,"")</f>
        <v/>
      </c>
      <c r="AU318" s="17">
        <f>IF(E318="금융","",IF(AND(ISNUMBER(L318),ISNUMBER(M318),ISNUMBER(N318),ISNUMBER(AT318)),L318+M318-N318-AT318,IF(AND(ISNUMBER(O318),ISNUMBER(N318)),O318-N318,"")))</f>
        <v/>
      </c>
      <c r="AV318" s="8">
        <f>IF(E318="금융","금융업 - 정의되지 않음",IF(AND(ISNUMBER(L318),ISNUMBER(M318),ISNUMBER(N318),ISNUMBER(AT318)),"순이익+감가상각-설비투자-운전자본증감",IF(AND(ISNUMBER(O318),ISNUMBER(N318)),"영업현금흐름-설비투자","산출불가")))</f>
        <v/>
      </c>
      <c r="AW318" s="19">
        <f>IF(AND(ISNUMBER(AU318),ISNUMBER(G318),G318&lt;&gt;0),AU318/G318,"")</f>
        <v/>
      </c>
      <c r="AX318" s="19">
        <f>IF(AND(ISNUMBER(AC318),ISNUMBER(G318),G318&lt;&gt;0),AC318/G318,"")</f>
        <v/>
      </c>
    </row>
    <row r="319">
      <c r="A319" s="8" t="inlineStr">
        <is>
          <t>LRCX</t>
        </is>
      </c>
      <c r="B319" s="8" t="inlineStr">
        <is>
          <t>LAM RESEARCH CORP</t>
        </is>
      </c>
      <c r="C319" s="8" t="n">
        <v>2023</v>
      </c>
      <c r="D319" s="8" t="inlineStr">
        <is>
          <t>2023-06-25</t>
        </is>
      </c>
      <c r="E319" s="8" t="inlineStr">
        <is>
          <t>일반</t>
        </is>
      </c>
      <c r="F319" s="8" t="inlineStr">
        <is>
          <t>0000707549-25-000075</t>
        </is>
      </c>
      <c r="G319" s="15" t="n">
        <v>17.428516</v>
      </c>
      <c r="H319" s="15" t="n">
        <v>5.10921</v>
      </c>
      <c r="I319" s="15" t="n">
        <v>0.181911</v>
      </c>
      <c r="J319" s="15" t="n">
        <v>0.598279</v>
      </c>
      <c r="K319" s="15" t="n">
        <v>5.17486</v>
      </c>
      <c r="L319" s="15" t="n">
        <v>4.510931</v>
      </c>
      <c r="M319" s="15" t="n">
        <v>0.342432</v>
      </c>
      <c r="N319" s="15" t="n">
        <v>0.501568</v>
      </c>
      <c r="O319" s="15" t="n">
        <v>5.178938</v>
      </c>
      <c r="P319" s="15" t="n">
        <v>8.210172</v>
      </c>
      <c r="Q319" s="15" t="n">
        <v>6.278366</v>
      </c>
      <c r="R319" s="15" t="n">
        <v>5.337056</v>
      </c>
      <c r="S319" s="15" t="n">
        <v>3.522001</v>
      </c>
      <c r="T319" s="15" t="n">
        <v>0.000421</v>
      </c>
      <c r="U319" s="15" t="n">
        <v>0</v>
      </c>
      <c r="V319" s="15" t="n">
        <v>4.964944</v>
      </c>
      <c r="W319" s="15" t="n">
        <v>13.228412</v>
      </c>
      <c r="X319" s="15" t="n">
        <v>12.285235</v>
      </c>
      <c r="Y319" s="15" t="n">
        <v>4.184918</v>
      </c>
      <c r="Z319" s="15" t="n">
        <v>4.564759</v>
      </c>
      <c r="AA319" s="15" t="n">
        <v>7.718824</v>
      </c>
      <c r="AB319" s="16" t="n">
        <v>1332.97</v>
      </c>
      <c r="AC319" s="17">
        <f>IF(AND(ISNUMBER(H319),ISNUMBER(I319)),H319+I319,IF(ISNUMBER(K319),K319,IF(ISNUMBER(H319),H319,"")))</f>
        <v/>
      </c>
      <c r="AD319" s="18">
        <f>IF(OR(NOT(ISNUMBER(J319)),NOT(ISNUMBER(H319)),H319&lt;=0),기준표!$B$8,MIN(MAX(J319/H319,기준표!$B$6),기준표!$B$7))</f>
        <v/>
      </c>
      <c r="AE319" s="17">
        <f>IF(ISNUMBER(AC319),AC319*(1-AD319),"")</f>
        <v/>
      </c>
      <c r="AF319" s="17">
        <f>IF(AND(NOT(ISNUMBER(T319)),NOT(ISNUMBER(V319))),"",IF(ISNUMBER(T319),T319,0)+IF(ISNUMBER(V319),V319,0))</f>
        <v/>
      </c>
      <c r="AG319" s="17">
        <f>IF(E319="금융","",IF(AND(ISNUMBER(P319),ISNUMBER(AF319),ISNUMBER(R319)),P319+AF319-R319,""))</f>
        <v/>
      </c>
      <c r="AH319" s="17">
        <f>IF(E319="금융","",IF(NOT(ISNUMBER(AG319)),"",IF(ISNUMBER(AA319),(AG319+AA319)/2,AG319)))</f>
        <v/>
      </c>
      <c r="AI319" s="19">
        <f>IF(AND(ISNUMBER(AE319),ISNUMBER(AH319),AH319&gt;0),AE319/AH319,"")</f>
        <v/>
      </c>
      <c r="AJ319" s="17">
        <f>IF(E319="금융","",IF(AND(ISNUMBER(P319),ISNUMBER(AF319)),P319+AF319,""))</f>
        <v/>
      </c>
      <c r="AK319" s="19">
        <f>IF(OR(NOT(ISNUMBER(AE319)),NOT(ISNUMBER(AJ319)),AJ319&lt;=0),"",IF(AND(ISNUMBER(G319),AJ319&lt;0.1*G319),"",AE319/AJ319))</f>
        <v/>
      </c>
      <c r="AL319" s="17">
        <f>IF(NOT(ISNUMBER(P319)),"",IF(ISNUMBER(Q319),(P319+Q319)/2,P319))</f>
        <v/>
      </c>
      <c r="AM319" s="19">
        <f>IF(AND(ISNUMBER(L319),ISNUMBER(AL319),AL319&gt;0),L319/AL319,"")</f>
        <v/>
      </c>
      <c r="AN319" s="19">
        <f>IF(AND(ISNUMBER(AM319),ISNUMBER({ROIC})),AM319-{ROIC},"")</f>
        <v/>
      </c>
      <c r="AO319" s="17">
        <f>IF(AND(ISNUMBER(AC319),ISNUMBER(M319)),AC319+M319,"")</f>
        <v/>
      </c>
      <c r="AP319" s="20">
        <f>IF(AND(ISNUMBER(AF319),ISNUMBER(R319),ISNUMBER(AO319),AO319&gt;0),(AF319-R319)/AO319,"")</f>
        <v/>
      </c>
      <c r="AQ319" s="20">
        <f>IF(AND(ISNUMBER(AC319),ISNUMBER(I319),I319&lt;&gt;0,AC319&gt;0),AC319/I319,"")</f>
        <v/>
      </c>
      <c r="AR319" s="17">
        <f>IF(AND(ISNUMBER(W319),ISNUMBER(Y319)),W319-IF(ISNUMBER(R319),R319,0)-(Y319-IF(ISNUMBER(T319),T319,0)),"")</f>
        <v/>
      </c>
      <c r="AS319" s="17">
        <f>IF(AND(ISNUMBER(X319),ISNUMBER(Z319)),X319-IF(ISNUMBER(S319),S319,0)-(Z319-IF(ISNUMBER(U319),U319,0)),"")</f>
        <v/>
      </c>
      <c r="AT319" s="17">
        <f>IF(AND(ISNUMBER(AR319),ISNUMBER(AS319)),AR319-AS319,"")</f>
        <v/>
      </c>
      <c r="AU319" s="17">
        <f>IF(E319="금융","",IF(AND(ISNUMBER(L319),ISNUMBER(M319),ISNUMBER(N319),ISNUMBER(AT319)),L319+M319-N319-AT319,IF(AND(ISNUMBER(O319),ISNUMBER(N319)),O319-N319,"")))</f>
        <v/>
      </c>
      <c r="AV319" s="8">
        <f>IF(E319="금융","금융업 - 정의되지 않음",IF(AND(ISNUMBER(L319),ISNUMBER(M319),ISNUMBER(N319),ISNUMBER(AT319)),"순이익+감가상각-설비투자-운전자본증감",IF(AND(ISNUMBER(O319),ISNUMBER(N319)),"영업현금흐름-설비투자","산출불가")))</f>
        <v/>
      </c>
      <c r="AW319" s="19">
        <f>IF(AND(ISNUMBER(AU319),ISNUMBER(G319),G319&lt;&gt;0),AU319/G319,"")</f>
        <v/>
      </c>
      <c r="AX319" s="19">
        <f>IF(AND(ISNUMBER(AC319),ISNUMBER(G319),G319&lt;&gt;0),AC319/G319,"")</f>
        <v/>
      </c>
    </row>
    <row r="320">
      <c r="A320" s="8" t="inlineStr">
        <is>
          <t>LRCX</t>
        </is>
      </c>
      <c r="B320" s="8" t="inlineStr">
        <is>
          <t>LAM RESEARCH CORP</t>
        </is>
      </c>
      <c r="C320" s="8" t="n">
        <v>2024</v>
      </c>
      <c r="D320" s="8" t="inlineStr">
        <is>
          <t>2024-06-30</t>
        </is>
      </c>
      <c r="E320" s="8" t="inlineStr">
        <is>
          <t>일반</t>
        </is>
      </c>
      <c r="F320" s="8" t="inlineStr">
        <is>
          <t>0000707549-26-000037</t>
        </is>
      </c>
      <c r="G320" s="15" t="n">
        <v>14.905386</v>
      </c>
      <c r="H320" s="15" t="n">
        <v>4.360222</v>
      </c>
      <c r="I320" s="15" t="n">
        <v>0.183035</v>
      </c>
      <c r="J320" s="15" t="n">
        <v>0.53245</v>
      </c>
      <c r="K320" s="15" t="n">
        <v>4.263913</v>
      </c>
      <c r="L320" s="15" t="n">
        <v>3.827772</v>
      </c>
      <c r="M320" s="15" t="n">
        <v>0.359699</v>
      </c>
      <c r="N320" s="15" t="n">
        <v>0.39667</v>
      </c>
      <c r="O320" s="15" t="n">
        <v>4.652269</v>
      </c>
      <c r="P320" s="15" t="n">
        <v>8.539453999999999</v>
      </c>
      <c r="Q320" s="15" t="n">
        <v>8.210172</v>
      </c>
      <c r="R320" s="15" t="n">
        <v>5.847856</v>
      </c>
      <c r="S320" s="15" t="n">
        <v>5.337056</v>
      </c>
      <c r="T320" s="15" t="n">
        <v>0.501316</v>
      </c>
      <c r="U320" s="15" t="n">
        <v>0.000421</v>
      </c>
      <c r="V320" s="15" t="n">
        <v>4.466045</v>
      </c>
      <c r="W320" s="15" t="n">
        <v>12.88322</v>
      </c>
      <c r="X320" s="15" t="n">
        <v>13.228412</v>
      </c>
      <c r="Y320" s="15" t="n">
        <v>4.338438</v>
      </c>
      <c r="Z320" s="15" t="n">
        <v>4.184918</v>
      </c>
      <c r="AA320" s="15" t="n">
        <v>7.838481</v>
      </c>
      <c r="AB320" s="16" t="n">
        <v>1303.769</v>
      </c>
      <c r="AC320" s="17">
        <f>IF(AND(ISNUMBER(H320),ISNUMBER(I320)),H320+I320,IF(ISNUMBER(K320),K320,IF(ISNUMBER(H320),H320,"")))</f>
        <v/>
      </c>
      <c r="AD320" s="18">
        <f>IF(OR(NOT(ISNUMBER(J320)),NOT(ISNUMBER(H320)),H320&lt;=0),기준표!$B$8,MIN(MAX(J320/H320,기준표!$B$6),기준표!$B$7))</f>
        <v/>
      </c>
      <c r="AE320" s="17">
        <f>IF(ISNUMBER(AC320),AC320*(1-AD320),"")</f>
        <v/>
      </c>
      <c r="AF320" s="17">
        <f>IF(AND(NOT(ISNUMBER(T320)),NOT(ISNUMBER(V320))),"",IF(ISNUMBER(T320),T320,0)+IF(ISNUMBER(V320),V320,0))</f>
        <v/>
      </c>
      <c r="AG320" s="17">
        <f>IF(E320="금융","",IF(AND(ISNUMBER(P320),ISNUMBER(AF320),ISNUMBER(R320)),P320+AF320-R320,""))</f>
        <v/>
      </c>
      <c r="AH320" s="17">
        <f>IF(E320="금융","",IF(NOT(ISNUMBER(AG320)),"",IF(ISNUMBER(AA320),(AG320+AA320)/2,AG320)))</f>
        <v/>
      </c>
      <c r="AI320" s="19">
        <f>IF(AND(ISNUMBER(AE320),ISNUMBER(AH320),AH320&gt;0),AE320/AH320,"")</f>
        <v/>
      </c>
      <c r="AJ320" s="17">
        <f>IF(E320="금융","",IF(AND(ISNUMBER(P320),ISNUMBER(AF320)),P320+AF320,""))</f>
        <v/>
      </c>
      <c r="AK320" s="19">
        <f>IF(OR(NOT(ISNUMBER(AE320)),NOT(ISNUMBER(AJ320)),AJ320&lt;=0),"",IF(AND(ISNUMBER(G320),AJ320&lt;0.1*G320),"",AE320/AJ320))</f>
        <v/>
      </c>
      <c r="AL320" s="17">
        <f>IF(NOT(ISNUMBER(P320)),"",IF(ISNUMBER(Q320),(P320+Q320)/2,P320))</f>
        <v/>
      </c>
      <c r="AM320" s="19">
        <f>IF(AND(ISNUMBER(L320),ISNUMBER(AL320),AL320&gt;0),L320/AL320,"")</f>
        <v/>
      </c>
      <c r="AN320" s="19">
        <f>IF(AND(ISNUMBER(AM320),ISNUMBER({ROIC})),AM320-{ROIC},"")</f>
        <v/>
      </c>
      <c r="AO320" s="17">
        <f>IF(AND(ISNUMBER(AC320),ISNUMBER(M320)),AC320+M320,"")</f>
        <v/>
      </c>
      <c r="AP320" s="20">
        <f>IF(AND(ISNUMBER(AF320),ISNUMBER(R320),ISNUMBER(AO320),AO320&gt;0),(AF320-R320)/AO320,"")</f>
        <v/>
      </c>
      <c r="AQ320" s="20">
        <f>IF(AND(ISNUMBER(AC320),ISNUMBER(I320),I320&lt;&gt;0,AC320&gt;0),AC320/I320,"")</f>
        <v/>
      </c>
      <c r="AR320" s="17">
        <f>IF(AND(ISNUMBER(W320),ISNUMBER(Y320)),W320-IF(ISNUMBER(R320),R320,0)-(Y320-IF(ISNUMBER(T320),T320,0)),"")</f>
        <v/>
      </c>
      <c r="AS320" s="17">
        <f>IF(AND(ISNUMBER(X320),ISNUMBER(Z320)),X320-IF(ISNUMBER(S320),S320,0)-(Z320-IF(ISNUMBER(U320),U320,0)),"")</f>
        <v/>
      </c>
      <c r="AT320" s="17">
        <f>IF(AND(ISNUMBER(AR320),ISNUMBER(AS320)),AR320-AS320,"")</f>
        <v/>
      </c>
      <c r="AU320" s="17">
        <f>IF(E320="금융","",IF(AND(ISNUMBER(L320),ISNUMBER(M320),ISNUMBER(N320),ISNUMBER(AT320)),L320+M320-N320-AT320,IF(AND(ISNUMBER(O320),ISNUMBER(N320)),O320-N320,"")))</f>
        <v/>
      </c>
      <c r="AV320" s="8">
        <f>IF(E320="금융","금융업 - 정의되지 않음",IF(AND(ISNUMBER(L320),ISNUMBER(M320),ISNUMBER(N320),ISNUMBER(AT320)),"순이익+감가상각-설비투자-운전자본증감",IF(AND(ISNUMBER(O320),ISNUMBER(N320)),"영업현금흐름-설비투자","산출불가")))</f>
        <v/>
      </c>
      <c r="AW320" s="19">
        <f>IF(AND(ISNUMBER(AU320),ISNUMBER(G320),G320&lt;&gt;0),AU320/G320,"")</f>
        <v/>
      </c>
      <c r="AX320" s="19">
        <f>IF(AND(ISNUMBER(AC320),ISNUMBER(G320),G320&lt;&gt;0),AC320/G320,"")</f>
        <v/>
      </c>
    </row>
    <row r="321">
      <c r="A321" s="8" t="inlineStr">
        <is>
          <t>LRCX</t>
        </is>
      </c>
      <c r="B321" s="8" t="inlineStr">
        <is>
          <t>LAM RESEARCH CORP</t>
        </is>
      </c>
      <c r="C321" s="8" t="n">
        <v>2025</v>
      </c>
      <c r="D321" s="8" t="inlineStr">
        <is>
          <t>2025-06-29</t>
        </is>
      </c>
      <c r="E321" s="8" t="inlineStr">
        <is>
          <t>일반</t>
        </is>
      </c>
      <c r="F321" s="8" t="inlineStr">
        <is>
          <t>0000707549-26-000037</t>
        </is>
      </c>
      <c r="G321" s="15" t="n">
        <v>18.435591</v>
      </c>
      <c r="H321" s="15" t="n">
        <v>5.958129</v>
      </c>
      <c r="I321" s="15" t="n">
        <v>0.177219</v>
      </c>
      <c r="J321" s="15" t="n">
        <v>0.599912</v>
      </c>
      <c r="K321" s="15" t="n">
        <v>5.900968</v>
      </c>
      <c r="L321" s="15" t="n">
        <v>5.358217</v>
      </c>
      <c r="M321" s="15" t="n">
        <v>0.386277</v>
      </c>
      <c r="N321" s="15" t="n">
        <v>0.759186</v>
      </c>
      <c r="O321" s="15" t="n">
        <v>6.173264</v>
      </c>
      <c r="P321" s="15" t="n">
        <v>9.861618999999999</v>
      </c>
      <c r="Q321" s="15" t="n">
        <v>8.539453999999999</v>
      </c>
      <c r="R321" s="15" t="n">
        <v>6.390659</v>
      </c>
      <c r="S321" s="15" t="n">
        <v>5.847856</v>
      </c>
      <c r="T321" s="15" t="n">
        <v>0.7496699999999999</v>
      </c>
      <c r="U321" s="15" t="n">
        <v>0.501316</v>
      </c>
      <c r="V321" s="15" t="n">
        <v>3.719694</v>
      </c>
      <c r="W321" s="15" t="n">
        <v>14.516995</v>
      </c>
      <c r="X321" s="15" t="n">
        <v>12.88322</v>
      </c>
      <c r="Y321" s="15" t="n">
        <v>6.568425</v>
      </c>
      <c r="Z321" s="15" t="n">
        <v>4.338438</v>
      </c>
      <c r="AA321" s="15" t="n">
        <v>7.658959</v>
      </c>
      <c r="AB321" s="16" t="n">
        <v>1268.74</v>
      </c>
      <c r="AC321" s="17">
        <f>IF(AND(ISNUMBER(H321),ISNUMBER(I321)),H321+I321,IF(ISNUMBER(K321),K321,IF(ISNUMBER(H321),H321,"")))</f>
        <v/>
      </c>
      <c r="AD321" s="18">
        <f>IF(OR(NOT(ISNUMBER(J321)),NOT(ISNUMBER(H321)),H321&lt;=0),기준표!$B$8,MIN(MAX(J321/H321,기준표!$B$6),기준표!$B$7))</f>
        <v/>
      </c>
      <c r="AE321" s="17">
        <f>IF(ISNUMBER(AC321),AC321*(1-AD321),"")</f>
        <v/>
      </c>
      <c r="AF321" s="17">
        <f>IF(AND(NOT(ISNUMBER(T321)),NOT(ISNUMBER(V321))),"",IF(ISNUMBER(T321),T321,0)+IF(ISNUMBER(V321),V321,0))</f>
        <v/>
      </c>
      <c r="AG321" s="17">
        <f>IF(E321="금융","",IF(AND(ISNUMBER(P321),ISNUMBER(AF321),ISNUMBER(R321)),P321+AF321-R321,""))</f>
        <v/>
      </c>
      <c r="AH321" s="17">
        <f>IF(E321="금융","",IF(NOT(ISNUMBER(AG321)),"",IF(ISNUMBER(AA321),(AG321+AA321)/2,AG321)))</f>
        <v/>
      </c>
      <c r="AI321" s="19">
        <f>IF(AND(ISNUMBER(AE321),ISNUMBER(AH321),AH321&gt;0),AE321/AH321,"")</f>
        <v/>
      </c>
      <c r="AJ321" s="17">
        <f>IF(E321="금융","",IF(AND(ISNUMBER(P321),ISNUMBER(AF321)),P321+AF321,""))</f>
        <v/>
      </c>
      <c r="AK321" s="19">
        <f>IF(OR(NOT(ISNUMBER(AE321)),NOT(ISNUMBER(AJ321)),AJ321&lt;=0),"",IF(AND(ISNUMBER(G321),AJ321&lt;0.1*G321),"",AE321/AJ321))</f>
        <v/>
      </c>
      <c r="AL321" s="17">
        <f>IF(NOT(ISNUMBER(P321)),"",IF(ISNUMBER(Q321),(P321+Q321)/2,P321))</f>
        <v/>
      </c>
      <c r="AM321" s="19">
        <f>IF(AND(ISNUMBER(L321),ISNUMBER(AL321),AL321&gt;0),L321/AL321,"")</f>
        <v/>
      </c>
      <c r="AN321" s="19">
        <f>IF(AND(ISNUMBER(AM321),ISNUMBER({ROIC})),AM321-{ROIC},"")</f>
        <v/>
      </c>
      <c r="AO321" s="17">
        <f>IF(AND(ISNUMBER(AC321),ISNUMBER(M321)),AC321+M321,"")</f>
        <v/>
      </c>
      <c r="AP321" s="20">
        <f>IF(AND(ISNUMBER(AF321),ISNUMBER(R321),ISNUMBER(AO321),AO321&gt;0),(AF321-R321)/AO321,"")</f>
        <v/>
      </c>
      <c r="AQ321" s="20">
        <f>IF(AND(ISNUMBER(AC321),ISNUMBER(I321),I321&lt;&gt;0,AC321&gt;0),AC321/I321,"")</f>
        <v/>
      </c>
      <c r="AR321" s="17">
        <f>IF(AND(ISNUMBER(W321),ISNUMBER(Y321)),W321-IF(ISNUMBER(R321),R321,0)-(Y321-IF(ISNUMBER(T321),T321,0)),"")</f>
        <v/>
      </c>
      <c r="AS321" s="17">
        <f>IF(AND(ISNUMBER(X321),ISNUMBER(Z321)),X321-IF(ISNUMBER(S321),S321,0)-(Z321-IF(ISNUMBER(U321),U321,0)),"")</f>
        <v/>
      </c>
      <c r="AT321" s="17">
        <f>IF(AND(ISNUMBER(AR321),ISNUMBER(AS321)),AR321-AS321,"")</f>
        <v/>
      </c>
      <c r="AU321" s="17">
        <f>IF(E321="금융","",IF(AND(ISNUMBER(L321),ISNUMBER(M321),ISNUMBER(N321),ISNUMBER(AT321)),L321+M321-N321-AT321,IF(AND(ISNUMBER(O321),ISNUMBER(N321)),O321-N321,"")))</f>
        <v/>
      </c>
      <c r="AV321" s="8">
        <f>IF(E321="금융","금융업 - 정의되지 않음",IF(AND(ISNUMBER(L321),ISNUMBER(M321),ISNUMBER(N321),ISNUMBER(AT321)),"순이익+감가상각-설비투자-운전자본증감",IF(AND(ISNUMBER(O321),ISNUMBER(N321)),"영업현금흐름-설비투자","산출불가")))</f>
        <v/>
      </c>
      <c r="AW321" s="19">
        <f>IF(AND(ISNUMBER(AU321),ISNUMBER(G321),G321&lt;&gt;0),AU321/G321,"")</f>
        <v/>
      </c>
      <c r="AX321" s="19">
        <f>IF(AND(ISNUMBER(AC321),ISNUMBER(G321),G321&lt;&gt;0),AC321/G321,"")</f>
        <v/>
      </c>
    </row>
    <row r="322">
      <c r="A322" s="8" t="inlineStr">
        <is>
          <t>LRCX</t>
        </is>
      </c>
      <c r="B322" s="8" t="inlineStr">
        <is>
          <t>LAM RESEARCH CORP</t>
        </is>
      </c>
      <c r="C322" s="8" t="n">
        <v>2026</v>
      </c>
      <c r="D322" s="8" t="inlineStr">
        <is>
          <t>2026-06-28</t>
        </is>
      </c>
      <c r="E322" s="8" t="inlineStr">
        <is>
          <t>일반</t>
        </is>
      </c>
      <c r="F322" s="8" t="inlineStr">
        <is>
          <t>0000707549-26-000037</t>
        </is>
      </c>
      <c r="G322" s="15" t="n">
        <v>23.23269</v>
      </c>
      <c r="H322" s="15" t="n">
        <v>8.262473</v>
      </c>
      <c r="I322" s="15" t="n">
        <v>0.155903</v>
      </c>
      <c r="J322" s="15" t="n">
        <v>0.997077</v>
      </c>
      <c r="K322" s="15" t="n">
        <v>8.199795</v>
      </c>
      <c r="L322" s="15" t="n">
        <v>7.265396</v>
      </c>
      <c r="M322" s="15" t="n">
        <v>0.441533</v>
      </c>
      <c r="N322" s="15" t="n">
        <v>0.966405</v>
      </c>
      <c r="O322" s="15" t="n">
        <v>5.857657</v>
      </c>
      <c r="P322" s="15" t="n">
        <v>12.470921</v>
      </c>
      <c r="Q322" s="15" t="n">
        <v>9.861618999999999</v>
      </c>
      <c r="R322" s="15" t="n">
        <v>5.579171</v>
      </c>
      <c r="S322" s="15" t="n">
        <v>6.390659</v>
      </c>
      <c r="T322" s="15" t="n">
        <v>0.000147</v>
      </c>
      <c r="U322" s="15" t="n">
        <v>0.7496699999999999</v>
      </c>
      <c r="V322" s="15" t="n">
        <v>3.721914</v>
      </c>
      <c r="W322" s="15" t="n">
        <v>15.610705</v>
      </c>
      <c r="X322" s="15" t="n">
        <v>14.516995</v>
      </c>
      <c r="Y322" s="15" t="n">
        <v>5.937249</v>
      </c>
      <c r="Z322" s="15" t="n">
        <v>6.568425</v>
      </c>
      <c r="AA322" s="15" t="n">
        <v>7.940324</v>
      </c>
      <c r="AB322" s="16" t="n">
        <v>1251.278</v>
      </c>
      <c r="AC322" s="17">
        <f>IF(AND(ISNUMBER(H322),ISNUMBER(I322)),H322+I322,IF(ISNUMBER(K322),K322,IF(ISNUMBER(H322),H322,"")))</f>
        <v/>
      </c>
      <c r="AD322" s="18">
        <f>IF(OR(NOT(ISNUMBER(J322)),NOT(ISNUMBER(H322)),H322&lt;=0),기준표!$B$8,MIN(MAX(J322/H322,기준표!$B$6),기준표!$B$7))</f>
        <v/>
      </c>
      <c r="AE322" s="17">
        <f>IF(ISNUMBER(AC322),AC322*(1-AD322),"")</f>
        <v/>
      </c>
      <c r="AF322" s="17">
        <f>IF(AND(NOT(ISNUMBER(T322)),NOT(ISNUMBER(V322))),"",IF(ISNUMBER(T322),T322,0)+IF(ISNUMBER(V322),V322,0))</f>
        <v/>
      </c>
      <c r="AG322" s="17">
        <f>IF(E322="금융","",IF(AND(ISNUMBER(P322),ISNUMBER(AF322),ISNUMBER(R322)),P322+AF322-R322,""))</f>
        <v/>
      </c>
      <c r="AH322" s="17">
        <f>IF(E322="금융","",IF(NOT(ISNUMBER(AG322)),"",IF(ISNUMBER(AA322),(AG322+AA322)/2,AG322)))</f>
        <v/>
      </c>
      <c r="AI322" s="19">
        <f>IF(AND(ISNUMBER(AE322),ISNUMBER(AH322),AH322&gt;0),AE322/AH322,"")</f>
        <v/>
      </c>
      <c r="AJ322" s="17">
        <f>IF(E322="금융","",IF(AND(ISNUMBER(P322),ISNUMBER(AF322)),P322+AF322,""))</f>
        <v/>
      </c>
      <c r="AK322" s="19">
        <f>IF(OR(NOT(ISNUMBER(AE322)),NOT(ISNUMBER(AJ322)),AJ322&lt;=0),"",IF(AND(ISNUMBER(G322),AJ322&lt;0.1*G322),"",AE322/AJ322))</f>
        <v/>
      </c>
      <c r="AL322" s="17">
        <f>IF(NOT(ISNUMBER(P322)),"",IF(ISNUMBER(Q322),(P322+Q322)/2,P322))</f>
        <v/>
      </c>
      <c r="AM322" s="19">
        <f>IF(AND(ISNUMBER(L322),ISNUMBER(AL322),AL322&gt;0),L322/AL322,"")</f>
        <v/>
      </c>
      <c r="AN322" s="19">
        <f>IF(AND(ISNUMBER(AM322),ISNUMBER({ROIC})),AM322-{ROIC},"")</f>
        <v/>
      </c>
      <c r="AO322" s="17">
        <f>IF(AND(ISNUMBER(AC322),ISNUMBER(M322)),AC322+M322,"")</f>
        <v/>
      </c>
      <c r="AP322" s="20">
        <f>IF(AND(ISNUMBER(AF322),ISNUMBER(R322),ISNUMBER(AO322),AO322&gt;0),(AF322-R322)/AO322,"")</f>
        <v/>
      </c>
      <c r="AQ322" s="20">
        <f>IF(AND(ISNUMBER(AC322),ISNUMBER(I322),I322&lt;&gt;0,AC322&gt;0),AC322/I322,"")</f>
        <v/>
      </c>
      <c r="AR322" s="17">
        <f>IF(AND(ISNUMBER(W322),ISNUMBER(Y322)),W322-IF(ISNUMBER(R322),R322,0)-(Y322-IF(ISNUMBER(T322),T322,0)),"")</f>
        <v/>
      </c>
      <c r="AS322" s="17">
        <f>IF(AND(ISNUMBER(X322),ISNUMBER(Z322)),X322-IF(ISNUMBER(S322),S322,0)-(Z322-IF(ISNUMBER(U322),U322,0)),"")</f>
        <v/>
      </c>
      <c r="AT322" s="17">
        <f>IF(AND(ISNUMBER(AR322),ISNUMBER(AS322)),AR322-AS322,"")</f>
        <v/>
      </c>
      <c r="AU322" s="17">
        <f>IF(E322="금융","",IF(AND(ISNUMBER(L322),ISNUMBER(M322),ISNUMBER(N322),ISNUMBER(AT322)),L322+M322-N322-AT322,IF(AND(ISNUMBER(O322),ISNUMBER(N322)),O322-N322,"")))</f>
        <v/>
      </c>
      <c r="AV322" s="8">
        <f>IF(E322="금융","금융업 - 정의되지 않음",IF(AND(ISNUMBER(L322),ISNUMBER(M322),ISNUMBER(N322),ISNUMBER(AT322)),"순이익+감가상각-설비투자-운전자본증감",IF(AND(ISNUMBER(O322),ISNUMBER(N322)),"영업현금흐름-설비투자","산출불가")))</f>
        <v/>
      </c>
      <c r="AW322" s="19">
        <f>IF(AND(ISNUMBER(AU322),ISNUMBER(G322),G322&lt;&gt;0),AU322/G322,"")</f>
        <v/>
      </c>
      <c r="AX322" s="19">
        <f>IF(AND(ISNUMBER(AC322),ISNUMBER(G322),G322&lt;&gt;0),AC322/G322,"")</f>
        <v/>
      </c>
    </row>
    <row r="323">
      <c r="A323" s="8" t="inlineStr">
        <is>
          <t>CAT</t>
        </is>
      </c>
      <c r="B323" s="8" t="inlineStr">
        <is>
          <t>CATERPILLAR INC</t>
        </is>
      </c>
      <c r="C323" s="8" t="n">
        <v>2014</v>
      </c>
      <c r="D323" s="8" t="inlineStr">
        <is>
          <t>2014-12-31</t>
        </is>
      </c>
      <c r="E323" s="8" t="inlineStr">
        <is>
          <t>일반</t>
        </is>
      </c>
      <c r="F323" s="8" t="inlineStr">
        <is>
          <t>0000018230-17-000041</t>
        </is>
      </c>
      <c r="G323" s="15" t="n">
        <v>55.184</v>
      </c>
      <c r="H323" s="15" t="n">
        <v>3.152</v>
      </c>
      <c r="I323" s="15" t="n"/>
      <c r="J323" s="15" t="n">
        <v>0.6919999999999999</v>
      </c>
      <c r="K323" s="15" t="n">
        <v>3.314</v>
      </c>
      <c r="L323" s="15" t="n">
        <v>2.468</v>
      </c>
      <c r="M323" s="15" t="n">
        <v>3.163</v>
      </c>
      <c r="N323" s="15" t="n"/>
      <c r="O323" s="15" t="n">
        <v>8.057</v>
      </c>
      <c r="P323" s="15" t="n">
        <v>16.826</v>
      </c>
      <c r="Q323" s="15" t="n"/>
      <c r="R323" s="15" t="n"/>
      <c r="S323" s="15" t="n"/>
      <c r="T323" s="15" t="n">
        <v>4.708</v>
      </c>
      <c r="U323" s="15" t="n"/>
      <c r="V323" s="15" t="n">
        <v>27.784</v>
      </c>
      <c r="W323" s="15" t="n">
        <v>38.867</v>
      </c>
      <c r="X323" s="15" t="n"/>
      <c r="Y323" s="15" t="n">
        <v>27.877</v>
      </c>
      <c r="Z323" s="15" t="n"/>
      <c r="AA323" s="15" t="n"/>
      <c r="AB323" s="16" t="n">
        <v>606.2</v>
      </c>
      <c r="AC323" s="17">
        <f>IF(AND(ISNUMBER(H323),ISNUMBER(I323)),H323+I323,IF(ISNUMBER(K323),K323,IF(ISNUMBER(H323),H323,"")))</f>
        <v/>
      </c>
      <c r="AD323" s="18">
        <f>IF(OR(NOT(ISNUMBER(J323)),NOT(ISNUMBER(H323)),H323&lt;=0),기준표!$B$8,MIN(MAX(J323/H323,기준표!$B$6),기준표!$B$7))</f>
        <v/>
      </c>
      <c r="AE323" s="17">
        <f>IF(ISNUMBER(AC323),AC323*(1-AD323),"")</f>
        <v/>
      </c>
      <c r="AF323" s="17">
        <f>IF(AND(NOT(ISNUMBER(T323)),NOT(ISNUMBER(V323))),"",IF(ISNUMBER(T323),T323,0)+IF(ISNUMBER(V323),V323,0))</f>
        <v/>
      </c>
      <c r="AG323" s="17">
        <f>IF(E323="금융","",IF(AND(ISNUMBER(P323),ISNUMBER(AF323),ISNUMBER(R323)),P323+AF323-R323,""))</f>
        <v/>
      </c>
      <c r="AH323" s="17">
        <f>IF(E323="금융","",IF(NOT(ISNUMBER(AG323)),"",IF(ISNUMBER(AA323),(AG323+AA323)/2,AG323)))</f>
        <v/>
      </c>
      <c r="AI323" s="19">
        <f>IF(AND(ISNUMBER(AE323),ISNUMBER(AH323),AH323&gt;0),AE323/AH323,"")</f>
        <v/>
      </c>
      <c r="AJ323" s="17">
        <f>IF(E323="금융","",IF(AND(ISNUMBER(P323),ISNUMBER(AF323)),P323+AF323,""))</f>
        <v/>
      </c>
      <c r="AK323" s="19">
        <f>IF(OR(NOT(ISNUMBER(AE323)),NOT(ISNUMBER(AJ323)),AJ323&lt;=0),"",IF(AND(ISNUMBER(G323),AJ323&lt;0.1*G323),"",AE323/AJ323))</f>
        <v/>
      </c>
      <c r="AL323" s="17">
        <f>IF(NOT(ISNUMBER(P323)),"",IF(ISNUMBER(Q323),(P323+Q323)/2,P323))</f>
        <v/>
      </c>
      <c r="AM323" s="19">
        <f>IF(AND(ISNUMBER(L323),ISNUMBER(AL323),AL323&gt;0),L323/AL323,"")</f>
        <v/>
      </c>
      <c r="AN323" s="19">
        <f>IF(AND(ISNUMBER(AM323),ISNUMBER({ROIC})),AM323-{ROIC},"")</f>
        <v/>
      </c>
      <c r="AO323" s="17">
        <f>IF(AND(ISNUMBER(AC323),ISNUMBER(M323)),AC323+M323,"")</f>
        <v/>
      </c>
      <c r="AP323" s="20">
        <f>IF(AND(ISNUMBER(AF323),ISNUMBER(R323),ISNUMBER(AO323),AO323&gt;0),(AF323-R323)/AO323,"")</f>
        <v/>
      </c>
      <c r="AQ323" s="20">
        <f>IF(AND(ISNUMBER(AC323),ISNUMBER(I323),I323&lt;&gt;0,AC323&gt;0),AC323/I323,"")</f>
        <v/>
      </c>
      <c r="AR323" s="17">
        <f>IF(AND(ISNUMBER(W323),ISNUMBER(Y323)),W323-IF(ISNUMBER(R323),R323,0)-(Y323-IF(ISNUMBER(T323),T323,0)),"")</f>
        <v/>
      </c>
      <c r="AS323" s="17">
        <f>IF(AND(ISNUMBER(X323),ISNUMBER(Z323)),X323-IF(ISNUMBER(S323),S323,0)-(Z323-IF(ISNUMBER(U323),U323,0)),"")</f>
        <v/>
      </c>
      <c r="AT323" s="17">
        <f>IF(AND(ISNUMBER(AR323),ISNUMBER(AS323)),AR323-AS323,"")</f>
        <v/>
      </c>
      <c r="AU323" s="17">
        <f>IF(E323="금융","",IF(AND(ISNUMBER(L323),ISNUMBER(M323),ISNUMBER(N323),ISNUMBER(AT323)),L323+M323-N323-AT323,IF(AND(ISNUMBER(O323),ISNUMBER(N323)),O323-N323,"")))</f>
        <v/>
      </c>
      <c r="AV323" s="8">
        <f>IF(E323="금융","금융업 - 정의되지 않음",IF(AND(ISNUMBER(L323),ISNUMBER(M323),ISNUMBER(N323),ISNUMBER(AT323)),"순이익+감가상각-설비투자-운전자본증감",IF(AND(ISNUMBER(O323),ISNUMBER(N323)),"영업현금흐름-설비투자","산출불가")))</f>
        <v/>
      </c>
      <c r="AW323" s="19">
        <f>IF(AND(ISNUMBER(AU323),ISNUMBER(G323),G323&lt;&gt;0),AU323/G323,"")</f>
        <v/>
      </c>
      <c r="AX323" s="19">
        <f>IF(AND(ISNUMBER(AC323),ISNUMBER(G323),G323&lt;&gt;0),AC323/G323,"")</f>
        <v/>
      </c>
    </row>
    <row r="324">
      <c r="A324" s="8" t="inlineStr">
        <is>
          <t>CAT</t>
        </is>
      </c>
      <c r="B324" s="8" t="inlineStr">
        <is>
          <t>CATERPILLAR INC</t>
        </is>
      </c>
      <c r="C324" s="8" t="n">
        <v>2015</v>
      </c>
      <c r="D324" s="8" t="inlineStr">
        <is>
          <t>2015-12-31</t>
        </is>
      </c>
      <c r="E324" s="8" t="inlineStr">
        <is>
          <t>일반</t>
        </is>
      </c>
      <c r="F324" s="8" t="inlineStr">
        <is>
          <t>0000018230-18-000042</t>
        </is>
      </c>
      <c r="G324" s="15" t="n">
        <v>47.011</v>
      </c>
      <c r="H324" s="15" t="n">
        <v>3.439</v>
      </c>
      <c r="I324" s="15" t="n"/>
      <c r="J324" s="15" t="n">
        <v>0.916</v>
      </c>
      <c r="K324" s="15" t="n">
        <v>3.785</v>
      </c>
      <c r="L324" s="15" t="n">
        <v>2.523</v>
      </c>
      <c r="M324" s="15" t="n">
        <v>3.046</v>
      </c>
      <c r="N324" s="15" t="n"/>
      <c r="O324" s="15" t="n">
        <v>6.699</v>
      </c>
      <c r="P324" s="15" t="n">
        <v>14.885</v>
      </c>
      <c r="Q324" s="15" t="n">
        <v>16.826</v>
      </c>
      <c r="R324" s="15" t="n">
        <v>6.511</v>
      </c>
      <c r="S324" s="15" t="n"/>
      <c r="T324" s="15" t="n">
        <v>6.967</v>
      </c>
      <c r="U324" s="15" t="n">
        <v>4.708</v>
      </c>
      <c r="V324" s="15" t="n">
        <v>25.169</v>
      </c>
      <c r="W324" s="15" t="n">
        <v>33.508</v>
      </c>
      <c r="X324" s="15" t="n">
        <v>38.867</v>
      </c>
      <c r="Y324" s="15" t="n">
        <v>26.242</v>
      </c>
      <c r="Z324" s="15" t="n">
        <v>27.877</v>
      </c>
      <c r="AA324" s="15" t="n"/>
      <c r="AB324" s="16" t="n">
        <v>582.3</v>
      </c>
      <c r="AC324" s="17">
        <f>IF(AND(ISNUMBER(H324),ISNUMBER(I324)),H324+I324,IF(ISNUMBER(K324),K324,IF(ISNUMBER(H324),H324,"")))</f>
        <v/>
      </c>
      <c r="AD324" s="18">
        <f>IF(OR(NOT(ISNUMBER(J324)),NOT(ISNUMBER(H324)),H324&lt;=0),기준표!$B$8,MIN(MAX(J324/H324,기준표!$B$6),기준표!$B$7))</f>
        <v/>
      </c>
      <c r="AE324" s="17">
        <f>IF(ISNUMBER(AC324),AC324*(1-AD324),"")</f>
        <v/>
      </c>
      <c r="AF324" s="17">
        <f>IF(AND(NOT(ISNUMBER(T324)),NOT(ISNUMBER(V324))),"",IF(ISNUMBER(T324),T324,0)+IF(ISNUMBER(V324),V324,0))</f>
        <v/>
      </c>
      <c r="AG324" s="17">
        <f>IF(E324="금융","",IF(AND(ISNUMBER(P324),ISNUMBER(AF324),ISNUMBER(R324)),P324+AF324-R324,""))</f>
        <v/>
      </c>
      <c r="AH324" s="17">
        <f>IF(E324="금융","",IF(NOT(ISNUMBER(AG324)),"",IF(ISNUMBER(AA324),(AG324+AA324)/2,AG324)))</f>
        <v/>
      </c>
      <c r="AI324" s="19">
        <f>IF(AND(ISNUMBER(AE324),ISNUMBER(AH324),AH324&gt;0),AE324/AH324,"")</f>
        <v/>
      </c>
      <c r="AJ324" s="17">
        <f>IF(E324="금융","",IF(AND(ISNUMBER(P324),ISNUMBER(AF324)),P324+AF324,""))</f>
        <v/>
      </c>
      <c r="AK324" s="19">
        <f>IF(OR(NOT(ISNUMBER(AE324)),NOT(ISNUMBER(AJ324)),AJ324&lt;=0),"",IF(AND(ISNUMBER(G324),AJ324&lt;0.1*G324),"",AE324/AJ324))</f>
        <v/>
      </c>
      <c r="AL324" s="17">
        <f>IF(NOT(ISNUMBER(P324)),"",IF(ISNUMBER(Q324),(P324+Q324)/2,P324))</f>
        <v/>
      </c>
      <c r="AM324" s="19">
        <f>IF(AND(ISNUMBER(L324),ISNUMBER(AL324),AL324&gt;0),L324/AL324,"")</f>
        <v/>
      </c>
      <c r="AN324" s="19">
        <f>IF(AND(ISNUMBER(AM324),ISNUMBER({ROIC})),AM324-{ROIC},"")</f>
        <v/>
      </c>
      <c r="AO324" s="17">
        <f>IF(AND(ISNUMBER(AC324),ISNUMBER(M324)),AC324+M324,"")</f>
        <v/>
      </c>
      <c r="AP324" s="20">
        <f>IF(AND(ISNUMBER(AF324),ISNUMBER(R324),ISNUMBER(AO324),AO324&gt;0),(AF324-R324)/AO324,"")</f>
        <v/>
      </c>
      <c r="AQ324" s="20">
        <f>IF(AND(ISNUMBER(AC324),ISNUMBER(I324),I324&lt;&gt;0,AC324&gt;0),AC324/I324,"")</f>
        <v/>
      </c>
      <c r="AR324" s="17">
        <f>IF(AND(ISNUMBER(W324),ISNUMBER(Y324)),W324-IF(ISNUMBER(R324),R324,0)-(Y324-IF(ISNUMBER(T324),T324,0)),"")</f>
        <v/>
      </c>
      <c r="AS324" s="17">
        <f>IF(AND(ISNUMBER(X324),ISNUMBER(Z324)),X324-IF(ISNUMBER(S324),S324,0)-(Z324-IF(ISNUMBER(U324),U324,0)),"")</f>
        <v/>
      </c>
      <c r="AT324" s="17">
        <f>IF(AND(ISNUMBER(AR324),ISNUMBER(AS324)),AR324-AS324,"")</f>
        <v/>
      </c>
      <c r="AU324" s="17">
        <f>IF(E324="금융","",IF(AND(ISNUMBER(L324),ISNUMBER(M324),ISNUMBER(N324),ISNUMBER(AT324)),L324+M324-N324-AT324,IF(AND(ISNUMBER(O324),ISNUMBER(N324)),O324-N324,"")))</f>
        <v/>
      </c>
      <c r="AV324" s="8">
        <f>IF(E324="금융","금융업 - 정의되지 않음",IF(AND(ISNUMBER(L324),ISNUMBER(M324),ISNUMBER(N324),ISNUMBER(AT324)),"순이익+감가상각-설비투자-운전자본증감",IF(AND(ISNUMBER(O324),ISNUMBER(N324)),"영업현금흐름-설비투자","산출불가")))</f>
        <v/>
      </c>
      <c r="AW324" s="19">
        <f>IF(AND(ISNUMBER(AU324),ISNUMBER(G324),G324&lt;&gt;0),AU324/G324,"")</f>
        <v/>
      </c>
      <c r="AX324" s="19">
        <f>IF(AND(ISNUMBER(AC324),ISNUMBER(G324),G324&lt;&gt;0),AC324/G324,"")</f>
        <v/>
      </c>
    </row>
    <row r="325">
      <c r="A325" s="8" t="inlineStr">
        <is>
          <t>CAT</t>
        </is>
      </c>
      <c r="B325" s="8" t="inlineStr">
        <is>
          <t>CATERPILLAR INC</t>
        </is>
      </c>
      <c r="C325" s="8" t="n">
        <v>2016</v>
      </c>
      <c r="D325" s="8" t="inlineStr">
        <is>
          <t>2016-12-31</t>
        </is>
      </c>
      <c r="E325" s="8" t="inlineStr">
        <is>
          <t>일반</t>
        </is>
      </c>
      <c r="F325" s="8" t="inlineStr">
        <is>
          <t>0000018230-19-000034</t>
        </is>
      </c>
      <c r="G325" s="15" t="n">
        <v>38.537</v>
      </c>
      <c r="H325" s="15" t="n">
        <v>0.139</v>
      </c>
      <c r="I325" s="15" t="n"/>
      <c r="J325" s="15" t="n">
        <v>0.192</v>
      </c>
      <c r="K325" s="15" t="n">
        <v>1.162</v>
      </c>
      <c r="L325" s="15" t="n">
        <v>-0.059</v>
      </c>
      <c r="M325" s="15" t="n">
        <v>3.034</v>
      </c>
      <c r="N325" s="15" t="n"/>
      <c r="O325" s="15" t="n">
        <v>5.639</v>
      </c>
      <c r="P325" s="15" t="n">
        <v>13.228</v>
      </c>
      <c r="Q325" s="15" t="n">
        <v>14.885</v>
      </c>
      <c r="R325" s="15" t="n">
        <v>7.199</v>
      </c>
      <c r="S325" s="15" t="n">
        <v>6.511</v>
      </c>
      <c r="T325" s="15" t="n">
        <v>7.303</v>
      </c>
      <c r="U325" s="15" t="n">
        <v>6.967</v>
      </c>
      <c r="V325" s="15" t="n">
        <v>22.818</v>
      </c>
      <c r="W325" s="15" t="n">
        <v>31.967</v>
      </c>
      <c r="X325" s="15" t="n">
        <v>33.508</v>
      </c>
      <c r="Y325" s="15" t="n">
        <v>26.132</v>
      </c>
      <c r="Z325" s="15" t="n">
        <v>26.242</v>
      </c>
      <c r="AA325" s="15" t="n">
        <v>40.51</v>
      </c>
      <c r="AB325" s="16" t="n">
        <v>586.5</v>
      </c>
      <c r="AC325" s="17">
        <f>IF(AND(ISNUMBER(H325),ISNUMBER(I325)),H325+I325,IF(ISNUMBER(K325),K325,IF(ISNUMBER(H325),H325,"")))</f>
        <v/>
      </c>
      <c r="AD325" s="18">
        <f>IF(OR(NOT(ISNUMBER(J325)),NOT(ISNUMBER(H325)),H325&lt;=0),기준표!$B$8,MIN(MAX(J325/H325,기준표!$B$6),기준표!$B$7))</f>
        <v/>
      </c>
      <c r="AE325" s="17">
        <f>IF(ISNUMBER(AC325),AC325*(1-AD325),"")</f>
        <v/>
      </c>
      <c r="AF325" s="17">
        <f>IF(AND(NOT(ISNUMBER(T325)),NOT(ISNUMBER(V325))),"",IF(ISNUMBER(T325),T325,0)+IF(ISNUMBER(V325),V325,0))</f>
        <v/>
      </c>
      <c r="AG325" s="17">
        <f>IF(E325="금융","",IF(AND(ISNUMBER(P325),ISNUMBER(AF325),ISNUMBER(R325)),P325+AF325-R325,""))</f>
        <v/>
      </c>
      <c r="AH325" s="17">
        <f>IF(E325="금융","",IF(NOT(ISNUMBER(AG325)),"",IF(ISNUMBER(AA325),(AG325+AA325)/2,AG325)))</f>
        <v/>
      </c>
      <c r="AI325" s="19">
        <f>IF(AND(ISNUMBER(AE325),ISNUMBER(AH325),AH325&gt;0),AE325/AH325,"")</f>
        <v/>
      </c>
      <c r="AJ325" s="17">
        <f>IF(E325="금융","",IF(AND(ISNUMBER(P325),ISNUMBER(AF325)),P325+AF325,""))</f>
        <v/>
      </c>
      <c r="AK325" s="19">
        <f>IF(OR(NOT(ISNUMBER(AE325)),NOT(ISNUMBER(AJ325)),AJ325&lt;=0),"",IF(AND(ISNUMBER(G325),AJ325&lt;0.1*G325),"",AE325/AJ325))</f>
        <v/>
      </c>
      <c r="AL325" s="17">
        <f>IF(NOT(ISNUMBER(P325)),"",IF(ISNUMBER(Q325),(P325+Q325)/2,P325))</f>
        <v/>
      </c>
      <c r="AM325" s="19">
        <f>IF(AND(ISNUMBER(L325),ISNUMBER(AL325),AL325&gt;0),L325/AL325,"")</f>
        <v/>
      </c>
      <c r="AN325" s="19">
        <f>IF(AND(ISNUMBER(AM325),ISNUMBER({ROIC})),AM325-{ROIC},"")</f>
        <v/>
      </c>
      <c r="AO325" s="17">
        <f>IF(AND(ISNUMBER(AC325),ISNUMBER(M325)),AC325+M325,"")</f>
        <v/>
      </c>
      <c r="AP325" s="20">
        <f>IF(AND(ISNUMBER(AF325),ISNUMBER(R325),ISNUMBER(AO325),AO325&gt;0),(AF325-R325)/AO325,"")</f>
        <v/>
      </c>
      <c r="AQ325" s="20">
        <f>IF(AND(ISNUMBER(AC325),ISNUMBER(I325),I325&lt;&gt;0,AC325&gt;0),AC325/I325,"")</f>
        <v/>
      </c>
      <c r="AR325" s="17">
        <f>IF(AND(ISNUMBER(W325),ISNUMBER(Y325)),W325-IF(ISNUMBER(R325),R325,0)-(Y325-IF(ISNUMBER(T325),T325,0)),"")</f>
        <v/>
      </c>
      <c r="AS325" s="17">
        <f>IF(AND(ISNUMBER(X325),ISNUMBER(Z325)),X325-IF(ISNUMBER(S325),S325,0)-(Z325-IF(ISNUMBER(U325),U325,0)),"")</f>
        <v/>
      </c>
      <c r="AT325" s="17">
        <f>IF(AND(ISNUMBER(AR325),ISNUMBER(AS325)),AR325-AS325,"")</f>
        <v/>
      </c>
      <c r="AU325" s="17">
        <f>IF(E325="금융","",IF(AND(ISNUMBER(L325),ISNUMBER(M325),ISNUMBER(N325),ISNUMBER(AT325)),L325+M325-N325-AT325,IF(AND(ISNUMBER(O325),ISNUMBER(N325)),O325-N325,"")))</f>
        <v/>
      </c>
      <c r="AV325" s="8">
        <f>IF(E325="금융","금융업 - 정의되지 않음",IF(AND(ISNUMBER(L325),ISNUMBER(M325),ISNUMBER(N325),ISNUMBER(AT325)),"순이익+감가상각-설비투자-운전자본증감",IF(AND(ISNUMBER(O325),ISNUMBER(N325)),"영업현금흐름-설비투자","산출불가")))</f>
        <v/>
      </c>
      <c r="AW325" s="19">
        <f>IF(AND(ISNUMBER(AU325),ISNUMBER(G325),G325&lt;&gt;0),AU325/G325,"")</f>
        <v/>
      </c>
      <c r="AX325" s="19">
        <f>IF(AND(ISNUMBER(AC325),ISNUMBER(G325),G325&lt;&gt;0),AC325/G325,"")</f>
        <v/>
      </c>
    </row>
    <row r="326">
      <c r="A326" s="8" t="inlineStr">
        <is>
          <t>CAT</t>
        </is>
      </c>
      <c r="B326" s="8" t="inlineStr">
        <is>
          <t>CATERPILLAR INC</t>
        </is>
      </c>
      <c r="C326" s="8" t="n">
        <v>2017</v>
      </c>
      <c r="D326" s="8" t="inlineStr">
        <is>
          <t>2017-12-31</t>
        </is>
      </c>
      <c r="E326" s="8" t="inlineStr">
        <is>
          <t>일반</t>
        </is>
      </c>
      <c r="F326" s="8" t="inlineStr">
        <is>
          <t>0000018230-20-000056</t>
        </is>
      </c>
      <c r="G326" s="15" t="n">
        <v>45.462</v>
      </c>
      <c r="H326" s="15" t="n">
        <v>4.082</v>
      </c>
      <c r="I326" s="15" t="n"/>
      <c r="J326" s="15" t="n">
        <v>3.339</v>
      </c>
      <c r="K326" s="15" t="n">
        <v>4.46</v>
      </c>
      <c r="L326" s="15" t="n">
        <v>0.759</v>
      </c>
      <c r="M326" s="15" t="n">
        <v>2.877</v>
      </c>
      <c r="N326" s="15" t="n"/>
      <c r="O326" s="15" t="n">
        <v>5.706</v>
      </c>
      <c r="P326" s="15" t="n">
        <v>13.719</v>
      </c>
      <c r="Q326" s="15" t="n">
        <v>13.228</v>
      </c>
      <c r="R326" s="15" t="n">
        <v>8.32</v>
      </c>
      <c r="S326" s="15" t="n">
        <v>7.199</v>
      </c>
      <c r="T326" s="15" t="n">
        <v>4.837</v>
      </c>
      <c r="U326" s="15" t="n">
        <v>7.303</v>
      </c>
      <c r="V326" s="15" t="n">
        <v>23.847</v>
      </c>
      <c r="W326" s="15" t="n">
        <v>36.244</v>
      </c>
      <c r="X326" s="15" t="n">
        <v>31.967</v>
      </c>
      <c r="Y326" s="15" t="n">
        <v>26.931</v>
      </c>
      <c r="Z326" s="15" t="n">
        <v>26.132</v>
      </c>
      <c r="AA326" s="15" t="n">
        <v>36.15</v>
      </c>
      <c r="AB326" s="16" t="n">
        <v>597.6</v>
      </c>
      <c r="AC326" s="17">
        <f>IF(AND(ISNUMBER(H326),ISNUMBER(I326)),H326+I326,IF(ISNUMBER(K326),K326,IF(ISNUMBER(H326),H326,"")))</f>
        <v/>
      </c>
      <c r="AD326" s="18">
        <f>IF(OR(NOT(ISNUMBER(J326)),NOT(ISNUMBER(H326)),H326&lt;=0),기준표!$B$8,MIN(MAX(J326/H326,기준표!$B$6),기준표!$B$7))</f>
        <v/>
      </c>
      <c r="AE326" s="17">
        <f>IF(ISNUMBER(AC326),AC326*(1-AD326),"")</f>
        <v/>
      </c>
      <c r="AF326" s="17">
        <f>IF(AND(NOT(ISNUMBER(T326)),NOT(ISNUMBER(V326))),"",IF(ISNUMBER(T326),T326,0)+IF(ISNUMBER(V326),V326,0))</f>
        <v/>
      </c>
      <c r="AG326" s="17">
        <f>IF(E326="금융","",IF(AND(ISNUMBER(P326),ISNUMBER(AF326),ISNUMBER(R326)),P326+AF326-R326,""))</f>
        <v/>
      </c>
      <c r="AH326" s="17">
        <f>IF(E326="금융","",IF(NOT(ISNUMBER(AG326)),"",IF(ISNUMBER(AA326),(AG326+AA326)/2,AG326)))</f>
        <v/>
      </c>
      <c r="AI326" s="19">
        <f>IF(AND(ISNUMBER(AE326),ISNUMBER(AH326),AH326&gt;0),AE326/AH326,"")</f>
        <v/>
      </c>
      <c r="AJ326" s="17">
        <f>IF(E326="금융","",IF(AND(ISNUMBER(P326),ISNUMBER(AF326)),P326+AF326,""))</f>
        <v/>
      </c>
      <c r="AK326" s="19">
        <f>IF(OR(NOT(ISNUMBER(AE326)),NOT(ISNUMBER(AJ326)),AJ326&lt;=0),"",IF(AND(ISNUMBER(G326),AJ326&lt;0.1*G326),"",AE326/AJ326))</f>
        <v/>
      </c>
      <c r="AL326" s="17">
        <f>IF(NOT(ISNUMBER(P326)),"",IF(ISNUMBER(Q326),(P326+Q326)/2,P326))</f>
        <v/>
      </c>
      <c r="AM326" s="19">
        <f>IF(AND(ISNUMBER(L326),ISNUMBER(AL326),AL326&gt;0),L326/AL326,"")</f>
        <v/>
      </c>
      <c r="AN326" s="19">
        <f>IF(AND(ISNUMBER(AM326),ISNUMBER({ROIC})),AM326-{ROIC},"")</f>
        <v/>
      </c>
      <c r="AO326" s="17">
        <f>IF(AND(ISNUMBER(AC326),ISNUMBER(M326)),AC326+M326,"")</f>
        <v/>
      </c>
      <c r="AP326" s="20">
        <f>IF(AND(ISNUMBER(AF326),ISNUMBER(R326),ISNUMBER(AO326),AO326&gt;0),(AF326-R326)/AO326,"")</f>
        <v/>
      </c>
      <c r="AQ326" s="20">
        <f>IF(AND(ISNUMBER(AC326),ISNUMBER(I326),I326&lt;&gt;0,AC326&gt;0),AC326/I326,"")</f>
        <v/>
      </c>
      <c r="AR326" s="17">
        <f>IF(AND(ISNUMBER(W326),ISNUMBER(Y326)),W326-IF(ISNUMBER(R326),R326,0)-(Y326-IF(ISNUMBER(T326),T326,0)),"")</f>
        <v/>
      </c>
      <c r="AS326" s="17">
        <f>IF(AND(ISNUMBER(X326),ISNUMBER(Z326)),X326-IF(ISNUMBER(S326),S326,0)-(Z326-IF(ISNUMBER(U326),U326,0)),"")</f>
        <v/>
      </c>
      <c r="AT326" s="17">
        <f>IF(AND(ISNUMBER(AR326),ISNUMBER(AS326)),AR326-AS326,"")</f>
        <v/>
      </c>
      <c r="AU326" s="17">
        <f>IF(E326="금융","",IF(AND(ISNUMBER(L326),ISNUMBER(M326),ISNUMBER(N326),ISNUMBER(AT326)),L326+M326-N326-AT326,IF(AND(ISNUMBER(O326),ISNUMBER(N326)),O326-N326,"")))</f>
        <v/>
      </c>
      <c r="AV326" s="8">
        <f>IF(E326="금융","금융업 - 정의되지 않음",IF(AND(ISNUMBER(L326),ISNUMBER(M326),ISNUMBER(N326),ISNUMBER(AT326)),"순이익+감가상각-설비투자-운전자본증감",IF(AND(ISNUMBER(O326),ISNUMBER(N326)),"영업현금흐름-설비투자","산출불가")))</f>
        <v/>
      </c>
      <c r="AW326" s="19">
        <f>IF(AND(ISNUMBER(AU326),ISNUMBER(G326),G326&lt;&gt;0),AU326/G326,"")</f>
        <v/>
      </c>
      <c r="AX326" s="19">
        <f>IF(AND(ISNUMBER(AC326),ISNUMBER(G326),G326&lt;&gt;0),AC326/G326,"")</f>
        <v/>
      </c>
    </row>
    <row r="327">
      <c r="A327" s="8" t="inlineStr">
        <is>
          <t>CAT</t>
        </is>
      </c>
      <c r="B327" s="8" t="inlineStr">
        <is>
          <t>CATERPILLAR INC</t>
        </is>
      </c>
      <c r="C327" s="8" t="n">
        <v>2018</v>
      </c>
      <c r="D327" s="8" t="inlineStr">
        <is>
          <t>2018-12-31</t>
        </is>
      </c>
      <c r="E327" s="8" t="inlineStr">
        <is>
          <t>일반</t>
        </is>
      </c>
      <c r="F327" s="8" t="inlineStr">
        <is>
          <t>0000018230-21-000063</t>
        </is>
      </c>
      <c r="G327" s="15" t="n">
        <v>54.722</v>
      </c>
      <c r="H327" s="15" t="n">
        <v>7.822</v>
      </c>
      <c r="I327" s="15" t="n"/>
      <c r="J327" s="15" t="n">
        <v>1.698</v>
      </c>
      <c r="K327" s="15" t="n">
        <v>8.292999999999999</v>
      </c>
      <c r="L327" s="15" t="n">
        <v>6.148</v>
      </c>
      <c r="M327" s="15" t="n">
        <v>2.766</v>
      </c>
      <c r="N327" s="15" t="n">
        <v>1.276</v>
      </c>
      <c r="O327" s="15" t="n">
        <v>6.558</v>
      </c>
      <c r="P327" s="15" t="n">
        <v>14.315</v>
      </c>
      <c r="Q327" s="15" t="n">
        <v>13.719</v>
      </c>
      <c r="R327" s="15" t="n">
        <v>7.89</v>
      </c>
      <c r="S327" s="15" t="n">
        <v>8.32</v>
      </c>
      <c r="T327" s="15" t="n">
        <v>5.723</v>
      </c>
      <c r="U327" s="15" t="n">
        <v>4.837</v>
      </c>
      <c r="V327" s="15" t="n">
        <v>25</v>
      </c>
      <c r="W327" s="15" t="n">
        <v>38.603</v>
      </c>
      <c r="X327" s="15" t="n">
        <v>36.244</v>
      </c>
      <c r="Y327" s="15" t="n">
        <v>28.218</v>
      </c>
      <c r="Z327" s="15" t="n">
        <v>26.931</v>
      </c>
      <c r="AA327" s="15" t="n">
        <v>34.083</v>
      </c>
      <c r="AB327" s="16" t="n">
        <v>575.5</v>
      </c>
      <c r="AC327" s="17">
        <f>IF(AND(ISNUMBER(H327),ISNUMBER(I327)),H327+I327,IF(ISNUMBER(K327),K327,IF(ISNUMBER(H327),H327,"")))</f>
        <v/>
      </c>
      <c r="AD327" s="18">
        <f>IF(OR(NOT(ISNUMBER(J327)),NOT(ISNUMBER(H327)),H327&lt;=0),기준표!$B$8,MIN(MAX(J327/H327,기준표!$B$6),기준표!$B$7))</f>
        <v/>
      </c>
      <c r="AE327" s="17">
        <f>IF(ISNUMBER(AC327),AC327*(1-AD327),"")</f>
        <v/>
      </c>
      <c r="AF327" s="17">
        <f>IF(AND(NOT(ISNUMBER(T327)),NOT(ISNUMBER(V327))),"",IF(ISNUMBER(T327),T327,0)+IF(ISNUMBER(V327),V327,0))</f>
        <v/>
      </c>
      <c r="AG327" s="17">
        <f>IF(E327="금융","",IF(AND(ISNUMBER(P327),ISNUMBER(AF327),ISNUMBER(R327)),P327+AF327-R327,""))</f>
        <v/>
      </c>
      <c r="AH327" s="17">
        <f>IF(E327="금융","",IF(NOT(ISNUMBER(AG327)),"",IF(ISNUMBER(AA327),(AG327+AA327)/2,AG327)))</f>
        <v/>
      </c>
      <c r="AI327" s="19">
        <f>IF(AND(ISNUMBER(AE327),ISNUMBER(AH327),AH327&gt;0),AE327/AH327,"")</f>
        <v/>
      </c>
      <c r="AJ327" s="17">
        <f>IF(E327="금융","",IF(AND(ISNUMBER(P327),ISNUMBER(AF327)),P327+AF327,""))</f>
        <v/>
      </c>
      <c r="AK327" s="19">
        <f>IF(OR(NOT(ISNUMBER(AE327)),NOT(ISNUMBER(AJ327)),AJ327&lt;=0),"",IF(AND(ISNUMBER(G327),AJ327&lt;0.1*G327),"",AE327/AJ327))</f>
        <v/>
      </c>
      <c r="AL327" s="17">
        <f>IF(NOT(ISNUMBER(P327)),"",IF(ISNUMBER(Q327),(P327+Q327)/2,P327))</f>
        <v/>
      </c>
      <c r="AM327" s="19">
        <f>IF(AND(ISNUMBER(L327),ISNUMBER(AL327),AL327&gt;0),L327/AL327,"")</f>
        <v/>
      </c>
      <c r="AN327" s="19">
        <f>IF(AND(ISNUMBER(AM327),ISNUMBER({ROIC})),AM327-{ROIC},"")</f>
        <v/>
      </c>
      <c r="AO327" s="17">
        <f>IF(AND(ISNUMBER(AC327),ISNUMBER(M327)),AC327+M327,"")</f>
        <v/>
      </c>
      <c r="AP327" s="20">
        <f>IF(AND(ISNUMBER(AF327),ISNUMBER(R327),ISNUMBER(AO327),AO327&gt;0),(AF327-R327)/AO327,"")</f>
        <v/>
      </c>
      <c r="AQ327" s="20">
        <f>IF(AND(ISNUMBER(AC327),ISNUMBER(I327),I327&lt;&gt;0,AC327&gt;0),AC327/I327,"")</f>
        <v/>
      </c>
      <c r="AR327" s="17">
        <f>IF(AND(ISNUMBER(W327),ISNUMBER(Y327)),W327-IF(ISNUMBER(R327),R327,0)-(Y327-IF(ISNUMBER(T327),T327,0)),"")</f>
        <v/>
      </c>
      <c r="AS327" s="17">
        <f>IF(AND(ISNUMBER(X327),ISNUMBER(Z327)),X327-IF(ISNUMBER(S327),S327,0)-(Z327-IF(ISNUMBER(U327),U327,0)),"")</f>
        <v/>
      </c>
      <c r="AT327" s="17">
        <f>IF(AND(ISNUMBER(AR327),ISNUMBER(AS327)),AR327-AS327,"")</f>
        <v/>
      </c>
      <c r="AU327" s="17">
        <f>IF(E327="금융","",IF(AND(ISNUMBER(L327),ISNUMBER(M327),ISNUMBER(N327),ISNUMBER(AT327)),L327+M327-N327-AT327,IF(AND(ISNUMBER(O327),ISNUMBER(N327)),O327-N327,"")))</f>
        <v/>
      </c>
      <c r="AV327" s="8">
        <f>IF(E327="금융","금융업 - 정의되지 않음",IF(AND(ISNUMBER(L327),ISNUMBER(M327),ISNUMBER(N327),ISNUMBER(AT327)),"순이익+감가상각-설비투자-운전자본증감",IF(AND(ISNUMBER(O327),ISNUMBER(N327)),"영업현금흐름-설비투자","산출불가")))</f>
        <v/>
      </c>
      <c r="AW327" s="19">
        <f>IF(AND(ISNUMBER(AU327),ISNUMBER(G327),G327&lt;&gt;0),AU327/G327,"")</f>
        <v/>
      </c>
      <c r="AX327" s="19">
        <f>IF(AND(ISNUMBER(AC327),ISNUMBER(G327),G327&lt;&gt;0),AC327/G327,"")</f>
        <v/>
      </c>
    </row>
    <row r="328">
      <c r="A328" s="8" t="inlineStr">
        <is>
          <t>CAT</t>
        </is>
      </c>
      <c r="B328" s="8" t="inlineStr">
        <is>
          <t>CATERPILLAR INC</t>
        </is>
      </c>
      <c r="C328" s="8" t="n">
        <v>2019</v>
      </c>
      <c r="D328" s="8" t="inlineStr">
        <is>
          <t>2019-12-31</t>
        </is>
      </c>
      <c r="E328" s="8" t="inlineStr">
        <is>
          <t>일반</t>
        </is>
      </c>
      <c r="F328" s="8" t="inlineStr">
        <is>
          <t>0000018230-22-000050</t>
        </is>
      </c>
      <c r="G328" s="15" t="n">
        <v>53.8</v>
      </c>
      <c r="H328" s="15" t="n">
        <v>7.812</v>
      </c>
      <c r="I328" s="15" t="n"/>
      <c r="J328" s="15" t="n">
        <v>1.746</v>
      </c>
      <c r="K328" s="15" t="n">
        <v>8.289999999999999</v>
      </c>
      <c r="L328" s="15" t="n">
        <v>6.094</v>
      </c>
      <c r="M328" s="15" t="n">
        <v>2.577</v>
      </c>
      <c r="N328" s="15" t="n">
        <v>1.056</v>
      </c>
      <c r="O328" s="15" t="n">
        <v>6.912</v>
      </c>
      <c r="P328" s="15" t="n">
        <v>14.629</v>
      </c>
      <c r="Q328" s="15" t="n">
        <v>14.315</v>
      </c>
      <c r="R328" s="15" t="n">
        <v>8.292</v>
      </c>
      <c r="S328" s="15" t="n">
        <v>7.89</v>
      </c>
      <c r="T328" s="15" t="n">
        <v>5.166</v>
      </c>
      <c r="U328" s="15" t="n">
        <v>5.723</v>
      </c>
      <c r="V328" s="15" t="n">
        <v>26.281</v>
      </c>
      <c r="W328" s="15" t="n">
        <v>39.193</v>
      </c>
      <c r="X328" s="15" t="n">
        <v>38.603</v>
      </c>
      <c r="Y328" s="15" t="n">
        <v>26.621</v>
      </c>
      <c r="Z328" s="15" t="n">
        <v>28.218</v>
      </c>
      <c r="AA328" s="15" t="n">
        <v>37.148</v>
      </c>
      <c r="AB328" s="16" t="n">
        <v>550.1</v>
      </c>
      <c r="AC328" s="17">
        <f>IF(AND(ISNUMBER(H328),ISNUMBER(I328)),H328+I328,IF(ISNUMBER(K328),K328,IF(ISNUMBER(H328),H328,"")))</f>
        <v/>
      </c>
      <c r="AD328" s="18">
        <f>IF(OR(NOT(ISNUMBER(J328)),NOT(ISNUMBER(H328)),H328&lt;=0),기준표!$B$8,MIN(MAX(J328/H328,기준표!$B$6),기준표!$B$7))</f>
        <v/>
      </c>
      <c r="AE328" s="17">
        <f>IF(ISNUMBER(AC328),AC328*(1-AD328),"")</f>
        <v/>
      </c>
      <c r="AF328" s="17">
        <f>IF(AND(NOT(ISNUMBER(T328)),NOT(ISNUMBER(V328))),"",IF(ISNUMBER(T328),T328,0)+IF(ISNUMBER(V328),V328,0))</f>
        <v/>
      </c>
      <c r="AG328" s="17">
        <f>IF(E328="금융","",IF(AND(ISNUMBER(P328),ISNUMBER(AF328),ISNUMBER(R328)),P328+AF328-R328,""))</f>
        <v/>
      </c>
      <c r="AH328" s="17">
        <f>IF(E328="금융","",IF(NOT(ISNUMBER(AG328)),"",IF(ISNUMBER(AA328),(AG328+AA328)/2,AG328)))</f>
        <v/>
      </c>
      <c r="AI328" s="19">
        <f>IF(AND(ISNUMBER(AE328),ISNUMBER(AH328),AH328&gt;0),AE328/AH328,"")</f>
        <v/>
      </c>
      <c r="AJ328" s="17">
        <f>IF(E328="금융","",IF(AND(ISNUMBER(P328),ISNUMBER(AF328)),P328+AF328,""))</f>
        <v/>
      </c>
      <c r="AK328" s="19">
        <f>IF(OR(NOT(ISNUMBER(AE328)),NOT(ISNUMBER(AJ328)),AJ328&lt;=0),"",IF(AND(ISNUMBER(G328),AJ328&lt;0.1*G328),"",AE328/AJ328))</f>
        <v/>
      </c>
      <c r="AL328" s="17">
        <f>IF(NOT(ISNUMBER(P328)),"",IF(ISNUMBER(Q328),(P328+Q328)/2,P328))</f>
        <v/>
      </c>
      <c r="AM328" s="19">
        <f>IF(AND(ISNUMBER(L328),ISNUMBER(AL328),AL328&gt;0),L328/AL328,"")</f>
        <v/>
      </c>
      <c r="AN328" s="19">
        <f>IF(AND(ISNUMBER(AM328),ISNUMBER({ROIC})),AM328-{ROIC},"")</f>
        <v/>
      </c>
      <c r="AO328" s="17">
        <f>IF(AND(ISNUMBER(AC328),ISNUMBER(M328)),AC328+M328,"")</f>
        <v/>
      </c>
      <c r="AP328" s="20">
        <f>IF(AND(ISNUMBER(AF328),ISNUMBER(R328),ISNUMBER(AO328),AO328&gt;0),(AF328-R328)/AO328,"")</f>
        <v/>
      </c>
      <c r="AQ328" s="20">
        <f>IF(AND(ISNUMBER(AC328),ISNUMBER(I328),I328&lt;&gt;0,AC328&gt;0),AC328/I328,"")</f>
        <v/>
      </c>
      <c r="AR328" s="17">
        <f>IF(AND(ISNUMBER(W328),ISNUMBER(Y328)),W328-IF(ISNUMBER(R328),R328,0)-(Y328-IF(ISNUMBER(T328),T328,0)),"")</f>
        <v/>
      </c>
      <c r="AS328" s="17">
        <f>IF(AND(ISNUMBER(X328),ISNUMBER(Z328)),X328-IF(ISNUMBER(S328),S328,0)-(Z328-IF(ISNUMBER(U328),U328,0)),"")</f>
        <v/>
      </c>
      <c r="AT328" s="17">
        <f>IF(AND(ISNUMBER(AR328),ISNUMBER(AS328)),AR328-AS328,"")</f>
        <v/>
      </c>
      <c r="AU328" s="17">
        <f>IF(E328="금융","",IF(AND(ISNUMBER(L328),ISNUMBER(M328),ISNUMBER(N328),ISNUMBER(AT328)),L328+M328-N328-AT328,IF(AND(ISNUMBER(O328),ISNUMBER(N328)),O328-N328,"")))</f>
        <v/>
      </c>
      <c r="AV328" s="8">
        <f>IF(E328="금융","금융업 - 정의되지 않음",IF(AND(ISNUMBER(L328),ISNUMBER(M328),ISNUMBER(N328),ISNUMBER(AT328)),"순이익+감가상각-설비투자-운전자본증감",IF(AND(ISNUMBER(O328),ISNUMBER(N328)),"영업현금흐름-설비투자","산출불가")))</f>
        <v/>
      </c>
      <c r="AW328" s="19">
        <f>IF(AND(ISNUMBER(AU328),ISNUMBER(G328),G328&lt;&gt;0),AU328/G328,"")</f>
        <v/>
      </c>
      <c r="AX328" s="19">
        <f>IF(AND(ISNUMBER(AC328),ISNUMBER(G328),G328&lt;&gt;0),AC328/G328,"")</f>
        <v/>
      </c>
    </row>
    <row r="329">
      <c r="A329" s="8" t="inlineStr">
        <is>
          <t>CAT</t>
        </is>
      </c>
      <c r="B329" s="8" t="inlineStr">
        <is>
          <t>CATERPILLAR INC</t>
        </is>
      </c>
      <c r="C329" s="8" t="n">
        <v>2020</v>
      </c>
      <c r="D329" s="8" t="inlineStr">
        <is>
          <t>2020-12-31</t>
        </is>
      </c>
      <c r="E329" s="8" t="inlineStr">
        <is>
          <t>일반</t>
        </is>
      </c>
      <c r="F329" s="8" t="inlineStr">
        <is>
          <t>0000018230-23-000011</t>
        </is>
      </c>
      <c r="G329" s="15" t="n">
        <v>41.748</v>
      </c>
      <c r="H329" s="15" t="n">
        <v>3.995</v>
      </c>
      <c r="I329" s="15" t="n"/>
      <c r="J329" s="15" t="n">
        <v>1.006</v>
      </c>
      <c r="K329" s="15" t="n">
        <v>4.553</v>
      </c>
      <c r="L329" s="15" t="n">
        <v>3.003</v>
      </c>
      <c r="M329" s="15" t="n">
        <v>2.432</v>
      </c>
      <c r="N329" s="15" t="n">
        <v>0.978</v>
      </c>
      <c r="O329" s="15" t="n">
        <v>6.327</v>
      </c>
      <c r="P329" s="15" t="n">
        <v>15.378</v>
      </c>
      <c r="Q329" s="15" t="n">
        <v>14.629</v>
      </c>
      <c r="R329" s="15" t="n">
        <v>9.366</v>
      </c>
      <c r="S329" s="15" t="n">
        <v>8.292</v>
      </c>
      <c r="T329" s="15" t="n">
        <v>2.015</v>
      </c>
      <c r="U329" s="15" t="n">
        <v>5.166</v>
      </c>
      <c r="V329" s="15" t="n">
        <v>25.999</v>
      </c>
      <c r="W329" s="15" t="n">
        <v>39.464</v>
      </c>
      <c r="X329" s="15" t="n">
        <v>39.193</v>
      </c>
      <c r="Y329" s="15" t="n">
        <v>25.717</v>
      </c>
      <c r="Z329" s="15" t="n">
        <v>26.621</v>
      </c>
      <c r="AA329" s="15" t="n">
        <v>37.784</v>
      </c>
      <c r="AB329" s="16" t="n">
        <v>545.3</v>
      </c>
      <c r="AC329" s="17">
        <f>IF(AND(ISNUMBER(H329),ISNUMBER(I329)),H329+I329,IF(ISNUMBER(K329),K329,IF(ISNUMBER(H329),H329,"")))</f>
        <v/>
      </c>
      <c r="AD329" s="18">
        <f>IF(OR(NOT(ISNUMBER(J329)),NOT(ISNUMBER(H329)),H329&lt;=0),기준표!$B$8,MIN(MAX(J329/H329,기준표!$B$6),기준표!$B$7))</f>
        <v/>
      </c>
      <c r="AE329" s="17">
        <f>IF(ISNUMBER(AC329),AC329*(1-AD329),"")</f>
        <v/>
      </c>
      <c r="AF329" s="17">
        <f>IF(AND(NOT(ISNUMBER(T329)),NOT(ISNUMBER(V329))),"",IF(ISNUMBER(T329),T329,0)+IF(ISNUMBER(V329),V329,0))</f>
        <v/>
      </c>
      <c r="AG329" s="17">
        <f>IF(E329="금융","",IF(AND(ISNUMBER(P329),ISNUMBER(AF329),ISNUMBER(R329)),P329+AF329-R329,""))</f>
        <v/>
      </c>
      <c r="AH329" s="17">
        <f>IF(E329="금융","",IF(NOT(ISNUMBER(AG329)),"",IF(ISNUMBER(AA329),(AG329+AA329)/2,AG329)))</f>
        <v/>
      </c>
      <c r="AI329" s="19">
        <f>IF(AND(ISNUMBER(AE329),ISNUMBER(AH329),AH329&gt;0),AE329/AH329,"")</f>
        <v/>
      </c>
      <c r="AJ329" s="17">
        <f>IF(E329="금융","",IF(AND(ISNUMBER(P329),ISNUMBER(AF329)),P329+AF329,""))</f>
        <v/>
      </c>
      <c r="AK329" s="19">
        <f>IF(OR(NOT(ISNUMBER(AE329)),NOT(ISNUMBER(AJ329)),AJ329&lt;=0),"",IF(AND(ISNUMBER(G329),AJ329&lt;0.1*G329),"",AE329/AJ329))</f>
        <v/>
      </c>
      <c r="AL329" s="17">
        <f>IF(NOT(ISNUMBER(P329)),"",IF(ISNUMBER(Q329),(P329+Q329)/2,P329))</f>
        <v/>
      </c>
      <c r="AM329" s="19">
        <f>IF(AND(ISNUMBER(L329),ISNUMBER(AL329),AL329&gt;0),L329/AL329,"")</f>
        <v/>
      </c>
      <c r="AN329" s="19">
        <f>IF(AND(ISNUMBER(AM329),ISNUMBER({ROIC})),AM329-{ROIC},"")</f>
        <v/>
      </c>
      <c r="AO329" s="17">
        <f>IF(AND(ISNUMBER(AC329),ISNUMBER(M329)),AC329+M329,"")</f>
        <v/>
      </c>
      <c r="AP329" s="20">
        <f>IF(AND(ISNUMBER(AF329),ISNUMBER(R329),ISNUMBER(AO329),AO329&gt;0),(AF329-R329)/AO329,"")</f>
        <v/>
      </c>
      <c r="AQ329" s="20">
        <f>IF(AND(ISNUMBER(AC329),ISNUMBER(I329),I329&lt;&gt;0,AC329&gt;0),AC329/I329,"")</f>
        <v/>
      </c>
      <c r="AR329" s="17">
        <f>IF(AND(ISNUMBER(W329),ISNUMBER(Y329)),W329-IF(ISNUMBER(R329),R329,0)-(Y329-IF(ISNUMBER(T329),T329,0)),"")</f>
        <v/>
      </c>
      <c r="AS329" s="17">
        <f>IF(AND(ISNUMBER(X329),ISNUMBER(Z329)),X329-IF(ISNUMBER(S329),S329,0)-(Z329-IF(ISNUMBER(U329),U329,0)),"")</f>
        <v/>
      </c>
      <c r="AT329" s="17">
        <f>IF(AND(ISNUMBER(AR329),ISNUMBER(AS329)),AR329-AS329,"")</f>
        <v/>
      </c>
      <c r="AU329" s="17">
        <f>IF(E329="금융","",IF(AND(ISNUMBER(L329),ISNUMBER(M329),ISNUMBER(N329),ISNUMBER(AT329)),L329+M329-N329-AT329,IF(AND(ISNUMBER(O329),ISNUMBER(N329)),O329-N329,"")))</f>
        <v/>
      </c>
      <c r="AV329" s="8">
        <f>IF(E329="금융","금융업 - 정의되지 않음",IF(AND(ISNUMBER(L329),ISNUMBER(M329),ISNUMBER(N329),ISNUMBER(AT329)),"순이익+감가상각-설비투자-운전자본증감",IF(AND(ISNUMBER(O329),ISNUMBER(N329)),"영업현금흐름-설비투자","산출불가")))</f>
        <v/>
      </c>
      <c r="AW329" s="19">
        <f>IF(AND(ISNUMBER(AU329),ISNUMBER(G329),G329&lt;&gt;0),AU329/G329,"")</f>
        <v/>
      </c>
      <c r="AX329" s="19">
        <f>IF(AND(ISNUMBER(AC329),ISNUMBER(G329),G329&lt;&gt;0),AC329/G329,"")</f>
        <v/>
      </c>
    </row>
    <row r="330">
      <c r="A330" s="8" t="inlineStr">
        <is>
          <t>CAT</t>
        </is>
      </c>
      <c r="B330" s="8" t="inlineStr">
        <is>
          <t>CATERPILLAR INC</t>
        </is>
      </c>
      <c r="C330" s="8" t="n">
        <v>2021</v>
      </c>
      <c r="D330" s="8" t="inlineStr">
        <is>
          <t>2021-12-31</t>
        </is>
      </c>
      <c r="E330" s="8" t="inlineStr">
        <is>
          <t>일반</t>
        </is>
      </c>
      <c r="F330" s="8" t="inlineStr">
        <is>
          <t>0000018230-24-000009</t>
        </is>
      </c>
      <c r="G330" s="15" t="n">
        <v>50.971</v>
      </c>
      <c r="H330" s="15" t="n">
        <v>8.204000000000001</v>
      </c>
      <c r="I330" s="15" t="n"/>
      <c r="J330" s="15" t="n">
        <v>1.742</v>
      </c>
      <c r="K330" s="15" t="n">
        <v>6.878</v>
      </c>
      <c r="L330" s="15" t="n">
        <v>6.493</v>
      </c>
      <c r="M330" s="15" t="n">
        <v>2.352</v>
      </c>
      <c r="N330" s="15" t="n">
        <v>1.093</v>
      </c>
      <c r="O330" s="15" t="n">
        <v>7.198</v>
      </c>
      <c r="P330" s="15" t="n">
        <v>16.516</v>
      </c>
      <c r="Q330" s="15" t="n">
        <v>15.378</v>
      </c>
      <c r="R330" s="15" t="n">
        <v>9.263</v>
      </c>
      <c r="S330" s="15" t="n">
        <v>9.366</v>
      </c>
      <c r="T330" s="15" t="n">
        <v>5.404</v>
      </c>
      <c r="U330" s="15" t="n">
        <v>2.015</v>
      </c>
      <c r="V330" s="15" t="n">
        <v>26.033</v>
      </c>
      <c r="W330" s="15" t="n">
        <v>43.455</v>
      </c>
      <c r="X330" s="15" t="n">
        <v>39.464</v>
      </c>
      <c r="Y330" s="15" t="n">
        <v>29.847</v>
      </c>
      <c r="Z330" s="15" t="n">
        <v>25.717</v>
      </c>
      <c r="AA330" s="15" t="n">
        <v>34.026</v>
      </c>
      <c r="AB330" s="16" t="n">
        <v>535.9</v>
      </c>
      <c r="AC330" s="17">
        <f>IF(AND(ISNUMBER(H330),ISNUMBER(I330)),H330+I330,IF(ISNUMBER(K330),K330,IF(ISNUMBER(H330),H330,"")))</f>
        <v/>
      </c>
      <c r="AD330" s="18">
        <f>IF(OR(NOT(ISNUMBER(J330)),NOT(ISNUMBER(H330)),H330&lt;=0),기준표!$B$8,MIN(MAX(J330/H330,기준표!$B$6),기준표!$B$7))</f>
        <v/>
      </c>
      <c r="AE330" s="17">
        <f>IF(ISNUMBER(AC330),AC330*(1-AD330),"")</f>
        <v/>
      </c>
      <c r="AF330" s="17">
        <f>IF(AND(NOT(ISNUMBER(T330)),NOT(ISNUMBER(V330))),"",IF(ISNUMBER(T330),T330,0)+IF(ISNUMBER(V330),V330,0))</f>
        <v/>
      </c>
      <c r="AG330" s="17">
        <f>IF(E330="금융","",IF(AND(ISNUMBER(P330),ISNUMBER(AF330),ISNUMBER(R330)),P330+AF330-R330,""))</f>
        <v/>
      </c>
      <c r="AH330" s="17">
        <f>IF(E330="금융","",IF(NOT(ISNUMBER(AG330)),"",IF(ISNUMBER(AA330),(AG330+AA330)/2,AG330)))</f>
        <v/>
      </c>
      <c r="AI330" s="19">
        <f>IF(AND(ISNUMBER(AE330),ISNUMBER(AH330),AH330&gt;0),AE330/AH330,"")</f>
        <v/>
      </c>
      <c r="AJ330" s="17">
        <f>IF(E330="금융","",IF(AND(ISNUMBER(P330),ISNUMBER(AF330)),P330+AF330,""))</f>
        <v/>
      </c>
      <c r="AK330" s="19">
        <f>IF(OR(NOT(ISNUMBER(AE330)),NOT(ISNUMBER(AJ330)),AJ330&lt;=0),"",IF(AND(ISNUMBER(G330),AJ330&lt;0.1*G330),"",AE330/AJ330))</f>
        <v/>
      </c>
      <c r="AL330" s="17">
        <f>IF(NOT(ISNUMBER(P330)),"",IF(ISNUMBER(Q330),(P330+Q330)/2,P330))</f>
        <v/>
      </c>
      <c r="AM330" s="19">
        <f>IF(AND(ISNUMBER(L330),ISNUMBER(AL330),AL330&gt;0),L330/AL330,"")</f>
        <v/>
      </c>
      <c r="AN330" s="19">
        <f>IF(AND(ISNUMBER(AM330),ISNUMBER({ROIC})),AM330-{ROIC},"")</f>
        <v/>
      </c>
      <c r="AO330" s="17">
        <f>IF(AND(ISNUMBER(AC330),ISNUMBER(M330)),AC330+M330,"")</f>
        <v/>
      </c>
      <c r="AP330" s="20">
        <f>IF(AND(ISNUMBER(AF330),ISNUMBER(R330),ISNUMBER(AO330),AO330&gt;0),(AF330-R330)/AO330,"")</f>
        <v/>
      </c>
      <c r="AQ330" s="20">
        <f>IF(AND(ISNUMBER(AC330),ISNUMBER(I330),I330&lt;&gt;0,AC330&gt;0),AC330/I330,"")</f>
        <v/>
      </c>
      <c r="AR330" s="17">
        <f>IF(AND(ISNUMBER(W330),ISNUMBER(Y330)),W330-IF(ISNUMBER(R330),R330,0)-(Y330-IF(ISNUMBER(T330),T330,0)),"")</f>
        <v/>
      </c>
      <c r="AS330" s="17">
        <f>IF(AND(ISNUMBER(X330),ISNUMBER(Z330)),X330-IF(ISNUMBER(S330),S330,0)-(Z330-IF(ISNUMBER(U330),U330,0)),"")</f>
        <v/>
      </c>
      <c r="AT330" s="17">
        <f>IF(AND(ISNUMBER(AR330),ISNUMBER(AS330)),AR330-AS330,"")</f>
        <v/>
      </c>
      <c r="AU330" s="17">
        <f>IF(E330="금융","",IF(AND(ISNUMBER(L330),ISNUMBER(M330),ISNUMBER(N330),ISNUMBER(AT330)),L330+M330-N330-AT330,IF(AND(ISNUMBER(O330),ISNUMBER(N330)),O330-N330,"")))</f>
        <v/>
      </c>
      <c r="AV330" s="8">
        <f>IF(E330="금융","금융업 - 정의되지 않음",IF(AND(ISNUMBER(L330),ISNUMBER(M330),ISNUMBER(N330),ISNUMBER(AT330)),"순이익+감가상각-설비투자-운전자본증감",IF(AND(ISNUMBER(O330),ISNUMBER(N330)),"영업현금흐름-설비투자","산출불가")))</f>
        <v/>
      </c>
      <c r="AW330" s="19">
        <f>IF(AND(ISNUMBER(AU330),ISNUMBER(G330),G330&lt;&gt;0),AU330/G330,"")</f>
        <v/>
      </c>
      <c r="AX330" s="19">
        <f>IF(AND(ISNUMBER(AC330),ISNUMBER(G330),G330&lt;&gt;0),AC330/G330,"")</f>
        <v/>
      </c>
    </row>
    <row r="331">
      <c r="A331" s="8" t="inlineStr">
        <is>
          <t>CAT</t>
        </is>
      </c>
      <c r="B331" s="8" t="inlineStr">
        <is>
          <t>CATERPILLAR INC</t>
        </is>
      </c>
      <c r="C331" s="8" t="n">
        <v>2022</v>
      </c>
      <c r="D331" s="8" t="inlineStr">
        <is>
          <t>2022-12-31</t>
        </is>
      </c>
      <c r="E331" s="8" t="inlineStr">
        <is>
          <t>일반</t>
        </is>
      </c>
      <c r="F331" s="8" t="inlineStr">
        <is>
          <t>0000018230-25-000008</t>
        </is>
      </c>
      <c r="G331" s="15" t="n">
        <v>59.427</v>
      </c>
      <c r="H331" s="15" t="n">
        <v>8.752000000000001</v>
      </c>
      <c r="I331" s="15" t="n"/>
      <c r="J331" s="15" t="n">
        <v>2.067</v>
      </c>
      <c r="K331" s="15" t="n">
        <v>7.904</v>
      </c>
      <c r="L331" s="15" t="n">
        <v>6.704</v>
      </c>
      <c r="M331" s="15" t="n">
        <v>2.219</v>
      </c>
      <c r="N331" s="15" t="n">
        <v>1.296</v>
      </c>
      <c r="O331" s="15" t="n">
        <v>7.766</v>
      </c>
      <c r="P331" s="15" t="n">
        <v>15.891</v>
      </c>
      <c r="Q331" s="15" t="n">
        <v>16.516</v>
      </c>
      <c r="R331" s="15" t="n">
        <v>7.013</v>
      </c>
      <c r="S331" s="15" t="n">
        <v>9.263</v>
      </c>
      <c r="T331" s="15" t="n">
        <v>5.957</v>
      </c>
      <c r="U331" s="15" t="n">
        <v>5.404</v>
      </c>
      <c r="V331" s="15" t="n">
        <v>25.714</v>
      </c>
      <c r="W331" s="15" t="n">
        <v>43.785</v>
      </c>
      <c r="X331" s="15" t="n">
        <v>43.455</v>
      </c>
      <c r="Y331" s="15" t="n">
        <v>31.531</v>
      </c>
      <c r="Z331" s="15" t="n">
        <v>29.847</v>
      </c>
      <c r="AA331" s="15" t="n">
        <v>38.69</v>
      </c>
      <c r="AB331" s="16" t="n">
        <v>516.3</v>
      </c>
      <c r="AC331" s="17">
        <f>IF(AND(ISNUMBER(H331),ISNUMBER(I331)),H331+I331,IF(ISNUMBER(K331),K331,IF(ISNUMBER(H331),H331,"")))</f>
        <v/>
      </c>
      <c r="AD331" s="18">
        <f>IF(OR(NOT(ISNUMBER(J331)),NOT(ISNUMBER(H331)),H331&lt;=0),기준표!$B$8,MIN(MAX(J331/H331,기준표!$B$6),기준표!$B$7))</f>
        <v/>
      </c>
      <c r="AE331" s="17">
        <f>IF(ISNUMBER(AC331),AC331*(1-AD331),"")</f>
        <v/>
      </c>
      <c r="AF331" s="17">
        <f>IF(AND(NOT(ISNUMBER(T331)),NOT(ISNUMBER(V331))),"",IF(ISNUMBER(T331),T331,0)+IF(ISNUMBER(V331),V331,0))</f>
        <v/>
      </c>
      <c r="AG331" s="17">
        <f>IF(E331="금융","",IF(AND(ISNUMBER(P331),ISNUMBER(AF331),ISNUMBER(R331)),P331+AF331-R331,""))</f>
        <v/>
      </c>
      <c r="AH331" s="17">
        <f>IF(E331="금융","",IF(NOT(ISNUMBER(AG331)),"",IF(ISNUMBER(AA331),(AG331+AA331)/2,AG331)))</f>
        <v/>
      </c>
      <c r="AI331" s="19">
        <f>IF(AND(ISNUMBER(AE331),ISNUMBER(AH331),AH331&gt;0),AE331/AH331,"")</f>
        <v/>
      </c>
      <c r="AJ331" s="17">
        <f>IF(E331="금융","",IF(AND(ISNUMBER(P331),ISNUMBER(AF331)),P331+AF331,""))</f>
        <v/>
      </c>
      <c r="AK331" s="19">
        <f>IF(OR(NOT(ISNUMBER(AE331)),NOT(ISNUMBER(AJ331)),AJ331&lt;=0),"",IF(AND(ISNUMBER(G331),AJ331&lt;0.1*G331),"",AE331/AJ331))</f>
        <v/>
      </c>
      <c r="AL331" s="17">
        <f>IF(NOT(ISNUMBER(P331)),"",IF(ISNUMBER(Q331),(P331+Q331)/2,P331))</f>
        <v/>
      </c>
      <c r="AM331" s="19">
        <f>IF(AND(ISNUMBER(L331),ISNUMBER(AL331),AL331&gt;0),L331/AL331,"")</f>
        <v/>
      </c>
      <c r="AN331" s="19">
        <f>IF(AND(ISNUMBER(AM331),ISNUMBER({ROIC})),AM331-{ROIC},"")</f>
        <v/>
      </c>
      <c r="AO331" s="17">
        <f>IF(AND(ISNUMBER(AC331),ISNUMBER(M331)),AC331+M331,"")</f>
        <v/>
      </c>
      <c r="AP331" s="20">
        <f>IF(AND(ISNUMBER(AF331),ISNUMBER(R331),ISNUMBER(AO331),AO331&gt;0),(AF331-R331)/AO331,"")</f>
        <v/>
      </c>
      <c r="AQ331" s="20">
        <f>IF(AND(ISNUMBER(AC331),ISNUMBER(I331),I331&lt;&gt;0,AC331&gt;0),AC331/I331,"")</f>
        <v/>
      </c>
      <c r="AR331" s="17">
        <f>IF(AND(ISNUMBER(W331),ISNUMBER(Y331)),W331-IF(ISNUMBER(R331),R331,0)-(Y331-IF(ISNUMBER(T331),T331,0)),"")</f>
        <v/>
      </c>
      <c r="AS331" s="17">
        <f>IF(AND(ISNUMBER(X331),ISNUMBER(Z331)),X331-IF(ISNUMBER(S331),S331,0)-(Z331-IF(ISNUMBER(U331),U331,0)),"")</f>
        <v/>
      </c>
      <c r="AT331" s="17">
        <f>IF(AND(ISNUMBER(AR331),ISNUMBER(AS331)),AR331-AS331,"")</f>
        <v/>
      </c>
      <c r="AU331" s="17">
        <f>IF(E331="금융","",IF(AND(ISNUMBER(L331),ISNUMBER(M331),ISNUMBER(N331),ISNUMBER(AT331)),L331+M331-N331-AT331,IF(AND(ISNUMBER(O331),ISNUMBER(N331)),O331-N331,"")))</f>
        <v/>
      </c>
      <c r="AV331" s="8">
        <f>IF(E331="금융","금융업 - 정의되지 않음",IF(AND(ISNUMBER(L331),ISNUMBER(M331),ISNUMBER(N331),ISNUMBER(AT331)),"순이익+감가상각-설비투자-운전자본증감",IF(AND(ISNUMBER(O331),ISNUMBER(N331)),"영업현금흐름-설비투자","산출불가")))</f>
        <v/>
      </c>
      <c r="AW331" s="19">
        <f>IF(AND(ISNUMBER(AU331),ISNUMBER(G331),G331&lt;&gt;0),AU331/G331,"")</f>
        <v/>
      </c>
      <c r="AX331" s="19">
        <f>IF(AND(ISNUMBER(AC331),ISNUMBER(G331),G331&lt;&gt;0),AC331/G331,"")</f>
        <v/>
      </c>
    </row>
    <row r="332">
      <c r="A332" s="8" t="inlineStr">
        <is>
          <t>CAT</t>
        </is>
      </c>
      <c r="B332" s="8" t="inlineStr">
        <is>
          <t>CATERPILLAR INC</t>
        </is>
      </c>
      <c r="C332" s="8" t="n">
        <v>2023</v>
      </c>
      <c r="D332" s="8" t="inlineStr">
        <is>
          <t>2023-12-31</t>
        </is>
      </c>
      <c r="E332" s="8" t="inlineStr">
        <is>
          <t>일반</t>
        </is>
      </c>
      <c r="F332" s="8" t="inlineStr">
        <is>
          <t>0000018230-26-000008</t>
        </is>
      </c>
      <c r="G332" s="15" t="n">
        <v>67.06</v>
      </c>
      <c r="H332" s="15" t="n">
        <v>13.05</v>
      </c>
      <c r="I332" s="15" t="n"/>
      <c r="J332" s="15" t="n">
        <v>2.781</v>
      </c>
      <c r="K332" s="15" t="n">
        <v>12.966</v>
      </c>
      <c r="L332" s="15" t="n">
        <v>10.332</v>
      </c>
      <c r="M332" s="15" t="n">
        <v>2.144</v>
      </c>
      <c r="N332" s="15" t="n">
        <v>1.597</v>
      </c>
      <c r="O332" s="15" t="n">
        <v>12.885</v>
      </c>
      <c r="P332" s="15" t="n">
        <v>19.503</v>
      </c>
      <c r="Q332" s="15" t="n">
        <v>15.891</v>
      </c>
      <c r="R332" s="15" t="n">
        <v>6.985</v>
      </c>
      <c r="S332" s="15" t="n">
        <v>7.013</v>
      </c>
      <c r="T332" s="15" t="n">
        <v>4.643</v>
      </c>
      <c r="U332" s="15" t="n">
        <v>5.957</v>
      </c>
      <c r="V332" s="15" t="n">
        <v>24.472</v>
      </c>
      <c r="W332" s="15" t="n">
        <v>46.949</v>
      </c>
      <c r="X332" s="15" t="n">
        <v>43.785</v>
      </c>
      <c r="Y332" s="15" t="n">
        <v>34.728</v>
      </c>
      <c r="Z332" s="15" t="n">
        <v>31.531</v>
      </c>
      <c r="AA332" s="15" t="n">
        <v>40.549</v>
      </c>
      <c r="AB332" s="16" t="n">
        <v>499.4</v>
      </c>
      <c r="AC332" s="17">
        <f>IF(AND(ISNUMBER(H332),ISNUMBER(I332)),H332+I332,IF(ISNUMBER(K332),K332,IF(ISNUMBER(H332),H332,"")))</f>
        <v/>
      </c>
      <c r="AD332" s="18">
        <f>IF(OR(NOT(ISNUMBER(J332)),NOT(ISNUMBER(H332)),H332&lt;=0),기준표!$B$8,MIN(MAX(J332/H332,기준표!$B$6),기준표!$B$7))</f>
        <v/>
      </c>
      <c r="AE332" s="17">
        <f>IF(ISNUMBER(AC332),AC332*(1-AD332),"")</f>
        <v/>
      </c>
      <c r="AF332" s="17">
        <f>IF(AND(NOT(ISNUMBER(T332)),NOT(ISNUMBER(V332))),"",IF(ISNUMBER(T332),T332,0)+IF(ISNUMBER(V332),V332,0))</f>
        <v/>
      </c>
      <c r="AG332" s="17">
        <f>IF(E332="금융","",IF(AND(ISNUMBER(P332),ISNUMBER(AF332),ISNUMBER(R332)),P332+AF332-R332,""))</f>
        <v/>
      </c>
      <c r="AH332" s="17">
        <f>IF(E332="금융","",IF(NOT(ISNUMBER(AG332)),"",IF(ISNUMBER(AA332),(AG332+AA332)/2,AG332)))</f>
        <v/>
      </c>
      <c r="AI332" s="19">
        <f>IF(AND(ISNUMBER(AE332),ISNUMBER(AH332),AH332&gt;0),AE332/AH332,"")</f>
        <v/>
      </c>
      <c r="AJ332" s="17">
        <f>IF(E332="금융","",IF(AND(ISNUMBER(P332),ISNUMBER(AF332)),P332+AF332,""))</f>
        <v/>
      </c>
      <c r="AK332" s="19">
        <f>IF(OR(NOT(ISNUMBER(AE332)),NOT(ISNUMBER(AJ332)),AJ332&lt;=0),"",IF(AND(ISNUMBER(G332),AJ332&lt;0.1*G332),"",AE332/AJ332))</f>
        <v/>
      </c>
      <c r="AL332" s="17">
        <f>IF(NOT(ISNUMBER(P332)),"",IF(ISNUMBER(Q332),(P332+Q332)/2,P332))</f>
        <v/>
      </c>
      <c r="AM332" s="19">
        <f>IF(AND(ISNUMBER(L332),ISNUMBER(AL332),AL332&gt;0),L332/AL332,"")</f>
        <v/>
      </c>
      <c r="AN332" s="19">
        <f>IF(AND(ISNUMBER(AM332),ISNUMBER({ROIC})),AM332-{ROIC},"")</f>
        <v/>
      </c>
      <c r="AO332" s="17">
        <f>IF(AND(ISNUMBER(AC332),ISNUMBER(M332)),AC332+M332,"")</f>
        <v/>
      </c>
      <c r="AP332" s="20">
        <f>IF(AND(ISNUMBER(AF332),ISNUMBER(R332),ISNUMBER(AO332),AO332&gt;0),(AF332-R332)/AO332,"")</f>
        <v/>
      </c>
      <c r="AQ332" s="20">
        <f>IF(AND(ISNUMBER(AC332),ISNUMBER(I332),I332&lt;&gt;0,AC332&gt;0),AC332/I332,"")</f>
        <v/>
      </c>
      <c r="AR332" s="17">
        <f>IF(AND(ISNUMBER(W332),ISNUMBER(Y332)),W332-IF(ISNUMBER(R332),R332,0)-(Y332-IF(ISNUMBER(T332),T332,0)),"")</f>
        <v/>
      </c>
      <c r="AS332" s="17">
        <f>IF(AND(ISNUMBER(X332),ISNUMBER(Z332)),X332-IF(ISNUMBER(S332),S332,0)-(Z332-IF(ISNUMBER(U332),U332,0)),"")</f>
        <v/>
      </c>
      <c r="AT332" s="17">
        <f>IF(AND(ISNUMBER(AR332),ISNUMBER(AS332)),AR332-AS332,"")</f>
        <v/>
      </c>
      <c r="AU332" s="17">
        <f>IF(E332="금융","",IF(AND(ISNUMBER(L332),ISNUMBER(M332),ISNUMBER(N332),ISNUMBER(AT332)),L332+M332-N332-AT332,IF(AND(ISNUMBER(O332),ISNUMBER(N332)),O332-N332,"")))</f>
        <v/>
      </c>
      <c r="AV332" s="8">
        <f>IF(E332="금융","금융업 - 정의되지 않음",IF(AND(ISNUMBER(L332),ISNUMBER(M332),ISNUMBER(N332),ISNUMBER(AT332)),"순이익+감가상각-설비투자-운전자본증감",IF(AND(ISNUMBER(O332),ISNUMBER(N332)),"영업현금흐름-설비투자","산출불가")))</f>
        <v/>
      </c>
      <c r="AW332" s="19">
        <f>IF(AND(ISNUMBER(AU332),ISNUMBER(G332),G332&lt;&gt;0),AU332/G332,"")</f>
        <v/>
      </c>
      <c r="AX332" s="19">
        <f>IF(AND(ISNUMBER(AC332),ISNUMBER(G332),G332&lt;&gt;0),AC332/G332,"")</f>
        <v/>
      </c>
    </row>
    <row r="333">
      <c r="A333" s="8" t="inlineStr">
        <is>
          <t>CAT</t>
        </is>
      </c>
      <c r="B333" s="8" t="inlineStr">
        <is>
          <t>CATERPILLAR INC</t>
        </is>
      </c>
      <c r="C333" s="8" t="n">
        <v>2024</v>
      </c>
      <c r="D333" s="8" t="inlineStr">
        <is>
          <t>2024-12-31</t>
        </is>
      </c>
      <c r="E333" s="8" t="inlineStr">
        <is>
          <t>일반</t>
        </is>
      </c>
      <c r="F333" s="8" t="inlineStr">
        <is>
          <t>0000018230-26-000008</t>
        </is>
      </c>
      <c r="G333" s="15" t="n">
        <v>64.809</v>
      </c>
      <c r="H333" s="15" t="n">
        <v>13.373</v>
      </c>
      <c r="I333" s="15" t="n"/>
      <c r="J333" s="15" t="n">
        <v>2.629</v>
      </c>
      <c r="K333" s="15" t="n">
        <v>13.072</v>
      </c>
      <c r="L333" s="15" t="n">
        <v>10.788</v>
      </c>
      <c r="M333" s="15" t="n">
        <v>2.153</v>
      </c>
      <c r="N333" s="15" t="n">
        <v>1.988</v>
      </c>
      <c r="O333" s="15" t="n">
        <v>12.035</v>
      </c>
      <c r="P333" s="15" t="n">
        <v>19.494</v>
      </c>
      <c r="Q333" s="15" t="n">
        <v>19.503</v>
      </c>
      <c r="R333" s="15" t="n">
        <v>6.896</v>
      </c>
      <c r="S333" s="15" t="n">
        <v>6.985</v>
      </c>
      <c r="T333" s="15" t="n">
        <v>4.393</v>
      </c>
      <c r="U333" s="15" t="n">
        <v>4.643</v>
      </c>
      <c r="V333" s="15" t="n">
        <v>27.351</v>
      </c>
      <c r="W333" s="15" t="n">
        <v>45.682</v>
      </c>
      <c r="X333" s="15" t="n">
        <v>46.949</v>
      </c>
      <c r="Y333" s="15" t="n">
        <v>32.272</v>
      </c>
      <c r="Z333" s="15" t="n">
        <v>34.728</v>
      </c>
      <c r="AA333" s="15" t="n">
        <v>41.633</v>
      </c>
      <c r="AB333" s="16" t="n">
        <v>477.9</v>
      </c>
      <c r="AC333" s="17">
        <f>IF(AND(ISNUMBER(H333),ISNUMBER(I333)),H333+I333,IF(ISNUMBER(K333),K333,IF(ISNUMBER(H333),H333,"")))</f>
        <v/>
      </c>
      <c r="AD333" s="18">
        <f>IF(OR(NOT(ISNUMBER(J333)),NOT(ISNUMBER(H333)),H333&lt;=0),기준표!$B$8,MIN(MAX(J333/H333,기준표!$B$6),기준표!$B$7))</f>
        <v/>
      </c>
      <c r="AE333" s="17">
        <f>IF(ISNUMBER(AC333),AC333*(1-AD333),"")</f>
        <v/>
      </c>
      <c r="AF333" s="17">
        <f>IF(AND(NOT(ISNUMBER(T333)),NOT(ISNUMBER(V333))),"",IF(ISNUMBER(T333),T333,0)+IF(ISNUMBER(V333),V333,0))</f>
        <v/>
      </c>
      <c r="AG333" s="17">
        <f>IF(E333="금융","",IF(AND(ISNUMBER(P333),ISNUMBER(AF333),ISNUMBER(R333)),P333+AF333-R333,""))</f>
        <v/>
      </c>
      <c r="AH333" s="17">
        <f>IF(E333="금융","",IF(NOT(ISNUMBER(AG333)),"",IF(ISNUMBER(AA333),(AG333+AA333)/2,AG333)))</f>
        <v/>
      </c>
      <c r="AI333" s="19">
        <f>IF(AND(ISNUMBER(AE333),ISNUMBER(AH333),AH333&gt;0),AE333/AH333,"")</f>
        <v/>
      </c>
      <c r="AJ333" s="17">
        <f>IF(E333="금융","",IF(AND(ISNUMBER(P333),ISNUMBER(AF333)),P333+AF333,""))</f>
        <v/>
      </c>
      <c r="AK333" s="19">
        <f>IF(OR(NOT(ISNUMBER(AE333)),NOT(ISNUMBER(AJ333)),AJ333&lt;=0),"",IF(AND(ISNUMBER(G333),AJ333&lt;0.1*G333),"",AE333/AJ333))</f>
        <v/>
      </c>
      <c r="AL333" s="17">
        <f>IF(NOT(ISNUMBER(P333)),"",IF(ISNUMBER(Q333),(P333+Q333)/2,P333))</f>
        <v/>
      </c>
      <c r="AM333" s="19">
        <f>IF(AND(ISNUMBER(L333),ISNUMBER(AL333),AL333&gt;0),L333/AL333,"")</f>
        <v/>
      </c>
      <c r="AN333" s="19">
        <f>IF(AND(ISNUMBER(AM333),ISNUMBER({ROIC})),AM333-{ROIC},"")</f>
        <v/>
      </c>
      <c r="AO333" s="17">
        <f>IF(AND(ISNUMBER(AC333),ISNUMBER(M333)),AC333+M333,"")</f>
        <v/>
      </c>
      <c r="AP333" s="20">
        <f>IF(AND(ISNUMBER(AF333),ISNUMBER(R333),ISNUMBER(AO333),AO333&gt;0),(AF333-R333)/AO333,"")</f>
        <v/>
      </c>
      <c r="AQ333" s="20">
        <f>IF(AND(ISNUMBER(AC333),ISNUMBER(I333),I333&lt;&gt;0,AC333&gt;0),AC333/I333,"")</f>
        <v/>
      </c>
      <c r="AR333" s="17">
        <f>IF(AND(ISNUMBER(W333),ISNUMBER(Y333)),W333-IF(ISNUMBER(R333),R333,0)-(Y333-IF(ISNUMBER(T333),T333,0)),"")</f>
        <v/>
      </c>
      <c r="AS333" s="17">
        <f>IF(AND(ISNUMBER(X333),ISNUMBER(Z333)),X333-IF(ISNUMBER(S333),S333,0)-(Z333-IF(ISNUMBER(U333),U333,0)),"")</f>
        <v/>
      </c>
      <c r="AT333" s="17">
        <f>IF(AND(ISNUMBER(AR333),ISNUMBER(AS333)),AR333-AS333,"")</f>
        <v/>
      </c>
      <c r="AU333" s="17">
        <f>IF(E333="금융","",IF(AND(ISNUMBER(L333),ISNUMBER(M333),ISNUMBER(N333),ISNUMBER(AT333)),L333+M333-N333-AT333,IF(AND(ISNUMBER(O333),ISNUMBER(N333)),O333-N333,"")))</f>
        <v/>
      </c>
      <c r="AV333" s="8">
        <f>IF(E333="금융","금융업 - 정의되지 않음",IF(AND(ISNUMBER(L333),ISNUMBER(M333),ISNUMBER(N333),ISNUMBER(AT333)),"순이익+감가상각-설비투자-운전자본증감",IF(AND(ISNUMBER(O333),ISNUMBER(N333)),"영업현금흐름-설비투자","산출불가")))</f>
        <v/>
      </c>
      <c r="AW333" s="19">
        <f>IF(AND(ISNUMBER(AU333),ISNUMBER(G333),G333&lt;&gt;0),AU333/G333,"")</f>
        <v/>
      </c>
      <c r="AX333" s="19">
        <f>IF(AND(ISNUMBER(AC333),ISNUMBER(G333),G333&lt;&gt;0),AC333/G333,"")</f>
        <v/>
      </c>
    </row>
    <row r="334">
      <c r="A334" s="8" t="inlineStr">
        <is>
          <t>CAT</t>
        </is>
      </c>
      <c r="B334" s="8" t="inlineStr">
        <is>
          <t>CATERPILLAR INC</t>
        </is>
      </c>
      <c r="C334" s="8" t="n">
        <v>2025</v>
      </c>
      <c r="D334" s="8" t="inlineStr">
        <is>
          <t>2025-12-31</t>
        </is>
      </c>
      <c r="E334" s="8" t="inlineStr">
        <is>
          <t>일반</t>
        </is>
      </c>
      <c r="F334" s="8" t="inlineStr">
        <is>
          <t>0000018230-26-000008</t>
        </is>
      </c>
      <c r="G334" s="15" t="n">
        <v>67.589</v>
      </c>
      <c r="H334" s="15" t="n">
        <v>11.541</v>
      </c>
      <c r="I334" s="15" t="n"/>
      <c r="J334" s="15" t="n">
        <v>2.768</v>
      </c>
      <c r="K334" s="15" t="n">
        <v>11.151</v>
      </c>
      <c r="L334" s="15" t="n">
        <v>8.882</v>
      </c>
      <c r="M334" s="15" t="n">
        <v>2.262</v>
      </c>
      <c r="N334" s="15" t="n">
        <v>2.821</v>
      </c>
      <c r="O334" s="15" t="n">
        <v>11.739</v>
      </c>
      <c r="P334" s="15" t="n">
        <v>21.318</v>
      </c>
      <c r="Q334" s="15" t="n">
        <v>19.494</v>
      </c>
      <c r="R334" s="15" t="n">
        <v>9.986000000000001</v>
      </c>
      <c r="S334" s="15" t="n">
        <v>6.896</v>
      </c>
      <c r="T334" s="15" t="n">
        <v>5.514</v>
      </c>
      <c r="U334" s="15" t="n">
        <v>4.393</v>
      </c>
      <c r="V334" s="15" t="n">
        <v>30.696</v>
      </c>
      <c r="W334" s="15" t="n">
        <v>52.485</v>
      </c>
      <c r="X334" s="15" t="n">
        <v>45.682</v>
      </c>
      <c r="Y334" s="15" t="n">
        <v>36.558</v>
      </c>
      <c r="Z334" s="15" t="n">
        <v>32.272</v>
      </c>
      <c r="AA334" s="15" t="n">
        <v>44.342</v>
      </c>
      <c r="AB334" s="16" t="n">
        <v>465.3</v>
      </c>
      <c r="AC334" s="17">
        <f>IF(AND(ISNUMBER(H334),ISNUMBER(I334)),H334+I334,IF(ISNUMBER(K334),K334,IF(ISNUMBER(H334),H334,"")))</f>
        <v/>
      </c>
      <c r="AD334" s="18">
        <f>IF(OR(NOT(ISNUMBER(J334)),NOT(ISNUMBER(H334)),H334&lt;=0),기준표!$B$8,MIN(MAX(J334/H334,기준표!$B$6),기준표!$B$7))</f>
        <v/>
      </c>
      <c r="AE334" s="17">
        <f>IF(ISNUMBER(AC334),AC334*(1-AD334),"")</f>
        <v/>
      </c>
      <c r="AF334" s="17">
        <f>IF(AND(NOT(ISNUMBER(T334)),NOT(ISNUMBER(V334))),"",IF(ISNUMBER(T334),T334,0)+IF(ISNUMBER(V334),V334,0))</f>
        <v/>
      </c>
      <c r="AG334" s="17">
        <f>IF(E334="금융","",IF(AND(ISNUMBER(P334),ISNUMBER(AF334),ISNUMBER(R334)),P334+AF334-R334,""))</f>
        <v/>
      </c>
      <c r="AH334" s="17">
        <f>IF(E334="금융","",IF(NOT(ISNUMBER(AG334)),"",IF(ISNUMBER(AA334),(AG334+AA334)/2,AG334)))</f>
        <v/>
      </c>
      <c r="AI334" s="19">
        <f>IF(AND(ISNUMBER(AE334),ISNUMBER(AH334),AH334&gt;0),AE334/AH334,"")</f>
        <v/>
      </c>
      <c r="AJ334" s="17">
        <f>IF(E334="금융","",IF(AND(ISNUMBER(P334),ISNUMBER(AF334)),P334+AF334,""))</f>
        <v/>
      </c>
      <c r="AK334" s="19">
        <f>IF(OR(NOT(ISNUMBER(AE334)),NOT(ISNUMBER(AJ334)),AJ334&lt;=0),"",IF(AND(ISNUMBER(G334),AJ334&lt;0.1*G334),"",AE334/AJ334))</f>
        <v/>
      </c>
      <c r="AL334" s="17">
        <f>IF(NOT(ISNUMBER(P334)),"",IF(ISNUMBER(Q334),(P334+Q334)/2,P334))</f>
        <v/>
      </c>
      <c r="AM334" s="19">
        <f>IF(AND(ISNUMBER(L334),ISNUMBER(AL334),AL334&gt;0),L334/AL334,"")</f>
        <v/>
      </c>
      <c r="AN334" s="19">
        <f>IF(AND(ISNUMBER(AM334),ISNUMBER({ROIC})),AM334-{ROIC},"")</f>
        <v/>
      </c>
      <c r="AO334" s="17">
        <f>IF(AND(ISNUMBER(AC334),ISNUMBER(M334)),AC334+M334,"")</f>
        <v/>
      </c>
      <c r="AP334" s="20">
        <f>IF(AND(ISNUMBER(AF334),ISNUMBER(R334),ISNUMBER(AO334),AO334&gt;0),(AF334-R334)/AO334,"")</f>
        <v/>
      </c>
      <c r="AQ334" s="20">
        <f>IF(AND(ISNUMBER(AC334),ISNUMBER(I334),I334&lt;&gt;0,AC334&gt;0),AC334/I334,"")</f>
        <v/>
      </c>
      <c r="AR334" s="17">
        <f>IF(AND(ISNUMBER(W334),ISNUMBER(Y334)),W334-IF(ISNUMBER(R334),R334,0)-(Y334-IF(ISNUMBER(T334),T334,0)),"")</f>
        <v/>
      </c>
      <c r="AS334" s="17">
        <f>IF(AND(ISNUMBER(X334),ISNUMBER(Z334)),X334-IF(ISNUMBER(S334),S334,0)-(Z334-IF(ISNUMBER(U334),U334,0)),"")</f>
        <v/>
      </c>
      <c r="AT334" s="17">
        <f>IF(AND(ISNUMBER(AR334),ISNUMBER(AS334)),AR334-AS334,"")</f>
        <v/>
      </c>
      <c r="AU334" s="17">
        <f>IF(E334="금융","",IF(AND(ISNUMBER(L334),ISNUMBER(M334),ISNUMBER(N334),ISNUMBER(AT334)),L334+M334-N334-AT334,IF(AND(ISNUMBER(O334),ISNUMBER(N334)),O334-N334,"")))</f>
        <v/>
      </c>
      <c r="AV334" s="8">
        <f>IF(E334="금융","금융업 - 정의되지 않음",IF(AND(ISNUMBER(L334),ISNUMBER(M334),ISNUMBER(N334),ISNUMBER(AT334)),"순이익+감가상각-설비투자-운전자본증감",IF(AND(ISNUMBER(O334),ISNUMBER(N334)),"영업현금흐름-설비투자","산출불가")))</f>
        <v/>
      </c>
      <c r="AW334" s="19">
        <f>IF(AND(ISNUMBER(AU334),ISNUMBER(G334),G334&lt;&gt;0),AU334/G334,"")</f>
        <v/>
      </c>
      <c r="AX334" s="19">
        <f>IF(AND(ISNUMBER(AC334),ISNUMBER(G334),G334&lt;&gt;0),AC334/G334,"")</f>
        <v/>
      </c>
    </row>
    <row r="335">
      <c r="A335" s="8" t="inlineStr">
        <is>
          <t>GE</t>
        </is>
      </c>
      <c r="B335" s="8" t="inlineStr">
        <is>
          <t>GENERAL ELECTRIC CO</t>
        </is>
      </c>
      <c r="C335" s="8" t="n">
        <v>2014</v>
      </c>
      <c r="D335" s="8" t="inlineStr">
        <is>
          <t>2014-12-31</t>
        </is>
      </c>
      <c r="E335" s="8" t="inlineStr">
        <is>
          <t>일반</t>
        </is>
      </c>
      <c r="F335" s="8" t="inlineStr">
        <is>
          <t>0000040545-17-000010</t>
        </is>
      </c>
      <c r="G335" s="15" t="n">
        <v>117.184</v>
      </c>
      <c r="H335" s="15" t="n">
        <v>10.263</v>
      </c>
      <c r="I335" s="15" t="n"/>
      <c r="J335" s="15" t="n">
        <v>0.773</v>
      </c>
      <c r="K335" s="15" t="n"/>
      <c r="L335" s="15" t="n">
        <v>15.233</v>
      </c>
      <c r="M335" s="15" t="n">
        <v>4.953</v>
      </c>
      <c r="N335" s="15" t="n"/>
      <c r="O335" s="15" t="n">
        <v>27.709</v>
      </c>
      <c r="P335" s="15" t="n">
        <v>128.159</v>
      </c>
      <c r="Q335" s="15" t="n"/>
      <c r="R335" s="15" t="n"/>
      <c r="S335" s="15" t="n"/>
      <c r="T335" s="15" t="n">
        <v>70.425</v>
      </c>
      <c r="U335" s="15" t="n"/>
      <c r="V335" s="15" t="n">
        <v>186.596</v>
      </c>
      <c r="W335" s="15" t="n"/>
      <c r="X335" s="15" t="n"/>
      <c r="Y335" s="15" t="n"/>
      <c r="Z335" s="15" t="n"/>
      <c r="AA335" s="15" t="n"/>
      <c r="AB335" s="16" t="n">
        <v>1257.1725</v>
      </c>
      <c r="AC335" s="17">
        <f>IF(AND(ISNUMBER(H335),ISNUMBER(I335)),H335+I335,IF(ISNUMBER(K335),K335,IF(ISNUMBER(H335),H335,"")))</f>
        <v/>
      </c>
      <c r="AD335" s="18">
        <f>IF(OR(NOT(ISNUMBER(J335)),NOT(ISNUMBER(H335)),H335&lt;=0),기준표!$B$8,MIN(MAX(J335/H335,기준표!$B$6),기준표!$B$7))</f>
        <v/>
      </c>
      <c r="AE335" s="17">
        <f>IF(ISNUMBER(AC335),AC335*(1-AD335),"")</f>
        <v/>
      </c>
      <c r="AF335" s="17">
        <f>IF(AND(NOT(ISNUMBER(T335)),NOT(ISNUMBER(V335))),"",IF(ISNUMBER(T335),T335,0)+IF(ISNUMBER(V335),V335,0))</f>
        <v/>
      </c>
      <c r="AG335" s="17">
        <f>IF(E335="금융","",IF(AND(ISNUMBER(P335),ISNUMBER(AF335),ISNUMBER(R335)),P335+AF335-R335,""))</f>
        <v/>
      </c>
      <c r="AH335" s="17">
        <f>IF(E335="금융","",IF(NOT(ISNUMBER(AG335)),"",IF(ISNUMBER(AA335),(AG335+AA335)/2,AG335)))</f>
        <v/>
      </c>
      <c r="AI335" s="19">
        <f>IF(AND(ISNUMBER(AE335),ISNUMBER(AH335),AH335&gt;0),AE335/AH335,"")</f>
        <v/>
      </c>
      <c r="AJ335" s="17">
        <f>IF(E335="금융","",IF(AND(ISNUMBER(P335),ISNUMBER(AF335)),P335+AF335,""))</f>
        <v/>
      </c>
      <c r="AK335" s="19">
        <f>IF(OR(NOT(ISNUMBER(AE335)),NOT(ISNUMBER(AJ335)),AJ335&lt;=0),"",IF(AND(ISNUMBER(G335),AJ335&lt;0.1*G335),"",AE335/AJ335))</f>
        <v/>
      </c>
      <c r="AL335" s="17">
        <f>IF(NOT(ISNUMBER(P335)),"",IF(ISNUMBER(Q335),(P335+Q335)/2,P335))</f>
        <v/>
      </c>
      <c r="AM335" s="19">
        <f>IF(AND(ISNUMBER(L335),ISNUMBER(AL335),AL335&gt;0),L335/AL335,"")</f>
        <v/>
      </c>
      <c r="AN335" s="19">
        <f>IF(AND(ISNUMBER(AM335),ISNUMBER({ROIC})),AM335-{ROIC},"")</f>
        <v/>
      </c>
      <c r="AO335" s="17">
        <f>IF(AND(ISNUMBER(AC335),ISNUMBER(M335)),AC335+M335,"")</f>
        <v/>
      </c>
      <c r="AP335" s="20">
        <f>IF(AND(ISNUMBER(AF335),ISNUMBER(R335),ISNUMBER(AO335),AO335&gt;0),(AF335-R335)/AO335,"")</f>
        <v/>
      </c>
      <c r="AQ335" s="20">
        <f>IF(AND(ISNUMBER(AC335),ISNUMBER(I335),I335&lt;&gt;0,AC335&gt;0),AC335/I335,"")</f>
        <v/>
      </c>
      <c r="AR335" s="17">
        <f>IF(AND(ISNUMBER(W335),ISNUMBER(Y335)),W335-IF(ISNUMBER(R335),R335,0)-(Y335-IF(ISNUMBER(T335),T335,0)),"")</f>
        <v/>
      </c>
      <c r="AS335" s="17">
        <f>IF(AND(ISNUMBER(X335),ISNUMBER(Z335)),X335-IF(ISNUMBER(S335),S335,0)-(Z335-IF(ISNUMBER(U335),U335,0)),"")</f>
        <v/>
      </c>
      <c r="AT335" s="17">
        <f>IF(AND(ISNUMBER(AR335),ISNUMBER(AS335)),AR335-AS335,"")</f>
        <v/>
      </c>
      <c r="AU335" s="17">
        <f>IF(E335="금융","",IF(AND(ISNUMBER(L335),ISNUMBER(M335),ISNUMBER(N335),ISNUMBER(AT335)),L335+M335-N335-AT335,IF(AND(ISNUMBER(O335),ISNUMBER(N335)),O335-N335,"")))</f>
        <v/>
      </c>
      <c r="AV335" s="8">
        <f>IF(E335="금융","금융업 - 정의되지 않음",IF(AND(ISNUMBER(L335),ISNUMBER(M335),ISNUMBER(N335),ISNUMBER(AT335)),"순이익+감가상각-설비투자-운전자본증감",IF(AND(ISNUMBER(O335),ISNUMBER(N335)),"영업현금흐름-설비투자","산출불가")))</f>
        <v/>
      </c>
      <c r="AW335" s="19">
        <f>IF(AND(ISNUMBER(AU335),ISNUMBER(G335),G335&lt;&gt;0),AU335/G335,"")</f>
        <v/>
      </c>
      <c r="AX335" s="19">
        <f>IF(AND(ISNUMBER(AC335),ISNUMBER(G335),G335&lt;&gt;0),AC335/G335,"")</f>
        <v/>
      </c>
    </row>
    <row r="336">
      <c r="A336" s="8" t="inlineStr">
        <is>
          <t>GE</t>
        </is>
      </c>
      <c r="B336" s="8" t="inlineStr">
        <is>
          <t>GENERAL ELECTRIC CO</t>
        </is>
      </c>
      <c r="C336" s="8" t="n">
        <v>2015</v>
      </c>
      <c r="D336" s="8" t="inlineStr">
        <is>
          <t>2015-12-31</t>
        </is>
      </c>
      <c r="E336" s="8" t="inlineStr">
        <is>
          <t>일반</t>
        </is>
      </c>
      <c r="F336" s="8" t="inlineStr">
        <is>
          <t>0000040545-18-000014</t>
        </is>
      </c>
      <c r="G336" s="15" t="n">
        <v>117.386</v>
      </c>
      <c r="H336" s="15" t="n">
        <v>8.186</v>
      </c>
      <c r="I336" s="15" t="n"/>
      <c r="J336" s="15" t="n">
        <v>6.485</v>
      </c>
      <c r="K336" s="15" t="n"/>
      <c r="L336" s="15" t="n">
        <v>-6.126</v>
      </c>
      <c r="M336" s="15" t="n">
        <v>4.847</v>
      </c>
      <c r="N336" s="15" t="n"/>
      <c r="O336" s="15" t="n">
        <v>19.891</v>
      </c>
      <c r="P336" s="15" t="n">
        <v>98.274</v>
      </c>
      <c r="Q336" s="15" t="n">
        <v>128.159</v>
      </c>
      <c r="R336" s="15" t="n"/>
      <c r="S336" s="15" t="n"/>
      <c r="T336" s="15" t="n">
        <v>49.86</v>
      </c>
      <c r="U336" s="15" t="n">
        <v>70.425</v>
      </c>
      <c r="V336" s="15" t="n">
        <v>144.659</v>
      </c>
      <c r="W336" s="15" t="n"/>
      <c r="X336" s="15" t="n"/>
      <c r="Y336" s="15" t="n"/>
      <c r="Z336" s="15" t="n"/>
      <c r="AA336" s="15" t="n"/>
      <c r="AB336" s="16" t="n">
        <v>1172.411</v>
      </c>
      <c r="AC336" s="17">
        <f>IF(AND(ISNUMBER(H336),ISNUMBER(I336)),H336+I336,IF(ISNUMBER(K336),K336,IF(ISNUMBER(H336),H336,"")))</f>
        <v/>
      </c>
      <c r="AD336" s="18">
        <f>IF(OR(NOT(ISNUMBER(J336)),NOT(ISNUMBER(H336)),H336&lt;=0),기준표!$B$8,MIN(MAX(J336/H336,기준표!$B$6),기준표!$B$7))</f>
        <v/>
      </c>
      <c r="AE336" s="17">
        <f>IF(ISNUMBER(AC336),AC336*(1-AD336),"")</f>
        <v/>
      </c>
      <c r="AF336" s="17">
        <f>IF(AND(NOT(ISNUMBER(T336)),NOT(ISNUMBER(V336))),"",IF(ISNUMBER(T336),T336,0)+IF(ISNUMBER(V336),V336,0))</f>
        <v/>
      </c>
      <c r="AG336" s="17">
        <f>IF(E336="금융","",IF(AND(ISNUMBER(P336),ISNUMBER(AF336),ISNUMBER(R336)),P336+AF336-R336,""))</f>
        <v/>
      </c>
      <c r="AH336" s="17">
        <f>IF(E336="금융","",IF(NOT(ISNUMBER(AG336)),"",IF(ISNUMBER(AA336),(AG336+AA336)/2,AG336)))</f>
        <v/>
      </c>
      <c r="AI336" s="19">
        <f>IF(AND(ISNUMBER(AE336),ISNUMBER(AH336),AH336&gt;0),AE336/AH336,"")</f>
        <v/>
      </c>
      <c r="AJ336" s="17">
        <f>IF(E336="금융","",IF(AND(ISNUMBER(P336),ISNUMBER(AF336)),P336+AF336,""))</f>
        <v/>
      </c>
      <c r="AK336" s="19">
        <f>IF(OR(NOT(ISNUMBER(AE336)),NOT(ISNUMBER(AJ336)),AJ336&lt;=0),"",IF(AND(ISNUMBER(G336),AJ336&lt;0.1*G336),"",AE336/AJ336))</f>
        <v/>
      </c>
      <c r="AL336" s="17">
        <f>IF(NOT(ISNUMBER(P336)),"",IF(ISNUMBER(Q336),(P336+Q336)/2,P336))</f>
        <v/>
      </c>
      <c r="AM336" s="19">
        <f>IF(AND(ISNUMBER(L336),ISNUMBER(AL336),AL336&gt;0),L336/AL336,"")</f>
        <v/>
      </c>
      <c r="AN336" s="19">
        <f>IF(AND(ISNUMBER(AM336),ISNUMBER({ROIC})),AM336-{ROIC},"")</f>
        <v/>
      </c>
      <c r="AO336" s="17">
        <f>IF(AND(ISNUMBER(AC336),ISNUMBER(M336)),AC336+M336,"")</f>
        <v/>
      </c>
      <c r="AP336" s="20">
        <f>IF(AND(ISNUMBER(AF336),ISNUMBER(R336),ISNUMBER(AO336),AO336&gt;0),(AF336-R336)/AO336,"")</f>
        <v/>
      </c>
      <c r="AQ336" s="20">
        <f>IF(AND(ISNUMBER(AC336),ISNUMBER(I336),I336&lt;&gt;0,AC336&gt;0),AC336/I336,"")</f>
        <v/>
      </c>
      <c r="AR336" s="17">
        <f>IF(AND(ISNUMBER(W336),ISNUMBER(Y336)),W336-IF(ISNUMBER(R336),R336,0)-(Y336-IF(ISNUMBER(T336),T336,0)),"")</f>
        <v/>
      </c>
      <c r="AS336" s="17">
        <f>IF(AND(ISNUMBER(X336),ISNUMBER(Z336)),X336-IF(ISNUMBER(S336),S336,0)-(Z336-IF(ISNUMBER(U336),U336,0)),"")</f>
        <v/>
      </c>
      <c r="AT336" s="17">
        <f>IF(AND(ISNUMBER(AR336),ISNUMBER(AS336)),AR336-AS336,"")</f>
        <v/>
      </c>
      <c r="AU336" s="17">
        <f>IF(E336="금융","",IF(AND(ISNUMBER(L336),ISNUMBER(M336),ISNUMBER(N336),ISNUMBER(AT336)),L336+M336-N336-AT336,IF(AND(ISNUMBER(O336),ISNUMBER(N336)),O336-N336,"")))</f>
        <v/>
      </c>
      <c r="AV336" s="8">
        <f>IF(E336="금융","금융업 - 정의되지 않음",IF(AND(ISNUMBER(L336),ISNUMBER(M336),ISNUMBER(N336),ISNUMBER(AT336)),"순이익+감가상각-설비투자-운전자본증감",IF(AND(ISNUMBER(O336),ISNUMBER(N336)),"영업현금흐름-설비투자","산출불가")))</f>
        <v/>
      </c>
      <c r="AW336" s="19">
        <f>IF(AND(ISNUMBER(AU336),ISNUMBER(G336),G336&lt;&gt;0),AU336/G336,"")</f>
        <v/>
      </c>
      <c r="AX336" s="19">
        <f>IF(AND(ISNUMBER(AC336),ISNUMBER(G336),G336&lt;&gt;0),AC336/G336,"")</f>
        <v/>
      </c>
    </row>
    <row r="337">
      <c r="A337" s="8" t="inlineStr">
        <is>
          <t>GE</t>
        </is>
      </c>
      <c r="B337" s="8" t="inlineStr">
        <is>
          <t>GENERAL ELECTRIC CO</t>
        </is>
      </c>
      <c r="C337" s="8" t="n">
        <v>2016</v>
      </c>
      <c r="D337" s="8" t="inlineStr">
        <is>
          <t>2016-12-31</t>
        </is>
      </c>
      <c r="E337" s="8" t="inlineStr">
        <is>
          <t>일반</t>
        </is>
      </c>
      <c r="F337" s="8" t="inlineStr">
        <is>
          <t>0000040545-19-000014</t>
        </is>
      </c>
      <c r="G337" s="15" t="n">
        <v>119.469</v>
      </c>
      <c r="H337" s="15" t="n">
        <v>7.031</v>
      </c>
      <c r="I337" s="15" t="n"/>
      <c r="J337" s="15" t="n">
        <v>-1.133</v>
      </c>
      <c r="K337" s="15" t="n"/>
      <c r="L337" s="15" t="n">
        <v>7.5</v>
      </c>
      <c r="M337" s="15" t="n">
        <v>4.997</v>
      </c>
      <c r="N337" s="15" t="n"/>
      <c r="O337" s="15" t="n">
        <v>1.16</v>
      </c>
      <c r="P337" s="15" t="n">
        <v>70.16200000000001</v>
      </c>
      <c r="Q337" s="15" t="n">
        <v>98.274</v>
      </c>
      <c r="R337" s="15" t="n">
        <v>48.783</v>
      </c>
      <c r="S337" s="15" t="n"/>
      <c r="T337" s="15" t="n">
        <v>30.714</v>
      </c>
      <c r="U337" s="15" t="n">
        <v>49.86</v>
      </c>
      <c r="V337" s="15" t="n">
        <v>105.08</v>
      </c>
      <c r="W337" s="15" t="n"/>
      <c r="X337" s="15" t="n"/>
      <c r="Y337" s="15" t="n"/>
      <c r="Z337" s="15" t="n"/>
      <c r="AA337" s="15" t="n"/>
      <c r="AB337" s="16" t="n">
        <v>1092.82675</v>
      </c>
      <c r="AC337" s="17">
        <f>IF(AND(ISNUMBER(H337),ISNUMBER(I337)),H337+I337,IF(ISNUMBER(K337),K337,IF(ISNUMBER(H337),H337,"")))</f>
        <v/>
      </c>
      <c r="AD337" s="18">
        <f>IF(OR(NOT(ISNUMBER(J337)),NOT(ISNUMBER(H337)),H337&lt;=0),기준표!$B$8,MIN(MAX(J337/H337,기준표!$B$6),기준표!$B$7))</f>
        <v/>
      </c>
      <c r="AE337" s="17">
        <f>IF(ISNUMBER(AC337),AC337*(1-AD337),"")</f>
        <v/>
      </c>
      <c r="AF337" s="17">
        <f>IF(AND(NOT(ISNUMBER(T337)),NOT(ISNUMBER(V337))),"",IF(ISNUMBER(T337),T337,0)+IF(ISNUMBER(V337),V337,0))</f>
        <v/>
      </c>
      <c r="AG337" s="17">
        <f>IF(E337="금융","",IF(AND(ISNUMBER(P337),ISNUMBER(AF337),ISNUMBER(R337)),P337+AF337-R337,""))</f>
        <v/>
      </c>
      <c r="AH337" s="17">
        <f>IF(E337="금융","",IF(NOT(ISNUMBER(AG337)),"",IF(ISNUMBER(AA337),(AG337+AA337)/2,AG337)))</f>
        <v/>
      </c>
      <c r="AI337" s="19">
        <f>IF(AND(ISNUMBER(AE337),ISNUMBER(AH337),AH337&gt;0),AE337/AH337,"")</f>
        <v/>
      </c>
      <c r="AJ337" s="17">
        <f>IF(E337="금융","",IF(AND(ISNUMBER(P337),ISNUMBER(AF337)),P337+AF337,""))</f>
        <v/>
      </c>
      <c r="AK337" s="19">
        <f>IF(OR(NOT(ISNUMBER(AE337)),NOT(ISNUMBER(AJ337)),AJ337&lt;=0),"",IF(AND(ISNUMBER(G337),AJ337&lt;0.1*G337),"",AE337/AJ337))</f>
        <v/>
      </c>
      <c r="AL337" s="17">
        <f>IF(NOT(ISNUMBER(P337)),"",IF(ISNUMBER(Q337),(P337+Q337)/2,P337))</f>
        <v/>
      </c>
      <c r="AM337" s="19">
        <f>IF(AND(ISNUMBER(L337),ISNUMBER(AL337),AL337&gt;0),L337/AL337,"")</f>
        <v/>
      </c>
      <c r="AN337" s="19">
        <f>IF(AND(ISNUMBER(AM337),ISNUMBER({ROIC})),AM337-{ROIC},"")</f>
        <v/>
      </c>
      <c r="AO337" s="17">
        <f>IF(AND(ISNUMBER(AC337),ISNUMBER(M337)),AC337+M337,"")</f>
        <v/>
      </c>
      <c r="AP337" s="20">
        <f>IF(AND(ISNUMBER(AF337),ISNUMBER(R337),ISNUMBER(AO337),AO337&gt;0),(AF337-R337)/AO337,"")</f>
        <v/>
      </c>
      <c r="AQ337" s="20">
        <f>IF(AND(ISNUMBER(AC337),ISNUMBER(I337),I337&lt;&gt;0,AC337&gt;0),AC337/I337,"")</f>
        <v/>
      </c>
      <c r="AR337" s="17">
        <f>IF(AND(ISNUMBER(W337),ISNUMBER(Y337)),W337-IF(ISNUMBER(R337),R337,0)-(Y337-IF(ISNUMBER(T337),T337,0)),"")</f>
        <v/>
      </c>
      <c r="AS337" s="17">
        <f>IF(AND(ISNUMBER(X337),ISNUMBER(Z337)),X337-IF(ISNUMBER(S337),S337,0)-(Z337-IF(ISNUMBER(U337),U337,0)),"")</f>
        <v/>
      </c>
      <c r="AT337" s="17">
        <f>IF(AND(ISNUMBER(AR337),ISNUMBER(AS337)),AR337-AS337,"")</f>
        <v/>
      </c>
      <c r="AU337" s="17">
        <f>IF(E337="금융","",IF(AND(ISNUMBER(L337),ISNUMBER(M337),ISNUMBER(N337),ISNUMBER(AT337)),L337+M337-N337-AT337,IF(AND(ISNUMBER(O337),ISNUMBER(N337)),O337-N337,"")))</f>
        <v/>
      </c>
      <c r="AV337" s="8">
        <f>IF(E337="금융","금융업 - 정의되지 않음",IF(AND(ISNUMBER(L337),ISNUMBER(M337),ISNUMBER(N337),ISNUMBER(AT337)),"순이익+감가상각-설비투자-운전자본증감",IF(AND(ISNUMBER(O337),ISNUMBER(N337)),"영업현금흐름-설비투자","산출불가")))</f>
        <v/>
      </c>
      <c r="AW337" s="19">
        <f>IF(AND(ISNUMBER(AU337),ISNUMBER(G337),G337&lt;&gt;0),AU337/G337,"")</f>
        <v/>
      </c>
      <c r="AX337" s="19">
        <f>IF(AND(ISNUMBER(AC337),ISNUMBER(G337),G337&lt;&gt;0),AC337/G337,"")</f>
        <v/>
      </c>
    </row>
    <row r="338">
      <c r="A338" s="8" t="inlineStr">
        <is>
          <t>GE</t>
        </is>
      </c>
      <c r="B338" s="8" t="inlineStr">
        <is>
          <t>GENERAL ELECTRIC CO</t>
        </is>
      </c>
      <c r="C338" s="8" t="n">
        <v>2017</v>
      </c>
      <c r="D338" s="8" t="inlineStr">
        <is>
          <t>2017-12-31</t>
        </is>
      </c>
      <c r="E338" s="8" t="inlineStr">
        <is>
          <t>일반</t>
        </is>
      </c>
      <c r="F338" s="8" t="inlineStr">
        <is>
          <t>0000040545-20-000009</t>
        </is>
      </c>
      <c r="G338" s="15" t="n">
        <v>99.279</v>
      </c>
      <c r="H338" s="15" t="n">
        <v>-11.345</v>
      </c>
      <c r="I338" s="15" t="n"/>
      <c r="J338" s="15" t="n">
        <v>-2.808</v>
      </c>
      <c r="K338" s="15" t="n"/>
      <c r="L338" s="15" t="n">
        <v>-8.484</v>
      </c>
      <c r="M338" s="15" t="n">
        <v>4.332</v>
      </c>
      <c r="N338" s="15" t="n"/>
      <c r="O338" s="15" t="n">
        <v>6.554</v>
      </c>
      <c r="P338" s="15" t="n">
        <v>56.031</v>
      </c>
      <c r="Q338" s="15" t="n">
        <v>70.16200000000001</v>
      </c>
      <c r="R338" s="15" t="n">
        <v>43.967</v>
      </c>
      <c r="S338" s="15" t="n">
        <v>48.783</v>
      </c>
      <c r="T338" s="15" t="n">
        <v>24.036</v>
      </c>
      <c r="U338" s="15" t="n">
        <v>30.714</v>
      </c>
      <c r="V338" s="15" t="n">
        <v>108.575</v>
      </c>
      <c r="W338" s="15" t="n"/>
      <c r="X338" s="15" t="n"/>
      <c r="Y338" s="15" t="n"/>
      <c r="Z338" s="15" t="n"/>
      <c r="AA338" s="15" t="n">
        <v>157.173</v>
      </c>
      <c r="AB338" s="16" t="n">
        <v>1085.071375</v>
      </c>
      <c r="AC338" s="17">
        <f>IF(AND(ISNUMBER(H338),ISNUMBER(I338)),H338+I338,IF(ISNUMBER(K338),K338,IF(ISNUMBER(H338),H338,"")))</f>
        <v/>
      </c>
      <c r="AD338" s="18">
        <f>IF(OR(NOT(ISNUMBER(J338)),NOT(ISNUMBER(H338)),H338&lt;=0),기준표!$B$8,MIN(MAX(J338/H338,기준표!$B$6),기준표!$B$7))</f>
        <v/>
      </c>
      <c r="AE338" s="17">
        <f>IF(ISNUMBER(AC338),AC338*(1-AD338),"")</f>
        <v/>
      </c>
      <c r="AF338" s="17">
        <f>IF(AND(NOT(ISNUMBER(T338)),NOT(ISNUMBER(V338))),"",IF(ISNUMBER(T338),T338,0)+IF(ISNUMBER(V338),V338,0))</f>
        <v/>
      </c>
      <c r="AG338" s="17">
        <f>IF(E338="금융","",IF(AND(ISNUMBER(P338),ISNUMBER(AF338),ISNUMBER(R338)),P338+AF338-R338,""))</f>
        <v/>
      </c>
      <c r="AH338" s="17">
        <f>IF(E338="금융","",IF(NOT(ISNUMBER(AG338)),"",IF(ISNUMBER(AA338),(AG338+AA338)/2,AG338)))</f>
        <v/>
      </c>
      <c r="AI338" s="19">
        <f>IF(AND(ISNUMBER(AE338),ISNUMBER(AH338),AH338&gt;0),AE338/AH338,"")</f>
        <v/>
      </c>
      <c r="AJ338" s="17">
        <f>IF(E338="금융","",IF(AND(ISNUMBER(P338),ISNUMBER(AF338)),P338+AF338,""))</f>
        <v/>
      </c>
      <c r="AK338" s="19">
        <f>IF(OR(NOT(ISNUMBER(AE338)),NOT(ISNUMBER(AJ338)),AJ338&lt;=0),"",IF(AND(ISNUMBER(G338),AJ338&lt;0.1*G338),"",AE338/AJ338))</f>
        <v/>
      </c>
      <c r="AL338" s="17">
        <f>IF(NOT(ISNUMBER(P338)),"",IF(ISNUMBER(Q338),(P338+Q338)/2,P338))</f>
        <v/>
      </c>
      <c r="AM338" s="19">
        <f>IF(AND(ISNUMBER(L338),ISNUMBER(AL338),AL338&gt;0),L338/AL338,"")</f>
        <v/>
      </c>
      <c r="AN338" s="19">
        <f>IF(AND(ISNUMBER(AM338),ISNUMBER({ROIC})),AM338-{ROIC},"")</f>
        <v/>
      </c>
      <c r="AO338" s="17">
        <f>IF(AND(ISNUMBER(AC338),ISNUMBER(M338)),AC338+M338,"")</f>
        <v/>
      </c>
      <c r="AP338" s="20">
        <f>IF(AND(ISNUMBER(AF338),ISNUMBER(R338),ISNUMBER(AO338),AO338&gt;0),(AF338-R338)/AO338,"")</f>
        <v/>
      </c>
      <c r="AQ338" s="20">
        <f>IF(AND(ISNUMBER(AC338),ISNUMBER(I338),I338&lt;&gt;0,AC338&gt;0),AC338/I338,"")</f>
        <v/>
      </c>
      <c r="AR338" s="17">
        <f>IF(AND(ISNUMBER(W338),ISNUMBER(Y338)),W338-IF(ISNUMBER(R338),R338,0)-(Y338-IF(ISNUMBER(T338),T338,0)),"")</f>
        <v/>
      </c>
      <c r="AS338" s="17">
        <f>IF(AND(ISNUMBER(X338),ISNUMBER(Z338)),X338-IF(ISNUMBER(S338),S338,0)-(Z338-IF(ISNUMBER(U338),U338,0)),"")</f>
        <v/>
      </c>
      <c r="AT338" s="17">
        <f>IF(AND(ISNUMBER(AR338),ISNUMBER(AS338)),AR338-AS338,"")</f>
        <v/>
      </c>
      <c r="AU338" s="17">
        <f>IF(E338="금융","",IF(AND(ISNUMBER(L338),ISNUMBER(M338),ISNUMBER(N338),ISNUMBER(AT338)),L338+M338-N338-AT338,IF(AND(ISNUMBER(O338),ISNUMBER(N338)),O338-N338,"")))</f>
        <v/>
      </c>
      <c r="AV338" s="8">
        <f>IF(E338="금융","금융업 - 정의되지 않음",IF(AND(ISNUMBER(L338),ISNUMBER(M338),ISNUMBER(N338),ISNUMBER(AT338)),"순이익+감가상각-설비투자-운전자본증감",IF(AND(ISNUMBER(O338),ISNUMBER(N338)),"영업현금흐름-설비투자","산출불가")))</f>
        <v/>
      </c>
      <c r="AW338" s="19">
        <f>IF(AND(ISNUMBER(AU338),ISNUMBER(G338),G338&lt;&gt;0),AU338/G338,"")</f>
        <v/>
      </c>
      <c r="AX338" s="19">
        <f>IF(AND(ISNUMBER(AC338),ISNUMBER(G338),G338&lt;&gt;0),AC338/G338,"")</f>
        <v/>
      </c>
    </row>
    <row r="339">
      <c r="A339" s="8" t="inlineStr">
        <is>
          <t>GE</t>
        </is>
      </c>
      <c r="B339" s="8" t="inlineStr">
        <is>
          <t>GENERAL ELECTRIC CO</t>
        </is>
      </c>
      <c r="C339" s="8" t="n">
        <v>2018</v>
      </c>
      <c r="D339" s="8" t="inlineStr">
        <is>
          <t>2018-12-31</t>
        </is>
      </c>
      <c r="E339" s="8" t="inlineStr">
        <is>
          <t>일반</t>
        </is>
      </c>
      <c r="F339" s="8" t="inlineStr">
        <is>
          <t>0000040545-21-000011</t>
        </is>
      </c>
      <c r="G339" s="15" t="n">
        <v>97.012</v>
      </c>
      <c r="H339" s="15" t="n">
        <v>-20.987</v>
      </c>
      <c r="I339" s="15" t="n"/>
      <c r="J339" s="15" t="n">
        <v>0.093</v>
      </c>
      <c r="K339" s="15" t="n"/>
      <c r="L339" s="15" t="n">
        <v>-22.355</v>
      </c>
      <c r="M339" s="15" t="n">
        <v>4.419</v>
      </c>
      <c r="N339" s="15" t="n"/>
      <c r="O339" s="15" t="n">
        <v>4.978</v>
      </c>
      <c r="P339" s="15" t="n">
        <v>30.981</v>
      </c>
      <c r="Q339" s="15" t="n">
        <v>56.031</v>
      </c>
      <c r="R339" s="15" t="n">
        <v>31.124</v>
      </c>
      <c r="S339" s="15" t="n">
        <v>43.967</v>
      </c>
      <c r="T339" s="15" t="n">
        <v>12.776</v>
      </c>
      <c r="U339" s="15" t="n">
        <v>24.036</v>
      </c>
      <c r="V339" s="15" t="n">
        <v>88.949</v>
      </c>
      <c r="W339" s="15" t="n"/>
      <c r="X339" s="15" t="n"/>
      <c r="Y339" s="15" t="n"/>
      <c r="Z339" s="15" t="n"/>
      <c r="AA339" s="15" t="n">
        <v>144.675</v>
      </c>
      <c r="AB339" s="16" t="n">
        <v>1087.778375</v>
      </c>
      <c r="AC339" s="17">
        <f>IF(AND(ISNUMBER(H339),ISNUMBER(I339)),H339+I339,IF(ISNUMBER(K339),K339,IF(ISNUMBER(H339),H339,"")))</f>
        <v/>
      </c>
      <c r="AD339" s="18">
        <f>IF(OR(NOT(ISNUMBER(J339)),NOT(ISNUMBER(H339)),H339&lt;=0),기준표!$B$8,MIN(MAX(J339/H339,기준표!$B$6),기준표!$B$7))</f>
        <v/>
      </c>
      <c r="AE339" s="17">
        <f>IF(ISNUMBER(AC339),AC339*(1-AD339),"")</f>
        <v/>
      </c>
      <c r="AF339" s="17">
        <f>IF(AND(NOT(ISNUMBER(T339)),NOT(ISNUMBER(V339))),"",IF(ISNUMBER(T339),T339,0)+IF(ISNUMBER(V339),V339,0))</f>
        <v/>
      </c>
      <c r="AG339" s="17">
        <f>IF(E339="금융","",IF(AND(ISNUMBER(P339),ISNUMBER(AF339),ISNUMBER(R339)),P339+AF339-R339,""))</f>
        <v/>
      </c>
      <c r="AH339" s="17">
        <f>IF(E339="금융","",IF(NOT(ISNUMBER(AG339)),"",IF(ISNUMBER(AA339),(AG339+AA339)/2,AG339)))</f>
        <v/>
      </c>
      <c r="AI339" s="19">
        <f>IF(AND(ISNUMBER(AE339),ISNUMBER(AH339),AH339&gt;0),AE339/AH339,"")</f>
        <v/>
      </c>
      <c r="AJ339" s="17">
        <f>IF(E339="금융","",IF(AND(ISNUMBER(P339),ISNUMBER(AF339)),P339+AF339,""))</f>
        <v/>
      </c>
      <c r="AK339" s="19">
        <f>IF(OR(NOT(ISNUMBER(AE339)),NOT(ISNUMBER(AJ339)),AJ339&lt;=0),"",IF(AND(ISNUMBER(G339),AJ339&lt;0.1*G339),"",AE339/AJ339))</f>
        <v/>
      </c>
      <c r="AL339" s="17">
        <f>IF(NOT(ISNUMBER(P339)),"",IF(ISNUMBER(Q339),(P339+Q339)/2,P339))</f>
        <v/>
      </c>
      <c r="AM339" s="19">
        <f>IF(AND(ISNUMBER(L339),ISNUMBER(AL339),AL339&gt;0),L339/AL339,"")</f>
        <v/>
      </c>
      <c r="AN339" s="19">
        <f>IF(AND(ISNUMBER(AM339),ISNUMBER({ROIC})),AM339-{ROIC},"")</f>
        <v/>
      </c>
      <c r="AO339" s="17">
        <f>IF(AND(ISNUMBER(AC339),ISNUMBER(M339)),AC339+M339,"")</f>
        <v/>
      </c>
      <c r="AP339" s="20">
        <f>IF(AND(ISNUMBER(AF339),ISNUMBER(R339),ISNUMBER(AO339),AO339&gt;0),(AF339-R339)/AO339,"")</f>
        <v/>
      </c>
      <c r="AQ339" s="20">
        <f>IF(AND(ISNUMBER(AC339),ISNUMBER(I339),I339&lt;&gt;0,AC339&gt;0),AC339/I339,"")</f>
        <v/>
      </c>
      <c r="AR339" s="17">
        <f>IF(AND(ISNUMBER(W339),ISNUMBER(Y339)),W339-IF(ISNUMBER(R339),R339,0)-(Y339-IF(ISNUMBER(T339),T339,0)),"")</f>
        <v/>
      </c>
      <c r="AS339" s="17">
        <f>IF(AND(ISNUMBER(X339),ISNUMBER(Z339)),X339-IF(ISNUMBER(S339),S339,0)-(Z339-IF(ISNUMBER(U339),U339,0)),"")</f>
        <v/>
      </c>
      <c r="AT339" s="17">
        <f>IF(AND(ISNUMBER(AR339),ISNUMBER(AS339)),AR339-AS339,"")</f>
        <v/>
      </c>
      <c r="AU339" s="17">
        <f>IF(E339="금융","",IF(AND(ISNUMBER(L339),ISNUMBER(M339),ISNUMBER(N339),ISNUMBER(AT339)),L339+M339-N339-AT339,IF(AND(ISNUMBER(O339),ISNUMBER(N339)),O339-N339,"")))</f>
        <v/>
      </c>
      <c r="AV339" s="8">
        <f>IF(E339="금융","금융업 - 정의되지 않음",IF(AND(ISNUMBER(L339),ISNUMBER(M339),ISNUMBER(N339),ISNUMBER(AT339)),"순이익+감가상각-설비투자-운전자본증감",IF(AND(ISNUMBER(O339),ISNUMBER(N339)),"영업현금흐름-설비투자","산출불가")))</f>
        <v/>
      </c>
      <c r="AW339" s="19">
        <f>IF(AND(ISNUMBER(AU339),ISNUMBER(G339),G339&lt;&gt;0),AU339/G339,"")</f>
        <v/>
      </c>
      <c r="AX339" s="19">
        <f>IF(AND(ISNUMBER(AC339),ISNUMBER(G339),G339&lt;&gt;0),AC339/G339,"")</f>
        <v/>
      </c>
    </row>
    <row r="340">
      <c r="A340" s="8" t="inlineStr">
        <is>
          <t>GE</t>
        </is>
      </c>
      <c r="B340" s="8" t="inlineStr">
        <is>
          <t>GENERAL ELECTRIC CO</t>
        </is>
      </c>
      <c r="C340" s="8" t="n">
        <v>2019</v>
      </c>
      <c r="D340" s="8" t="inlineStr">
        <is>
          <t>2019-12-31</t>
        </is>
      </c>
      <c r="E340" s="8" t="inlineStr">
        <is>
          <t>일반</t>
        </is>
      </c>
      <c r="F340" s="8" t="inlineStr">
        <is>
          <t>0000040545-22-000008</t>
        </is>
      </c>
      <c r="G340" s="15" t="n">
        <v>90.221</v>
      </c>
      <c r="H340" s="15" t="n">
        <v>-0.054</v>
      </c>
      <c r="I340" s="15" t="n"/>
      <c r="J340" s="15" t="n">
        <v>0.552</v>
      </c>
      <c r="K340" s="15" t="n"/>
      <c r="L340" s="15" t="n">
        <v>-4.979</v>
      </c>
      <c r="M340" s="15" t="n">
        <v>2.018</v>
      </c>
      <c r="N340" s="15" t="n"/>
      <c r="O340" s="15" t="n">
        <v>8.734</v>
      </c>
      <c r="P340" s="15" t="n">
        <v>28.316</v>
      </c>
      <c r="Q340" s="15" t="n">
        <v>30.981</v>
      </c>
      <c r="R340" s="15" t="n">
        <v>35.811</v>
      </c>
      <c r="S340" s="15" t="n">
        <v>31.124</v>
      </c>
      <c r="T340" s="15" t="n">
        <v>23.641</v>
      </c>
      <c r="U340" s="15" t="n">
        <v>12.776</v>
      </c>
      <c r="V340" s="15" t="n">
        <v>67.241</v>
      </c>
      <c r="W340" s="15" t="n">
        <v>103.096</v>
      </c>
      <c r="X340" s="15" t="n"/>
      <c r="Y340" s="15" t="n">
        <v>78.86499999999999</v>
      </c>
      <c r="Z340" s="15" t="n"/>
      <c r="AA340" s="15" t="n">
        <v>101.582</v>
      </c>
      <c r="AB340" s="16" t="n">
        <v>1092.30425</v>
      </c>
      <c r="AC340" s="17">
        <f>IF(AND(ISNUMBER(H340),ISNUMBER(I340)),H340+I340,IF(ISNUMBER(K340),K340,IF(ISNUMBER(H340),H340,"")))</f>
        <v/>
      </c>
      <c r="AD340" s="18">
        <f>IF(OR(NOT(ISNUMBER(J340)),NOT(ISNUMBER(H340)),H340&lt;=0),기준표!$B$8,MIN(MAX(J340/H340,기준표!$B$6),기준표!$B$7))</f>
        <v/>
      </c>
      <c r="AE340" s="17">
        <f>IF(ISNUMBER(AC340),AC340*(1-AD340),"")</f>
        <v/>
      </c>
      <c r="AF340" s="17">
        <f>IF(AND(NOT(ISNUMBER(T340)),NOT(ISNUMBER(V340))),"",IF(ISNUMBER(T340),T340,0)+IF(ISNUMBER(V340),V340,0))</f>
        <v/>
      </c>
      <c r="AG340" s="17">
        <f>IF(E340="금융","",IF(AND(ISNUMBER(P340),ISNUMBER(AF340),ISNUMBER(R340)),P340+AF340-R340,""))</f>
        <v/>
      </c>
      <c r="AH340" s="17">
        <f>IF(E340="금융","",IF(NOT(ISNUMBER(AG340)),"",IF(ISNUMBER(AA340),(AG340+AA340)/2,AG340)))</f>
        <v/>
      </c>
      <c r="AI340" s="19">
        <f>IF(AND(ISNUMBER(AE340),ISNUMBER(AH340),AH340&gt;0),AE340/AH340,"")</f>
        <v/>
      </c>
      <c r="AJ340" s="17">
        <f>IF(E340="금융","",IF(AND(ISNUMBER(P340),ISNUMBER(AF340)),P340+AF340,""))</f>
        <v/>
      </c>
      <c r="AK340" s="19">
        <f>IF(OR(NOT(ISNUMBER(AE340)),NOT(ISNUMBER(AJ340)),AJ340&lt;=0),"",IF(AND(ISNUMBER(G340),AJ340&lt;0.1*G340),"",AE340/AJ340))</f>
        <v/>
      </c>
      <c r="AL340" s="17">
        <f>IF(NOT(ISNUMBER(P340)),"",IF(ISNUMBER(Q340),(P340+Q340)/2,P340))</f>
        <v/>
      </c>
      <c r="AM340" s="19">
        <f>IF(AND(ISNUMBER(L340),ISNUMBER(AL340),AL340&gt;0),L340/AL340,"")</f>
        <v/>
      </c>
      <c r="AN340" s="19">
        <f>IF(AND(ISNUMBER(AM340),ISNUMBER({ROIC})),AM340-{ROIC},"")</f>
        <v/>
      </c>
      <c r="AO340" s="17">
        <f>IF(AND(ISNUMBER(AC340),ISNUMBER(M340)),AC340+M340,"")</f>
        <v/>
      </c>
      <c r="AP340" s="20">
        <f>IF(AND(ISNUMBER(AF340),ISNUMBER(R340),ISNUMBER(AO340),AO340&gt;0),(AF340-R340)/AO340,"")</f>
        <v/>
      </c>
      <c r="AQ340" s="20">
        <f>IF(AND(ISNUMBER(AC340),ISNUMBER(I340),I340&lt;&gt;0,AC340&gt;0),AC340/I340,"")</f>
        <v/>
      </c>
      <c r="AR340" s="17">
        <f>IF(AND(ISNUMBER(W340),ISNUMBER(Y340)),W340-IF(ISNUMBER(R340),R340,0)-(Y340-IF(ISNUMBER(T340),T340,0)),"")</f>
        <v/>
      </c>
      <c r="AS340" s="17">
        <f>IF(AND(ISNUMBER(X340),ISNUMBER(Z340)),X340-IF(ISNUMBER(S340),S340,0)-(Z340-IF(ISNUMBER(U340),U340,0)),"")</f>
        <v/>
      </c>
      <c r="AT340" s="17">
        <f>IF(AND(ISNUMBER(AR340),ISNUMBER(AS340)),AR340-AS340,"")</f>
        <v/>
      </c>
      <c r="AU340" s="17">
        <f>IF(E340="금융","",IF(AND(ISNUMBER(L340),ISNUMBER(M340),ISNUMBER(N340),ISNUMBER(AT340)),L340+M340-N340-AT340,IF(AND(ISNUMBER(O340),ISNUMBER(N340)),O340-N340,"")))</f>
        <v/>
      </c>
      <c r="AV340" s="8">
        <f>IF(E340="금융","금융업 - 정의되지 않음",IF(AND(ISNUMBER(L340),ISNUMBER(M340),ISNUMBER(N340),ISNUMBER(AT340)),"순이익+감가상각-설비투자-운전자본증감",IF(AND(ISNUMBER(O340),ISNUMBER(N340)),"영업현금흐름-설비투자","산출불가")))</f>
        <v/>
      </c>
      <c r="AW340" s="19">
        <f>IF(AND(ISNUMBER(AU340),ISNUMBER(G340),G340&lt;&gt;0),AU340/G340,"")</f>
        <v/>
      </c>
      <c r="AX340" s="19">
        <f>IF(AND(ISNUMBER(AC340),ISNUMBER(G340),G340&lt;&gt;0),AC340/G340,"")</f>
        <v/>
      </c>
    </row>
    <row r="341">
      <c r="A341" s="8" t="inlineStr">
        <is>
          <t>GE</t>
        </is>
      </c>
      <c r="B341" s="8" t="inlineStr">
        <is>
          <t>GENERAL ELECTRIC CO</t>
        </is>
      </c>
      <c r="C341" s="8" t="n">
        <v>2020</v>
      </c>
      <c r="D341" s="8" t="inlineStr">
        <is>
          <t>2020-12-31</t>
        </is>
      </c>
      <c r="E341" s="8" t="inlineStr">
        <is>
          <t>일반</t>
        </is>
      </c>
      <c r="F341" s="8" t="inlineStr">
        <is>
          <t>0000040545-23-000023</t>
        </is>
      </c>
      <c r="G341" s="15" t="n">
        <v>75.833</v>
      </c>
      <c r="H341" s="15" t="n">
        <v>5.97</v>
      </c>
      <c r="I341" s="15" t="n"/>
      <c r="J341" s="15" t="n">
        <v>-0.487</v>
      </c>
      <c r="K341" s="15" t="n"/>
      <c r="L341" s="15" t="n">
        <v>5.704</v>
      </c>
      <c r="M341" s="15" t="n">
        <v>2.128</v>
      </c>
      <c r="N341" s="15" t="n"/>
      <c r="O341" s="15" t="n">
        <v>3.568</v>
      </c>
      <c r="P341" s="15" t="n">
        <v>35.552</v>
      </c>
      <c r="Q341" s="15" t="n">
        <v>28.316</v>
      </c>
      <c r="R341" s="15" t="n">
        <v>36.53</v>
      </c>
      <c r="S341" s="15" t="n">
        <v>35.811</v>
      </c>
      <c r="T341" s="15" t="n">
        <v>4.778</v>
      </c>
      <c r="U341" s="15" t="n">
        <v>23.641</v>
      </c>
      <c r="V341" s="15" t="n">
        <v>70.18899999999999</v>
      </c>
      <c r="W341" s="15" t="n">
        <v>84.85299999999999</v>
      </c>
      <c r="X341" s="15" t="n">
        <v>103.096</v>
      </c>
      <c r="Y341" s="15" t="n">
        <v>54.613</v>
      </c>
      <c r="Z341" s="15" t="n">
        <v>78.86499999999999</v>
      </c>
      <c r="AA341" s="15" t="n">
        <v>83.387</v>
      </c>
      <c r="AB341" s="16" t="n">
        <v>1095.686581</v>
      </c>
      <c r="AC341" s="17">
        <f>IF(AND(ISNUMBER(H341),ISNUMBER(I341)),H341+I341,IF(ISNUMBER(K341),K341,IF(ISNUMBER(H341),H341,"")))</f>
        <v/>
      </c>
      <c r="AD341" s="18">
        <f>IF(OR(NOT(ISNUMBER(J341)),NOT(ISNUMBER(H341)),H341&lt;=0),기준표!$B$8,MIN(MAX(J341/H341,기준표!$B$6),기준표!$B$7))</f>
        <v/>
      </c>
      <c r="AE341" s="17">
        <f>IF(ISNUMBER(AC341),AC341*(1-AD341),"")</f>
        <v/>
      </c>
      <c r="AF341" s="17">
        <f>IF(AND(NOT(ISNUMBER(T341)),NOT(ISNUMBER(V341))),"",IF(ISNUMBER(T341),T341,0)+IF(ISNUMBER(V341),V341,0))</f>
        <v/>
      </c>
      <c r="AG341" s="17">
        <f>IF(E341="금융","",IF(AND(ISNUMBER(P341),ISNUMBER(AF341),ISNUMBER(R341)),P341+AF341-R341,""))</f>
        <v/>
      </c>
      <c r="AH341" s="17">
        <f>IF(E341="금융","",IF(NOT(ISNUMBER(AG341)),"",IF(ISNUMBER(AA341),(AG341+AA341)/2,AG341)))</f>
        <v/>
      </c>
      <c r="AI341" s="19">
        <f>IF(AND(ISNUMBER(AE341),ISNUMBER(AH341),AH341&gt;0),AE341/AH341,"")</f>
        <v/>
      </c>
      <c r="AJ341" s="17">
        <f>IF(E341="금융","",IF(AND(ISNUMBER(P341),ISNUMBER(AF341)),P341+AF341,""))</f>
        <v/>
      </c>
      <c r="AK341" s="19">
        <f>IF(OR(NOT(ISNUMBER(AE341)),NOT(ISNUMBER(AJ341)),AJ341&lt;=0),"",IF(AND(ISNUMBER(G341),AJ341&lt;0.1*G341),"",AE341/AJ341))</f>
        <v/>
      </c>
      <c r="AL341" s="17">
        <f>IF(NOT(ISNUMBER(P341)),"",IF(ISNUMBER(Q341),(P341+Q341)/2,P341))</f>
        <v/>
      </c>
      <c r="AM341" s="19">
        <f>IF(AND(ISNUMBER(L341),ISNUMBER(AL341),AL341&gt;0),L341/AL341,"")</f>
        <v/>
      </c>
      <c r="AN341" s="19">
        <f>IF(AND(ISNUMBER(AM341),ISNUMBER({ROIC})),AM341-{ROIC},"")</f>
        <v/>
      </c>
      <c r="AO341" s="17">
        <f>IF(AND(ISNUMBER(AC341),ISNUMBER(M341)),AC341+M341,"")</f>
        <v/>
      </c>
      <c r="AP341" s="20">
        <f>IF(AND(ISNUMBER(AF341),ISNUMBER(R341),ISNUMBER(AO341),AO341&gt;0),(AF341-R341)/AO341,"")</f>
        <v/>
      </c>
      <c r="AQ341" s="20">
        <f>IF(AND(ISNUMBER(AC341),ISNUMBER(I341),I341&lt;&gt;0,AC341&gt;0),AC341/I341,"")</f>
        <v/>
      </c>
      <c r="AR341" s="17">
        <f>IF(AND(ISNUMBER(W341),ISNUMBER(Y341)),W341-IF(ISNUMBER(R341),R341,0)-(Y341-IF(ISNUMBER(T341),T341,0)),"")</f>
        <v/>
      </c>
      <c r="AS341" s="17">
        <f>IF(AND(ISNUMBER(X341),ISNUMBER(Z341)),X341-IF(ISNUMBER(S341),S341,0)-(Z341-IF(ISNUMBER(U341),U341,0)),"")</f>
        <v/>
      </c>
      <c r="AT341" s="17">
        <f>IF(AND(ISNUMBER(AR341),ISNUMBER(AS341)),AR341-AS341,"")</f>
        <v/>
      </c>
      <c r="AU341" s="17">
        <f>IF(E341="금융","",IF(AND(ISNUMBER(L341),ISNUMBER(M341),ISNUMBER(N341),ISNUMBER(AT341)),L341+M341-N341-AT341,IF(AND(ISNUMBER(O341),ISNUMBER(N341)),O341-N341,"")))</f>
        <v/>
      </c>
      <c r="AV341" s="8">
        <f>IF(E341="금융","금융업 - 정의되지 않음",IF(AND(ISNUMBER(L341),ISNUMBER(M341),ISNUMBER(N341),ISNUMBER(AT341)),"순이익+감가상각-설비투자-운전자본증감",IF(AND(ISNUMBER(O341),ISNUMBER(N341)),"영업현금흐름-설비투자","산출불가")))</f>
        <v/>
      </c>
      <c r="AW341" s="19">
        <f>IF(AND(ISNUMBER(AU341),ISNUMBER(G341),G341&lt;&gt;0),AU341/G341,"")</f>
        <v/>
      </c>
      <c r="AX341" s="19">
        <f>IF(AND(ISNUMBER(AC341),ISNUMBER(G341),G341&lt;&gt;0),AC341/G341,"")</f>
        <v/>
      </c>
    </row>
    <row r="342">
      <c r="A342" s="8" t="inlineStr">
        <is>
          <t>GE</t>
        </is>
      </c>
      <c r="B342" s="8" t="inlineStr">
        <is>
          <t>GENERAL ELECTRIC CO</t>
        </is>
      </c>
      <c r="C342" s="8" t="n">
        <v>2021</v>
      </c>
      <c r="D342" s="8" t="inlineStr">
        <is>
          <t>2021-12-31</t>
        </is>
      </c>
      <c r="E342" s="8" t="inlineStr">
        <is>
          <t>일반</t>
        </is>
      </c>
      <c r="F342" s="8" t="inlineStr">
        <is>
          <t>0000040545-24-000027</t>
        </is>
      </c>
      <c r="G342" s="15" t="n">
        <v>56.469</v>
      </c>
      <c r="H342" s="15" t="n">
        <v>-5.695</v>
      </c>
      <c r="I342" s="15" t="n"/>
      <c r="J342" s="15" t="n">
        <v>-0.757</v>
      </c>
      <c r="K342" s="15" t="n"/>
      <c r="L342" s="15" t="n">
        <v>-6.337</v>
      </c>
      <c r="M342" s="15" t="n">
        <v>1.622</v>
      </c>
      <c r="N342" s="15" t="n">
        <v>1.113</v>
      </c>
      <c r="O342" s="15" t="n">
        <v>3.481</v>
      </c>
      <c r="P342" s="15" t="n">
        <v>40.31</v>
      </c>
      <c r="Q342" s="15" t="n">
        <v>35.552</v>
      </c>
      <c r="R342" s="15" t="n">
        <v>15.77</v>
      </c>
      <c r="S342" s="15" t="n">
        <v>36.53</v>
      </c>
      <c r="T342" s="15" t="n"/>
      <c r="U342" s="15" t="n">
        <v>4.778</v>
      </c>
      <c r="V342" s="15" t="n">
        <v>30.824</v>
      </c>
      <c r="W342" s="15" t="n">
        <v>66.348</v>
      </c>
      <c r="X342" s="15" t="n">
        <v>84.85299999999999</v>
      </c>
      <c r="Y342" s="15" t="n">
        <v>51.953</v>
      </c>
      <c r="Z342" s="15" t="n">
        <v>54.613</v>
      </c>
      <c r="AA342" s="15" t="n">
        <v>73.989</v>
      </c>
      <c r="AB342" s="16" t="n">
        <v>1099.027213</v>
      </c>
      <c r="AC342" s="17">
        <f>IF(AND(ISNUMBER(H342),ISNUMBER(I342)),H342+I342,IF(ISNUMBER(K342),K342,IF(ISNUMBER(H342),H342,"")))</f>
        <v/>
      </c>
      <c r="AD342" s="18">
        <f>IF(OR(NOT(ISNUMBER(J342)),NOT(ISNUMBER(H342)),H342&lt;=0),기준표!$B$8,MIN(MAX(J342/H342,기준표!$B$6),기준표!$B$7))</f>
        <v/>
      </c>
      <c r="AE342" s="17">
        <f>IF(ISNUMBER(AC342),AC342*(1-AD342),"")</f>
        <v/>
      </c>
      <c r="AF342" s="17">
        <f>IF(AND(NOT(ISNUMBER(T342)),NOT(ISNUMBER(V342))),"",IF(ISNUMBER(T342),T342,0)+IF(ISNUMBER(V342),V342,0))</f>
        <v/>
      </c>
      <c r="AG342" s="17">
        <f>IF(E342="금융","",IF(AND(ISNUMBER(P342),ISNUMBER(AF342),ISNUMBER(R342)),P342+AF342-R342,""))</f>
        <v/>
      </c>
      <c r="AH342" s="17">
        <f>IF(E342="금융","",IF(NOT(ISNUMBER(AG342)),"",IF(ISNUMBER(AA342),(AG342+AA342)/2,AG342)))</f>
        <v/>
      </c>
      <c r="AI342" s="19">
        <f>IF(AND(ISNUMBER(AE342),ISNUMBER(AH342),AH342&gt;0),AE342/AH342,"")</f>
        <v/>
      </c>
      <c r="AJ342" s="17">
        <f>IF(E342="금융","",IF(AND(ISNUMBER(P342),ISNUMBER(AF342)),P342+AF342,""))</f>
        <v/>
      </c>
      <c r="AK342" s="19">
        <f>IF(OR(NOT(ISNUMBER(AE342)),NOT(ISNUMBER(AJ342)),AJ342&lt;=0),"",IF(AND(ISNUMBER(G342),AJ342&lt;0.1*G342),"",AE342/AJ342))</f>
        <v/>
      </c>
      <c r="AL342" s="17">
        <f>IF(NOT(ISNUMBER(P342)),"",IF(ISNUMBER(Q342),(P342+Q342)/2,P342))</f>
        <v/>
      </c>
      <c r="AM342" s="19">
        <f>IF(AND(ISNUMBER(L342),ISNUMBER(AL342),AL342&gt;0),L342/AL342,"")</f>
        <v/>
      </c>
      <c r="AN342" s="19">
        <f>IF(AND(ISNUMBER(AM342),ISNUMBER({ROIC})),AM342-{ROIC},"")</f>
        <v/>
      </c>
      <c r="AO342" s="17">
        <f>IF(AND(ISNUMBER(AC342),ISNUMBER(M342)),AC342+M342,"")</f>
        <v/>
      </c>
      <c r="AP342" s="20">
        <f>IF(AND(ISNUMBER(AF342),ISNUMBER(R342),ISNUMBER(AO342),AO342&gt;0),(AF342-R342)/AO342,"")</f>
        <v/>
      </c>
      <c r="AQ342" s="20">
        <f>IF(AND(ISNUMBER(AC342),ISNUMBER(I342),I342&lt;&gt;0,AC342&gt;0),AC342/I342,"")</f>
        <v/>
      </c>
      <c r="AR342" s="17">
        <f>IF(AND(ISNUMBER(W342),ISNUMBER(Y342)),W342-IF(ISNUMBER(R342),R342,0)-(Y342-IF(ISNUMBER(T342),T342,0)),"")</f>
        <v/>
      </c>
      <c r="AS342" s="17">
        <f>IF(AND(ISNUMBER(X342),ISNUMBER(Z342)),X342-IF(ISNUMBER(S342),S342,0)-(Z342-IF(ISNUMBER(U342),U342,0)),"")</f>
        <v/>
      </c>
      <c r="AT342" s="17">
        <f>IF(AND(ISNUMBER(AR342),ISNUMBER(AS342)),AR342-AS342,"")</f>
        <v/>
      </c>
      <c r="AU342" s="17">
        <f>IF(E342="금융","",IF(AND(ISNUMBER(L342),ISNUMBER(M342),ISNUMBER(N342),ISNUMBER(AT342)),L342+M342-N342-AT342,IF(AND(ISNUMBER(O342),ISNUMBER(N342)),O342-N342,"")))</f>
        <v/>
      </c>
      <c r="AV342" s="8">
        <f>IF(E342="금융","금융업 - 정의되지 않음",IF(AND(ISNUMBER(L342),ISNUMBER(M342),ISNUMBER(N342),ISNUMBER(AT342)),"순이익+감가상각-설비투자-운전자본증감",IF(AND(ISNUMBER(O342),ISNUMBER(N342)),"영업현금흐름-설비투자","산출불가")))</f>
        <v/>
      </c>
      <c r="AW342" s="19">
        <f>IF(AND(ISNUMBER(AU342),ISNUMBER(G342),G342&lt;&gt;0),AU342/G342,"")</f>
        <v/>
      </c>
      <c r="AX342" s="19">
        <f>IF(AND(ISNUMBER(AC342),ISNUMBER(G342),G342&lt;&gt;0),AC342/G342,"")</f>
        <v/>
      </c>
    </row>
    <row r="343">
      <c r="A343" s="8" t="inlineStr">
        <is>
          <t>GE</t>
        </is>
      </c>
      <c r="B343" s="8" t="inlineStr">
        <is>
          <t>GENERAL ELECTRIC CO</t>
        </is>
      </c>
      <c r="C343" s="8" t="n">
        <v>2022</v>
      </c>
      <c r="D343" s="8" t="inlineStr">
        <is>
          <t>2022-12-31</t>
        </is>
      </c>
      <c r="E343" s="8" t="inlineStr">
        <is>
          <t>일반</t>
        </is>
      </c>
      <c r="F343" s="8" t="inlineStr">
        <is>
          <t>0000040545-25-000015</t>
        </is>
      </c>
      <c r="G343" s="15" t="n">
        <v>29.139</v>
      </c>
      <c r="H343" s="15" t="n">
        <v>1.522</v>
      </c>
      <c r="I343" s="15" t="n"/>
      <c r="J343" s="15" t="n">
        <v>0.169</v>
      </c>
      <c r="K343" s="15" t="n"/>
      <c r="L343" s="15" t="n">
        <v>0.336</v>
      </c>
      <c r="M343" s="15" t="n">
        <v>0.846</v>
      </c>
      <c r="N343" s="15" t="n">
        <v>0.662</v>
      </c>
      <c r="O343" s="15" t="n">
        <v>5.917</v>
      </c>
      <c r="P343" s="15" t="n">
        <v>33.696</v>
      </c>
      <c r="Q343" s="15" t="n">
        <v>40.31</v>
      </c>
      <c r="R343" s="15" t="n">
        <v>15.81</v>
      </c>
      <c r="S343" s="15" t="n">
        <v>15.77</v>
      </c>
      <c r="T343" s="15" t="n"/>
      <c r="U343" s="15" t="n"/>
      <c r="V343" s="15" t="n">
        <v>20.32</v>
      </c>
      <c r="W343" s="15" t="n">
        <v>58.384</v>
      </c>
      <c r="X343" s="15" t="n">
        <v>66.348</v>
      </c>
      <c r="Y343" s="15" t="n">
        <v>49.428</v>
      </c>
      <c r="Z343" s="15" t="n">
        <v>51.953</v>
      </c>
      <c r="AA343" s="15" t="n">
        <v>55.364</v>
      </c>
      <c r="AB343" s="16" t="n">
        <v>1089.107878</v>
      </c>
      <c r="AC343" s="17">
        <f>IF(AND(ISNUMBER(H343),ISNUMBER(I343)),H343+I343,IF(ISNUMBER(K343),K343,IF(ISNUMBER(H343),H343,"")))</f>
        <v/>
      </c>
      <c r="AD343" s="18">
        <f>IF(OR(NOT(ISNUMBER(J343)),NOT(ISNUMBER(H343)),H343&lt;=0),기준표!$B$8,MIN(MAX(J343/H343,기준표!$B$6),기준표!$B$7))</f>
        <v/>
      </c>
      <c r="AE343" s="17">
        <f>IF(ISNUMBER(AC343),AC343*(1-AD343),"")</f>
        <v/>
      </c>
      <c r="AF343" s="17">
        <f>IF(AND(NOT(ISNUMBER(T343)),NOT(ISNUMBER(V343))),"",IF(ISNUMBER(T343),T343,0)+IF(ISNUMBER(V343),V343,0))</f>
        <v/>
      </c>
      <c r="AG343" s="17">
        <f>IF(E343="금융","",IF(AND(ISNUMBER(P343),ISNUMBER(AF343),ISNUMBER(R343)),P343+AF343-R343,""))</f>
        <v/>
      </c>
      <c r="AH343" s="17">
        <f>IF(E343="금융","",IF(NOT(ISNUMBER(AG343)),"",IF(ISNUMBER(AA343),(AG343+AA343)/2,AG343)))</f>
        <v/>
      </c>
      <c r="AI343" s="19">
        <f>IF(AND(ISNUMBER(AE343),ISNUMBER(AH343),AH343&gt;0),AE343/AH343,"")</f>
        <v/>
      </c>
      <c r="AJ343" s="17">
        <f>IF(E343="금융","",IF(AND(ISNUMBER(P343),ISNUMBER(AF343)),P343+AF343,""))</f>
        <v/>
      </c>
      <c r="AK343" s="19">
        <f>IF(OR(NOT(ISNUMBER(AE343)),NOT(ISNUMBER(AJ343)),AJ343&lt;=0),"",IF(AND(ISNUMBER(G343),AJ343&lt;0.1*G343),"",AE343/AJ343))</f>
        <v/>
      </c>
      <c r="AL343" s="17">
        <f>IF(NOT(ISNUMBER(P343)),"",IF(ISNUMBER(Q343),(P343+Q343)/2,P343))</f>
        <v/>
      </c>
      <c r="AM343" s="19">
        <f>IF(AND(ISNUMBER(L343),ISNUMBER(AL343),AL343&gt;0),L343/AL343,"")</f>
        <v/>
      </c>
      <c r="AN343" s="19">
        <f>IF(AND(ISNUMBER(AM343),ISNUMBER({ROIC})),AM343-{ROIC},"")</f>
        <v/>
      </c>
      <c r="AO343" s="17">
        <f>IF(AND(ISNUMBER(AC343),ISNUMBER(M343)),AC343+M343,"")</f>
        <v/>
      </c>
      <c r="AP343" s="20">
        <f>IF(AND(ISNUMBER(AF343),ISNUMBER(R343),ISNUMBER(AO343),AO343&gt;0),(AF343-R343)/AO343,"")</f>
        <v/>
      </c>
      <c r="AQ343" s="20">
        <f>IF(AND(ISNUMBER(AC343),ISNUMBER(I343),I343&lt;&gt;0,AC343&gt;0),AC343/I343,"")</f>
        <v/>
      </c>
      <c r="AR343" s="17">
        <f>IF(AND(ISNUMBER(W343),ISNUMBER(Y343)),W343-IF(ISNUMBER(R343),R343,0)-(Y343-IF(ISNUMBER(T343),T343,0)),"")</f>
        <v/>
      </c>
      <c r="AS343" s="17">
        <f>IF(AND(ISNUMBER(X343),ISNUMBER(Z343)),X343-IF(ISNUMBER(S343),S343,0)-(Z343-IF(ISNUMBER(U343),U343,0)),"")</f>
        <v/>
      </c>
      <c r="AT343" s="17">
        <f>IF(AND(ISNUMBER(AR343),ISNUMBER(AS343)),AR343-AS343,"")</f>
        <v/>
      </c>
      <c r="AU343" s="17">
        <f>IF(E343="금융","",IF(AND(ISNUMBER(L343),ISNUMBER(M343),ISNUMBER(N343),ISNUMBER(AT343)),L343+M343-N343-AT343,IF(AND(ISNUMBER(O343),ISNUMBER(N343)),O343-N343,"")))</f>
        <v/>
      </c>
      <c r="AV343" s="8">
        <f>IF(E343="금융","금융업 - 정의되지 않음",IF(AND(ISNUMBER(L343),ISNUMBER(M343),ISNUMBER(N343),ISNUMBER(AT343)),"순이익+감가상각-설비투자-운전자본증감",IF(AND(ISNUMBER(O343),ISNUMBER(N343)),"영업현금흐름-설비투자","산출불가")))</f>
        <v/>
      </c>
      <c r="AW343" s="19">
        <f>IF(AND(ISNUMBER(AU343),ISNUMBER(G343),G343&lt;&gt;0),AU343/G343,"")</f>
        <v/>
      </c>
      <c r="AX343" s="19">
        <f>IF(AND(ISNUMBER(AC343),ISNUMBER(G343),G343&lt;&gt;0),AC343/G343,"")</f>
        <v/>
      </c>
    </row>
    <row r="344">
      <c r="A344" s="8" t="inlineStr">
        <is>
          <t>GE</t>
        </is>
      </c>
      <c r="B344" s="8" t="inlineStr">
        <is>
          <t>GENERAL ELECTRIC CO</t>
        </is>
      </c>
      <c r="C344" s="8" t="n">
        <v>2023</v>
      </c>
      <c r="D344" s="8" t="inlineStr">
        <is>
          <t>2023-12-31</t>
        </is>
      </c>
      <c r="E344" s="8" t="inlineStr">
        <is>
          <t>일반</t>
        </is>
      </c>
      <c r="F344" s="8" t="inlineStr">
        <is>
          <t>0000040545-26-000008</t>
        </is>
      </c>
      <c r="G344" s="15" t="n">
        <v>35.348</v>
      </c>
      <c r="H344" s="15" t="n">
        <v>10.441</v>
      </c>
      <c r="I344" s="15" t="n"/>
      <c r="J344" s="15" t="n">
        <v>0.994</v>
      </c>
      <c r="K344" s="15" t="n"/>
      <c r="L344" s="15" t="n">
        <v>9.481999999999999</v>
      </c>
      <c r="M344" s="15" t="n">
        <v>0.797</v>
      </c>
      <c r="N344" s="15" t="n">
        <v>0.862</v>
      </c>
      <c r="O344" s="15" t="n">
        <v>5.189</v>
      </c>
      <c r="P344" s="15" t="n">
        <v>27.403</v>
      </c>
      <c r="Q344" s="15" t="n">
        <v>33.696</v>
      </c>
      <c r="R344" s="15" t="n">
        <v>15.204</v>
      </c>
      <c r="S344" s="15" t="n">
        <v>15.81</v>
      </c>
      <c r="T344" s="15" t="n"/>
      <c r="U344" s="15" t="n"/>
      <c r="V344" s="15" t="n">
        <v>19.417</v>
      </c>
      <c r="W344" s="15" t="n">
        <v>42.556</v>
      </c>
      <c r="X344" s="15" t="n">
        <v>58.384</v>
      </c>
      <c r="Y344" s="15" t="n">
        <v>32.103</v>
      </c>
      <c r="Z344" s="15" t="n">
        <v>49.428</v>
      </c>
      <c r="AA344" s="15" t="n">
        <v>38.206</v>
      </c>
      <c r="AB344" s="16" t="n">
        <v>1088.415995</v>
      </c>
      <c r="AC344" s="17">
        <f>IF(AND(ISNUMBER(H344),ISNUMBER(I344)),H344+I344,IF(ISNUMBER(K344),K344,IF(ISNUMBER(H344),H344,"")))</f>
        <v/>
      </c>
      <c r="AD344" s="18">
        <f>IF(OR(NOT(ISNUMBER(J344)),NOT(ISNUMBER(H344)),H344&lt;=0),기준표!$B$8,MIN(MAX(J344/H344,기준표!$B$6),기준표!$B$7))</f>
        <v/>
      </c>
      <c r="AE344" s="17">
        <f>IF(ISNUMBER(AC344),AC344*(1-AD344),"")</f>
        <v/>
      </c>
      <c r="AF344" s="17">
        <f>IF(AND(NOT(ISNUMBER(T344)),NOT(ISNUMBER(V344))),"",IF(ISNUMBER(T344),T344,0)+IF(ISNUMBER(V344),V344,0))</f>
        <v/>
      </c>
      <c r="AG344" s="17">
        <f>IF(E344="금융","",IF(AND(ISNUMBER(P344),ISNUMBER(AF344),ISNUMBER(R344)),P344+AF344-R344,""))</f>
        <v/>
      </c>
      <c r="AH344" s="17">
        <f>IF(E344="금융","",IF(NOT(ISNUMBER(AG344)),"",IF(ISNUMBER(AA344),(AG344+AA344)/2,AG344)))</f>
        <v/>
      </c>
      <c r="AI344" s="19">
        <f>IF(AND(ISNUMBER(AE344),ISNUMBER(AH344),AH344&gt;0),AE344/AH344,"")</f>
        <v/>
      </c>
      <c r="AJ344" s="17">
        <f>IF(E344="금융","",IF(AND(ISNUMBER(P344),ISNUMBER(AF344)),P344+AF344,""))</f>
        <v/>
      </c>
      <c r="AK344" s="19">
        <f>IF(OR(NOT(ISNUMBER(AE344)),NOT(ISNUMBER(AJ344)),AJ344&lt;=0),"",IF(AND(ISNUMBER(G344),AJ344&lt;0.1*G344),"",AE344/AJ344))</f>
        <v/>
      </c>
      <c r="AL344" s="17">
        <f>IF(NOT(ISNUMBER(P344)),"",IF(ISNUMBER(Q344),(P344+Q344)/2,P344))</f>
        <v/>
      </c>
      <c r="AM344" s="19">
        <f>IF(AND(ISNUMBER(L344),ISNUMBER(AL344),AL344&gt;0),L344/AL344,"")</f>
        <v/>
      </c>
      <c r="AN344" s="19">
        <f>IF(AND(ISNUMBER(AM344),ISNUMBER({ROIC})),AM344-{ROIC},"")</f>
        <v/>
      </c>
      <c r="AO344" s="17">
        <f>IF(AND(ISNUMBER(AC344),ISNUMBER(M344)),AC344+M344,"")</f>
        <v/>
      </c>
      <c r="AP344" s="20">
        <f>IF(AND(ISNUMBER(AF344),ISNUMBER(R344),ISNUMBER(AO344),AO344&gt;0),(AF344-R344)/AO344,"")</f>
        <v/>
      </c>
      <c r="AQ344" s="20">
        <f>IF(AND(ISNUMBER(AC344),ISNUMBER(I344),I344&lt;&gt;0,AC344&gt;0),AC344/I344,"")</f>
        <v/>
      </c>
      <c r="AR344" s="17">
        <f>IF(AND(ISNUMBER(W344),ISNUMBER(Y344)),W344-IF(ISNUMBER(R344),R344,0)-(Y344-IF(ISNUMBER(T344),T344,0)),"")</f>
        <v/>
      </c>
      <c r="AS344" s="17">
        <f>IF(AND(ISNUMBER(X344),ISNUMBER(Z344)),X344-IF(ISNUMBER(S344),S344,0)-(Z344-IF(ISNUMBER(U344),U344,0)),"")</f>
        <v/>
      </c>
      <c r="AT344" s="17">
        <f>IF(AND(ISNUMBER(AR344),ISNUMBER(AS344)),AR344-AS344,"")</f>
        <v/>
      </c>
      <c r="AU344" s="17">
        <f>IF(E344="금융","",IF(AND(ISNUMBER(L344),ISNUMBER(M344),ISNUMBER(N344),ISNUMBER(AT344)),L344+M344-N344-AT344,IF(AND(ISNUMBER(O344),ISNUMBER(N344)),O344-N344,"")))</f>
        <v/>
      </c>
      <c r="AV344" s="8">
        <f>IF(E344="금융","금융업 - 정의되지 않음",IF(AND(ISNUMBER(L344),ISNUMBER(M344),ISNUMBER(N344),ISNUMBER(AT344)),"순이익+감가상각-설비투자-운전자본증감",IF(AND(ISNUMBER(O344),ISNUMBER(N344)),"영업현금흐름-설비투자","산출불가")))</f>
        <v/>
      </c>
      <c r="AW344" s="19">
        <f>IF(AND(ISNUMBER(AU344),ISNUMBER(G344),G344&lt;&gt;0),AU344/G344,"")</f>
        <v/>
      </c>
      <c r="AX344" s="19">
        <f>IF(AND(ISNUMBER(AC344),ISNUMBER(G344),G344&lt;&gt;0),AC344/G344,"")</f>
        <v/>
      </c>
    </row>
    <row r="345">
      <c r="A345" s="8" t="inlineStr">
        <is>
          <t>GE</t>
        </is>
      </c>
      <c r="B345" s="8" t="inlineStr">
        <is>
          <t>GENERAL ELECTRIC CO</t>
        </is>
      </c>
      <c r="C345" s="8" t="n">
        <v>2024</v>
      </c>
      <c r="D345" s="8" t="inlineStr">
        <is>
          <t>2024-12-31</t>
        </is>
      </c>
      <c r="E345" s="8" t="inlineStr">
        <is>
          <t>일반</t>
        </is>
      </c>
      <c r="F345" s="8" t="inlineStr">
        <is>
          <t>0000040545-26-000008</t>
        </is>
      </c>
      <c r="G345" s="15" t="n">
        <v>38.702</v>
      </c>
      <c r="H345" s="15" t="n">
        <v>7.62</v>
      </c>
      <c r="I345" s="15" t="n"/>
      <c r="J345" s="15" t="n">
        <v>0.962</v>
      </c>
      <c r="K345" s="15" t="n"/>
      <c r="L345" s="15" t="n">
        <v>6.556</v>
      </c>
      <c r="M345" s="15" t="n">
        <v>0.834</v>
      </c>
      <c r="N345" s="15" t="n">
        <v>1.032</v>
      </c>
      <c r="O345" s="15" t="n">
        <v>4.71</v>
      </c>
      <c r="P345" s="15" t="n">
        <v>19.342</v>
      </c>
      <c r="Q345" s="15" t="n">
        <v>27.403</v>
      </c>
      <c r="R345" s="15" t="n">
        <v>13.619</v>
      </c>
      <c r="S345" s="15" t="n">
        <v>15.204</v>
      </c>
      <c r="T345" s="15" t="n">
        <v>0</v>
      </c>
      <c r="U345" s="15" t="n"/>
      <c r="V345" s="15" t="n">
        <v>17.234</v>
      </c>
      <c r="W345" s="15" t="n">
        <v>37.635</v>
      </c>
      <c r="X345" s="15" t="n">
        <v>42.556</v>
      </c>
      <c r="Y345" s="15" t="n">
        <v>34.392</v>
      </c>
      <c r="Z345" s="15" t="n">
        <v>32.103</v>
      </c>
      <c r="AA345" s="15" t="n">
        <v>31.616</v>
      </c>
      <c r="AB345" s="16" t="n">
        <v>1073.692183</v>
      </c>
      <c r="AC345" s="17">
        <f>IF(AND(ISNUMBER(H345),ISNUMBER(I345)),H345+I345,IF(ISNUMBER(K345),K345,IF(ISNUMBER(H345),H345,"")))</f>
        <v/>
      </c>
      <c r="AD345" s="18">
        <f>IF(OR(NOT(ISNUMBER(J345)),NOT(ISNUMBER(H345)),H345&lt;=0),기준표!$B$8,MIN(MAX(J345/H345,기준표!$B$6),기준표!$B$7))</f>
        <v/>
      </c>
      <c r="AE345" s="17">
        <f>IF(ISNUMBER(AC345),AC345*(1-AD345),"")</f>
        <v/>
      </c>
      <c r="AF345" s="17">
        <f>IF(AND(NOT(ISNUMBER(T345)),NOT(ISNUMBER(V345))),"",IF(ISNUMBER(T345),T345,0)+IF(ISNUMBER(V345),V345,0))</f>
        <v/>
      </c>
      <c r="AG345" s="17">
        <f>IF(E345="금융","",IF(AND(ISNUMBER(P345),ISNUMBER(AF345),ISNUMBER(R345)),P345+AF345-R345,""))</f>
        <v/>
      </c>
      <c r="AH345" s="17">
        <f>IF(E345="금융","",IF(NOT(ISNUMBER(AG345)),"",IF(ISNUMBER(AA345),(AG345+AA345)/2,AG345)))</f>
        <v/>
      </c>
      <c r="AI345" s="19">
        <f>IF(AND(ISNUMBER(AE345),ISNUMBER(AH345),AH345&gt;0),AE345/AH345,"")</f>
        <v/>
      </c>
      <c r="AJ345" s="17">
        <f>IF(E345="금융","",IF(AND(ISNUMBER(P345),ISNUMBER(AF345)),P345+AF345,""))</f>
        <v/>
      </c>
      <c r="AK345" s="19">
        <f>IF(OR(NOT(ISNUMBER(AE345)),NOT(ISNUMBER(AJ345)),AJ345&lt;=0),"",IF(AND(ISNUMBER(G345),AJ345&lt;0.1*G345),"",AE345/AJ345))</f>
        <v/>
      </c>
      <c r="AL345" s="17">
        <f>IF(NOT(ISNUMBER(P345)),"",IF(ISNUMBER(Q345),(P345+Q345)/2,P345))</f>
        <v/>
      </c>
      <c r="AM345" s="19">
        <f>IF(AND(ISNUMBER(L345),ISNUMBER(AL345),AL345&gt;0),L345/AL345,"")</f>
        <v/>
      </c>
      <c r="AN345" s="19">
        <f>IF(AND(ISNUMBER(AM345),ISNUMBER({ROIC})),AM345-{ROIC},"")</f>
        <v/>
      </c>
      <c r="AO345" s="17">
        <f>IF(AND(ISNUMBER(AC345),ISNUMBER(M345)),AC345+M345,"")</f>
        <v/>
      </c>
      <c r="AP345" s="20">
        <f>IF(AND(ISNUMBER(AF345),ISNUMBER(R345),ISNUMBER(AO345),AO345&gt;0),(AF345-R345)/AO345,"")</f>
        <v/>
      </c>
      <c r="AQ345" s="20">
        <f>IF(AND(ISNUMBER(AC345),ISNUMBER(I345),I345&lt;&gt;0,AC345&gt;0),AC345/I345,"")</f>
        <v/>
      </c>
      <c r="AR345" s="17">
        <f>IF(AND(ISNUMBER(W345),ISNUMBER(Y345)),W345-IF(ISNUMBER(R345),R345,0)-(Y345-IF(ISNUMBER(T345),T345,0)),"")</f>
        <v/>
      </c>
      <c r="AS345" s="17">
        <f>IF(AND(ISNUMBER(X345),ISNUMBER(Z345)),X345-IF(ISNUMBER(S345),S345,0)-(Z345-IF(ISNUMBER(U345),U345,0)),"")</f>
        <v/>
      </c>
      <c r="AT345" s="17">
        <f>IF(AND(ISNUMBER(AR345),ISNUMBER(AS345)),AR345-AS345,"")</f>
        <v/>
      </c>
      <c r="AU345" s="17">
        <f>IF(E345="금융","",IF(AND(ISNUMBER(L345),ISNUMBER(M345),ISNUMBER(N345),ISNUMBER(AT345)),L345+M345-N345-AT345,IF(AND(ISNUMBER(O345),ISNUMBER(N345)),O345-N345,"")))</f>
        <v/>
      </c>
      <c r="AV345" s="8">
        <f>IF(E345="금융","금융업 - 정의되지 않음",IF(AND(ISNUMBER(L345),ISNUMBER(M345),ISNUMBER(N345),ISNUMBER(AT345)),"순이익+감가상각-설비투자-운전자본증감",IF(AND(ISNUMBER(O345),ISNUMBER(N345)),"영업현금흐름-설비투자","산출불가")))</f>
        <v/>
      </c>
      <c r="AW345" s="19">
        <f>IF(AND(ISNUMBER(AU345),ISNUMBER(G345),G345&lt;&gt;0),AU345/G345,"")</f>
        <v/>
      </c>
      <c r="AX345" s="19">
        <f>IF(AND(ISNUMBER(AC345),ISNUMBER(G345),G345&lt;&gt;0),AC345/G345,"")</f>
        <v/>
      </c>
    </row>
    <row r="346">
      <c r="A346" s="8" t="inlineStr">
        <is>
          <t>GE</t>
        </is>
      </c>
      <c r="B346" s="8" t="inlineStr">
        <is>
          <t>GENERAL ELECTRIC CO</t>
        </is>
      </c>
      <c r="C346" s="8" t="n">
        <v>2025</v>
      </c>
      <c r="D346" s="8" t="inlineStr">
        <is>
          <t>2025-12-31</t>
        </is>
      </c>
      <c r="E346" s="8" t="inlineStr">
        <is>
          <t>일반</t>
        </is>
      </c>
      <c r="F346" s="8" t="inlineStr">
        <is>
          <t>0000040545-26-000008</t>
        </is>
      </c>
      <c r="G346" s="15" t="n">
        <v>45.855</v>
      </c>
      <c r="H346" s="15" t="n">
        <v>10</v>
      </c>
      <c r="I346" s="15" t="n"/>
      <c r="J346" s="15" t="n">
        <v>1.405</v>
      </c>
      <c r="K346" s="15" t="n"/>
      <c r="L346" s="15" t="n">
        <v>8.704000000000001</v>
      </c>
      <c r="M346" s="15" t="n">
        <v>0.863</v>
      </c>
      <c r="N346" s="15" t="n">
        <v>1.273</v>
      </c>
      <c r="O346" s="15" t="n">
        <v>8.537000000000001</v>
      </c>
      <c r="P346" s="15" t="n">
        <v>18.677</v>
      </c>
      <c r="Q346" s="15" t="n">
        <v>19.342</v>
      </c>
      <c r="R346" s="15" t="n">
        <v>12.392</v>
      </c>
      <c r="S346" s="15" t="n">
        <v>13.619</v>
      </c>
      <c r="T346" s="15" t="n">
        <v>0.025</v>
      </c>
      <c r="U346" s="15" t="n">
        <v>0</v>
      </c>
      <c r="V346" s="15" t="n">
        <v>18.808</v>
      </c>
      <c r="W346" s="15" t="n">
        <v>40.596</v>
      </c>
      <c r="X346" s="15" t="n">
        <v>37.635</v>
      </c>
      <c r="Y346" s="15" t="n">
        <v>38.98</v>
      </c>
      <c r="Z346" s="15" t="n">
        <v>34.392</v>
      </c>
      <c r="AA346" s="15" t="n">
        <v>22.957</v>
      </c>
      <c r="AB346" s="16" t="n">
        <v>1048.766702</v>
      </c>
      <c r="AC346" s="17">
        <f>IF(AND(ISNUMBER(H346),ISNUMBER(I346)),H346+I346,IF(ISNUMBER(K346),K346,IF(ISNUMBER(H346),H346,"")))</f>
        <v/>
      </c>
      <c r="AD346" s="18">
        <f>IF(OR(NOT(ISNUMBER(J346)),NOT(ISNUMBER(H346)),H346&lt;=0),기준표!$B$8,MIN(MAX(J346/H346,기준표!$B$6),기준표!$B$7))</f>
        <v/>
      </c>
      <c r="AE346" s="17">
        <f>IF(ISNUMBER(AC346),AC346*(1-AD346),"")</f>
        <v/>
      </c>
      <c r="AF346" s="17">
        <f>IF(AND(NOT(ISNUMBER(T346)),NOT(ISNUMBER(V346))),"",IF(ISNUMBER(T346),T346,0)+IF(ISNUMBER(V346),V346,0))</f>
        <v/>
      </c>
      <c r="AG346" s="17">
        <f>IF(E346="금융","",IF(AND(ISNUMBER(P346),ISNUMBER(AF346),ISNUMBER(R346)),P346+AF346-R346,""))</f>
        <v/>
      </c>
      <c r="AH346" s="17">
        <f>IF(E346="금융","",IF(NOT(ISNUMBER(AG346)),"",IF(ISNUMBER(AA346),(AG346+AA346)/2,AG346)))</f>
        <v/>
      </c>
      <c r="AI346" s="19">
        <f>IF(AND(ISNUMBER(AE346),ISNUMBER(AH346),AH346&gt;0),AE346/AH346,"")</f>
        <v/>
      </c>
      <c r="AJ346" s="17">
        <f>IF(E346="금융","",IF(AND(ISNUMBER(P346),ISNUMBER(AF346)),P346+AF346,""))</f>
        <v/>
      </c>
      <c r="AK346" s="19">
        <f>IF(OR(NOT(ISNUMBER(AE346)),NOT(ISNUMBER(AJ346)),AJ346&lt;=0),"",IF(AND(ISNUMBER(G346),AJ346&lt;0.1*G346),"",AE346/AJ346))</f>
        <v/>
      </c>
      <c r="AL346" s="17">
        <f>IF(NOT(ISNUMBER(P346)),"",IF(ISNUMBER(Q346),(P346+Q346)/2,P346))</f>
        <v/>
      </c>
      <c r="AM346" s="19">
        <f>IF(AND(ISNUMBER(L346),ISNUMBER(AL346),AL346&gt;0),L346/AL346,"")</f>
        <v/>
      </c>
      <c r="AN346" s="19">
        <f>IF(AND(ISNUMBER(AM346),ISNUMBER({ROIC})),AM346-{ROIC},"")</f>
        <v/>
      </c>
      <c r="AO346" s="17">
        <f>IF(AND(ISNUMBER(AC346),ISNUMBER(M346)),AC346+M346,"")</f>
        <v/>
      </c>
      <c r="AP346" s="20">
        <f>IF(AND(ISNUMBER(AF346),ISNUMBER(R346),ISNUMBER(AO346),AO346&gt;0),(AF346-R346)/AO346,"")</f>
        <v/>
      </c>
      <c r="AQ346" s="20">
        <f>IF(AND(ISNUMBER(AC346),ISNUMBER(I346),I346&lt;&gt;0,AC346&gt;0),AC346/I346,"")</f>
        <v/>
      </c>
      <c r="AR346" s="17">
        <f>IF(AND(ISNUMBER(W346),ISNUMBER(Y346)),W346-IF(ISNUMBER(R346),R346,0)-(Y346-IF(ISNUMBER(T346),T346,0)),"")</f>
        <v/>
      </c>
      <c r="AS346" s="17">
        <f>IF(AND(ISNUMBER(X346),ISNUMBER(Z346)),X346-IF(ISNUMBER(S346),S346,0)-(Z346-IF(ISNUMBER(U346),U346,0)),"")</f>
        <v/>
      </c>
      <c r="AT346" s="17">
        <f>IF(AND(ISNUMBER(AR346),ISNUMBER(AS346)),AR346-AS346,"")</f>
        <v/>
      </c>
      <c r="AU346" s="17">
        <f>IF(E346="금융","",IF(AND(ISNUMBER(L346),ISNUMBER(M346),ISNUMBER(N346),ISNUMBER(AT346)),L346+M346-N346-AT346,IF(AND(ISNUMBER(O346),ISNUMBER(N346)),O346-N346,"")))</f>
        <v/>
      </c>
      <c r="AV346" s="8">
        <f>IF(E346="금융","금융업 - 정의되지 않음",IF(AND(ISNUMBER(L346),ISNUMBER(M346),ISNUMBER(N346),ISNUMBER(AT346)),"순이익+감가상각-설비투자-운전자본증감",IF(AND(ISNUMBER(O346),ISNUMBER(N346)),"영업현금흐름-설비투자","산출불가")))</f>
        <v/>
      </c>
      <c r="AW346" s="19">
        <f>IF(AND(ISNUMBER(AU346),ISNUMBER(G346),G346&lt;&gt;0),AU346/G346,"")</f>
        <v/>
      </c>
      <c r="AX346" s="19">
        <f>IF(AND(ISNUMBER(AC346),ISNUMBER(G346),G346&lt;&gt;0),AC346/G346,"")</f>
        <v/>
      </c>
    </row>
    <row r="347">
      <c r="A347" s="8" t="inlineStr">
        <is>
          <t>KO</t>
        </is>
      </c>
      <c r="B347" s="8" t="inlineStr">
        <is>
          <t>COCA COLA CO</t>
        </is>
      </c>
      <c r="C347" s="8" t="n">
        <v>2014</v>
      </c>
      <c r="D347" s="8" t="inlineStr">
        <is>
          <t>2014-12-31</t>
        </is>
      </c>
      <c r="E347" s="8" t="inlineStr">
        <is>
          <t>일반</t>
        </is>
      </c>
      <c r="F347" s="8" t="inlineStr">
        <is>
          <t>0000021344-17-000009</t>
        </is>
      </c>
      <c r="G347" s="15" t="n"/>
      <c r="H347" s="15" t="n">
        <v>9.324999999999999</v>
      </c>
      <c r="I347" s="15" t="n">
        <v>0.483</v>
      </c>
      <c r="J347" s="15" t="n">
        <v>2.201</v>
      </c>
      <c r="K347" s="15" t="n">
        <v>9.708</v>
      </c>
      <c r="L347" s="15" t="n">
        <v>7.098</v>
      </c>
      <c r="M347" s="15" t="n">
        <v>1.976</v>
      </c>
      <c r="N347" s="15" t="n">
        <v>2.406</v>
      </c>
      <c r="O347" s="15" t="n">
        <v>10.615</v>
      </c>
      <c r="P347" s="15" t="n">
        <v>30.32</v>
      </c>
      <c r="Q347" s="15" t="n"/>
      <c r="R347" s="15" t="n">
        <v>18.01</v>
      </c>
      <c r="S347" s="15" t="n"/>
      <c r="T347" s="15" t="n">
        <v>19.01</v>
      </c>
      <c r="U347" s="15" t="n"/>
      <c r="V347" s="15" t="n"/>
      <c r="W347" s="15" t="n">
        <v>32.986</v>
      </c>
      <c r="X347" s="15" t="n"/>
      <c r="Y347" s="15" t="n">
        <v>32.374</v>
      </c>
      <c r="Z347" s="15" t="n"/>
      <c r="AA347" s="15" t="n"/>
      <c r="AB347" s="16" t="n">
        <v>4450</v>
      </c>
      <c r="AC347" s="17">
        <f>IF(AND(ISNUMBER(H347),ISNUMBER(I347)),H347+I347,IF(ISNUMBER(K347),K347,IF(ISNUMBER(H347),H347,"")))</f>
        <v/>
      </c>
      <c r="AD347" s="18">
        <f>IF(OR(NOT(ISNUMBER(J347)),NOT(ISNUMBER(H347)),H347&lt;=0),기준표!$B$8,MIN(MAX(J347/H347,기준표!$B$6),기준표!$B$7))</f>
        <v/>
      </c>
      <c r="AE347" s="17">
        <f>IF(ISNUMBER(AC347),AC347*(1-AD347),"")</f>
        <v/>
      </c>
      <c r="AF347" s="17">
        <f>IF(AND(NOT(ISNUMBER(T347)),NOT(ISNUMBER(V347))),"",IF(ISNUMBER(T347),T347,0)+IF(ISNUMBER(V347),V347,0))</f>
        <v/>
      </c>
      <c r="AG347" s="17">
        <f>IF(E347="금융","",IF(AND(ISNUMBER(P347),ISNUMBER(AF347),ISNUMBER(R347)),P347+AF347-R347,""))</f>
        <v/>
      </c>
      <c r="AH347" s="17">
        <f>IF(E347="금융","",IF(NOT(ISNUMBER(AG347)),"",IF(ISNUMBER(AA347),(AG347+AA347)/2,AG347)))</f>
        <v/>
      </c>
      <c r="AI347" s="19">
        <f>IF(AND(ISNUMBER(AE347),ISNUMBER(AH347),AH347&gt;0),AE347/AH347,"")</f>
        <v/>
      </c>
      <c r="AJ347" s="17">
        <f>IF(E347="금융","",IF(AND(ISNUMBER(P347),ISNUMBER(AF347)),P347+AF347,""))</f>
        <v/>
      </c>
      <c r="AK347" s="19">
        <f>IF(OR(NOT(ISNUMBER(AE347)),NOT(ISNUMBER(AJ347)),AJ347&lt;=0),"",IF(AND(ISNUMBER(G347),AJ347&lt;0.1*G347),"",AE347/AJ347))</f>
        <v/>
      </c>
      <c r="AL347" s="17">
        <f>IF(NOT(ISNUMBER(P347)),"",IF(ISNUMBER(Q347),(P347+Q347)/2,P347))</f>
        <v/>
      </c>
      <c r="AM347" s="19">
        <f>IF(AND(ISNUMBER(L347),ISNUMBER(AL347),AL347&gt;0),L347/AL347,"")</f>
        <v/>
      </c>
      <c r="AN347" s="19">
        <f>IF(AND(ISNUMBER(AM347),ISNUMBER({ROIC})),AM347-{ROIC},"")</f>
        <v/>
      </c>
      <c r="AO347" s="17">
        <f>IF(AND(ISNUMBER(AC347),ISNUMBER(M347)),AC347+M347,"")</f>
        <v/>
      </c>
      <c r="AP347" s="20">
        <f>IF(AND(ISNUMBER(AF347),ISNUMBER(R347),ISNUMBER(AO347),AO347&gt;0),(AF347-R347)/AO347,"")</f>
        <v/>
      </c>
      <c r="AQ347" s="20">
        <f>IF(AND(ISNUMBER(AC347),ISNUMBER(I347),I347&lt;&gt;0,AC347&gt;0),AC347/I347,"")</f>
        <v/>
      </c>
      <c r="AR347" s="17">
        <f>IF(AND(ISNUMBER(W347),ISNUMBER(Y347)),W347-IF(ISNUMBER(R347),R347,0)-(Y347-IF(ISNUMBER(T347),T347,0)),"")</f>
        <v/>
      </c>
      <c r="AS347" s="17">
        <f>IF(AND(ISNUMBER(X347),ISNUMBER(Z347)),X347-IF(ISNUMBER(S347),S347,0)-(Z347-IF(ISNUMBER(U347),U347,0)),"")</f>
        <v/>
      </c>
      <c r="AT347" s="17">
        <f>IF(AND(ISNUMBER(AR347),ISNUMBER(AS347)),AR347-AS347,"")</f>
        <v/>
      </c>
      <c r="AU347" s="17">
        <f>IF(E347="금융","",IF(AND(ISNUMBER(L347),ISNUMBER(M347),ISNUMBER(N347),ISNUMBER(AT347)),L347+M347-N347-AT347,IF(AND(ISNUMBER(O347),ISNUMBER(N347)),O347-N347,"")))</f>
        <v/>
      </c>
      <c r="AV347" s="8">
        <f>IF(E347="금융","금융업 - 정의되지 않음",IF(AND(ISNUMBER(L347),ISNUMBER(M347),ISNUMBER(N347),ISNUMBER(AT347)),"순이익+감가상각-설비투자-운전자본증감",IF(AND(ISNUMBER(O347),ISNUMBER(N347)),"영업현금흐름-설비투자","산출불가")))</f>
        <v/>
      </c>
      <c r="AW347" s="19">
        <f>IF(AND(ISNUMBER(AU347),ISNUMBER(G347),G347&lt;&gt;0),AU347/G347,"")</f>
        <v/>
      </c>
      <c r="AX347" s="19">
        <f>IF(AND(ISNUMBER(AC347),ISNUMBER(G347),G347&lt;&gt;0),AC347/G347,"")</f>
        <v/>
      </c>
    </row>
    <row r="348">
      <c r="A348" s="8" t="inlineStr">
        <is>
          <t>KO</t>
        </is>
      </c>
      <c r="B348" s="8" t="inlineStr">
        <is>
          <t>COCA COLA CO</t>
        </is>
      </c>
      <c r="C348" s="8" t="n">
        <v>2015</v>
      </c>
      <c r="D348" s="8" t="inlineStr">
        <is>
          <t>2015-12-31</t>
        </is>
      </c>
      <c r="E348" s="8" t="inlineStr">
        <is>
          <t>일반</t>
        </is>
      </c>
      <c r="F348" s="8" t="inlineStr">
        <is>
          <t>0000021344-18-000008</t>
        </is>
      </c>
      <c r="G348" s="15" t="n"/>
      <c r="H348" s="15" t="n">
        <v>9.605</v>
      </c>
      <c r="I348" s="15" t="n">
        <v>0.856</v>
      </c>
      <c r="J348" s="15" t="n">
        <v>2.239</v>
      </c>
      <c r="K348" s="15" t="n">
        <v>8.728</v>
      </c>
      <c r="L348" s="15" t="n">
        <v>7.351</v>
      </c>
      <c r="M348" s="15" t="n">
        <v>1.97</v>
      </c>
      <c r="N348" s="15" t="n">
        <v>2.553</v>
      </c>
      <c r="O348" s="15" t="n">
        <v>10.528</v>
      </c>
      <c r="P348" s="15" t="n">
        <v>25.554</v>
      </c>
      <c r="Q348" s="15" t="n">
        <v>30.32</v>
      </c>
      <c r="R348" s="15" t="n">
        <v>15.631</v>
      </c>
      <c r="S348" s="15" t="n">
        <v>18.01</v>
      </c>
      <c r="T348" s="15" t="n">
        <v>13.035</v>
      </c>
      <c r="U348" s="15" t="n">
        <v>19.01</v>
      </c>
      <c r="V348" s="15" t="n"/>
      <c r="W348" s="15" t="n">
        <v>33.395</v>
      </c>
      <c r="X348" s="15" t="n">
        <v>32.986</v>
      </c>
      <c r="Y348" s="15" t="n">
        <v>26.929</v>
      </c>
      <c r="Z348" s="15" t="n">
        <v>32.374</v>
      </c>
      <c r="AA348" s="15" t="n">
        <v>31.32</v>
      </c>
      <c r="AB348" s="16" t="n">
        <v>4405</v>
      </c>
      <c r="AC348" s="17">
        <f>IF(AND(ISNUMBER(H348),ISNUMBER(I348)),H348+I348,IF(ISNUMBER(K348),K348,IF(ISNUMBER(H348),H348,"")))</f>
        <v/>
      </c>
      <c r="AD348" s="18">
        <f>IF(OR(NOT(ISNUMBER(J348)),NOT(ISNUMBER(H348)),H348&lt;=0),기준표!$B$8,MIN(MAX(J348/H348,기준표!$B$6),기준표!$B$7))</f>
        <v/>
      </c>
      <c r="AE348" s="17">
        <f>IF(ISNUMBER(AC348),AC348*(1-AD348),"")</f>
        <v/>
      </c>
      <c r="AF348" s="17">
        <f>IF(AND(NOT(ISNUMBER(T348)),NOT(ISNUMBER(V348))),"",IF(ISNUMBER(T348),T348,0)+IF(ISNUMBER(V348),V348,0))</f>
        <v/>
      </c>
      <c r="AG348" s="17">
        <f>IF(E348="금융","",IF(AND(ISNUMBER(P348),ISNUMBER(AF348),ISNUMBER(R348)),P348+AF348-R348,""))</f>
        <v/>
      </c>
      <c r="AH348" s="17">
        <f>IF(E348="금융","",IF(NOT(ISNUMBER(AG348)),"",IF(ISNUMBER(AA348),(AG348+AA348)/2,AG348)))</f>
        <v/>
      </c>
      <c r="AI348" s="19">
        <f>IF(AND(ISNUMBER(AE348),ISNUMBER(AH348),AH348&gt;0),AE348/AH348,"")</f>
        <v/>
      </c>
      <c r="AJ348" s="17">
        <f>IF(E348="금융","",IF(AND(ISNUMBER(P348),ISNUMBER(AF348)),P348+AF348,""))</f>
        <v/>
      </c>
      <c r="AK348" s="19">
        <f>IF(OR(NOT(ISNUMBER(AE348)),NOT(ISNUMBER(AJ348)),AJ348&lt;=0),"",IF(AND(ISNUMBER(G348),AJ348&lt;0.1*G348),"",AE348/AJ348))</f>
        <v/>
      </c>
      <c r="AL348" s="17">
        <f>IF(NOT(ISNUMBER(P348)),"",IF(ISNUMBER(Q348),(P348+Q348)/2,P348))</f>
        <v/>
      </c>
      <c r="AM348" s="19">
        <f>IF(AND(ISNUMBER(L348),ISNUMBER(AL348),AL348&gt;0),L348/AL348,"")</f>
        <v/>
      </c>
      <c r="AN348" s="19">
        <f>IF(AND(ISNUMBER(AM348),ISNUMBER({ROIC})),AM348-{ROIC},"")</f>
        <v/>
      </c>
      <c r="AO348" s="17">
        <f>IF(AND(ISNUMBER(AC348),ISNUMBER(M348)),AC348+M348,"")</f>
        <v/>
      </c>
      <c r="AP348" s="20">
        <f>IF(AND(ISNUMBER(AF348),ISNUMBER(R348),ISNUMBER(AO348),AO348&gt;0),(AF348-R348)/AO348,"")</f>
        <v/>
      </c>
      <c r="AQ348" s="20">
        <f>IF(AND(ISNUMBER(AC348),ISNUMBER(I348),I348&lt;&gt;0,AC348&gt;0),AC348/I348,"")</f>
        <v/>
      </c>
      <c r="AR348" s="17">
        <f>IF(AND(ISNUMBER(W348),ISNUMBER(Y348)),W348-IF(ISNUMBER(R348),R348,0)-(Y348-IF(ISNUMBER(T348),T348,0)),"")</f>
        <v/>
      </c>
      <c r="AS348" s="17">
        <f>IF(AND(ISNUMBER(X348),ISNUMBER(Z348)),X348-IF(ISNUMBER(S348),S348,0)-(Z348-IF(ISNUMBER(U348),U348,0)),"")</f>
        <v/>
      </c>
      <c r="AT348" s="17">
        <f>IF(AND(ISNUMBER(AR348),ISNUMBER(AS348)),AR348-AS348,"")</f>
        <v/>
      </c>
      <c r="AU348" s="17">
        <f>IF(E348="금융","",IF(AND(ISNUMBER(L348),ISNUMBER(M348),ISNUMBER(N348),ISNUMBER(AT348)),L348+M348-N348-AT348,IF(AND(ISNUMBER(O348),ISNUMBER(N348)),O348-N348,"")))</f>
        <v/>
      </c>
      <c r="AV348" s="8">
        <f>IF(E348="금융","금융업 - 정의되지 않음",IF(AND(ISNUMBER(L348),ISNUMBER(M348),ISNUMBER(N348),ISNUMBER(AT348)),"순이익+감가상각-설비투자-운전자본증감",IF(AND(ISNUMBER(O348),ISNUMBER(N348)),"영업현금흐름-설비투자","산출불가")))</f>
        <v/>
      </c>
      <c r="AW348" s="19">
        <f>IF(AND(ISNUMBER(AU348),ISNUMBER(G348),G348&lt;&gt;0),AU348/G348,"")</f>
        <v/>
      </c>
      <c r="AX348" s="19">
        <f>IF(AND(ISNUMBER(AC348),ISNUMBER(G348),G348&lt;&gt;0),AC348/G348,"")</f>
        <v/>
      </c>
    </row>
    <row r="349">
      <c r="A349" s="8" t="inlineStr">
        <is>
          <t>KO</t>
        </is>
      </c>
      <c r="B349" s="8" t="inlineStr">
        <is>
          <t>COCA COLA CO</t>
        </is>
      </c>
      <c r="C349" s="8" t="n">
        <v>2016</v>
      </c>
      <c r="D349" s="8" t="inlineStr">
        <is>
          <t>2016-12-31</t>
        </is>
      </c>
      <c r="E349" s="8" t="inlineStr">
        <is>
          <t>일반</t>
        </is>
      </c>
      <c r="F349" s="8" t="inlineStr">
        <is>
          <t>0000021344-19-000014</t>
        </is>
      </c>
      <c r="G349" s="15" t="n">
        <v>41.863</v>
      </c>
      <c r="H349" s="15" t="n">
        <v>8.135999999999999</v>
      </c>
      <c r="I349" s="15" t="n">
        <v>0.733</v>
      </c>
      <c r="J349" s="15" t="n">
        <v>1.586</v>
      </c>
      <c r="K349" s="15" t="n">
        <v>8.657</v>
      </c>
      <c r="L349" s="15" t="n">
        <v>6.527</v>
      </c>
      <c r="M349" s="15" t="n">
        <v>1.787</v>
      </c>
      <c r="N349" s="15" t="n">
        <v>2.262</v>
      </c>
      <c r="O349" s="15" t="n">
        <v>8.792</v>
      </c>
      <c r="P349" s="15" t="n">
        <v>23.062</v>
      </c>
      <c r="Q349" s="15" t="n">
        <v>25.554</v>
      </c>
      <c r="R349" s="15" t="n">
        <v>18.15</v>
      </c>
      <c r="S349" s="15" t="n">
        <v>15.631</v>
      </c>
      <c r="T349" s="15" t="n">
        <v>12.33</v>
      </c>
      <c r="U349" s="15" t="n">
        <v>13.035</v>
      </c>
      <c r="V349" s="15" t="n"/>
      <c r="W349" s="15" t="n">
        <v>34.01</v>
      </c>
      <c r="X349" s="15" t="n">
        <v>33.395</v>
      </c>
      <c r="Y349" s="15" t="n">
        <v>26.532</v>
      </c>
      <c r="Z349" s="15" t="n">
        <v>26.929</v>
      </c>
      <c r="AA349" s="15" t="n">
        <v>22.958</v>
      </c>
      <c r="AB349" s="16" t="n">
        <v>4367</v>
      </c>
      <c r="AC349" s="17">
        <f>IF(AND(ISNUMBER(H349),ISNUMBER(I349)),H349+I349,IF(ISNUMBER(K349),K349,IF(ISNUMBER(H349),H349,"")))</f>
        <v/>
      </c>
      <c r="AD349" s="18">
        <f>IF(OR(NOT(ISNUMBER(J349)),NOT(ISNUMBER(H349)),H349&lt;=0),기준표!$B$8,MIN(MAX(J349/H349,기준표!$B$6),기준표!$B$7))</f>
        <v/>
      </c>
      <c r="AE349" s="17">
        <f>IF(ISNUMBER(AC349),AC349*(1-AD349),"")</f>
        <v/>
      </c>
      <c r="AF349" s="17">
        <f>IF(AND(NOT(ISNUMBER(T349)),NOT(ISNUMBER(V349))),"",IF(ISNUMBER(T349),T349,0)+IF(ISNUMBER(V349),V349,0))</f>
        <v/>
      </c>
      <c r="AG349" s="17">
        <f>IF(E349="금융","",IF(AND(ISNUMBER(P349),ISNUMBER(AF349),ISNUMBER(R349)),P349+AF349-R349,""))</f>
        <v/>
      </c>
      <c r="AH349" s="17">
        <f>IF(E349="금융","",IF(NOT(ISNUMBER(AG349)),"",IF(ISNUMBER(AA349),(AG349+AA349)/2,AG349)))</f>
        <v/>
      </c>
      <c r="AI349" s="19">
        <f>IF(AND(ISNUMBER(AE349),ISNUMBER(AH349),AH349&gt;0),AE349/AH349,"")</f>
        <v/>
      </c>
      <c r="AJ349" s="17">
        <f>IF(E349="금융","",IF(AND(ISNUMBER(P349),ISNUMBER(AF349)),P349+AF349,""))</f>
        <v/>
      </c>
      <c r="AK349" s="19">
        <f>IF(OR(NOT(ISNUMBER(AE349)),NOT(ISNUMBER(AJ349)),AJ349&lt;=0),"",IF(AND(ISNUMBER(G349),AJ349&lt;0.1*G349),"",AE349/AJ349))</f>
        <v/>
      </c>
      <c r="AL349" s="17">
        <f>IF(NOT(ISNUMBER(P349)),"",IF(ISNUMBER(Q349),(P349+Q349)/2,P349))</f>
        <v/>
      </c>
      <c r="AM349" s="19">
        <f>IF(AND(ISNUMBER(L349),ISNUMBER(AL349),AL349&gt;0),L349/AL349,"")</f>
        <v/>
      </c>
      <c r="AN349" s="19">
        <f>IF(AND(ISNUMBER(AM349),ISNUMBER({ROIC})),AM349-{ROIC},"")</f>
        <v/>
      </c>
      <c r="AO349" s="17">
        <f>IF(AND(ISNUMBER(AC349),ISNUMBER(M349)),AC349+M349,"")</f>
        <v/>
      </c>
      <c r="AP349" s="20">
        <f>IF(AND(ISNUMBER(AF349),ISNUMBER(R349),ISNUMBER(AO349),AO349&gt;0),(AF349-R349)/AO349,"")</f>
        <v/>
      </c>
      <c r="AQ349" s="20">
        <f>IF(AND(ISNUMBER(AC349),ISNUMBER(I349),I349&lt;&gt;0,AC349&gt;0),AC349/I349,"")</f>
        <v/>
      </c>
      <c r="AR349" s="17">
        <f>IF(AND(ISNUMBER(W349),ISNUMBER(Y349)),W349-IF(ISNUMBER(R349),R349,0)-(Y349-IF(ISNUMBER(T349),T349,0)),"")</f>
        <v/>
      </c>
      <c r="AS349" s="17">
        <f>IF(AND(ISNUMBER(X349),ISNUMBER(Z349)),X349-IF(ISNUMBER(S349),S349,0)-(Z349-IF(ISNUMBER(U349),U349,0)),"")</f>
        <v/>
      </c>
      <c r="AT349" s="17">
        <f>IF(AND(ISNUMBER(AR349),ISNUMBER(AS349)),AR349-AS349,"")</f>
        <v/>
      </c>
      <c r="AU349" s="17">
        <f>IF(E349="금융","",IF(AND(ISNUMBER(L349),ISNUMBER(M349),ISNUMBER(N349),ISNUMBER(AT349)),L349+M349-N349-AT349,IF(AND(ISNUMBER(O349),ISNUMBER(N349)),O349-N349,"")))</f>
        <v/>
      </c>
      <c r="AV349" s="8">
        <f>IF(E349="금융","금융업 - 정의되지 않음",IF(AND(ISNUMBER(L349),ISNUMBER(M349),ISNUMBER(N349),ISNUMBER(AT349)),"순이익+감가상각-설비투자-운전자본증감",IF(AND(ISNUMBER(O349),ISNUMBER(N349)),"영업현금흐름-설비투자","산출불가")))</f>
        <v/>
      </c>
      <c r="AW349" s="19">
        <f>IF(AND(ISNUMBER(AU349),ISNUMBER(G349),G349&lt;&gt;0),AU349/G349,"")</f>
        <v/>
      </c>
      <c r="AX349" s="19">
        <f>IF(AND(ISNUMBER(AC349),ISNUMBER(G349),G349&lt;&gt;0),AC349/G349,"")</f>
        <v/>
      </c>
    </row>
    <row r="350">
      <c r="A350" s="8" t="inlineStr">
        <is>
          <t>KO</t>
        </is>
      </c>
      <c r="B350" s="8" t="inlineStr">
        <is>
          <t>COCA COLA CO</t>
        </is>
      </c>
      <c r="C350" s="8" t="n">
        <v>2017</v>
      </c>
      <c r="D350" s="8" t="inlineStr">
        <is>
          <t>2017-12-31</t>
        </is>
      </c>
      <c r="E350" s="8" t="inlineStr">
        <is>
          <t>일반</t>
        </is>
      </c>
      <c r="F350" s="8" t="inlineStr">
        <is>
          <t>0000021344-20-000006</t>
        </is>
      </c>
      <c r="G350" s="15" t="n">
        <v>36.212</v>
      </c>
      <c r="H350" s="15" t="n">
        <v>6.89</v>
      </c>
      <c r="I350" s="15" t="n">
        <v>0.853</v>
      </c>
      <c r="J350" s="15" t="n">
        <v>5.607</v>
      </c>
      <c r="K350" s="15" t="n">
        <v>7.755</v>
      </c>
      <c r="L350" s="15" t="n">
        <v>1.248</v>
      </c>
      <c r="M350" s="15" t="n">
        <v>1.26</v>
      </c>
      <c r="N350" s="15" t="n">
        <v>1.75</v>
      </c>
      <c r="O350" s="15" t="n">
        <v>7.041</v>
      </c>
      <c r="P350" s="15" t="n">
        <v>17.072</v>
      </c>
      <c r="Q350" s="15" t="n">
        <v>23.062</v>
      </c>
      <c r="R350" s="15" t="n">
        <v>15.358</v>
      </c>
      <c r="S350" s="15" t="n">
        <v>18.15</v>
      </c>
      <c r="T350" s="15" t="n">
        <v>12.931</v>
      </c>
      <c r="U350" s="15" t="n">
        <v>12.33</v>
      </c>
      <c r="V350" s="15" t="n"/>
      <c r="W350" s="15" t="n">
        <v>36.545</v>
      </c>
      <c r="X350" s="15" t="n">
        <v>34.01</v>
      </c>
      <c r="Y350" s="15" t="n">
        <v>27.194</v>
      </c>
      <c r="Z350" s="15" t="n">
        <v>26.532</v>
      </c>
      <c r="AA350" s="15" t="n">
        <v>17.242</v>
      </c>
      <c r="AB350" s="16" t="n">
        <v>4324</v>
      </c>
      <c r="AC350" s="17">
        <f>IF(AND(ISNUMBER(H350),ISNUMBER(I350)),H350+I350,IF(ISNUMBER(K350),K350,IF(ISNUMBER(H350),H350,"")))</f>
        <v/>
      </c>
      <c r="AD350" s="18">
        <f>IF(OR(NOT(ISNUMBER(J350)),NOT(ISNUMBER(H350)),H350&lt;=0),기준표!$B$8,MIN(MAX(J350/H350,기준표!$B$6),기준표!$B$7))</f>
        <v/>
      </c>
      <c r="AE350" s="17">
        <f>IF(ISNUMBER(AC350),AC350*(1-AD350),"")</f>
        <v/>
      </c>
      <c r="AF350" s="17">
        <f>IF(AND(NOT(ISNUMBER(T350)),NOT(ISNUMBER(V350))),"",IF(ISNUMBER(T350),T350,0)+IF(ISNUMBER(V350),V350,0))</f>
        <v/>
      </c>
      <c r="AG350" s="17">
        <f>IF(E350="금융","",IF(AND(ISNUMBER(P350),ISNUMBER(AF350),ISNUMBER(R350)),P350+AF350-R350,""))</f>
        <v/>
      </c>
      <c r="AH350" s="17">
        <f>IF(E350="금융","",IF(NOT(ISNUMBER(AG350)),"",IF(ISNUMBER(AA350),(AG350+AA350)/2,AG350)))</f>
        <v/>
      </c>
      <c r="AI350" s="19">
        <f>IF(AND(ISNUMBER(AE350),ISNUMBER(AH350),AH350&gt;0),AE350/AH350,"")</f>
        <v/>
      </c>
      <c r="AJ350" s="17">
        <f>IF(E350="금융","",IF(AND(ISNUMBER(P350),ISNUMBER(AF350)),P350+AF350,""))</f>
        <v/>
      </c>
      <c r="AK350" s="19">
        <f>IF(OR(NOT(ISNUMBER(AE350)),NOT(ISNUMBER(AJ350)),AJ350&lt;=0),"",IF(AND(ISNUMBER(G350),AJ350&lt;0.1*G350),"",AE350/AJ350))</f>
        <v/>
      </c>
      <c r="AL350" s="17">
        <f>IF(NOT(ISNUMBER(P350)),"",IF(ISNUMBER(Q350),(P350+Q350)/2,P350))</f>
        <v/>
      </c>
      <c r="AM350" s="19">
        <f>IF(AND(ISNUMBER(L350),ISNUMBER(AL350),AL350&gt;0),L350/AL350,"")</f>
        <v/>
      </c>
      <c r="AN350" s="19">
        <f>IF(AND(ISNUMBER(AM350),ISNUMBER({ROIC})),AM350-{ROIC},"")</f>
        <v/>
      </c>
      <c r="AO350" s="17">
        <f>IF(AND(ISNUMBER(AC350),ISNUMBER(M350)),AC350+M350,"")</f>
        <v/>
      </c>
      <c r="AP350" s="20">
        <f>IF(AND(ISNUMBER(AF350),ISNUMBER(R350),ISNUMBER(AO350),AO350&gt;0),(AF350-R350)/AO350,"")</f>
        <v/>
      </c>
      <c r="AQ350" s="20">
        <f>IF(AND(ISNUMBER(AC350),ISNUMBER(I350),I350&lt;&gt;0,AC350&gt;0),AC350/I350,"")</f>
        <v/>
      </c>
      <c r="AR350" s="17">
        <f>IF(AND(ISNUMBER(W350),ISNUMBER(Y350)),W350-IF(ISNUMBER(R350),R350,0)-(Y350-IF(ISNUMBER(T350),T350,0)),"")</f>
        <v/>
      </c>
      <c r="AS350" s="17">
        <f>IF(AND(ISNUMBER(X350),ISNUMBER(Z350)),X350-IF(ISNUMBER(S350),S350,0)-(Z350-IF(ISNUMBER(U350),U350,0)),"")</f>
        <v/>
      </c>
      <c r="AT350" s="17">
        <f>IF(AND(ISNUMBER(AR350),ISNUMBER(AS350)),AR350-AS350,"")</f>
        <v/>
      </c>
      <c r="AU350" s="17">
        <f>IF(E350="금융","",IF(AND(ISNUMBER(L350),ISNUMBER(M350),ISNUMBER(N350),ISNUMBER(AT350)),L350+M350-N350-AT350,IF(AND(ISNUMBER(O350),ISNUMBER(N350)),O350-N350,"")))</f>
        <v/>
      </c>
      <c r="AV350" s="8">
        <f>IF(E350="금융","금융업 - 정의되지 않음",IF(AND(ISNUMBER(L350),ISNUMBER(M350),ISNUMBER(N350),ISNUMBER(AT350)),"순이익+감가상각-설비투자-운전자본증감",IF(AND(ISNUMBER(O350),ISNUMBER(N350)),"영업현금흐름-설비투자","산출불가")))</f>
        <v/>
      </c>
      <c r="AW350" s="19">
        <f>IF(AND(ISNUMBER(AU350),ISNUMBER(G350),G350&lt;&gt;0),AU350/G350,"")</f>
        <v/>
      </c>
      <c r="AX350" s="19">
        <f>IF(AND(ISNUMBER(AC350),ISNUMBER(G350),G350&lt;&gt;0),AC350/G350,"")</f>
        <v/>
      </c>
    </row>
    <row r="351">
      <c r="A351" s="8" t="inlineStr">
        <is>
          <t>KO</t>
        </is>
      </c>
      <c r="B351" s="8" t="inlineStr">
        <is>
          <t>COCA COLA CO</t>
        </is>
      </c>
      <c r="C351" s="8" t="n">
        <v>2018</v>
      </c>
      <c r="D351" s="8" t="inlineStr">
        <is>
          <t>2018-12-31</t>
        </is>
      </c>
      <c r="E351" s="8" t="inlineStr">
        <is>
          <t>일반</t>
        </is>
      </c>
      <c r="F351" s="8" t="inlineStr">
        <is>
          <t>0000021344-21-000008</t>
        </is>
      </c>
      <c r="G351" s="15" t="n">
        <v>34.3</v>
      </c>
      <c r="H351" s="15" t="n">
        <v>8.225</v>
      </c>
      <c r="I351" s="15" t="n">
        <v>0.95</v>
      </c>
      <c r="J351" s="15" t="n">
        <v>1.749</v>
      </c>
      <c r="K351" s="15" t="n">
        <v>9.151999999999999</v>
      </c>
      <c r="L351" s="15" t="n">
        <v>6.434</v>
      </c>
      <c r="M351" s="15" t="n">
        <v>1.086</v>
      </c>
      <c r="N351" s="15" t="n">
        <v>1.548</v>
      </c>
      <c r="O351" s="15" t="n">
        <v>7.627</v>
      </c>
      <c r="P351" s="15" t="n">
        <v>16.981</v>
      </c>
      <c r="Q351" s="15" t="n">
        <v>17.072</v>
      </c>
      <c r="R351" s="15" t="n">
        <v>11.102</v>
      </c>
      <c r="S351" s="15" t="n">
        <v>15.358</v>
      </c>
      <c r="T351" s="15" t="n">
        <v>13.063</v>
      </c>
      <c r="U351" s="15" t="n">
        <v>12.931</v>
      </c>
      <c r="V351" s="15" t="n"/>
      <c r="W351" s="15" t="n">
        <v>24.93</v>
      </c>
      <c r="X351" s="15" t="n">
        <v>36.545</v>
      </c>
      <c r="Y351" s="15" t="n">
        <v>28.782</v>
      </c>
      <c r="Z351" s="15" t="n">
        <v>27.194</v>
      </c>
      <c r="AA351" s="15" t="n">
        <v>14.645</v>
      </c>
      <c r="AB351" s="16" t="n">
        <v>4299</v>
      </c>
      <c r="AC351" s="17">
        <f>IF(AND(ISNUMBER(H351),ISNUMBER(I351)),H351+I351,IF(ISNUMBER(K351),K351,IF(ISNUMBER(H351),H351,"")))</f>
        <v/>
      </c>
      <c r="AD351" s="18">
        <f>IF(OR(NOT(ISNUMBER(J351)),NOT(ISNUMBER(H351)),H351&lt;=0),기준표!$B$8,MIN(MAX(J351/H351,기준표!$B$6),기준표!$B$7))</f>
        <v/>
      </c>
      <c r="AE351" s="17">
        <f>IF(ISNUMBER(AC351),AC351*(1-AD351),"")</f>
        <v/>
      </c>
      <c r="AF351" s="17">
        <f>IF(AND(NOT(ISNUMBER(T351)),NOT(ISNUMBER(V351))),"",IF(ISNUMBER(T351),T351,0)+IF(ISNUMBER(V351),V351,0))</f>
        <v/>
      </c>
      <c r="AG351" s="17">
        <f>IF(E351="금융","",IF(AND(ISNUMBER(P351),ISNUMBER(AF351),ISNUMBER(R351)),P351+AF351-R351,""))</f>
        <v/>
      </c>
      <c r="AH351" s="17">
        <f>IF(E351="금융","",IF(NOT(ISNUMBER(AG351)),"",IF(ISNUMBER(AA351),(AG351+AA351)/2,AG351)))</f>
        <v/>
      </c>
      <c r="AI351" s="19">
        <f>IF(AND(ISNUMBER(AE351),ISNUMBER(AH351),AH351&gt;0),AE351/AH351,"")</f>
        <v/>
      </c>
      <c r="AJ351" s="17">
        <f>IF(E351="금융","",IF(AND(ISNUMBER(P351),ISNUMBER(AF351)),P351+AF351,""))</f>
        <v/>
      </c>
      <c r="AK351" s="19">
        <f>IF(OR(NOT(ISNUMBER(AE351)),NOT(ISNUMBER(AJ351)),AJ351&lt;=0),"",IF(AND(ISNUMBER(G351),AJ351&lt;0.1*G351),"",AE351/AJ351))</f>
        <v/>
      </c>
      <c r="AL351" s="17">
        <f>IF(NOT(ISNUMBER(P351)),"",IF(ISNUMBER(Q351),(P351+Q351)/2,P351))</f>
        <v/>
      </c>
      <c r="AM351" s="19">
        <f>IF(AND(ISNUMBER(L351),ISNUMBER(AL351),AL351&gt;0),L351/AL351,"")</f>
        <v/>
      </c>
      <c r="AN351" s="19">
        <f>IF(AND(ISNUMBER(AM351),ISNUMBER({ROIC})),AM351-{ROIC},"")</f>
        <v/>
      </c>
      <c r="AO351" s="17">
        <f>IF(AND(ISNUMBER(AC351),ISNUMBER(M351)),AC351+M351,"")</f>
        <v/>
      </c>
      <c r="AP351" s="20">
        <f>IF(AND(ISNUMBER(AF351),ISNUMBER(R351),ISNUMBER(AO351),AO351&gt;0),(AF351-R351)/AO351,"")</f>
        <v/>
      </c>
      <c r="AQ351" s="20">
        <f>IF(AND(ISNUMBER(AC351),ISNUMBER(I351),I351&lt;&gt;0,AC351&gt;0),AC351/I351,"")</f>
        <v/>
      </c>
      <c r="AR351" s="17">
        <f>IF(AND(ISNUMBER(W351),ISNUMBER(Y351)),W351-IF(ISNUMBER(R351),R351,0)-(Y351-IF(ISNUMBER(T351),T351,0)),"")</f>
        <v/>
      </c>
      <c r="AS351" s="17">
        <f>IF(AND(ISNUMBER(X351),ISNUMBER(Z351)),X351-IF(ISNUMBER(S351),S351,0)-(Z351-IF(ISNUMBER(U351),U351,0)),"")</f>
        <v/>
      </c>
      <c r="AT351" s="17">
        <f>IF(AND(ISNUMBER(AR351),ISNUMBER(AS351)),AR351-AS351,"")</f>
        <v/>
      </c>
      <c r="AU351" s="17">
        <f>IF(E351="금융","",IF(AND(ISNUMBER(L351),ISNUMBER(M351),ISNUMBER(N351),ISNUMBER(AT351)),L351+M351-N351-AT351,IF(AND(ISNUMBER(O351),ISNUMBER(N351)),O351-N351,"")))</f>
        <v/>
      </c>
      <c r="AV351" s="8">
        <f>IF(E351="금융","금융업 - 정의되지 않음",IF(AND(ISNUMBER(L351),ISNUMBER(M351),ISNUMBER(N351),ISNUMBER(AT351)),"순이익+감가상각-설비투자-운전자본증감",IF(AND(ISNUMBER(O351),ISNUMBER(N351)),"영업현금흐름-설비투자","산출불가")))</f>
        <v/>
      </c>
      <c r="AW351" s="19">
        <f>IF(AND(ISNUMBER(AU351),ISNUMBER(G351),G351&lt;&gt;0),AU351/G351,"")</f>
        <v/>
      </c>
      <c r="AX351" s="19">
        <f>IF(AND(ISNUMBER(AC351),ISNUMBER(G351),G351&lt;&gt;0),AC351/G351,"")</f>
        <v/>
      </c>
    </row>
    <row r="352">
      <c r="A352" s="8" t="inlineStr">
        <is>
          <t>KO</t>
        </is>
      </c>
      <c r="B352" s="8" t="inlineStr">
        <is>
          <t>COCA COLA CO</t>
        </is>
      </c>
      <c r="C352" s="8" t="n">
        <v>2019</v>
      </c>
      <c r="D352" s="8" t="inlineStr">
        <is>
          <t>2019-12-31</t>
        </is>
      </c>
      <c r="E352" s="8" t="inlineStr">
        <is>
          <t>일반</t>
        </is>
      </c>
      <c r="F352" s="8" t="inlineStr">
        <is>
          <t>0000021344-22-000009</t>
        </is>
      </c>
      <c r="G352" s="15" t="n">
        <v>37.266</v>
      </c>
      <c r="H352" s="15" t="n">
        <v>10.786</v>
      </c>
      <c r="I352" s="15" t="n">
        <v>0.946</v>
      </c>
      <c r="J352" s="15" t="n">
        <v>1.801</v>
      </c>
      <c r="K352" s="15" t="n">
        <v>10.086</v>
      </c>
      <c r="L352" s="15" t="n">
        <v>8.92</v>
      </c>
      <c r="M352" s="15" t="n">
        <v>1.365</v>
      </c>
      <c r="N352" s="15" t="n">
        <v>2.054</v>
      </c>
      <c r="O352" s="15" t="n">
        <v>10.471</v>
      </c>
      <c r="P352" s="15" t="n">
        <v>18.981</v>
      </c>
      <c r="Q352" s="15" t="n">
        <v>16.981</v>
      </c>
      <c r="R352" s="15" t="n">
        <v>7.947</v>
      </c>
      <c r="S352" s="15" t="n">
        <v>11.102</v>
      </c>
      <c r="T352" s="15" t="n">
        <v>10.007</v>
      </c>
      <c r="U352" s="15" t="n">
        <v>13.063</v>
      </c>
      <c r="V352" s="15" t="n"/>
      <c r="W352" s="15" t="n">
        <v>20.411</v>
      </c>
      <c r="X352" s="15" t="n">
        <v>24.93</v>
      </c>
      <c r="Y352" s="15" t="n">
        <v>26.973</v>
      </c>
      <c r="Z352" s="15" t="n">
        <v>28.782</v>
      </c>
      <c r="AA352" s="15" t="n">
        <v>18.942</v>
      </c>
      <c r="AB352" s="16" t="n">
        <v>4314</v>
      </c>
      <c r="AC352" s="17">
        <f>IF(AND(ISNUMBER(H352),ISNUMBER(I352)),H352+I352,IF(ISNUMBER(K352),K352,IF(ISNUMBER(H352),H352,"")))</f>
        <v/>
      </c>
      <c r="AD352" s="18">
        <f>IF(OR(NOT(ISNUMBER(J352)),NOT(ISNUMBER(H352)),H352&lt;=0),기준표!$B$8,MIN(MAX(J352/H352,기준표!$B$6),기준표!$B$7))</f>
        <v/>
      </c>
      <c r="AE352" s="17">
        <f>IF(ISNUMBER(AC352),AC352*(1-AD352),"")</f>
        <v/>
      </c>
      <c r="AF352" s="17">
        <f>IF(AND(NOT(ISNUMBER(T352)),NOT(ISNUMBER(V352))),"",IF(ISNUMBER(T352),T352,0)+IF(ISNUMBER(V352),V352,0))</f>
        <v/>
      </c>
      <c r="AG352" s="17">
        <f>IF(E352="금융","",IF(AND(ISNUMBER(P352),ISNUMBER(AF352),ISNUMBER(R352)),P352+AF352-R352,""))</f>
        <v/>
      </c>
      <c r="AH352" s="17">
        <f>IF(E352="금융","",IF(NOT(ISNUMBER(AG352)),"",IF(ISNUMBER(AA352),(AG352+AA352)/2,AG352)))</f>
        <v/>
      </c>
      <c r="AI352" s="19">
        <f>IF(AND(ISNUMBER(AE352),ISNUMBER(AH352),AH352&gt;0),AE352/AH352,"")</f>
        <v/>
      </c>
      <c r="AJ352" s="17">
        <f>IF(E352="금융","",IF(AND(ISNUMBER(P352),ISNUMBER(AF352)),P352+AF352,""))</f>
        <v/>
      </c>
      <c r="AK352" s="19">
        <f>IF(OR(NOT(ISNUMBER(AE352)),NOT(ISNUMBER(AJ352)),AJ352&lt;=0),"",IF(AND(ISNUMBER(G352),AJ352&lt;0.1*G352),"",AE352/AJ352))</f>
        <v/>
      </c>
      <c r="AL352" s="17">
        <f>IF(NOT(ISNUMBER(P352)),"",IF(ISNUMBER(Q352),(P352+Q352)/2,P352))</f>
        <v/>
      </c>
      <c r="AM352" s="19">
        <f>IF(AND(ISNUMBER(L352),ISNUMBER(AL352),AL352&gt;0),L352/AL352,"")</f>
        <v/>
      </c>
      <c r="AN352" s="19">
        <f>IF(AND(ISNUMBER(AM352),ISNUMBER({ROIC})),AM352-{ROIC},"")</f>
        <v/>
      </c>
      <c r="AO352" s="17">
        <f>IF(AND(ISNUMBER(AC352),ISNUMBER(M352)),AC352+M352,"")</f>
        <v/>
      </c>
      <c r="AP352" s="20">
        <f>IF(AND(ISNUMBER(AF352),ISNUMBER(R352),ISNUMBER(AO352),AO352&gt;0),(AF352-R352)/AO352,"")</f>
        <v/>
      </c>
      <c r="AQ352" s="20">
        <f>IF(AND(ISNUMBER(AC352),ISNUMBER(I352),I352&lt;&gt;0,AC352&gt;0),AC352/I352,"")</f>
        <v/>
      </c>
      <c r="AR352" s="17">
        <f>IF(AND(ISNUMBER(W352),ISNUMBER(Y352)),W352-IF(ISNUMBER(R352),R352,0)-(Y352-IF(ISNUMBER(T352),T352,0)),"")</f>
        <v/>
      </c>
      <c r="AS352" s="17">
        <f>IF(AND(ISNUMBER(X352),ISNUMBER(Z352)),X352-IF(ISNUMBER(S352),S352,0)-(Z352-IF(ISNUMBER(U352),U352,0)),"")</f>
        <v/>
      </c>
      <c r="AT352" s="17">
        <f>IF(AND(ISNUMBER(AR352),ISNUMBER(AS352)),AR352-AS352,"")</f>
        <v/>
      </c>
      <c r="AU352" s="17">
        <f>IF(E352="금융","",IF(AND(ISNUMBER(L352),ISNUMBER(M352),ISNUMBER(N352),ISNUMBER(AT352)),L352+M352-N352-AT352,IF(AND(ISNUMBER(O352),ISNUMBER(N352)),O352-N352,"")))</f>
        <v/>
      </c>
      <c r="AV352" s="8">
        <f>IF(E352="금융","금융업 - 정의되지 않음",IF(AND(ISNUMBER(L352),ISNUMBER(M352),ISNUMBER(N352),ISNUMBER(AT352)),"순이익+감가상각-설비투자-운전자본증감",IF(AND(ISNUMBER(O352),ISNUMBER(N352)),"영업현금흐름-설비투자","산출불가")))</f>
        <v/>
      </c>
      <c r="AW352" s="19">
        <f>IF(AND(ISNUMBER(AU352),ISNUMBER(G352),G352&lt;&gt;0),AU352/G352,"")</f>
        <v/>
      </c>
      <c r="AX352" s="19">
        <f>IF(AND(ISNUMBER(AC352),ISNUMBER(G352),G352&lt;&gt;0),AC352/G352,"")</f>
        <v/>
      </c>
    </row>
    <row r="353">
      <c r="A353" s="8" t="inlineStr">
        <is>
          <t>KO</t>
        </is>
      </c>
      <c r="B353" s="8" t="inlineStr">
        <is>
          <t>COCA COLA CO</t>
        </is>
      </c>
      <c r="C353" s="8" t="n">
        <v>2020</v>
      </c>
      <c r="D353" s="8" t="inlineStr">
        <is>
          <t>2020-12-31</t>
        </is>
      </c>
      <c r="E353" s="8" t="inlineStr">
        <is>
          <t>일반</t>
        </is>
      </c>
      <c r="F353" s="8" t="inlineStr">
        <is>
          <t>0000021344-23-000011</t>
        </is>
      </c>
      <c r="G353" s="15" t="n">
        <v>33.014</v>
      </c>
      <c r="H353" s="15" t="n">
        <v>9.749000000000001</v>
      </c>
      <c r="I353" s="15" t="n">
        <v>1.437</v>
      </c>
      <c r="J353" s="15" t="n">
        <v>1.981</v>
      </c>
      <c r="K353" s="15" t="n">
        <v>8.997</v>
      </c>
      <c r="L353" s="15" t="n">
        <v>7.747</v>
      </c>
      <c r="M353" s="15" t="n">
        <v>1.536</v>
      </c>
      <c r="N353" s="15" t="n">
        <v>1.177</v>
      </c>
      <c r="O353" s="15" t="n">
        <v>9.843999999999999</v>
      </c>
      <c r="P353" s="15" t="n">
        <v>19.299</v>
      </c>
      <c r="Q353" s="15" t="n">
        <v>18.981</v>
      </c>
      <c r="R353" s="15" t="n">
        <v>8.566000000000001</v>
      </c>
      <c r="S353" s="15" t="n">
        <v>7.947</v>
      </c>
      <c r="T353" s="15" t="n">
        <v>1.329</v>
      </c>
      <c r="U353" s="15" t="n">
        <v>10.007</v>
      </c>
      <c r="V353" s="15" t="n"/>
      <c r="W353" s="15" t="n">
        <v>19.24</v>
      </c>
      <c r="X353" s="15" t="n">
        <v>20.411</v>
      </c>
      <c r="Y353" s="15" t="n">
        <v>14.601</v>
      </c>
      <c r="Z353" s="15" t="n">
        <v>26.973</v>
      </c>
      <c r="AA353" s="15" t="n">
        <v>21.041</v>
      </c>
      <c r="AB353" s="16" t="n">
        <v>4323</v>
      </c>
      <c r="AC353" s="17">
        <f>IF(AND(ISNUMBER(H353),ISNUMBER(I353)),H353+I353,IF(ISNUMBER(K353),K353,IF(ISNUMBER(H353),H353,"")))</f>
        <v/>
      </c>
      <c r="AD353" s="18">
        <f>IF(OR(NOT(ISNUMBER(J353)),NOT(ISNUMBER(H353)),H353&lt;=0),기준표!$B$8,MIN(MAX(J353/H353,기준표!$B$6),기준표!$B$7))</f>
        <v/>
      </c>
      <c r="AE353" s="17">
        <f>IF(ISNUMBER(AC353),AC353*(1-AD353),"")</f>
        <v/>
      </c>
      <c r="AF353" s="17">
        <f>IF(AND(NOT(ISNUMBER(T353)),NOT(ISNUMBER(V353))),"",IF(ISNUMBER(T353),T353,0)+IF(ISNUMBER(V353),V353,0))</f>
        <v/>
      </c>
      <c r="AG353" s="17">
        <f>IF(E353="금융","",IF(AND(ISNUMBER(P353),ISNUMBER(AF353),ISNUMBER(R353)),P353+AF353-R353,""))</f>
        <v/>
      </c>
      <c r="AH353" s="17">
        <f>IF(E353="금융","",IF(NOT(ISNUMBER(AG353)),"",IF(ISNUMBER(AA353),(AG353+AA353)/2,AG353)))</f>
        <v/>
      </c>
      <c r="AI353" s="19">
        <f>IF(AND(ISNUMBER(AE353),ISNUMBER(AH353),AH353&gt;0),AE353/AH353,"")</f>
        <v/>
      </c>
      <c r="AJ353" s="17">
        <f>IF(E353="금융","",IF(AND(ISNUMBER(P353),ISNUMBER(AF353)),P353+AF353,""))</f>
        <v/>
      </c>
      <c r="AK353" s="19">
        <f>IF(OR(NOT(ISNUMBER(AE353)),NOT(ISNUMBER(AJ353)),AJ353&lt;=0),"",IF(AND(ISNUMBER(G353),AJ353&lt;0.1*G353),"",AE353/AJ353))</f>
        <v/>
      </c>
      <c r="AL353" s="17">
        <f>IF(NOT(ISNUMBER(P353)),"",IF(ISNUMBER(Q353),(P353+Q353)/2,P353))</f>
        <v/>
      </c>
      <c r="AM353" s="19">
        <f>IF(AND(ISNUMBER(L353),ISNUMBER(AL353),AL353&gt;0),L353/AL353,"")</f>
        <v/>
      </c>
      <c r="AN353" s="19">
        <f>IF(AND(ISNUMBER(AM353),ISNUMBER({ROIC})),AM353-{ROIC},"")</f>
        <v/>
      </c>
      <c r="AO353" s="17">
        <f>IF(AND(ISNUMBER(AC353),ISNUMBER(M353)),AC353+M353,"")</f>
        <v/>
      </c>
      <c r="AP353" s="20">
        <f>IF(AND(ISNUMBER(AF353),ISNUMBER(R353),ISNUMBER(AO353),AO353&gt;0),(AF353-R353)/AO353,"")</f>
        <v/>
      </c>
      <c r="AQ353" s="20">
        <f>IF(AND(ISNUMBER(AC353),ISNUMBER(I353),I353&lt;&gt;0,AC353&gt;0),AC353/I353,"")</f>
        <v/>
      </c>
      <c r="AR353" s="17">
        <f>IF(AND(ISNUMBER(W353),ISNUMBER(Y353)),W353-IF(ISNUMBER(R353),R353,0)-(Y353-IF(ISNUMBER(T353),T353,0)),"")</f>
        <v/>
      </c>
      <c r="AS353" s="17">
        <f>IF(AND(ISNUMBER(X353),ISNUMBER(Z353)),X353-IF(ISNUMBER(S353),S353,0)-(Z353-IF(ISNUMBER(U353),U353,0)),"")</f>
        <v/>
      </c>
      <c r="AT353" s="17">
        <f>IF(AND(ISNUMBER(AR353),ISNUMBER(AS353)),AR353-AS353,"")</f>
        <v/>
      </c>
      <c r="AU353" s="17">
        <f>IF(E353="금융","",IF(AND(ISNUMBER(L353),ISNUMBER(M353),ISNUMBER(N353),ISNUMBER(AT353)),L353+M353-N353-AT353,IF(AND(ISNUMBER(O353),ISNUMBER(N353)),O353-N353,"")))</f>
        <v/>
      </c>
      <c r="AV353" s="8">
        <f>IF(E353="금융","금융업 - 정의되지 않음",IF(AND(ISNUMBER(L353),ISNUMBER(M353),ISNUMBER(N353),ISNUMBER(AT353)),"순이익+감가상각-설비투자-운전자본증감",IF(AND(ISNUMBER(O353),ISNUMBER(N353)),"영업현금흐름-설비투자","산출불가")))</f>
        <v/>
      </c>
      <c r="AW353" s="19">
        <f>IF(AND(ISNUMBER(AU353),ISNUMBER(G353),G353&lt;&gt;0),AU353/G353,"")</f>
        <v/>
      </c>
      <c r="AX353" s="19">
        <f>IF(AND(ISNUMBER(AC353),ISNUMBER(G353),G353&lt;&gt;0),AC353/G353,"")</f>
        <v/>
      </c>
    </row>
    <row r="354">
      <c r="A354" s="8" t="inlineStr">
        <is>
          <t>KO</t>
        </is>
      </c>
      <c r="B354" s="8" t="inlineStr">
        <is>
          <t>COCA COLA CO</t>
        </is>
      </c>
      <c r="C354" s="8" t="n">
        <v>2021</v>
      </c>
      <c r="D354" s="8" t="inlineStr">
        <is>
          <t>2021-12-31</t>
        </is>
      </c>
      <c r="E354" s="8" t="inlineStr">
        <is>
          <t>일반</t>
        </is>
      </c>
      <c r="F354" s="8" t="inlineStr">
        <is>
          <t>0000021344-24-000009</t>
        </is>
      </c>
      <c r="G354" s="15" t="n">
        <v>38.655</v>
      </c>
      <c r="H354" s="15" t="n">
        <v>12.425</v>
      </c>
      <c r="I354" s="15" t="n">
        <v>1.597</v>
      </c>
      <c r="J354" s="15" t="n">
        <v>2.621</v>
      </c>
      <c r="K354" s="15" t="n">
        <v>10.308</v>
      </c>
      <c r="L354" s="15" t="n">
        <v>9.771000000000001</v>
      </c>
      <c r="M354" s="15" t="n">
        <v>1.452</v>
      </c>
      <c r="N354" s="15" t="n">
        <v>1.367</v>
      </c>
      <c r="O354" s="15" t="n">
        <v>12.625</v>
      </c>
      <c r="P354" s="15" t="n">
        <v>22.999</v>
      </c>
      <c r="Q354" s="15" t="n">
        <v>19.299</v>
      </c>
      <c r="R354" s="15" t="n">
        <v>10.926</v>
      </c>
      <c r="S354" s="15" t="n">
        <v>8.566000000000001</v>
      </c>
      <c r="T354" s="15" t="n">
        <v>2.462</v>
      </c>
      <c r="U354" s="15" t="n">
        <v>1.329</v>
      </c>
      <c r="V354" s="15" t="n"/>
      <c r="W354" s="15" t="n">
        <v>22.545</v>
      </c>
      <c r="X354" s="15" t="n">
        <v>19.24</v>
      </c>
      <c r="Y354" s="15" t="n">
        <v>19.95</v>
      </c>
      <c r="Z354" s="15" t="n">
        <v>14.601</v>
      </c>
      <c r="AA354" s="15" t="n">
        <v>12.062</v>
      </c>
      <c r="AB354" s="16" t="n">
        <v>4340</v>
      </c>
      <c r="AC354" s="17">
        <f>IF(AND(ISNUMBER(H354),ISNUMBER(I354)),H354+I354,IF(ISNUMBER(K354),K354,IF(ISNUMBER(H354),H354,"")))</f>
        <v/>
      </c>
      <c r="AD354" s="18">
        <f>IF(OR(NOT(ISNUMBER(J354)),NOT(ISNUMBER(H354)),H354&lt;=0),기준표!$B$8,MIN(MAX(J354/H354,기준표!$B$6),기준표!$B$7))</f>
        <v/>
      </c>
      <c r="AE354" s="17">
        <f>IF(ISNUMBER(AC354),AC354*(1-AD354),"")</f>
        <v/>
      </c>
      <c r="AF354" s="17">
        <f>IF(AND(NOT(ISNUMBER(T354)),NOT(ISNUMBER(V354))),"",IF(ISNUMBER(T354),T354,0)+IF(ISNUMBER(V354),V354,0))</f>
        <v/>
      </c>
      <c r="AG354" s="17">
        <f>IF(E354="금융","",IF(AND(ISNUMBER(P354),ISNUMBER(AF354),ISNUMBER(R354)),P354+AF354-R354,""))</f>
        <v/>
      </c>
      <c r="AH354" s="17">
        <f>IF(E354="금융","",IF(NOT(ISNUMBER(AG354)),"",IF(ISNUMBER(AA354),(AG354+AA354)/2,AG354)))</f>
        <v/>
      </c>
      <c r="AI354" s="19">
        <f>IF(AND(ISNUMBER(AE354),ISNUMBER(AH354),AH354&gt;0),AE354/AH354,"")</f>
        <v/>
      </c>
      <c r="AJ354" s="17">
        <f>IF(E354="금융","",IF(AND(ISNUMBER(P354),ISNUMBER(AF354)),P354+AF354,""))</f>
        <v/>
      </c>
      <c r="AK354" s="19">
        <f>IF(OR(NOT(ISNUMBER(AE354)),NOT(ISNUMBER(AJ354)),AJ354&lt;=0),"",IF(AND(ISNUMBER(G354),AJ354&lt;0.1*G354),"",AE354/AJ354))</f>
        <v/>
      </c>
      <c r="AL354" s="17">
        <f>IF(NOT(ISNUMBER(P354)),"",IF(ISNUMBER(Q354),(P354+Q354)/2,P354))</f>
        <v/>
      </c>
      <c r="AM354" s="19">
        <f>IF(AND(ISNUMBER(L354),ISNUMBER(AL354),AL354&gt;0),L354/AL354,"")</f>
        <v/>
      </c>
      <c r="AN354" s="19">
        <f>IF(AND(ISNUMBER(AM354),ISNUMBER({ROIC})),AM354-{ROIC},"")</f>
        <v/>
      </c>
      <c r="AO354" s="17">
        <f>IF(AND(ISNUMBER(AC354),ISNUMBER(M354)),AC354+M354,"")</f>
        <v/>
      </c>
      <c r="AP354" s="20">
        <f>IF(AND(ISNUMBER(AF354),ISNUMBER(R354),ISNUMBER(AO354),AO354&gt;0),(AF354-R354)/AO354,"")</f>
        <v/>
      </c>
      <c r="AQ354" s="20">
        <f>IF(AND(ISNUMBER(AC354),ISNUMBER(I354),I354&lt;&gt;0,AC354&gt;0),AC354/I354,"")</f>
        <v/>
      </c>
      <c r="AR354" s="17">
        <f>IF(AND(ISNUMBER(W354),ISNUMBER(Y354)),W354-IF(ISNUMBER(R354),R354,0)-(Y354-IF(ISNUMBER(T354),T354,0)),"")</f>
        <v/>
      </c>
      <c r="AS354" s="17">
        <f>IF(AND(ISNUMBER(X354),ISNUMBER(Z354)),X354-IF(ISNUMBER(S354),S354,0)-(Z354-IF(ISNUMBER(U354),U354,0)),"")</f>
        <v/>
      </c>
      <c r="AT354" s="17">
        <f>IF(AND(ISNUMBER(AR354),ISNUMBER(AS354)),AR354-AS354,"")</f>
        <v/>
      </c>
      <c r="AU354" s="17">
        <f>IF(E354="금융","",IF(AND(ISNUMBER(L354),ISNUMBER(M354),ISNUMBER(N354),ISNUMBER(AT354)),L354+M354-N354-AT354,IF(AND(ISNUMBER(O354),ISNUMBER(N354)),O354-N354,"")))</f>
        <v/>
      </c>
      <c r="AV354" s="8">
        <f>IF(E354="금융","금융업 - 정의되지 않음",IF(AND(ISNUMBER(L354),ISNUMBER(M354),ISNUMBER(N354),ISNUMBER(AT354)),"순이익+감가상각-설비투자-운전자본증감",IF(AND(ISNUMBER(O354),ISNUMBER(N354)),"영업현금흐름-설비투자","산출불가")))</f>
        <v/>
      </c>
      <c r="AW354" s="19">
        <f>IF(AND(ISNUMBER(AU354),ISNUMBER(G354),G354&lt;&gt;0),AU354/G354,"")</f>
        <v/>
      </c>
      <c r="AX354" s="19">
        <f>IF(AND(ISNUMBER(AC354),ISNUMBER(G354),G354&lt;&gt;0),AC354/G354,"")</f>
        <v/>
      </c>
    </row>
    <row r="355">
      <c r="A355" s="8" t="inlineStr">
        <is>
          <t>KO</t>
        </is>
      </c>
      <c r="B355" s="8" t="inlineStr">
        <is>
          <t>COCA COLA CO</t>
        </is>
      </c>
      <c r="C355" s="8" t="n">
        <v>2022</v>
      </c>
      <c r="D355" s="8" t="inlineStr">
        <is>
          <t>2022-12-31</t>
        </is>
      </c>
      <c r="E355" s="8" t="inlineStr">
        <is>
          <t>일반</t>
        </is>
      </c>
      <c r="F355" s="8" t="inlineStr">
        <is>
          <t>0000021344-25-000011</t>
        </is>
      </c>
      <c r="G355" s="15" t="n">
        <v>43.004</v>
      </c>
      <c r="H355" s="15" t="n">
        <v>11.686</v>
      </c>
      <c r="I355" s="15" t="n">
        <v>0.882</v>
      </c>
      <c r="J355" s="15" t="n">
        <v>2.115</v>
      </c>
      <c r="K355" s="15" t="n">
        <v>10.909</v>
      </c>
      <c r="L355" s="15" t="n">
        <v>9.542</v>
      </c>
      <c r="M355" s="15" t="n">
        <v>1.26</v>
      </c>
      <c r="N355" s="15" t="n">
        <v>1.484</v>
      </c>
      <c r="O355" s="15" t="n">
        <v>11.018</v>
      </c>
      <c r="P355" s="15" t="n">
        <v>24.105</v>
      </c>
      <c r="Q355" s="15" t="n">
        <v>22.999</v>
      </c>
      <c r="R355" s="15" t="n">
        <v>10.562</v>
      </c>
      <c r="S355" s="15" t="n">
        <v>10.926</v>
      </c>
      <c r="T355" s="15" t="n">
        <v>2.146</v>
      </c>
      <c r="U355" s="15" t="n">
        <v>2.462</v>
      </c>
      <c r="V355" s="15" t="n"/>
      <c r="W355" s="15" t="n">
        <v>22.591</v>
      </c>
      <c r="X355" s="15" t="n">
        <v>22.545</v>
      </c>
      <c r="Y355" s="15" t="n">
        <v>19.724</v>
      </c>
      <c r="Z355" s="15" t="n">
        <v>19.95</v>
      </c>
      <c r="AA355" s="15" t="n">
        <v>14.535</v>
      </c>
      <c r="AB355" s="16" t="n">
        <v>4350</v>
      </c>
      <c r="AC355" s="17">
        <f>IF(AND(ISNUMBER(H355),ISNUMBER(I355)),H355+I355,IF(ISNUMBER(K355),K355,IF(ISNUMBER(H355),H355,"")))</f>
        <v/>
      </c>
      <c r="AD355" s="18">
        <f>IF(OR(NOT(ISNUMBER(J355)),NOT(ISNUMBER(H355)),H355&lt;=0),기준표!$B$8,MIN(MAX(J355/H355,기준표!$B$6),기준표!$B$7))</f>
        <v/>
      </c>
      <c r="AE355" s="17">
        <f>IF(ISNUMBER(AC355),AC355*(1-AD355),"")</f>
        <v/>
      </c>
      <c r="AF355" s="17">
        <f>IF(AND(NOT(ISNUMBER(T355)),NOT(ISNUMBER(V355))),"",IF(ISNUMBER(T355),T355,0)+IF(ISNUMBER(V355),V355,0))</f>
        <v/>
      </c>
      <c r="AG355" s="17">
        <f>IF(E355="금융","",IF(AND(ISNUMBER(P355),ISNUMBER(AF355),ISNUMBER(R355)),P355+AF355-R355,""))</f>
        <v/>
      </c>
      <c r="AH355" s="17">
        <f>IF(E355="금융","",IF(NOT(ISNUMBER(AG355)),"",IF(ISNUMBER(AA355),(AG355+AA355)/2,AG355)))</f>
        <v/>
      </c>
      <c r="AI355" s="19">
        <f>IF(AND(ISNUMBER(AE355),ISNUMBER(AH355),AH355&gt;0),AE355/AH355,"")</f>
        <v/>
      </c>
      <c r="AJ355" s="17">
        <f>IF(E355="금융","",IF(AND(ISNUMBER(P355),ISNUMBER(AF355)),P355+AF355,""))</f>
        <v/>
      </c>
      <c r="AK355" s="19">
        <f>IF(OR(NOT(ISNUMBER(AE355)),NOT(ISNUMBER(AJ355)),AJ355&lt;=0),"",IF(AND(ISNUMBER(G355),AJ355&lt;0.1*G355),"",AE355/AJ355))</f>
        <v/>
      </c>
      <c r="AL355" s="17">
        <f>IF(NOT(ISNUMBER(P355)),"",IF(ISNUMBER(Q355),(P355+Q355)/2,P355))</f>
        <v/>
      </c>
      <c r="AM355" s="19">
        <f>IF(AND(ISNUMBER(L355),ISNUMBER(AL355),AL355&gt;0),L355/AL355,"")</f>
        <v/>
      </c>
      <c r="AN355" s="19">
        <f>IF(AND(ISNUMBER(AM355),ISNUMBER({ROIC})),AM355-{ROIC},"")</f>
        <v/>
      </c>
      <c r="AO355" s="17">
        <f>IF(AND(ISNUMBER(AC355),ISNUMBER(M355)),AC355+M355,"")</f>
        <v/>
      </c>
      <c r="AP355" s="20">
        <f>IF(AND(ISNUMBER(AF355),ISNUMBER(R355),ISNUMBER(AO355),AO355&gt;0),(AF355-R355)/AO355,"")</f>
        <v/>
      </c>
      <c r="AQ355" s="20">
        <f>IF(AND(ISNUMBER(AC355),ISNUMBER(I355),I355&lt;&gt;0,AC355&gt;0),AC355/I355,"")</f>
        <v/>
      </c>
      <c r="AR355" s="17">
        <f>IF(AND(ISNUMBER(W355),ISNUMBER(Y355)),W355-IF(ISNUMBER(R355),R355,0)-(Y355-IF(ISNUMBER(T355),T355,0)),"")</f>
        <v/>
      </c>
      <c r="AS355" s="17">
        <f>IF(AND(ISNUMBER(X355),ISNUMBER(Z355)),X355-IF(ISNUMBER(S355),S355,0)-(Z355-IF(ISNUMBER(U355),U355,0)),"")</f>
        <v/>
      </c>
      <c r="AT355" s="17">
        <f>IF(AND(ISNUMBER(AR355),ISNUMBER(AS355)),AR355-AS355,"")</f>
        <v/>
      </c>
      <c r="AU355" s="17">
        <f>IF(E355="금융","",IF(AND(ISNUMBER(L355),ISNUMBER(M355),ISNUMBER(N355),ISNUMBER(AT355)),L355+M355-N355-AT355,IF(AND(ISNUMBER(O355),ISNUMBER(N355)),O355-N355,"")))</f>
        <v/>
      </c>
      <c r="AV355" s="8">
        <f>IF(E355="금융","금융업 - 정의되지 않음",IF(AND(ISNUMBER(L355),ISNUMBER(M355),ISNUMBER(N355),ISNUMBER(AT355)),"순이익+감가상각-설비투자-운전자본증감",IF(AND(ISNUMBER(O355),ISNUMBER(N355)),"영업현금흐름-설비투자","산출불가")))</f>
        <v/>
      </c>
      <c r="AW355" s="19">
        <f>IF(AND(ISNUMBER(AU355),ISNUMBER(G355),G355&lt;&gt;0),AU355/G355,"")</f>
        <v/>
      </c>
      <c r="AX355" s="19">
        <f>IF(AND(ISNUMBER(AC355),ISNUMBER(G355),G355&lt;&gt;0),AC355/G355,"")</f>
        <v/>
      </c>
    </row>
    <row r="356">
      <c r="A356" s="8" t="inlineStr">
        <is>
          <t>KO</t>
        </is>
      </c>
      <c r="B356" s="8" t="inlineStr">
        <is>
          <t>COCA COLA CO</t>
        </is>
      </c>
      <c r="C356" s="8" t="n">
        <v>2023</v>
      </c>
      <c r="D356" s="8" t="inlineStr">
        <is>
          <t>2023-12-31</t>
        </is>
      </c>
      <c r="E356" s="8" t="inlineStr">
        <is>
          <t>일반</t>
        </is>
      </c>
      <c r="F356" s="8" t="inlineStr">
        <is>
          <t>0001628280-26-010047</t>
        </is>
      </c>
      <c r="G356" s="15" t="n">
        <v>45.754</v>
      </c>
      <c r="H356" s="15" t="n">
        <v>12.952</v>
      </c>
      <c r="I356" s="15" t="n">
        <v>1.527</v>
      </c>
      <c r="J356" s="15" t="n">
        <v>2.249</v>
      </c>
      <c r="K356" s="15" t="n">
        <v>11.311</v>
      </c>
      <c r="L356" s="15" t="n">
        <v>10.714</v>
      </c>
      <c r="M356" s="15" t="n">
        <v>1.128</v>
      </c>
      <c r="N356" s="15" t="n">
        <v>1.852</v>
      </c>
      <c r="O356" s="15" t="n">
        <v>11.599</v>
      </c>
      <c r="P356" s="15" t="n">
        <v>25.941</v>
      </c>
      <c r="Q356" s="15" t="n">
        <v>24.105</v>
      </c>
      <c r="R356" s="15" t="n">
        <v>12.363</v>
      </c>
      <c r="S356" s="15" t="n">
        <v>10.562</v>
      </c>
      <c r="T356" s="15" t="n">
        <v>4.209</v>
      </c>
      <c r="U356" s="15" t="n">
        <v>2.146</v>
      </c>
      <c r="V356" s="15" t="n">
        <v>35.547</v>
      </c>
      <c r="W356" s="15" t="n">
        <v>26.732</v>
      </c>
      <c r="X356" s="15" t="n">
        <v>22.591</v>
      </c>
      <c r="Y356" s="15" t="n">
        <v>23.571</v>
      </c>
      <c r="Z356" s="15" t="n">
        <v>19.724</v>
      </c>
      <c r="AA356" s="15" t="n">
        <v>15.689</v>
      </c>
      <c r="AB356" s="16" t="n">
        <v>4339</v>
      </c>
      <c r="AC356" s="17">
        <f>IF(AND(ISNUMBER(H356),ISNUMBER(I356)),H356+I356,IF(ISNUMBER(K356),K356,IF(ISNUMBER(H356),H356,"")))</f>
        <v/>
      </c>
      <c r="AD356" s="18">
        <f>IF(OR(NOT(ISNUMBER(J356)),NOT(ISNUMBER(H356)),H356&lt;=0),기준표!$B$8,MIN(MAX(J356/H356,기준표!$B$6),기준표!$B$7))</f>
        <v/>
      </c>
      <c r="AE356" s="17">
        <f>IF(ISNUMBER(AC356),AC356*(1-AD356),"")</f>
        <v/>
      </c>
      <c r="AF356" s="17">
        <f>IF(AND(NOT(ISNUMBER(T356)),NOT(ISNUMBER(V356))),"",IF(ISNUMBER(T356),T356,0)+IF(ISNUMBER(V356),V356,0))</f>
        <v/>
      </c>
      <c r="AG356" s="17">
        <f>IF(E356="금융","",IF(AND(ISNUMBER(P356),ISNUMBER(AF356),ISNUMBER(R356)),P356+AF356-R356,""))</f>
        <v/>
      </c>
      <c r="AH356" s="17">
        <f>IF(E356="금융","",IF(NOT(ISNUMBER(AG356)),"",IF(ISNUMBER(AA356),(AG356+AA356)/2,AG356)))</f>
        <v/>
      </c>
      <c r="AI356" s="19">
        <f>IF(AND(ISNUMBER(AE356),ISNUMBER(AH356),AH356&gt;0),AE356/AH356,"")</f>
        <v/>
      </c>
      <c r="AJ356" s="17">
        <f>IF(E356="금융","",IF(AND(ISNUMBER(P356),ISNUMBER(AF356)),P356+AF356,""))</f>
        <v/>
      </c>
      <c r="AK356" s="19">
        <f>IF(OR(NOT(ISNUMBER(AE356)),NOT(ISNUMBER(AJ356)),AJ356&lt;=0),"",IF(AND(ISNUMBER(G356),AJ356&lt;0.1*G356),"",AE356/AJ356))</f>
        <v/>
      </c>
      <c r="AL356" s="17">
        <f>IF(NOT(ISNUMBER(P356)),"",IF(ISNUMBER(Q356),(P356+Q356)/2,P356))</f>
        <v/>
      </c>
      <c r="AM356" s="19">
        <f>IF(AND(ISNUMBER(L356),ISNUMBER(AL356),AL356&gt;0),L356/AL356,"")</f>
        <v/>
      </c>
      <c r="AN356" s="19">
        <f>IF(AND(ISNUMBER(AM356),ISNUMBER({ROIC})),AM356-{ROIC},"")</f>
        <v/>
      </c>
      <c r="AO356" s="17">
        <f>IF(AND(ISNUMBER(AC356),ISNUMBER(M356)),AC356+M356,"")</f>
        <v/>
      </c>
      <c r="AP356" s="20">
        <f>IF(AND(ISNUMBER(AF356),ISNUMBER(R356),ISNUMBER(AO356),AO356&gt;0),(AF356-R356)/AO356,"")</f>
        <v/>
      </c>
      <c r="AQ356" s="20">
        <f>IF(AND(ISNUMBER(AC356),ISNUMBER(I356),I356&lt;&gt;0,AC356&gt;0),AC356/I356,"")</f>
        <v/>
      </c>
      <c r="AR356" s="17">
        <f>IF(AND(ISNUMBER(W356),ISNUMBER(Y356)),W356-IF(ISNUMBER(R356),R356,0)-(Y356-IF(ISNUMBER(T356),T356,0)),"")</f>
        <v/>
      </c>
      <c r="AS356" s="17">
        <f>IF(AND(ISNUMBER(X356),ISNUMBER(Z356)),X356-IF(ISNUMBER(S356),S356,0)-(Z356-IF(ISNUMBER(U356),U356,0)),"")</f>
        <v/>
      </c>
      <c r="AT356" s="17">
        <f>IF(AND(ISNUMBER(AR356),ISNUMBER(AS356)),AR356-AS356,"")</f>
        <v/>
      </c>
      <c r="AU356" s="17">
        <f>IF(E356="금융","",IF(AND(ISNUMBER(L356),ISNUMBER(M356),ISNUMBER(N356),ISNUMBER(AT356)),L356+M356-N356-AT356,IF(AND(ISNUMBER(O356),ISNUMBER(N356)),O356-N356,"")))</f>
        <v/>
      </c>
      <c r="AV356" s="8">
        <f>IF(E356="금융","금융업 - 정의되지 않음",IF(AND(ISNUMBER(L356),ISNUMBER(M356),ISNUMBER(N356),ISNUMBER(AT356)),"순이익+감가상각-설비투자-운전자본증감",IF(AND(ISNUMBER(O356),ISNUMBER(N356)),"영업현금흐름-설비투자","산출불가")))</f>
        <v/>
      </c>
      <c r="AW356" s="19">
        <f>IF(AND(ISNUMBER(AU356),ISNUMBER(G356),G356&lt;&gt;0),AU356/G356,"")</f>
        <v/>
      </c>
      <c r="AX356" s="19">
        <f>IF(AND(ISNUMBER(AC356),ISNUMBER(G356),G356&lt;&gt;0),AC356/G356,"")</f>
        <v/>
      </c>
    </row>
    <row r="357">
      <c r="A357" s="8" t="inlineStr">
        <is>
          <t>KO</t>
        </is>
      </c>
      <c r="B357" s="8" t="inlineStr">
        <is>
          <t>COCA COLA CO</t>
        </is>
      </c>
      <c r="C357" s="8" t="n">
        <v>2024</v>
      </c>
      <c r="D357" s="8" t="inlineStr">
        <is>
          <t>2024-12-31</t>
        </is>
      </c>
      <c r="E357" s="8" t="inlineStr">
        <is>
          <t>일반</t>
        </is>
      </c>
      <c r="F357" s="8" t="inlineStr">
        <is>
          <t>0001628280-26-010047</t>
        </is>
      </c>
      <c r="G357" s="15" t="n">
        <v>47.061</v>
      </c>
      <c r="H357" s="15" t="n">
        <v>13.086</v>
      </c>
      <c r="I357" s="15" t="n">
        <v>1.656</v>
      </c>
      <c r="J357" s="15" t="n">
        <v>2.437</v>
      </c>
      <c r="K357" s="15" t="n">
        <v>9.992000000000001</v>
      </c>
      <c r="L357" s="15" t="n">
        <v>10.631</v>
      </c>
      <c r="M357" s="15" t="n">
        <v>1.075</v>
      </c>
      <c r="N357" s="15" t="n">
        <v>2.064</v>
      </c>
      <c r="O357" s="15" t="n">
        <v>6.805</v>
      </c>
      <c r="P357" s="15" t="n">
        <v>24.856</v>
      </c>
      <c r="Q357" s="15" t="n">
        <v>25.941</v>
      </c>
      <c r="R357" s="15" t="n">
        <v>12.848</v>
      </c>
      <c r="S357" s="15" t="n">
        <v>12.363</v>
      </c>
      <c r="T357" s="15" t="n">
        <v>1.139</v>
      </c>
      <c r="U357" s="15" t="n">
        <v>4.209</v>
      </c>
      <c r="V357" s="15" t="n">
        <v>42.375</v>
      </c>
      <c r="W357" s="15" t="n">
        <v>25.997</v>
      </c>
      <c r="X357" s="15" t="n">
        <v>26.732</v>
      </c>
      <c r="Y357" s="15" t="n">
        <v>25.249</v>
      </c>
      <c r="Z357" s="15" t="n">
        <v>23.571</v>
      </c>
      <c r="AA357" s="15" t="n">
        <v>53.334</v>
      </c>
      <c r="AB357" s="16" t="n">
        <v>4320</v>
      </c>
      <c r="AC357" s="17">
        <f>IF(AND(ISNUMBER(H357),ISNUMBER(I357)),H357+I357,IF(ISNUMBER(K357),K357,IF(ISNUMBER(H357),H357,"")))</f>
        <v/>
      </c>
      <c r="AD357" s="18">
        <f>IF(OR(NOT(ISNUMBER(J357)),NOT(ISNUMBER(H357)),H357&lt;=0),기준표!$B$8,MIN(MAX(J357/H357,기준표!$B$6),기준표!$B$7))</f>
        <v/>
      </c>
      <c r="AE357" s="17">
        <f>IF(ISNUMBER(AC357),AC357*(1-AD357),"")</f>
        <v/>
      </c>
      <c r="AF357" s="17">
        <f>IF(AND(NOT(ISNUMBER(T357)),NOT(ISNUMBER(V357))),"",IF(ISNUMBER(T357),T357,0)+IF(ISNUMBER(V357),V357,0))</f>
        <v/>
      </c>
      <c r="AG357" s="17">
        <f>IF(E357="금융","",IF(AND(ISNUMBER(P357),ISNUMBER(AF357),ISNUMBER(R357)),P357+AF357-R357,""))</f>
        <v/>
      </c>
      <c r="AH357" s="17">
        <f>IF(E357="금융","",IF(NOT(ISNUMBER(AG357)),"",IF(ISNUMBER(AA357),(AG357+AA357)/2,AG357)))</f>
        <v/>
      </c>
      <c r="AI357" s="19">
        <f>IF(AND(ISNUMBER(AE357),ISNUMBER(AH357),AH357&gt;0),AE357/AH357,"")</f>
        <v/>
      </c>
      <c r="AJ357" s="17">
        <f>IF(E357="금융","",IF(AND(ISNUMBER(P357),ISNUMBER(AF357)),P357+AF357,""))</f>
        <v/>
      </c>
      <c r="AK357" s="19">
        <f>IF(OR(NOT(ISNUMBER(AE357)),NOT(ISNUMBER(AJ357)),AJ357&lt;=0),"",IF(AND(ISNUMBER(G357),AJ357&lt;0.1*G357),"",AE357/AJ357))</f>
        <v/>
      </c>
      <c r="AL357" s="17">
        <f>IF(NOT(ISNUMBER(P357)),"",IF(ISNUMBER(Q357),(P357+Q357)/2,P357))</f>
        <v/>
      </c>
      <c r="AM357" s="19">
        <f>IF(AND(ISNUMBER(L357),ISNUMBER(AL357),AL357&gt;0),L357/AL357,"")</f>
        <v/>
      </c>
      <c r="AN357" s="19">
        <f>IF(AND(ISNUMBER(AM357),ISNUMBER({ROIC})),AM357-{ROIC},"")</f>
        <v/>
      </c>
      <c r="AO357" s="17">
        <f>IF(AND(ISNUMBER(AC357),ISNUMBER(M357)),AC357+M357,"")</f>
        <v/>
      </c>
      <c r="AP357" s="20">
        <f>IF(AND(ISNUMBER(AF357),ISNUMBER(R357),ISNUMBER(AO357),AO357&gt;0),(AF357-R357)/AO357,"")</f>
        <v/>
      </c>
      <c r="AQ357" s="20">
        <f>IF(AND(ISNUMBER(AC357),ISNUMBER(I357),I357&lt;&gt;0,AC357&gt;0),AC357/I357,"")</f>
        <v/>
      </c>
      <c r="AR357" s="17">
        <f>IF(AND(ISNUMBER(W357),ISNUMBER(Y357)),W357-IF(ISNUMBER(R357),R357,0)-(Y357-IF(ISNUMBER(T357),T357,0)),"")</f>
        <v/>
      </c>
      <c r="AS357" s="17">
        <f>IF(AND(ISNUMBER(X357),ISNUMBER(Z357)),X357-IF(ISNUMBER(S357),S357,0)-(Z357-IF(ISNUMBER(U357),U357,0)),"")</f>
        <v/>
      </c>
      <c r="AT357" s="17">
        <f>IF(AND(ISNUMBER(AR357),ISNUMBER(AS357)),AR357-AS357,"")</f>
        <v/>
      </c>
      <c r="AU357" s="17">
        <f>IF(E357="금융","",IF(AND(ISNUMBER(L357),ISNUMBER(M357),ISNUMBER(N357),ISNUMBER(AT357)),L357+M357-N357-AT357,IF(AND(ISNUMBER(O357),ISNUMBER(N357)),O357-N357,"")))</f>
        <v/>
      </c>
      <c r="AV357" s="8">
        <f>IF(E357="금융","금융업 - 정의되지 않음",IF(AND(ISNUMBER(L357),ISNUMBER(M357),ISNUMBER(N357),ISNUMBER(AT357)),"순이익+감가상각-설비투자-운전자본증감",IF(AND(ISNUMBER(O357),ISNUMBER(N357)),"영업현금흐름-설비투자","산출불가")))</f>
        <v/>
      </c>
      <c r="AW357" s="19">
        <f>IF(AND(ISNUMBER(AU357),ISNUMBER(G357),G357&lt;&gt;0),AU357/G357,"")</f>
        <v/>
      </c>
      <c r="AX357" s="19">
        <f>IF(AND(ISNUMBER(AC357),ISNUMBER(G357),G357&lt;&gt;0),AC357/G357,"")</f>
        <v/>
      </c>
    </row>
    <row r="358">
      <c r="A358" s="8" t="inlineStr">
        <is>
          <t>KO</t>
        </is>
      </c>
      <c r="B358" s="8" t="inlineStr">
        <is>
          <t>COCA COLA CO</t>
        </is>
      </c>
      <c r="C358" s="8" t="n">
        <v>2025</v>
      </c>
      <c r="D358" s="8" t="inlineStr">
        <is>
          <t>2025-12-31</t>
        </is>
      </c>
      <c r="E358" s="8" t="inlineStr">
        <is>
          <t>일반</t>
        </is>
      </c>
      <c r="F358" s="8" t="inlineStr">
        <is>
          <t>0001628280-26-010047</t>
        </is>
      </c>
      <c r="G358" s="15" t="n">
        <v>47.941</v>
      </c>
      <c r="H358" s="15" t="n">
        <v>15.998</v>
      </c>
      <c r="I358" s="15" t="n">
        <v>1.654</v>
      </c>
      <c r="J358" s="15" t="n">
        <v>2.861</v>
      </c>
      <c r="K358" s="15" t="n">
        <v>13.762</v>
      </c>
      <c r="L358" s="15" t="n">
        <v>13.107</v>
      </c>
      <c r="M358" s="15" t="n">
        <v>1.05</v>
      </c>
      <c r="N358" s="15" t="n">
        <v>2.112</v>
      </c>
      <c r="O358" s="15" t="n">
        <v>7.408</v>
      </c>
      <c r="P358" s="15" t="n">
        <v>32.169</v>
      </c>
      <c r="Q358" s="15" t="n">
        <v>24.856</v>
      </c>
      <c r="R358" s="15" t="n">
        <v>13.872</v>
      </c>
      <c r="S358" s="15" t="n">
        <v>12.848</v>
      </c>
      <c r="T358" s="15" t="n">
        <v>1.495</v>
      </c>
      <c r="U358" s="15" t="n">
        <v>1.139</v>
      </c>
      <c r="V358" s="15" t="n">
        <v>42.119</v>
      </c>
      <c r="W358" s="15" t="n">
        <v>31.044</v>
      </c>
      <c r="X358" s="15" t="n">
        <v>25.997</v>
      </c>
      <c r="Y358" s="15" t="n">
        <v>21.281</v>
      </c>
      <c r="Z358" s="15" t="n">
        <v>25.249</v>
      </c>
      <c r="AA358" s="15" t="n">
        <v>55.522</v>
      </c>
      <c r="AB358" s="16" t="n">
        <v>4313</v>
      </c>
      <c r="AC358" s="17">
        <f>IF(AND(ISNUMBER(H358),ISNUMBER(I358)),H358+I358,IF(ISNUMBER(K358),K358,IF(ISNUMBER(H358),H358,"")))</f>
        <v/>
      </c>
      <c r="AD358" s="18">
        <f>IF(OR(NOT(ISNUMBER(J358)),NOT(ISNUMBER(H358)),H358&lt;=0),기준표!$B$8,MIN(MAX(J358/H358,기준표!$B$6),기준표!$B$7))</f>
        <v/>
      </c>
      <c r="AE358" s="17">
        <f>IF(ISNUMBER(AC358),AC358*(1-AD358),"")</f>
        <v/>
      </c>
      <c r="AF358" s="17">
        <f>IF(AND(NOT(ISNUMBER(T358)),NOT(ISNUMBER(V358))),"",IF(ISNUMBER(T358),T358,0)+IF(ISNUMBER(V358),V358,0))</f>
        <v/>
      </c>
      <c r="AG358" s="17">
        <f>IF(E358="금융","",IF(AND(ISNUMBER(P358),ISNUMBER(AF358),ISNUMBER(R358)),P358+AF358-R358,""))</f>
        <v/>
      </c>
      <c r="AH358" s="17">
        <f>IF(E358="금융","",IF(NOT(ISNUMBER(AG358)),"",IF(ISNUMBER(AA358),(AG358+AA358)/2,AG358)))</f>
        <v/>
      </c>
      <c r="AI358" s="19">
        <f>IF(AND(ISNUMBER(AE358),ISNUMBER(AH358),AH358&gt;0),AE358/AH358,"")</f>
        <v/>
      </c>
      <c r="AJ358" s="17">
        <f>IF(E358="금융","",IF(AND(ISNUMBER(P358),ISNUMBER(AF358)),P358+AF358,""))</f>
        <v/>
      </c>
      <c r="AK358" s="19">
        <f>IF(OR(NOT(ISNUMBER(AE358)),NOT(ISNUMBER(AJ358)),AJ358&lt;=0),"",IF(AND(ISNUMBER(G358),AJ358&lt;0.1*G358),"",AE358/AJ358))</f>
        <v/>
      </c>
      <c r="AL358" s="17">
        <f>IF(NOT(ISNUMBER(P358)),"",IF(ISNUMBER(Q358),(P358+Q358)/2,P358))</f>
        <v/>
      </c>
      <c r="AM358" s="19">
        <f>IF(AND(ISNUMBER(L358),ISNUMBER(AL358),AL358&gt;0),L358/AL358,"")</f>
        <v/>
      </c>
      <c r="AN358" s="19">
        <f>IF(AND(ISNUMBER(AM358),ISNUMBER({ROIC})),AM358-{ROIC},"")</f>
        <v/>
      </c>
      <c r="AO358" s="17">
        <f>IF(AND(ISNUMBER(AC358),ISNUMBER(M358)),AC358+M358,"")</f>
        <v/>
      </c>
      <c r="AP358" s="20">
        <f>IF(AND(ISNUMBER(AF358),ISNUMBER(R358),ISNUMBER(AO358),AO358&gt;0),(AF358-R358)/AO358,"")</f>
        <v/>
      </c>
      <c r="AQ358" s="20">
        <f>IF(AND(ISNUMBER(AC358),ISNUMBER(I358),I358&lt;&gt;0,AC358&gt;0),AC358/I358,"")</f>
        <v/>
      </c>
      <c r="AR358" s="17">
        <f>IF(AND(ISNUMBER(W358),ISNUMBER(Y358)),W358-IF(ISNUMBER(R358),R358,0)-(Y358-IF(ISNUMBER(T358),T358,0)),"")</f>
        <v/>
      </c>
      <c r="AS358" s="17">
        <f>IF(AND(ISNUMBER(X358),ISNUMBER(Z358)),X358-IF(ISNUMBER(S358),S358,0)-(Z358-IF(ISNUMBER(U358),U358,0)),"")</f>
        <v/>
      </c>
      <c r="AT358" s="17">
        <f>IF(AND(ISNUMBER(AR358),ISNUMBER(AS358)),AR358-AS358,"")</f>
        <v/>
      </c>
      <c r="AU358" s="17">
        <f>IF(E358="금융","",IF(AND(ISNUMBER(L358),ISNUMBER(M358),ISNUMBER(N358),ISNUMBER(AT358)),L358+M358-N358-AT358,IF(AND(ISNUMBER(O358),ISNUMBER(N358)),O358-N358,"")))</f>
        <v/>
      </c>
      <c r="AV358" s="8">
        <f>IF(E358="금융","금융업 - 정의되지 않음",IF(AND(ISNUMBER(L358),ISNUMBER(M358),ISNUMBER(N358),ISNUMBER(AT358)),"순이익+감가상각-설비투자-운전자본증감",IF(AND(ISNUMBER(O358),ISNUMBER(N358)),"영업현금흐름-설비투자","산출불가")))</f>
        <v/>
      </c>
      <c r="AW358" s="19">
        <f>IF(AND(ISNUMBER(AU358),ISNUMBER(G358),G358&lt;&gt;0),AU358/G358,"")</f>
        <v/>
      </c>
      <c r="AX358" s="19">
        <f>IF(AND(ISNUMBER(AC358),ISNUMBER(G358),G358&lt;&gt;0),AC358/G358,"")</f>
        <v/>
      </c>
    </row>
    <row r="359">
      <c r="A359" s="8" t="inlineStr">
        <is>
          <t>UNH</t>
        </is>
      </c>
      <c r="B359" s="8" t="inlineStr">
        <is>
          <t>UNITEDHEALTH GROUP INC</t>
        </is>
      </c>
      <c r="C359" s="8" t="n">
        <v>2014</v>
      </c>
      <c r="D359" s="8" t="inlineStr">
        <is>
          <t>2014-12-31</t>
        </is>
      </c>
      <c r="E359" s="8" t="inlineStr">
        <is>
          <t>금융</t>
        </is>
      </c>
      <c r="F359" s="8" t="inlineStr">
        <is>
          <t>0000731766-17-000009</t>
        </is>
      </c>
      <c r="G359" s="15" t="n">
        <v>130.474</v>
      </c>
      <c r="H359" s="15" t="n"/>
      <c r="I359" s="15" t="n">
        <v>0.618</v>
      </c>
      <c r="J359" s="15" t="n">
        <v>4.037</v>
      </c>
      <c r="K359" s="15" t="n">
        <v>10.274</v>
      </c>
      <c r="L359" s="15" t="n">
        <v>5.619</v>
      </c>
      <c r="M359" s="15" t="n">
        <v>1.478</v>
      </c>
      <c r="N359" s="15" t="n">
        <v>1.525</v>
      </c>
      <c r="O359" s="15" t="n">
        <v>8.051</v>
      </c>
      <c r="P359" s="15" t="n">
        <v>32.454</v>
      </c>
      <c r="Q359" s="15" t="n"/>
      <c r="R359" s="15" t="n">
        <v>9.236000000000001</v>
      </c>
      <c r="S359" s="15" t="n"/>
      <c r="T359" s="15" t="n"/>
      <c r="U359" s="15" t="n"/>
      <c r="V359" s="15" t="n">
        <v>16.007</v>
      </c>
      <c r="W359" s="15" t="n">
        <v>23.556</v>
      </c>
      <c r="X359" s="15" t="n"/>
      <c r="Y359" s="15" t="n">
        <v>30.623</v>
      </c>
      <c r="Z359" s="15" t="n"/>
      <c r="AA359" s="15" t="n"/>
      <c r="AB359" s="16" t="n">
        <v>954</v>
      </c>
      <c r="AC359" s="17">
        <f>IF(AND(ISNUMBER(H359),ISNUMBER(I359)),H359+I359,IF(ISNUMBER(K359),K359,IF(ISNUMBER(H359),H359,"")))</f>
        <v/>
      </c>
      <c r="AD359" s="18">
        <f>IF(OR(NOT(ISNUMBER(J359)),NOT(ISNUMBER(H359)),H359&lt;=0),기준표!$B$8,MIN(MAX(J359/H359,기준표!$B$6),기준표!$B$7))</f>
        <v/>
      </c>
      <c r="AE359" s="17">
        <f>IF(ISNUMBER(AC359),AC359*(1-AD359),"")</f>
        <v/>
      </c>
      <c r="AF359" s="17">
        <f>IF(AND(NOT(ISNUMBER(T359)),NOT(ISNUMBER(V359))),"",IF(ISNUMBER(T359),T359,0)+IF(ISNUMBER(V359),V359,0))</f>
        <v/>
      </c>
      <c r="AG359" s="17">
        <f>IF(E359="금융","",IF(AND(ISNUMBER(P359),ISNUMBER(AF359),ISNUMBER(R359)),P359+AF359-R359,""))</f>
        <v/>
      </c>
      <c r="AH359" s="17">
        <f>IF(E359="금융","",IF(NOT(ISNUMBER(AG359)),"",IF(ISNUMBER(AA359),(AG359+AA359)/2,AG359)))</f>
        <v/>
      </c>
      <c r="AI359" s="19">
        <f>IF(AND(ISNUMBER(AE359),ISNUMBER(AH359),AH359&gt;0),AE359/AH359,"")</f>
        <v/>
      </c>
      <c r="AJ359" s="17">
        <f>IF(E359="금융","",IF(AND(ISNUMBER(P359),ISNUMBER(AF359)),P359+AF359,""))</f>
        <v/>
      </c>
      <c r="AK359" s="19">
        <f>IF(OR(NOT(ISNUMBER(AE359)),NOT(ISNUMBER(AJ359)),AJ359&lt;=0),"",IF(AND(ISNUMBER(G359),AJ359&lt;0.1*G359),"",AE359/AJ359))</f>
        <v/>
      </c>
      <c r="AL359" s="17">
        <f>IF(NOT(ISNUMBER(P359)),"",IF(ISNUMBER(Q359),(P359+Q359)/2,P359))</f>
        <v/>
      </c>
      <c r="AM359" s="19">
        <f>IF(AND(ISNUMBER(L359),ISNUMBER(AL359),AL359&gt;0),L359/AL359,"")</f>
        <v/>
      </c>
      <c r="AN359" s="19">
        <f>IF(AND(ISNUMBER(AM359),ISNUMBER({ROIC})),AM359-{ROIC},"")</f>
        <v/>
      </c>
      <c r="AO359" s="17">
        <f>IF(AND(ISNUMBER(AC359),ISNUMBER(M359)),AC359+M359,"")</f>
        <v/>
      </c>
      <c r="AP359" s="20">
        <f>IF(AND(ISNUMBER(AF359),ISNUMBER(R359),ISNUMBER(AO359),AO359&gt;0),(AF359-R359)/AO359,"")</f>
        <v/>
      </c>
      <c r="AQ359" s="20">
        <f>IF(AND(ISNUMBER(AC359),ISNUMBER(I359),I359&lt;&gt;0,AC359&gt;0),AC359/I359,"")</f>
        <v/>
      </c>
      <c r="AR359" s="17">
        <f>IF(AND(ISNUMBER(W359),ISNUMBER(Y359)),W359-IF(ISNUMBER(R359),R359,0)-(Y359-IF(ISNUMBER(T359),T359,0)),"")</f>
        <v/>
      </c>
      <c r="AS359" s="17">
        <f>IF(AND(ISNUMBER(X359),ISNUMBER(Z359)),X359-IF(ISNUMBER(S359),S359,0)-(Z359-IF(ISNUMBER(U359),U359,0)),"")</f>
        <v/>
      </c>
      <c r="AT359" s="17">
        <f>IF(AND(ISNUMBER(AR359),ISNUMBER(AS359)),AR359-AS359,"")</f>
        <v/>
      </c>
      <c r="AU359" s="17">
        <f>IF(E359="금융","",IF(AND(ISNUMBER(L359),ISNUMBER(M359),ISNUMBER(N359),ISNUMBER(AT359)),L359+M359-N359-AT359,IF(AND(ISNUMBER(O359),ISNUMBER(N359)),O359-N359,"")))</f>
        <v/>
      </c>
      <c r="AV359" s="8">
        <f>IF(E359="금융","금융업 - 정의되지 않음",IF(AND(ISNUMBER(L359),ISNUMBER(M359),ISNUMBER(N359),ISNUMBER(AT359)),"순이익+감가상각-설비투자-운전자본증감",IF(AND(ISNUMBER(O359),ISNUMBER(N359)),"영업현금흐름-설비투자","산출불가")))</f>
        <v/>
      </c>
      <c r="AW359" s="19">
        <f>IF(AND(ISNUMBER(AU359),ISNUMBER(G359),G359&lt;&gt;0),AU359/G359,"")</f>
        <v/>
      </c>
      <c r="AX359" s="19">
        <f>IF(AND(ISNUMBER(AC359),ISNUMBER(G359),G359&lt;&gt;0),AC359/G359,"")</f>
        <v/>
      </c>
    </row>
    <row r="360">
      <c r="A360" s="8" t="inlineStr">
        <is>
          <t>UNH</t>
        </is>
      </c>
      <c r="B360" s="8" t="inlineStr">
        <is>
          <t>UNITEDHEALTH GROUP INC</t>
        </is>
      </c>
      <c r="C360" s="8" t="n">
        <v>2015</v>
      </c>
      <c r="D360" s="8" t="inlineStr">
        <is>
          <t>2015-12-31</t>
        </is>
      </c>
      <c r="E360" s="8" t="inlineStr">
        <is>
          <t>금융</t>
        </is>
      </c>
      <c r="F360" s="8" t="inlineStr">
        <is>
          <t>0000731766-18-000005</t>
        </is>
      </c>
      <c r="G360" s="15" t="n">
        <v>157.107</v>
      </c>
      <c r="H360" s="15" t="n"/>
      <c r="I360" s="15" t="n">
        <v>0.79</v>
      </c>
      <c r="J360" s="15" t="n">
        <v>4.363</v>
      </c>
      <c r="K360" s="15" t="n">
        <v>11.021</v>
      </c>
      <c r="L360" s="15" t="n">
        <v>5.813</v>
      </c>
      <c r="M360" s="15" t="n">
        <v>1.693</v>
      </c>
      <c r="N360" s="15" t="n">
        <v>1.556</v>
      </c>
      <c r="O360" s="15" t="n">
        <v>9.74</v>
      </c>
      <c r="P360" s="15" t="n">
        <v>33.725</v>
      </c>
      <c r="Q360" s="15" t="n">
        <v>32.454</v>
      </c>
      <c r="R360" s="15" t="n">
        <v>12.911</v>
      </c>
      <c r="S360" s="15" t="n">
        <v>9.236000000000001</v>
      </c>
      <c r="T360" s="15" t="n"/>
      <c r="U360" s="15" t="n"/>
      <c r="V360" s="15" t="n">
        <v>25.331</v>
      </c>
      <c r="W360" s="15" t="n">
        <v>31.639</v>
      </c>
      <c r="X360" s="15" t="n">
        <v>23.556</v>
      </c>
      <c r="Y360" s="15" t="n">
        <v>42.898</v>
      </c>
      <c r="Z360" s="15" t="n">
        <v>30.623</v>
      </c>
      <c r="AA360" s="15" t="n"/>
      <c r="AB360" s="16" t="n">
        <v>953</v>
      </c>
      <c r="AC360" s="17">
        <f>IF(AND(ISNUMBER(H360),ISNUMBER(I360)),H360+I360,IF(ISNUMBER(K360),K360,IF(ISNUMBER(H360),H360,"")))</f>
        <v/>
      </c>
      <c r="AD360" s="18">
        <f>IF(OR(NOT(ISNUMBER(J360)),NOT(ISNUMBER(H360)),H360&lt;=0),기준표!$B$8,MIN(MAX(J360/H360,기준표!$B$6),기준표!$B$7))</f>
        <v/>
      </c>
      <c r="AE360" s="17">
        <f>IF(ISNUMBER(AC360),AC360*(1-AD360),"")</f>
        <v/>
      </c>
      <c r="AF360" s="17">
        <f>IF(AND(NOT(ISNUMBER(T360)),NOT(ISNUMBER(V360))),"",IF(ISNUMBER(T360),T360,0)+IF(ISNUMBER(V360),V360,0))</f>
        <v/>
      </c>
      <c r="AG360" s="17">
        <f>IF(E360="금융","",IF(AND(ISNUMBER(P360),ISNUMBER(AF360),ISNUMBER(R360)),P360+AF360-R360,""))</f>
        <v/>
      </c>
      <c r="AH360" s="17">
        <f>IF(E360="금융","",IF(NOT(ISNUMBER(AG360)),"",IF(ISNUMBER(AA360),(AG360+AA360)/2,AG360)))</f>
        <v/>
      </c>
      <c r="AI360" s="19">
        <f>IF(AND(ISNUMBER(AE360),ISNUMBER(AH360),AH360&gt;0),AE360/AH360,"")</f>
        <v/>
      </c>
      <c r="AJ360" s="17">
        <f>IF(E360="금융","",IF(AND(ISNUMBER(P360),ISNUMBER(AF360)),P360+AF360,""))</f>
        <v/>
      </c>
      <c r="AK360" s="19">
        <f>IF(OR(NOT(ISNUMBER(AE360)),NOT(ISNUMBER(AJ360)),AJ360&lt;=0),"",IF(AND(ISNUMBER(G360),AJ360&lt;0.1*G360),"",AE360/AJ360))</f>
        <v/>
      </c>
      <c r="AL360" s="17">
        <f>IF(NOT(ISNUMBER(P360)),"",IF(ISNUMBER(Q360),(P360+Q360)/2,P360))</f>
        <v/>
      </c>
      <c r="AM360" s="19">
        <f>IF(AND(ISNUMBER(L360),ISNUMBER(AL360),AL360&gt;0),L360/AL360,"")</f>
        <v/>
      </c>
      <c r="AN360" s="19">
        <f>IF(AND(ISNUMBER(AM360),ISNUMBER({ROIC})),AM360-{ROIC},"")</f>
        <v/>
      </c>
      <c r="AO360" s="17">
        <f>IF(AND(ISNUMBER(AC360),ISNUMBER(M360)),AC360+M360,"")</f>
        <v/>
      </c>
      <c r="AP360" s="20">
        <f>IF(AND(ISNUMBER(AF360),ISNUMBER(R360),ISNUMBER(AO360),AO360&gt;0),(AF360-R360)/AO360,"")</f>
        <v/>
      </c>
      <c r="AQ360" s="20">
        <f>IF(AND(ISNUMBER(AC360),ISNUMBER(I360),I360&lt;&gt;0,AC360&gt;0),AC360/I360,"")</f>
        <v/>
      </c>
      <c r="AR360" s="17">
        <f>IF(AND(ISNUMBER(W360),ISNUMBER(Y360)),W360-IF(ISNUMBER(R360),R360,0)-(Y360-IF(ISNUMBER(T360),T360,0)),"")</f>
        <v/>
      </c>
      <c r="AS360" s="17">
        <f>IF(AND(ISNUMBER(X360),ISNUMBER(Z360)),X360-IF(ISNUMBER(S360),S360,0)-(Z360-IF(ISNUMBER(U360),U360,0)),"")</f>
        <v/>
      </c>
      <c r="AT360" s="17">
        <f>IF(AND(ISNUMBER(AR360),ISNUMBER(AS360)),AR360-AS360,"")</f>
        <v/>
      </c>
      <c r="AU360" s="17">
        <f>IF(E360="금융","",IF(AND(ISNUMBER(L360),ISNUMBER(M360),ISNUMBER(N360),ISNUMBER(AT360)),L360+M360-N360-AT360,IF(AND(ISNUMBER(O360),ISNUMBER(N360)),O360-N360,"")))</f>
        <v/>
      </c>
      <c r="AV360" s="8">
        <f>IF(E360="금융","금융업 - 정의되지 않음",IF(AND(ISNUMBER(L360),ISNUMBER(M360),ISNUMBER(N360),ISNUMBER(AT360)),"순이익+감가상각-설비투자-운전자본증감",IF(AND(ISNUMBER(O360),ISNUMBER(N360)),"영업현금흐름-설비투자","산출불가")))</f>
        <v/>
      </c>
      <c r="AW360" s="19">
        <f>IF(AND(ISNUMBER(AU360),ISNUMBER(G360),G360&lt;&gt;0),AU360/G360,"")</f>
        <v/>
      </c>
      <c r="AX360" s="19">
        <f>IF(AND(ISNUMBER(AC360),ISNUMBER(G360),G360&lt;&gt;0),AC360/G360,"")</f>
        <v/>
      </c>
    </row>
    <row r="361">
      <c r="A361" s="8" t="inlineStr">
        <is>
          <t>UNH</t>
        </is>
      </c>
      <c r="B361" s="8" t="inlineStr">
        <is>
          <t>UNITEDHEALTH GROUP INC</t>
        </is>
      </c>
      <c r="C361" s="8" t="n">
        <v>2016</v>
      </c>
      <c r="D361" s="8" t="inlineStr">
        <is>
          <t>2016-12-31</t>
        </is>
      </c>
      <c r="E361" s="8" t="inlineStr">
        <is>
          <t>금융</t>
        </is>
      </c>
      <c r="F361" s="8" t="inlineStr">
        <is>
          <t>0000731766-19-000005</t>
        </is>
      </c>
      <c r="G361" s="15" t="n">
        <v>184.84</v>
      </c>
      <c r="H361" s="15" t="n"/>
      <c r="I361" s="15" t="n">
        <v>1.067</v>
      </c>
      <c r="J361" s="15" t="n">
        <v>4.79</v>
      </c>
      <c r="K361" s="15" t="n">
        <v>12.93</v>
      </c>
      <c r="L361" s="15" t="n">
        <v>7.017</v>
      </c>
      <c r="M361" s="15" t="n">
        <v>2.055</v>
      </c>
      <c r="N361" s="15" t="n">
        <v>1.705</v>
      </c>
      <c r="O361" s="15" t="n">
        <v>9.795</v>
      </c>
      <c r="P361" s="15" t="n">
        <v>38.177</v>
      </c>
      <c r="Q361" s="15" t="n">
        <v>33.725</v>
      </c>
      <c r="R361" s="15" t="n">
        <v>13.275</v>
      </c>
      <c r="S361" s="15" t="n">
        <v>12.911</v>
      </c>
      <c r="T361" s="15" t="n"/>
      <c r="U361" s="15" t="n"/>
      <c r="V361" s="15" t="n">
        <v>25.777</v>
      </c>
      <c r="W361" s="15" t="n">
        <v>33.879</v>
      </c>
      <c r="X361" s="15" t="n">
        <v>31.639</v>
      </c>
      <c r="Y361" s="15" t="n">
        <v>49.252</v>
      </c>
      <c r="Z361" s="15" t="n">
        <v>42.898</v>
      </c>
      <c r="AA361" s="15" t="n"/>
      <c r="AB361" s="16" t="n">
        <v>952</v>
      </c>
      <c r="AC361" s="17">
        <f>IF(AND(ISNUMBER(H361),ISNUMBER(I361)),H361+I361,IF(ISNUMBER(K361),K361,IF(ISNUMBER(H361),H361,"")))</f>
        <v/>
      </c>
      <c r="AD361" s="18">
        <f>IF(OR(NOT(ISNUMBER(J361)),NOT(ISNUMBER(H361)),H361&lt;=0),기준표!$B$8,MIN(MAX(J361/H361,기준표!$B$6),기준표!$B$7))</f>
        <v/>
      </c>
      <c r="AE361" s="17">
        <f>IF(ISNUMBER(AC361),AC361*(1-AD361),"")</f>
        <v/>
      </c>
      <c r="AF361" s="17">
        <f>IF(AND(NOT(ISNUMBER(T361)),NOT(ISNUMBER(V361))),"",IF(ISNUMBER(T361),T361,0)+IF(ISNUMBER(V361),V361,0))</f>
        <v/>
      </c>
      <c r="AG361" s="17">
        <f>IF(E361="금융","",IF(AND(ISNUMBER(P361),ISNUMBER(AF361),ISNUMBER(R361)),P361+AF361-R361,""))</f>
        <v/>
      </c>
      <c r="AH361" s="17">
        <f>IF(E361="금융","",IF(NOT(ISNUMBER(AG361)),"",IF(ISNUMBER(AA361),(AG361+AA361)/2,AG361)))</f>
        <v/>
      </c>
      <c r="AI361" s="19">
        <f>IF(AND(ISNUMBER(AE361),ISNUMBER(AH361),AH361&gt;0),AE361/AH361,"")</f>
        <v/>
      </c>
      <c r="AJ361" s="17">
        <f>IF(E361="금융","",IF(AND(ISNUMBER(P361),ISNUMBER(AF361)),P361+AF361,""))</f>
        <v/>
      </c>
      <c r="AK361" s="19">
        <f>IF(OR(NOT(ISNUMBER(AE361)),NOT(ISNUMBER(AJ361)),AJ361&lt;=0),"",IF(AND(ISNUMBER(G361),AJ361&lt;0.1*G361),"",AE361/AJ361))</f>
        <v/>
      </c>
      <c r="AL361" s="17">
        <f>IF(NOT(ISNUMBER(P361)),"",IF(ISNUMBER(Q361),(P361+Q361)/2,P361))</f>
        <v/>
      </c>
      <c r="AM361" s="19">
        <f>IF(AND(ISNUMBER(L361),ISNUMBER(AL361),AL361&gt;0),L361/AL361,"")</f>
        <v/>
      </c>
      <c r="AN361" s="19">
        <f>IF(AND(ISNUMBER(AM361),ISNUMBER({ROIC})),AM361-{ROIC},"")</f>
        <v/>
      </c>
      <c r="AO361" s="17">
        <f>IF(AND(ISNUMBER(AC361),ISNUMBER(M361)),AC361+M361,"")</f>
        <v/>
      </c>
      <c r="AP361" s="20">
        <f>IF(AND(ISNUMBER(AF361),ISNUMBER(R361),ISNUMBER(AO361),AO361&gt;0),(AF361-R361)/AO361,"")</f>
        <v/>
      </c>
      <c r="AQ361" s="20">
        <f>IF(AND(ISNUMBER(AC361),ISNUMBER(I361),I361&lt;&gt;0,AC361&gt;0),AC361/I361,"")</f>
        <v/>
      </c>
      <c r="AR361" s="17">
        <f>IF(AND(ISNUMBER(W361),ISNUMBER(Y361)),W361-IF(ISNUMBER(R361),R361,0)-(Y361-IF(ISNUMBER(T361),T361,0)),"")</f>
        <v/>
      </c>
      <c r="AS361" s="17">
        <f>IF(AND(ISNUMBER(X361),ISNUMBER(Z361)),X361-IF(ISNUMBER(S361),S361,0)-(Z361-IF(ISNUMBER(U361),U361,0)),"")</f>
        <v/>
      </c>
      <c r="AT361" s="17">
        <f>IF(AND(ISNUMBER(AR361),ISNUMBER(AS361)),AR361-AS361,"")</f>
        <v/>
      </c>
      <c r="AU361" s="17">
        <f>IF(E361="금융","",IF(AND(ISNUMBER(L361),ISNUMBER(M361),ISNUMBER(N361),ISNUMBER(AT361)),L361+M361-N361-AT361,IF(AND(ISNUMBER(O361),ISNUMBER(N361)),O361-N361,"")))</f>
        <v/>
      </c>
      <c r="AV361" s="8">
        <f>IF(E361="금융","금융업 - 정의되지 않음",IF(AND(ISNUMBER(L361),ISNUMBER(M361),ISNUMBER(N361),ISNUMBER(AT361)),"순이익+감가상각-설비투자-운전자본증감",IF(AND(ISNUMBER(O361),ISNUMBER(N361)),"영업현금흐름-설비투자","산출불가")))</f>
        <v/>
      </c>
      <c r="AW361" s="19">
        <f>IF(AND(ISNUMBER(AU361),ISNUMBER(G361),G361&lt;&gt;0),AU361/G361,"")</f>
        <v/>
      </c>
      <c r="AX361" s="19">
        <f>IF(AND(ISNUMBER(AC361),ISNUMBER(G361),G361&lt;&gt;0),AC361/G361,"")</f>
        <v/>
      </c>
    </row>
    <row r="362">
      <c r="A362" s="8" t="inlineStr">
        <is>
          <t>UNH</t>
        </is>
      </c>
      <c r="B362" s="8" t="inlineStr">
        <is>
          <t>UNITEDHEALTH GROUP INC</t>
        </is>
      </c>
      <c r="C362" s="8" t="n">
        <v>2017</v>
      </c>
      <c r="D362" s="8" t="inlineStr">
        <is>
          <t>2017-12-31</t>
        </is>
      </c>
      <c r="E362" s="8" t="inlineStr">
        <is>
          <t>금융</t>
        </is>
      </c>
      <c r="F362" s="8" t="inlineStr">
        <is>
          <t>0000731766-20-000006</t>
        </is>
      </c>
      <c r="G362" s="15" t="n">
        <v>201.159</v>
      </c>
      <c r="H362" s="15" t="n"/>
      <c r="I362" s="15" t="n">
        <v>1.186</v>
      </c>
      <c r="J362" s="15" t="n">
        <v>3.2</v>
      </c>
      <c r="K362" s="15" t="n">
        <v>15.209</v>
      </c>
      <c r="L362" s="15" t="n">
        <v>10.558</v>
      </c>
      <c r="M362" s="15" t="n">
        <v>2.245</v>
      </c>
      <c r="N362" s="15" t="n">
        <v>2.023</v>
      </c>
      <c r="O362" s="15" t="n">
        <v>13.596</v>
      </c>
      <c r="P362" s="15" t="n">
        <v>49.833</v>
      </c>
      <c r="Q362" s="15" t="n">
        <v>38.177</v>
      </c>
      <c r="R362" s="15" t="n">
        <v>15.49</v>
      </c>
      <c r="S362" s="15" t="n">
        <v>13.275</v>
      </c>
      <c r="T362" s="15" t="n"/>
      <c r="U362" s="15" t="n"/>
      <c r="V362" s="15" t="n">
        <v>28.835</v>
      </c>
      <c r="W362" s="15" t="n">
        <v>37.084</v>
      </c>
      <c r="X362" s="15" t="n">
        <v>33.879</v>
      </c>
      <c r="Y362" s="15" t="n">
        <v>50.463</v>
      </c>
      <c r="Z362" s="15" t="n">
        <v>49.252</v>
      </c>
      <c r="AA362" s="15" t="n"/>
      <c r="AB362" s="16" t="n">
        <v>969</v>
      </c>
      <c r="AC362" s="17">
        <f>IF(AND(ISNUMBER(H362),ISNUMBER(I362)),H362+I362,IF(ISNUMBER(K362),K362,IF(ISNUMBER(H362),H362,"")))</f>
        <v/>
      </c>
      <c r="AD362" s="18">
        <f>IF(OR(NOT(ISNUMBER(J362)),NOT(ISNUMBER(H362)),H362&lt;=0),기준표!$B$8,MIN(MAX(J362/H362,기준표!$B$6),기준표!$B$7))</f>
        <v/>
      </c>
      <c r="AE362" s="17">
        <f>IF(ISNUMBER(AC362),AC362*(1-AD362),"")</f>
        <v/>
      </c>
      <c r="AF362" s="17">
        <f>IF(AND(NOT(ISNUMBER(T362)),NOT(ISNUMBER(V362))),"",IF(ISNUMBER(T362),T362,0)+IF(ISNUMBER(V362),V362,0))</f>
        <v/>
      </c>
      <c r="AG362" s="17">
        <f>IF(E362="금융","",IF(AND(ISNUMBER(P362),ISNUMBER(AF362),ISNUMBER(R362)),P362+AF362-R362,""))</f>
        <v/>
      </c>
      <c r="AH362" s="17">
        <f>IF(E362="금융","",IF(NOT(ISNUMBER(AG362)),"",IF(ISNUMBER(AA362),(AG362+AA362)/2,AG362)))</f>
        <v/>
      </c>
      <c r="AI362" s="19">
        <f>IF(AND(ISNUMBER(AE362),ISNUMBER(AH362),AH362&gt;0),AE362/AH362,"")</f>
        <v/>
      </c>
      <c r="AJ362" s="17">
        <f>IF(E362="금융","",IF(AND(ISNUMBER(P362),ISNUMBER(AF362)),P362+AF362,""))</f>
        <v/>
      </c>
      <c r="AK362" s="19">
        <f>IF(OR(NOT(ISNUMBER(AE362)),NOT(ISNUMBER(AJ362)),AJ362&lt;=0),"",IF(AND(ISNUMBER(G362),AJ362&lt;0.1*G362),"",AE362/AJ362))</f>
        <v/>
      </c>
      <c r="AL362" s="17">
        <f>IF(NOT(ISNUMBER(P362)),"",IF(ISNUMBER(Q362),(P362+Q362)/2,P362))</f>
        <v/>
      </c>
      <c r="AM362" s="19">
        <f>IF(AND(ISNUMBER(L362),ISNUMBER(AL362),AL362&gt;0),L362/AL362,"")</f>
        <v/>
      </c>
      <c r="AN362" s="19">
        <f>IF(AND(ISNUMBER(AM362),ISNUMBER({ROIC})),AM362-{ROIC},"")</f>
        <v/>
      </c>
      <c r="AO362" s="17">
        <f>IF(AND(ISNUMBER(AC362),ISNUMBER(M362)),AC362+M362,"")</f>
        <v/>
      </c>
      <c r="AP362" s="20">
        <f>IF(AND(ISNUMBER(AF362),ISNUMBER(R362),ISNUMBER(AO362),AO362&gt;0),(AF362-R362)/AO362,"")</f>
        <v/>
      </c>
      <c r="AQ362" s="20">
        <f>IF(AND(ISNUMBER(AC362),ISNUMBER(I362),I362&lt;&gt;0,AC362&gt;0),AC362/I362,"")</f>
        <v/>
      </c>
      <c r="AR362" s="17">
        <f>IF(AND(ISNUMBER(W362),ISNUMBER(Y362)),W362-IF(ISNUMBER(R362),R362,0)-(Y362-IF(ISNUMBER(T362),T362,0)),"")</f>
        <v/>
      </c>
      <c r="AS362" s="17">
        <f>IF(AND(ISNUMBER(X362),ISNUMBER(Z362)),X362-IF(ISNUMBER(S362),S362,0)-(Z362-IF(ISNUMBER(U362),U362,0)),"")</f>
        <v/>
      </c>
      <c r="AT362" s="17">
        <f>IF(AND(ISNUMBER(AR362),ISNUMBER(AS362)),AR362-AS362,"")</f>
        <v/>
      </c>
      <c r="AU362" s="17">
        <f>IF(E362="금융","",IF(AND(ISNUMBER(L362),ISNUMBER(M362),ISNUMBER(N362),ISNUMBER(AT362)),L362+M362-N362-AT362,IF(AND(ISNUMBER(O362),ISNUMBER(N362)),O362-N362,"")))</f>
        <v/>
      </c>
      <c r="AV362" s="8">
        <f>IF(E362="금융","금융업 - 정의되지 않음",IF(AND(ISNUMBER(L362),ISNUMBER(M362),ISNUMBER(N362),ISNUMBER(AT362)),"순이익+감가상각-설비투자-운전자본증감",IF(AND(ISNUMBER(O362),ISNUMBER(N362)),"영업현금흐름-설비투자","산출불가")))</f>
        <v/>
      </c>
      <c r="AW362" s="19">
        <f>IF(AND(ISNUMBER(AU362),ISNUMBER(G362),G362&lt;&gt;0),AU362/G362,"")</f>
        <v/>
      </c>
      <c r="AX362" s="19">
        <f>IF(AND(ISNUMBER(AC362),ISNUMBER(G362),G362&lt;&gt;0),AC362/G362,"")</f>
        <v/>
      </c>
    </row>
    <row r="363">
      <c r="A363" s="8" t="inlineStr">
        <is>
          <t>UNH</t>
        </is>
      </c>
      <c r="B363" s="8" t="inlineStr">
        <is>
          <t>UNITEDHEALTH GROUP INC</t>
        </is>
      </c>
      <c r="C363" s="8" t="n">
        <v>2018</v>
      </c>
      <c r="D363" s="8" t="inlineStr">
        <is>
          <t>2018-12-31</t>
        </is>
      </c>
      <c r="E363" s="8" t="inlineStr">
        <is>
          <t>금융</t>
        </is>
      </c>
      <c r="F363" s="8" t="inlineStr">
        <is>
          <t>0000731766-21-000013</t>
        </is>
      </c>
      <c r="G363" s="15" t="n">
        <v>226.247</v>
      </c>
      <c r="H363" s="15" t="n"/>
      <c r="I363" s="15" t="n">
        <v>1.4</v>
      </c>
      <c r="J363" s="15" t="n">
        <v>3.562</v>
      </c>
      <c r="K363" s="15" t="n">
        <v>17.344</v>
      </c>
      <c r="L363" s="15" t="n">
        <v>11.986</v>
      </c>
      <c r="M363" s="15" t="n">
        <v>2.428</v>
      </c>
      <c r="N363" s="15" t="n">
        <v>2.063</v>
      </c>
      <c r="O363" s="15" t="n">
        <v>15.713</v>
      </c>
      <c r="P363" s="15" t="n">
        <v>54.319</v>
      </c>
      <c r="Q363" s="15" t="n">
        <v>49.833</v>
      </c>
      <c r="R363" s="15" t="n">
        <v>14.324</v>
      </c>
      <c r="S363" s="15" t="n">
        <v>15.49</v>
      </c>
      <c r="T363" s="15" t="n"/>
      <c r="U363" s="15" t="n"/>
      <c r="V363" s="15" t="n">
        <v>34.581</v>
      </c>
      <c r="W363" s="15" t="n">
        <v>38.692</v>
      </c>
      <c r="X363" s="15" t="n">
        <v>37.084</v>
      </c>
      <c r="Y363" s="15" t="n">
        <v>53.209</v>
      </c>
      <c r="Z363" s="15" t="n">
        <v>50.463</v>
      </c>
      <c r="AA363" s="15" t="n"/>
      <c r="AB363" s="16" t="n">
        <v>960</v>
      </c>
      <c r="AC363" s="17">
        <f>IF(AND(ISNUMBER(H363),ISNUMBER(I363)),H363+I363,IF(ISNUMBER(K363),K363,IF(ISNUMBER(H363),H363,"")))</f>
        <v/>
      </c>
      <c r="AD363" s="18">
        <f>IF(OR(NOT(ISNUMBER(J363)),NOT(ISNUMBER(H363)),H363&lt;=0),기준표!$B$8,MIN(MAX(J363/H363,기준표!$B$6),기준표!$B$7))</f>
        <v/>
      </c>
      <c r="AE363" s="17">
        <f>IF(ISNUMBER(AC363),AC363*(1-AD363),"")</f>
        <v/>
      </c>
      <c r="AF363" s="17">
        <f>IF(AND(NOT(ISNUMBER(T363)),NOT(ISNUMBER(V363))),"",IF(ISNUMBER(T363),T363,0)+IF(ISNUMBER(V363),V363,0))</f>
        <v/>
      </c>
      <c r="AG363" s="17">
        <f>IF(E363="금융","",IF(AND(ISNUMBER(P363),ISNUMBER(AF363),ISNUMBER(R363)),P363+AF363-R363,""))</f>
        <v/>
      </c>
      <c r="AH363" s="17">
        <f>IF(E363="금융","",IF(NOT(ISNUMBER(AG363)),"",IF(ISNUMBER(AA363),(AG363+AA363)/2,AG363)))</f>
        <v/>
      </c>
      <c r="AI363" s="19">
        <f>IF(AND(ISNUMBER(AE363),ISNUMBER(AH363),AH363&gt;0),AE363/AH363,"")</f>
        <v/>
      </c>
      <c r="AJ363" s="17">
        <f>IF(E363="금융","",IF(AND(ISNUMBER(P363),ISNUMBER(AF363)),P363+AF363,""))</f>
        <v/>
      </c>
      <c r="AK363" s="19">
        <f>IF(OR(NOT(ISNUMBER(AE363)),NOT(ISNUMBER(AJ363)),AJ363&lt;=0),"",IF(AND(ISNUMBER(G363),AJ363&lt;0.1*G363),"",AE363/AJ363))</f>
        <v/>
      </c>
      <c r="AL363" s="17">
        <f>IF(NOT(ISNUMBER(P363)),"",IF(ISNUMBER(Q363),(P363+Q363)/2,P363))</f>
        <v/>
      </c>
      <c r="AM363" s="19">
        <f>IF(AND(ISNUMBER(L363),ISNUMBER(AL363),AL363&gt;0),L363/AL363,"")</f>
        <v/>
      </c>
      <c r="AN363" s="19">
        <f>IF(AND(ISNUMBER(AM363),ISNUMBER({ROIC})),AM363-{ROIC},"")</f>
        <v/>
      </c>
      <c r="AO363" s="17">
        <f>IF(AND(ISNUMBER(AC363),ISNUMBER(M363)),AC363+M363,"")</f>
        <v/>
      </c>
      <c r="AP363" s="20">
        <f>IF(AND(ISNUMBER(AF363),ISNUMBER(R363),ISNUMBER(AO363),AO363&gt;0),(AF363-R363)/AO363,"")</f>
        <v/>
      </c>
      <c r="AQ363" s="20">
        <f>IF(AND(ISNUMBER(AC363),ISNUMBER(I363),I363&lt;&gt;0,AC363&gt;0),AC363/I363,"")</f>
        <v/>
      </c>
      <c r="AR363" s="17">
        <f>IF(AND(ISNUMBER(W363),ISNUMBER(Y363)),W363-IF(ISNUMBER(R363),R363,0)-(Y363-IF(ISNUMBER(T363),T363,0)),"")</f>
        <v/>
      </c>
      <c r="AS363" s="17">
        <f>IF(AND(ISNUMBER(X363),ISNUMBER(Z363)),X363-IF(ISNUMBER(S363),S363,0)-(Z363-IF(ISNUMBER(U363),U363,0)),"")</f>
        <v/>
      </c>
      <c r="AT363" s="17">
        <f>IF(AND(ISNUMBER(AR363),ISNUMBER(AS363)),AR363-AS363,"")</f>
        <v/>
      </c>
      <c r="AU363" s="17">
        <f>IF(E363="금융","",IF(AND(ISNUMBER(L363),ISNUMBER(M363),ISNUMBER(N363),ISNUMBER(AT363)),L363+M363-N363-AT363,IF(AND(ISNUMBER(O363),ISNUMBER(N363)),O363-N363,"")))</f>
        <v/>
      </c>
      <c r="AV363" s="8">
        <f>IF(E363="금융","금융업 - 정의되지 않음",IF(AND(ISNUMBER(L363),ISNUMBER(M363),ISNUMBER(N363),ISNUMBER(AT363)),"순이익+감가상각-설비투자-운전자본증감",IF(AND(ISNUMBER(O363),ISNUMBER(N363)),"영업현금흐름-설비투자","산출불가")))</f>
        <v/>
      </c>
      <c r="AW363" s="19">
        <f>IF(AND(ISNUMBER(AU363),ISNUMBER(G363),G363&lt;&gt;0),AU363/G363,"")</f>
        <v/>
      </c>
      <c r="AX363" s="19">
        <f>IF(AND(ISNUMBER(AC363),ISNUMBER(G363),G363&lt;&gt;0),AC363/G363,"")</f>
        <v/>
      </c>
    </row>
    <row r="364">
      <c r="A364" s="8" t="inlineStr">
        <is>
          <t>UNH</t>
        </is>
      </c>
      <c r="B364" s="8" t="inlineStr">
        <is>
          <t>UNITEDHEALTH GROUP INC</t>
        </is>
      </c>
      <c r="C364" s="8" t="n">
        <v>2019</v>
      </c>
      <c r="D364" s="8" t="inlineStr">
        <is>
          <t>2019-12-31</t>
        </is>
      </c>
      <c r="E364" s="8" t="inlineStr">
        <is>
          <t>금융</t>
        </is>
      </c>
      <c r="F364" s="8" t="inlineStr">
        <is>
          <t>0000731766-22-000008</t>
        </is>
      </c>
      <c r="G364" s="15" t="n">
        <v>242.155</v>
      </c>
      <c r="H364" s="15" t="n">
        <v>17.981</v>
      </c>
      <c r="I364" s="15" t="n">
        <v>1.704</v>
      </c>
      <c r="J364" s="15" t="n">
        <v>3.742</v>
      </c>
      <c r="K364" s="15" t="n">
        <v>19.685</v>
      </c>
      <c r="L364" s="15" t="n">
        <v>13.839</v>
      </c>
      <c r="M364" s="15" t="n">
        <v>2.72</v>
      </c>
      <c r="N364" s="15" t="n">
        <v>2.071</v>
      </c>
      <c r="O364" s="15" t="n">
        <v>18.463</v>
      </c>
      <c r="P364" s="15" t="n">
        <v>60.436</v>
      </c>
      <c r="Q364" s="15" t="n">
        <v>54.319</v>
      </c>
      <c r="R364" s="15" t="n">
        <v>14.245</v>
      </c>
      <c r="S364" s="15" t="n">
        <v>14.324</v>
      </c>
      <c r="T364" s="15" t="n"/>
      <c r="U364" s="15" t="n"/>
      <c r="V364" s="15" t="n">
        <v>36.808</v>
      </c>
      <c r="W364" s="15" t="n">
        <v>42.634</v>
      </c>
      <c r="X364" s="15" t="n">
        <v>38.692</v>
      </c>
      <c r="Y364" s="15" t="n">
        <v>61.782</v>
      </c>
      <c r="Z364" s="15" t="n">
        <v>53.209</v>
      </c>
      <c r="AA364" s="15" t="n"/>
      <c r="AB364" s="16" t="n">
        <v>948</v>
      </c>
      <c r="AC364" s="17">
        <f>IF(AND(ISNUMBER(H364),ISNUMBER(I364)),H364+I364,IF(ISNUMBER(K364),K364,IF(ISNUMBER(H364),H364,"")))</f>
        <v/>
      </c>
      <c r="AD364" s="18">
        <f>IF(OR(NOT(ISNUMBER(J364)),NOT(ISNUMBER(H364)),H364&lt;=0),기준표!$B$8,MIN(MAX(J364/H364,기준표!$B$6),기준표!$B$7))</f>
        <v/>
      </c>
      <c r="AE364" s="17">
        <f>IF(ISNUMBER(AC364),AC364*(1-AD364),"")</f>
        <v/>
      </c>
      <c r="AF364" s="17">
        <f>IF(AND(NOT(ISNUMBER(T364)),NOT(ISNUMBER(V364))),"",IF(ISNUMBER(T364),T364,0)+IF(ISNUMBER(V364),V364,0))</f>
        <v/>
      </c>
      <c r="AG364" s="17">
        <f>IF(E364="금융","",IF(AND(ISNUMBER(P364),ISNUMBER(AF364),ISNUMBER(R364)),P364+AF364-R364,""))</f>
        <v/>
      </c>
      <c r="AH364" s="17">
        <f>IF(E364="금융","",IF(NOT(ISNUMBER(AG364)),"",IF(ISNUMBER(AA364),(AG364+AA364)/2,AG364)))</f>
        <v/>
      </c>
      <c r="AI364" s="19">
        <f>IF(AND(ISNUMBER(AE364),ISNUMBER(AH364),AH364&gt;0),AE364/AH364,"")</f>
        <v/>
      </c>
      <c r="AJ364" s="17">
        <f>IF(E364="금융","",IF(AND(ISNUMBER(P364),ISNUMBER(AF364)),P364+AF364,""))</f>
        <v/>
      </c>
      <c r="AK364" s="19">
        <f>IF(OR(NOT(ISNUMBER(AE364)),NOT(ISNUMBER(AJ364)),AJ364&lt;=0),"",IF(AND(ISNUMBER(G364),AJ364&lt;0.1*G364),"",AE364/AJ364))</f>
        <v/>
      </c>
      <c r="AL364" s="17">
        <f>IF(NOT(ISNUMBER(P364)),"",IF(ISNUMBER(Q364),(P364+Q364)/2,P364))</f>
        <v/>
      </c>
      <c r="AM364" s="19">
        <f>IF(AND(ISNUMBER(L364),ISNUMBER(AL364),AL364&gt;0),L364/AL364,"")</f>
        <v/>
      </c>
      <c r="AN364" s="19">
        <f>IF(AND(ISNUMBER(AM364),ISNUMBER({ROIC})),AM364-{ROIC},"")</f>
        <v/>
      </c>
      <c r="AO364" s="17">
        <f>IF(AND(ISNUMBER(AC364),ISNUMBER(M364)),AC364+M364,"")</f>
        <v/>
      </c>
      <c r="AP364" s="20">
        <f>IF(AND(ISNUMBER(AF364),ISNUMBER(R364),ISNUMBER(AO364),AO364&gt;0),(AF364-R364)/AO364,"")</f>
        <v/>
      </c>
      <c r="AQ364" s="20">
        <f>IF(AND(ISNUMBER(AC364),ISNUMBER(I364),I364&lt;&gt;0,AC364&gt;0),AC364/I364,"")</f>
        <v/>
      </c>
      <c r="AR364" s="17">
        <f>IF(AND(ISNUMBER(W364),ISNUMBER(Y364)),W364-IF(ISNUMBER(R364),R364,0)-(Y364-IF(ISNUMBER(T364),T364,0)),"")</f>
        <v/>
      </c>
      <c r="AS364" s="17">
        <f>IF(AND(ISNUMBER(X364),ISNUMBER(Z364)),X364-IF(ISNUMBER(S364),S364,0)-(Z364-IF(ISNUMBER(U364),U364,0)),"")</f>
        <v/>
      </c>
      <c r="AT364" s="17">
        <f>IF(AND(ISNUMBER(AR364),ISNUMBER(AS364)),AR364-AS364,"")</f>
        <v/>
      </c>
      <c r="AU364" s="17">
        <f>IF(E364="금융","",IF(AND(ISNUMBER(L364),ISNUMBER(M364),ISNUMBER(N364),ISNUMBER(AT364)),L364+M364-N364-AT364,IF(AND(ISNUMBER(O364),ISNUMBER(N364)),O364-N364,"")))</f>
        <v/>
      </c>
      <c r="AV364" s="8">
        <f>IF(E364="금융","금융업 - 정의되지 않음",IF(AND(ISNUMBER(L364),ISNUMBER(M364),ISNUMBER(N364),ISNUMBER(AT364)),"순이익+감가상각-설비투자-운전자본증감",IF(AND(ISNUMBER(O364),ISNUMBER(N364)),"영업현금흐름-설비투자","산출불가")))</f>
        <v/>
      </c>
      <c r="AW364" s="19">
        <f>IF(AND(ISNUMBER(AU364),ISNUMBER(G364),G364&lt;&gt;0),AU364/G364,"")</f>
        <v/>
      </c>
      <c r="AX364" s="19">
        <f>IF(AND(ISNUMBER(AC364),ISNUMBER(G364),G364&lt;&gt;0),AC364/G364,"")</f>
        <v/>
      </c>
    </row>
    <row r="365">
      <c r="A365" s="8" t="inlineStr">
        <is>
          <t>UNH</t>
        </is>
      </c>
      <c r="B365" s="8" t="inlineStr">
        <is>
          <t>UNITEDHEALTH GROUP INC</t>
        </is>
      </c>
      <c r="C365" s="8" t="n">
        <v>2020</v>
      </c>
      <c r="D365" s="8" t="inlineStr">
        <is>
          <t>2020-12-31</t>
        </is>
      </c>
      <c r="E365" s="8" t="inlineStr">
        <is>
          <t>금융</t>
        </is>
      </c>
      <c r="F365" s="8" t="inlineStr">
        <is>
          <t>0000731766-23-000008</t>
        </is>
      </c>
      <c r="G365" s="15" t="n">
        <v>257.141</v>
      </c>
      <c r="H365" s="15" t="n">
        <v>20.742</v>
      </c>
      <c r="I365" s="15" t="n">
        <v>1.663</v>
      </c>
      <c r="J365" s="15" t="n">
        <v>4.973</v>
      </c>
      <c r="K365" s="15" t="n">
        <v>22.405</v>
      </c>
      <c r="L365" s="15" t="n">
        <v>15.403</v>
      </c>
      <c r="M365" s="15" t="n">
        <v>2.891</v>
      </c>
      <c r="N365" s="15" t="n">
        <v>2.051</v>
      </c>
      <c r="O365" s="15" t="n">
        <v>22.174</v>
      </c>
      <c r="P365" s="15" t="n">
        <v>68.328</v>
      </c>
      <c r="Q365" s="15" t="n">
        <v>60.436</v>
      </c>
      <c r="R365" s="15" t="n">
        <v>19.781</v>
      </c>
      <c r="S365" s="15" t="n">
        <v>14.245</v>
      </c>
      <c r="T365" s="15" t="n"/>
      <c r="U365" s="15" t="n"/>
      <c r="V365" s="15" t="n">
        <v>38.648</v>
      </c>
      <c r="W365" s="15" t="n">
        <v>53.718</v>
      </c>
      <c r="X365" s="15" t="n">
        <v>42.634</v>
      </c>
      <c r="Y365" s="15" t="n">
        <v>72.42</v>
      </c>
      <c r="Z365" s="15" t="n">
        <v>61.782</v>
      </c>
      <c r="AA365" s="15" t="n"/>
      <c r="AB365" s="16" t="n">
        <v>946</v>
      </c>
      <c r="AC365" s="17">
        <f>IF(AND(ISNUMBER(H365),ISNUMBER(I365)),H365+I365,IF(ISNUMBER(K365),K365,IF(ISNUMBER(H365),H365,"")))</f>
        <v/>
      </c>
      <c r="AD365" s="18">
        <f>IF(OR(NOT(ISNUMBER(J365)),NOT(ISNUMBER(H365)),H365&lt;=0),기준표!$B$8,MIN(MAX(J365/H365,기준표!$B$6),기준표!$B$7))</f>
        <v/>
      </c>
      <c r="AE365" s="17">
        <f>IF(ISNUMBER(AC365),AC365*(1-AD365),"")</f>
        <v/>
      </c>
      <c r="AF365" s="17">
        <f>IF(AND(NOT(ISNUMBER(T365)),NOT(ISNUMBER(V365))),"",IF(ISNUMBER(T365),T365,0)+IF(ISNUMBER(V365),V365,0))</f>
        <v/>
      </c>
      <c r="AG365" s="17">
        <f>IF(E365="금융","",IF(AND(ISNUMBER(P365),ISNUMBER(AF365),ISNUMBER(R365)),P365+AF365-R365,""))</f>
        <v/>
      </c>
      <c r="AH365" s="17">
        <f>IF(E365="금융","",IF(NOT(ISNUMBER(AG365)),"",IF(ISNUMBER(AA365),(AG365+AA365)/2,AG365)))</f>
        <v/>
      </c>
      <c r="AI365" s="19">
        <f>IF(AND(ISNUMBER(AE365),ISNUMBER(AH365),AH365&gt;0),AE365/AH365,"")</f>
        <v/>
      </c>
      <c r="AJ365" s="17">
        <f>IF(E365="금융","",IF(AND(ISNUMBER(P365),ISNUMBER(AF365)),P365+AF365,""))</f>
        <v/>
      </c>
      <c r="AK365" s="19">
        <f>IF(OR(NOT(ISNUMBER(AE365)),NOT(ISNUMBER(AJ365)),AJ365&lt;=0),"",IF(AND(ISNUMBER(G365),AJ365&lt;0.1*G365),"",AE365/AJ365))</f>
        <v/>
      </c>
      <c r="AL365" s="17">
        <f>IF(NOT(ISNUMBER(P365)),"",IF(ISNUMBER(Q365),(P365+Q365)/2,P365))</f>
        <v/>
      </c>
      <c r="AM365" s="19">
        <f>IF(AND(ISNUMBER(L365),ISNUMBER(AL365),AL365&gt;0),L365/AL365,"")</f>
        <v/>
      </c>
      <c r="AN365" s="19">
        <f>IF(AND(ISNUMBER(AM365),ISNUMBER({ROIC})),AM365-{ROIC},"")</f>
        <v/>
      </c>
      <c r="AO365" s="17">
        <f>IF(AND(ISNUMBER(AC365),ISNUMBER(M365)),AC365+M365,"")</f>
        <v/>
      </c>
      <c r="AP365" s="20">
        <f>IF(AND(ISNUMBER(AF365),ISNUMBER(R365),ISNUMBER(AO365),AO365&gt;0),(AF365-R365)/AO365,"")</f>
        <v/>
      </c>
      <c r="AQ365" s="20">
        <f>IF(AND(ISNUMBER(AC365),ISNUMBER(I365),I365&lt;&gt;0,AC365&gt;0),AC365/I365,"")</f>
        <v/>
      </c>
      <c r="AR365" s="17">
        <f>IF(AND(ISNUMBER(W365),ISNUMBER(Y365)),W365-IF(ISNUMBER(R365),R365,0)-(Y365-IF(ISNUMBER(T365),T365,0)),"")</f>
        <v/>
      </c>
      <c r="AS365" s="17">
        <f>IF(AND(ISNUMBER(X365),ISNUMBER(Z365)),X365-IF(ISNUMBER(S365),S365,0)-(Z365-IF(ISNUMBER(U365),U365,0)),"")</f>
        <v/>
      </c>
      <c r="AT365" s="17">
        <f>IF(AND(ISNUMBER(AR365),ISNUMBER(AS365)),AR365-AS365,"")</f>
        <v/>
      </c>
      <c r="AU365" s="17">
        <f>IF(E365="금융","",IF(AND(ISNUMBER(L365),ISNUMBER(M365),ISNUMBER(N365),ISNUMBER(AT365)),L365+M365-N365-AT365,IF(AND(ISNUMBER(O365),ISNUMBER(N365)),O365-N365,"")))</f>
        <v/>
      </c>
      <c r="AV365" s="8">
        <f>IF(E365="금융","금융업 - 정의되지 않음",IF(AND(ISNUMBER(L365),ISNUMBER(M365),ISNUMBER(N365),ISNUMBER(AT365)),"순이익+감가상각-설비투자-운전자본증감",IF(AND(ISNUMBER(O365),ISNUMBER(N365)),"영업현금흐름-설비투자","산출불가")))</f>
        <v/>
      </c>
      <c r="AW365" s="19">
        <f>IF(AND(ISNUMBER(AU365),ISNUMBER(G365),G365&lt;&gt;0),AU365/G365,"")</f>
        <v/>
      </c>
      <c r="AX365" s="19">
        <f>IF(AND(ISNUMBER(AC365),ISNUMBER(G365),G365&lt;&gt;0),AC365/G365,"")</f>
        <v/>
      </c>
    </row>
    <row r="366">
      <c r="A366" s="8" t="inlineStr">
        <is>
          <t>UNH</t>
        </is>
      </c>
      <c r="B366" s="8" t="inlineStr">
        <is>
          <t>UNITEDHEALTH GROUP INC</t>
        </is>
      </c>
      <c r="C366" s="8" t="n">
        <v>2021</v>
      </c>
      <c r="D366" s="8" t="inlineStr">
        <is>
          <t>2021-12-31</t>
        </is>
      </c>
      <c r="E366" s="8" t="inlineStr">
        <is>
          <t>금융</t>
        </is>
      </c>
      <c r="F366" s="8" t="inlineStr">
        <is>
          <t>0000731766-24-000081</t>
        </is>
      </c>
      <c r="G366" s="15" t="n">
        <v>287.597</v>
      </c>
      <c r="H366" s="15" t="n">
        <v>22.31</v>
      </c>
      <c r="I366" s="15" t="n">
        <v>1.66</v>
      </c>
      <c r="J366" s="15" t="n">
        <v>4.578</v>
      </c>
      <c r="K366" s="15" t="n">
        <v>23.97</v>
      </c>
      <c r="L366" s="15" t="n">
        <v>17.285</v>
      </c>
      <c r="M366" s="15" t="n">
        <v>3.103</v>
      </c>
      <c r="N366" s="15" t="n">
        <v>2.454</v>
      </c>
      <c r="O366" s="15" t="n">
        <v>22.343</v>
      </c>
      <c r="P366" s="15" t="n">
        <v>75.045</v>
      </c>
      <c r="Q366" s="15" t="n">
        <v>68.328</v>
      </c>
      <c r="R366" s="15" t="n">
        <v>23.907</v>
      </c>
      <c r="S366" s="15" t="n">
        <v>19.781</v>
      </c>
      <c r="T366" s="15" t="n">
        <v>3.62</v>
      </c>
      <c r="U366" s="15" t="n"/>
      <c r="V366" s="15" t="n">
        <v>42.383</v>
      </c>
      <c r="W366" s="15" t="n">
        <v>61.758</v>
      </c>
      <c r="X366" s="15" t="n">
        <v>53.718</v>
      </c>
      <c r="Y366" s="15" t="n">
        <v>78.292</v>
      </c>
      <c r="Z366" s="15" t="n">
        <v>72.42</v>
      </c>
      <c r="AA366" s="15" t="n"/>
      <c r="AB366" s="16" t="n">
        <v>941</v>
      </c>
      <c r="AC366" s="17">
        <f>IF(AND(ISNUMBER(H366),ISNUMBER(I366)),H366+I366,IF(ISNUMBER(K366),K366,IF(ISNUMBER(H366),H366,"")))</f>
        <v/>
      </c>
      <c r="AD366" s="18">
        <f>IF(OR(NOT(ISNUMBER(J366)),NOT(ISNUMBER(H366)),H366&lt;=0),기준표!$B$8,MIN(MAX(J366/H366,기준표!$B$6),기준표!$B$7))</f>
        <v/>
      </c>
      <c r="AE366" s="17">
        <f>IF(ISNUMBER(AC366),AC366*(1-AD366),"")</f>
        <v/>
      </c>
      <c r="AF366" s="17">
        <f>IF(AND(NOT(ISNUMBER(T366)),NOT(ISNUMBER(V366))),"",IF(ISNUMBER(T366),T366,0)+IF(ISNUMBER(V366),V366,0))</f>
        <v/>
      </c>
      <c r="AG366" s="17">
        <f>IF(E366="금융","",IF(AND(ISNUMBER(P366),ISNUMBER(AF366),ISNUMBER(R366)),P366+AF366-R366,""))</f>
        <v/>
      </c>
      <c r="AH366" s="17">
        <f>IF(E366="금융","",IF(NOT(ISNUMBER(AG366)),"",IF(ISNUMBER(AA366),(AG366+AA366)/2,AG366)))</f>
        <v/>
      </c>
      <c r="AI366" s="19">
        <f>IF(AND(ISNUMBER(AE366),ISNUMBER(AH366),AH366&gt;0),AE366/AH366,"")</f>
        <v/>
      </c>
      <c r="AJ366" s="17">
        <f>IF(E366="금융","",IF(AND(ISNUMBER(P366),ISNUMBER(AF366)),P366+AF366,""))</f>
        <v/>
      </c>
      <c r="AK366" s="19">
        <f>IF(OR(NOT(ISNUMBER(AE366)),NOT(ISNUMBER(AJ366)),AJ366&lt;=0),"",IF(AND(ISNUMBER(G366),AJ366&lt;0.1*G366),"",AE366/AJ366))</f>
        <v/>
      </c>
      <c r="AL366" s="17">
        <f>IF(NOT(ISNUMBER(P366)),"",IF(ISNUMBER(Q366),(P366+Q366)/2,P366))</f>
        <v/>
      </c>
      <c r="AM366" s="19">
        <f>IF(AND(ISNUMBER(L366),ISNUMBER(AL366),AL366&gt;0),L366/AL366,"")</f>
        <v/>
      </c>
      <c r="AN366" s="19">
        <f>IF(AND(ISNUMBER(AM366),ISNUMBER({ROIC})),AM366-{ROIC},"")</f>
        <v/>
      </c>
      <c r="AO366" s="17">
        <f>IF(AND(ISNUMBER(AC366),ISNUMBER(M366)),AC366+M366,"")</f>
        <v/>
      </c>
      <c r="AP366" s="20">
        <f>IF(AND(ISNUMBER(AF366),ISNUMBER(R366),ISNUMBER(AO366),AO366&gt;0),(AF366-R366)/AO366,"")</f>
        <v/>
      </c>
      <c r="AQ366" s="20">
        <f>IF(AND(ISNUMBER(AC366),ISNUMBER(I366),I366&lt;&gt;0,AC366&gt;0),AC366/I366,"")</f>
        <v/>
      </c>
      <c r="AR366" s="17">
        <f>IF(AND(ISNUMBER(W366),ISNUMBER(Y366)),W366-IF(ISNUMBER(R366),R366,0)-(Y366-IF(ISNUMBER(T366),T366,0)),"")</f>
        <v/>
      </c>
      <c r="AS366" s="17">
        <f>IF(AND(ISNUMBER(X366),ISNUMBER(Z366)),X366-IF(ISNUMBER(S366),S366,0)-(Z366-IF(ISNUMBER(U366),U366,0)),"")</f>
        <v/>
      </c>
      <c r="AT366" s="17">
        <f>IF(AND(ISNUMBER(AR366),ISNUMBER(AS366)),AR366-AS366,"")</f>
        <v/>
      </c>
      <c r="AU366" s="17">
        <f>IF(E366="금융","",IF(AND(ISNUMBER(L366),ISNUMBER(M366),ISNUMBER(N366),ISNUMBER(AT366)),L366+M366-N366-AT366,IF(AND(ISNUMBER(O366),ISNUMBER(N366)),O366-N366,"")))</f>
        <v/>
      </c>
      <c r="AV366" s="8">
        <f>IF(E366="금융","금융업 - 정의되지 않음",IF(AND(ISNUMBER(L366),ISNUMBER(M366),ISNUMBER(N366),ISNUMBER(AT366)),"순이익+감가상각-설비투자-운전자본증감",IF(AND(ISNUMBER(O366),ISNUMBER(N366)),"영업현금흐름-설비투자","산출불가")))</f>
        <v/>
      </c>
      <c r="AW366" s="19">
        <f>IF(AND(ISNUMBER(AU366),ISNUMBER(G366),G366&lt;&gt;0),AU366/G366,"")</f>
        <v/>
      </c>
      <c r="AX366" s="19">
        <f>IF(AND(ISNUMBER(AC366),ISNUMBER(G366),G366&lt;&gt;0),AC366/G366,"")</f>
        <v/>
      </c>
    </row>
    <row r="367">
      <c r="A367" s="8" t="inlineStr">
        <is>
          <t>UNH</t>
        </is>
      </c>
      <c r="B367" s="8" t="inlineStr">
        <is>
          <t>UNITEDHEALTH GROUP INC</t>
        </is>
      </c>
      <c r="C367" s="8" t="n">
        <v>2022</v>
      </c>
      <c r="D367" s="8" t="inlineStr">
        <is>
          <t>2022-12-31</t>
        </is>
      </c>
      <c r="E367" s="8" t="inlineStr">
        <is>
          <t>금융</t>
        </is>
      </c>
      <c r="F367" s="8" t="inlineStr">
        <is>
          <t>0000731766-25-000063</t>
        </is>
      </c>
      <c r="G367" s="15" t="n">
        <v>324.162</v>
      </c>
      <c r="H367" s="15" t="n">
        <v>26.343</v>
      </c>
      <c r="I367" s="15" t="n">
        <v>2.092</v>
      </c>
      <c r="J367" s="15" t="n">
        <v>5.704</v>
      </c>
      <c r="K367" s="15" t="n">
        <v>28.435</v>
      </c>
      <c r="L367" s="15" t="n">
        <v>20.12</v>
      </c>
      <c r="M367" s="15" t="n">
        <v>3.4</v>
      </c>
      <c r="N367" s="15" t="n">
        <v>2.802</v>
      </c>
      <c r="O367" s="15" t="n">
        <v>26.206</v>
      </c>
      <c r="P367" s="15" t="n">
        <v>81.45</v>
      </c>
      <c r="Q367" s="15" t="n">
        <v>75.045</v>
      </c>
      <c r="R367" s="15" t="n">
        <v>27.911</v>
      </c>
      <c r="S367" s="15" t="n">
        <v>23.907</v>
      </c>
      <c r="T367" s="15" t="n">
        <v>3.11</v>
      </c>
      <c r="U367" s="15" t="n">
        <v>3.62</v>
      </c>
      <c r="V367" s="15" t="n">
        <v>54.513</v>
      </c>
      <c r="W367" s="15" t="n">
        <v>69.069</v>
      </c>
      <c r="X367" s="15" t="n">
        <v>61.758</v>
      </c>
      <c r="Y367" s="15" t="n">
        <v>89.23699999999999</v>
      </c>
      <c r="Z367" s="15" t="n">
        <v>78.292</v>
      </c>
      <c r="AA367" s="15" t="n"/>
      <c r="AB367" s="16" t="n">
        <v>934</v>
      </c>
      <c r="AC367" s="17">
        <f>IF(AND(ISNUMBER(H367),ISNUMBER(I367)),H367+I367,IF(ISNUMBER(K367),K367,IF(ISNUMBER(H367),H367,"")))</f>
        <v/>
      </c>
      <c r="AD367" s="18">
        <f>IF(OR(NOT(ISNUMBER(J367)),NOT(ISNUMBER(H367)),H367&lt;=0),기준표!$B$8,MIN(MAX(J367/H367,기준표!$B$6),기준표!$B$7))</f>
        <v/>
      </c>
      <c r="AE367" s="17">
        <f>IF(ISNUMBER(AC367),AC367*(1-AD367),"")</f>
        <v/>
      </c>
      <c r="AF367" s="17">
        <f>IF(AND(NOT(ISNUMBER(T367)),NOT(ISNUMBER(V367))),"",IF(ISNUMBER(T367),T367,0)+IF(ISNUMBER(V367),V367,0))</f>
        <v/>
      </c>
      <c r="AG367" s="17">
        <f>IF(E367="금융","",IF(AND(ISNUMBER(P367),ISNUMBER(AF367),ISNUMBER(R367)),P367+AF367-R367,""))</f>
        <v/>
      </c>
      <c r="AH367" s="17">
        <f>IF(E367="금융","",IF(NOT(ISNUMBER(AG367)),"",IF(ISNUMBER(AA367),(AG367+AA367)/2,AG367)))</f>
        <v/>
      </c>
      <c r="AI367" s="19">
        <f>IF(AND(ISNUMBER(AE367),ISNUMBER(AH367),AH367&gt;0),AE367/AH367,"")</f>
        <v/>
      </c>
      <c r="AJ367" s="17">
        <f>IF(E367="금융","",IF(AND(ISNUMBER(P367),ISNUMBER(AF367)),P367+AF367,""))</f>
        <v/>
      </c>
      <c r="AK367" s="19">
        <f>IF(OR(NOT(ISNUMBER(AE367)),NOT(ISNUMBER(AJ367)),AJ367&lt;=0),"",IF(AND(ISNUMBER(G367),AJ367&lt;0.1*G367),"",AE367/AJ367))</f>
        <v/>
      </c>
      <c r="AL367" s="17">
        <f>IF(NOT(ISNUMBER(P367)),"",IF(ISNUMBER(Q367),(P367+Q367)/2,P367))</f>
        <v/>
      </c>
      <c r="AM367" s="19">
        <f>IF(AND(ISNUMBER(L367),ISNUMBER(AL367),AL367&gt;0),L367/AL367,"")</f>
        <v/>
      </c>
      <c r="AN367" s="19">
        <f>IF(AND(ISNUMBER(AM367),ISNUMBER({ROIC})),AM367-{ROIC},"")</f>
        <v/>
      </c>
      <c r="AO367" s="17">
        <f>IF(AND(ISNUMBER(AC367),ISNUMBER(M367)),AC367+M367,"")</f>
        <v/>
      </c>
      <c r="AP367" s="20">
        <f>IF(AND(ISNUMBER(AF367),ISNUMBER(R367),ISNUMBER(AO367),AO367&gt;0),(AF367-R367)/AO367,"")</f>
        <v/>
      </c>
      <c r="AQ367" s="20">
        <f>IF(AND(ISNUMBER(AC367),ISNUMBER(I367),I367&lt;&gt;0,AC367&gt;0),AC367/I367,"")</f>
        <v/>
      </c>
      <c r="AR367" s="17">
        <f>IF(AND(ISNUMBER(W367),ISNUMBER(Y367)),W367-IF(ISNUMBER(R367),R367,0)-(Y367-IF(ISNUMBER(T367),T367,0)),"")</f>
        <v/>
      </c>
      <c r="AS367" s="17">
        <f>IF(AND(ISNUMBER(X367),ISNUMBER(Z367)),X367-IF(ISNUMBER(S367),S367,0)-(Z367-IF(ISNUMBER(U367),U367,0)),"")</f>
        <v/>
      </c>
      <c r="AT367" s="17">
        <f>IF(AND(ISNUMBER(AR367),ISNUMBER(AS367)),AR367-AS367,"")</f>
        <v/>
      </c>
      <c r="AU367" s="17">
        <f>IF(E367="금융","",IF(AND(ISNUMBER(L367),ISNUMBER(M367),ISNUMBER(N367),ISNUMBER(AT367)),L367+M367-N367-AT367,IF(AND(ISNUMBER(O367),ISNUMBER(N367)),O367-N367,"")))</f>
        <v/>
      </c>
      <c r="AV367" s="8">
        <f>IF(E367="금융","금융업 - 정의되지 않음",IF(AND(ISNUMBER(L367),ISNUMBER(M367),ISNUMBER(N367),ISNUMBER(AT367)),"순이익+감가상각-설비투자-운전자본증감",IF(AND(ISNUMBER(O367),ISNUMBER(N367)),"영업현금흐름-설비투자","산출불가")))</f>
        <v/>
      </c>
      <c r="AW367" s="19">
        <f>IF(AND(ISNUMBER(AU367),ISNUMBER(G367),G367&lt;&gt;0),AU367/G367,"")</f>
        <v/>
      </c>
      <c r="AX367" s="19">
        <f>IF(AND(ISNUMBER(AC367),ISNUMBER(G367),G367&lt;&gt;0),AC367/G367,"")</f>
        <v/>
      </c>
    </row>
    <row r="368">
      <c r="A368" s="8" t="inlineStr">
        <is>
          <t>UNH</t>
        </is>
      </c>
      <c r="B368" s="8" t="inlineStr">
        <is>
          <t>UNITEDHEALTH GROUP INC</t>
        </is>
      </c>
      <c r="C368" s="8" t="n">
        <v>2023</v>
      </c>
      <c r="D368" s="8" t="inlineStr">
        <is>
          <t>2023-12-31</t>
        </is>
      </c>
      <c r="E368" s="8" t="inlineStr">
        <is>
          <t>금융</t>
        </is>
      </c>
      <c r="F368" s="8" t="inlineStr">
        <is>
          <t>0000731766-26-000062</t>
        </is>
      </c>
      <c r="G368" s="15" t="n">
        <v>371.622</v>
      </c>
      <c r="H368" s="15" t="n">
        <v>29.112</v>
      </c>
      <c r="I368" s="15" t="n">
        <v>3.246</v>
      </c>
      <c r="J368" s="15" t="n">
        <v>5.968</v>
      </c>
      <c r="K368" s="15" t="n">
        <v>32.358</v>
      </c>
      <c r="L368" s="15" t="n">
        <v>22.381</v>
      </c>
      <c r="M368" s="15" t="n">
        <v>3.972</v>
      </c>
      <c r="N368" s="15" t="n">
        <v>3.386</v>
      </c>
      <c r="O368" s="15" t="n">
        <v>29.068</v>
      </c>
      <c r="P368" s="15" t="n">
        <v>94.42100000000001</v>
      </c>
      <c r="Q368" s="15" t="n">
        <v>81.45</v>
      </c>
      <c r="R368" s="15" t="n">
        <v>29.628</v>
      </c>
      <c r="S368" s="15" t="n">
        <v>27.911</v>
      </c>
      <c r="T368" s="15" t="n">
        <v>4.274</v>
      </c>
      <c r="U368" s="15" t="n">
        <v>3.11</v>
      </c>
      <c r="V368" s="15" t="n">
        <v>58.263</v>
      </c>
      <c r="W368" s="15" t="n">
        <v>78.437</v>
      </c>
      <c r="X368" s="15" t="n">
        <v>69.069</v>
      </c>
      <c r="Y368" s="15" t="n">
        <v>99.054</v>
      </c>
      <c r="Z368" s="15" t="n">
        <v>89.23699999999999</v>
      </c>
      <c r="AA368" s="15" t="n"/>
      <c r="AB368" s="16" t="n">
        <v>924</v>
      </c>
      <c r="AC368" s="17">
        <f>IF(AND(ISNUMBER(H368),ISNUMBER(I368)),H368+I368,IF(ISNUMBER(K368),K368,IF(ISNUMBER(H368),H368,"")))</f>
        <v/>
      </c>
      <c r="AD368" s="18">
        <f>IF(OR(NOT(ISNUMBER(J368)),NOT(ISNUMBER(H368)),H368&lt;=0),기준표!$B$8,MIN(MAX(J368/H368,기준표!$B$6),기준표!$B$7))</f>
        <v/>
      </c>
      <c r="AE368" s="17">
        <f>IF(ISNUMBER(AC368),AC368*(1-AD368),"")</f>
        <v/>
      </c>
      <c r="AF368" s="17">
        <f>IF(AND(NOT(ISNUMBER(T368)),NOT(ISNUMBER(V368))),"",IF(ISNUMBER(T368),T368,0)+IF(ISNUMBER(V368),V368,0))</f>
        <v/>
      </c>
      <c r="AG368" s="17">
        <f>IF(E368="금융","",IF(AND(ISNUMBER(P368),ISNUMBER(AF368),ISNUMBER(R368)),P368+AF368-R368,""))</f>
        <v/>
      </c>
      <c r="AH368" s="17">
        <f>IF(E368="금융","",IF(NOT(ISNUMBER(AG368)),"",IF(ISNUMBER(AA368),(AG368+AA368)/2,AG368)))</f>
        <v/>
      </c>
      <c r="AI368" s="19">
        <f>IF(AND(ISNUMBER(AE368),ISNUMBER(AH368),AH368&gt;0),AE368/AH368,"")</f>
        <v/>
      </c>
      <c r="AJ368" s="17">
        <f>IF(E368="금융","",IF(AND(ISNUMBER(P368),ISNUMBER(AF368)),P368+AF368,""))</f>
        <v/>
      </c>
      <c r="AK368" s="19">
        <f>IF(OR(NOT(ISNUMBER(AE368)),NOT(ISNUMBER(AJ368)),AJ368&lt;=0),"",IF(AND(ISNUMBER(G368),AJ368&lt;0.1*G368),"",AE368/AJ368))</f>
        <v/>
      </c>
      <c r="AL368" s="17">
        <f>IF(NOT(ISNUMBER(P368)),"",IF(ISNUMBER(Q368),(P368+Q368)/2,P368))</f>
        <v/>
      </c>
      <c r="AM368" s="19">
        <f>IF(AND(ISNUMBER(L368),ISNUMBER(AL368),AL368&gt;0),L368/AL368,"")</f>
        <v/>
      </c>
      <c r="AN368" s="19">
        <f>IF(AND(ISNUMBER(AM368),ISNUMBER({ROIC})),AM368-{ROIC},"")</f>
        <v/>
      </c>
      <c r="AO368" s="17">
        <f>IF(AND(ISNUMBER(AC368),ISNUMBER(M368)),AC368+M368,"")</f>
        <v/>
      </c>
      <c r="AP368" s="20">
        <f>IF(AND(ISNUMBER(AF368),ISNUMBER(R368),ISNUMBER(AO368),AO368&gt;0),(AF368-R368)/AO368,"")</f>
        <v/>
      </c>
      <c r="AQ368" s="20">
        <f>IF(AND(ISNUMBER(AC368),ISNUMBER(I368),I368&lt;&gt;0,AC368&gt;0),AC368/I368,"")</f>
        <v/>
      </c>
      <c r="AR368" s="17">
        <f>IF(AND(ISNUMBER(W368),ISNUMBER(Y368)),W368-IF(ISNUMBER(R368),R368,0)-(Y368-IF(ISNUMBER(T368),T368,0)),"")</f>
        <v/>
      </c>
      <c r="AS368" s="17">
        <f>IF(AND(ISNUMBER(X368),ISNUMBER(Z368)),X368-IF(ISNUMBER(S368),S368,0)-(Z368-IF(ISNUMBER(U368),U368,0)),"")</f>
        <v/>
      </c>
      <c r="AT368" s="17">
        <f>IF(AND(ISNUMBER(AR368),ISNUMBER(AS368)),AR368-AS368,"")</f>
        <v/>
      </c>
      <c r="AU368" s="17">
        <f>IF(E368="금융","",IF(AND(ISNUMBER(L368),ISNUMBER(M368),ISNUMBER(N368),ISNUMBER(AT368)),L368+M368-N368-AT368,IF(AND(ISNUMBER(O368),ISNUMBER(N368)),O368-N368,"")))</f>
        <v/>
      </c>
      <c r="AV368" s="8">
        <f>IF(E368="금융","금융업 - 정의되지 않음",IF(AND(ISNUMBER(L368),ISNUMBER(M368),ISNUMBER(N368),ISNUMBER(AT368)),"순이익+감가상각-설비투자-운전자본증감",IF(AND(ISNUMBER(O368),ISNUMBER(N368)),"영업현금흐름-설비투자","산출불가")))</f>
        <v/>
      </c>
      <c r="AW368" s="19">
        <f>IF(AND(ISNUMBER(AU368),ISNUMBER(G368),G368&lt;&gt;0),AU368/G368,"")</f>
        <v/>
      </c>
      <c r="AX368" s="19">
        <f>IF(AND(ISNUMBER(AC368),ISNUMBER(G368),G368&lt;&gt;0),AC368/G368,"")</f>
        <v/>
      </c>
    </row>
    <row r="369">
      <c r="A369" s="8" t="inlineStr">
        <is>
          <t>UNH</t>
        </is>
      </c>
      <c r="B369" s="8" t="inlineStr">
        <is>
          <t>UNITEDHEALTH GROUP INC</t>
        </is>
      </c>
      <c r="C369" s="8" t="n">
        <v>2024</v>
      </c>
      <c r="D369" s="8" t="inlineStr">
        <is>
          <t>2024-12-31</t>
        </is>
      </c>
      <c r="E369" s="8" t="inlineStr">
        <is>
          <t>금융</t>
        </is>
      </c>
      <c r="F369" s="8" t="inlineStr">
        <is>
          <t>0000731766-26-000062</t>
        </is>
      </c>
      <c r="G369" s="15" t="n">
        <v>400.278</v>
      </c>
      <c r="H369" s="15" t="n">
        <v>20.071</v>
      </c>
      <c r="I369" s="15" t="n">
        <v>3.906</v>
      </c>
      <c r="J369" s="15" t="n">
        <v>4.829</v>
      </c>
      <c r="K369" s="15" t="n">
        <v>32.287</v>
      </c>
      <c r="L369" s="15" t="n">
        <v>14.405</v>
      </c>
      <c r="M369" s="15" t="n">
        <v>4.099</v>
      </c>
      <c r="N369" s="15" t="n">
        <v>3.499</v>
      </c>
      <c r="O369" s="15" t="n">
        <v>24.204</v>
      </c>
      <c r="P369" s="15" t="n">
        <v>98.268</v>
      </c>
      <c r="Q369" s="15" t="n">
        <v>94.42100000000001</v>
      </c>
      <c r="R369" s="15" t="n">
        <v>29.113</v>
      </c>
      <c r="S369" s="15" t="n">
        <v>29.628</v>
      </c>
      <c r="T369" s="15" t="n">
        <v>4.545</v>
      </c>
      <c r="U369" s="15" t="n">
        <v>4.274</v>
      </c>
      <c r="V369" s="15" t="n">
        <v>72.35899999999999</v>
      </c>
      <c r="W369" s="15" t="n">
        <v>85.779</v>
      </c>
      <c r="X369" s="15" t="n">
        <v>78.437</v>
      </c>
      <c r="Y369" s="15" t="n">
        <v>103.769</v>
      </c>
      <c r="Z369" s="15" t="n">
        <v>99.054</v>
      </c>
      <c r="AA369" s="15" t="n"/>
      <c r="AB369" s="16" t="n">
        <v>915</v>
      </c>
      <c r="AC369" s="17">
        <f>IF(AND(ISNUMBER(H369),ISNUMBER(I369)),H369+I369,IF(ISNUMBER(K369),K369,IF(ISNUMBER(H369),H369,"")))</f>
        <v/>
      </c>
      <c r="AD369" s="18">
        <f>IF(OR(NOT(ISNUMBER(J369)),NOT(ISNUMBER(H369)),H369&lt;=0),기준표!$B$8,MIN(MAX(J369/H369,기준표!$B$6),기준표!$B$7))</f>
        <v/>
      </c>
      <c r="AE369" s="17">
        <f>IF(ISNUMBER(AC369),AC369*(1-AD369),"")</f>
        <v/>
      </c>
      <c r="AF369" s="17">
        <f>IF(AND(NOT(ISNUMBER(T369)),NOT(ISNUMBER(V369))),"",IF(ISNUMBER(T369),T369,0)+IF(ISNUMBER(V369),V369,0))</f>
        <v/>
      </c>
      <c r="AG369" s="17">
        <f>IF(E369="금융","",IF(AND(ISNUMBER(P369),ISNUMBER(AF369),ISNUMBER(R369)),P369+AF369-R369,""))</f>
        <v/>
      </c>
      <c r="AH369" s="17">
        <f>IF(E369="금융","",IF(NOT(ISNUMBER(AG369)),"",IF(ISNUMBER(AA369),(AG369+AA369)/2,AG369)))</f>
        <v/>
      </c>
      <c r="AI369" s="19">
        <f>IF(AND(ISNUMBER(AE369),ISNUMBER(AH369),AH369&gt;0),AE369/AH369,"")</f>
        <v/>
      </c>
      <c r="AJ369" s="17">
        <f>IF(E369="금융","",IF(AND(ISNUMBER(P369),ISNUMBER(AF369)),P369+AF369,""))</f>
        <v/>
      </c>
      <c r="AK369" s="19">
        <f>IF(OR(NOT(ISNUMBER(AE369)),NOT(ISNUMBER(AJ369)),AJ369&lt;=0),"",IF(AND(ISNUMBER(G369),AJ369&lt;0.1*G369),"",AE369/AJ369))</f>
        <v/>
      </c>
      <c r="AL369" s="17">
        <f>IF(NOT(ISNUMBER(P369)),"",IF(ISNUMBER(Q369),(P369+Q369)/2,P369))</f>
        <v/>
      </c>
      <c r="AM369" s="19">
        <f>IF(AND(ISNUMBER(L369),ISNUMBER(AL369),AL369&gt;0),L369/AL369,"")</f>
        <v/>
      </c>
      <c r="AN369" s="19">
        <f>IF(AND(ISNUMBER(AM369),ISNUMBER({ROIC})),AM369-{ROIC},"")</f>
        <v/>
      </c>
      <c r="AO369" s="17">
        <f>IF(AND(ISNUMBER(AC369),ISNUMBER(M369)),AC369+M369,"")</f>
        <v/>
      </c>
      <c r="AP369" s="20">
        <f>IF(AND(ISNUMBER(AF369),ISNUMBER(R369),ISNUMBER(AO369),AO369&gt;0),(AF369-R369)/AO369,"")</f>
        <v/>
      </c>
      <c r="AQ369" s="20">
        <f>IF(AND(ISNUMBER(AC369),ISNUMBER(I369),I369&lt;&gt;0,AC369&gt;0),AC369/I369,"")</f>
        <v/>
      </c>
      <c r="AR369" s="17">
        <f>IF(AND(ISNUMBER(W369),ISNUMBER(Y369)),W369-IF(ISNUMBER(R369),R369,0)-(Y369-IF(ISNUMBER(T369),T369,0)),"")</f>
        <v/>
      </c>
      <c r="AS369" s="17">
        <f>IF(AND(ISNUMBER(X369),ISNUMBER(Z369)),X369-IF(ISNUMBER(S369),S369,0)-(Z369-IF(ISNUMBER(U369),U369,0)),"")</f>
        <v/>
      </c>
      <c r="AT369" s="17">
        <f>IF(AND(ISNUMBER(AR369),ISNUMBER(AS369)),AR369-AS369,"")</f>
        <v/>
      </c>
      <c r="AU369" s="17">
        <f>IF(E369="금융","",IF(AND(ISNUMBER(L369),ISNUMBER(M369),ISNUMBER(N369),ISNUMBER(AT369)),L369+M369-N369-AT369,IF(AND(ISNUMBER(O369),ISNUMBER(N369)),O369-N369,"")))</f>
        <v/>
      </c>
      <c r="AV369" s="8">
        <f>IF(E369="금융","금융업 - 정의되지 않음",IF(AND(ISNUMBER(L369),ISNUMBER(M369),ISNUMBER(N369),ISNUMBER(AT369)),"순이익+감가상각-설비투자-운전자본증감",IF(AND(ISNUMBER(O369),ISNUMBER(N369)),"영업현금흐름-설비투자","산출불가")))</f>
        <v/>
      </c>
      <c r="AW369" s="19">
        <f>IF(AND(ISNUMBER(AU369),ISNUMBER(G369),G369&lt;&gt;0),AU369/G369,"")</f>
        <v/>
      </c>
      <c r="AX369" s="19">
        <f>IF(AND(ISNUMBER(AC369),ISNUMBER(G369),G369&lt;&gt;0),AC369/G369,"")</f>
        <v/>
      </c>
    </row>
    <row r="370">
      <c r="A370" s="8" t="inlineStr">
        <is>
          <t>UNH</t>
        </is>
      </c>
      <c r="B370" s="8" t="inlineStr">
        <is>
          <t>UNITEDHEALTH GROUP INC</t>
        </is>
      </c>
      <c r="C370" s="8" t="n">
        <v>2025</v>
      </c>
      <c r="D370" s="8" t="inlineStr">
        <is>
          <t>2025-12-31</t>
        </is>
      </c>
      <c r="E370" s="8" t="inlineStr">
        <is>
          <t>금융</t>
        </is>
      </c>
      <c r="F370" s="8" t="inlineStr">
        <is>
          <t>0000731766-26-000062</t>
        </is>
      </c>
      <c r="G370" s="15" t="n">
        <v>447.567</v>
      </c>
      <c r="H370" s="15" t="n">
        <v>14.697</v>
      </c>
      <c r="I370" s="15" t="n">
        <v>4.002</v>
      </c>
      <c r="J370" s="15" t="n">
        <v>1.89</v>
      </c>
      <c r="K370" s="15" t="n">
        <v>18.964</v>
      </c>
      <c r="L370" s="15" t="n">
        <v>12.056</v>
      </c>
      <c r="M370" s="15" t="n">
        <v>4.361</v>
      </c>
      <c r="N370" s="15" t="n">
        <v>3.622</v>
      </c>
      <c r="O370" s="15" t="n">
        <v>19.697</v>
      </c>
      <c r="P370" s="15" t="n">
        <v>100.09</v>
      </c>
      <c r="Q370" s="15" t="n">
        <v>98.268</v>
      </c>
      <c r="R370" s="15" t="n">
        <v>28.121</v>
      </c>
      <c r="S370" s="15" t="n">
        <v>29.113</v>
      </c>
      <c r="T370" s="15" t="n">
        <v>6.069</v>
      </c>
      <c r="U370" s="15" t="n">
        <v>4.545</v>
      </c>
      <c r="V370" s="15" t="n">
        <v>72.31999999999999</v>
      </c>
      <c r="W370" s="15" t="n">
        <v>90.58199999999999</v>
      </c>
      <c r="X370" s="15" t="n">
        <v>85.779</v>
      </c>
      <c r="Y370" s="15" t="n">
        <v>114.897</v>
      </c>
      <c r="Z370" s="15" t="n">
        <v>103.769</v>
      </c>
      <c r="AA370" s="15" t="n"/>
      <c r="AB370" s="16" t="n">
        <v>906</v>
      </c>
      <c r="AC370" s="17">
        <f>IF(AND(ISNUMBER(H370),ISNUMBER(I370)),H370+I370,IF(ISNUMBER(K370),K370,IF(ISNUMBER(H370),H370,"")))</f>
        <v/>
      </c>
      <c r="AD370" s="18">
        <f>IF(OR(NOT(ISNUMBER(J370)),NOT(ISNUMBER(H370)),H370&lt;=0),기준표!$B$8,MIN(MAX(J370/H370,기준표!$B$6),기준표!$B$7))</f>
        <v/>
      </c>
      <c r="AE370" s="17">
        <f>IF(ISNUMBER(AC370),AC370*(1-AD370),"")</f>
        <v/>
      </c>
      <c r="AF370" s="17">
        <f>IF(AND(NOT(ISNUMBER(T370)),NOT(ISNUMBER(V370))),"",IF(ISNUMBER(T370),T370,0)+IF(ISNUMBER(V370),V370,0))</f>
        <v/>
      </c>
      <c r="AG370" s="17">
        <f>IF(E370="금융","",IF(AND(ISNUMBER(P370),ISNUMBER(AF370),ISNUMBER(R370)),P370+AF370-R370,""))</f>
        <v/>
      </c>
      <c r="AH370" s="17">
        <f>IF(E370="금융","",IF(NOT(ISNUMBER(AG370)),"",IF(ISNUMBER(AA370),(AG370+AA370)/2,AG370)))</f>
        <v/>
      </c>
      <c r="AI370" s="19">
        <f>IF(AND(ISNUMBER(AE370),ISNUMBER(AH370),AH370&gt;0),AE370/AH370,"")</f>
        <v/>
      </c>
      <c r="AJ370" s="17">
        <f>IF(E370="금융","",IF(AND(ISNUMBER(P370),ISNUMBER(AF370)),P370+AF370,""))</f>
        <v/>
      </c>
      <c r="AK370" s="19">
        <f>IF(OR(NOT(ISNUMBER(AE370)),NOT(ISNUMBER(AJ370)),AJ370&lt;=0),"",IF(AND(ISNUMBER(G370),AJ370&lt;0.1*G370),"",AE370/AJ370))</f>
        <v/>
      </c>
      <c r="AL370" s="17">
        <f>IF(NOT(ISNUMBER(P370)),"",IF(ISNUMBER(Q370),(P370+Q370)/2,P370))</f>
        <v/>
      </c>
      <c r="AM370" s="19">
        <f>IF(AND(ISNUMBER(L370),ISNUMBER(AL370),AL370&gt;0),L370/AL370,"")</f>
        <v/>
      </c>
      <c r="AN370" s="19">
        <f>IF(AND(ISNUMBER(AM370),ISNUMBER({ROIC})),AM370-{ROIC},"")</f>
        <v/>
      </c>
      <c r="AO370" s="17">
        <f>IF(AND(ISNUMBER(AC370),ISNUMBER(M370)),AC370+M370,"")</f>
        <v/>
      </c>
      <c r="AP370" s="20">
        <f>IF(AND(ISNUMBER(AF370),ISNUMBER(R370),ISNUMBER(AO370),AO370&gt;0),(AF370-R370)/AO370,"")</f>
        <v/>
      </c>
      <c r="AQ370" s="20">
        <f>IF(AND(ISNUMBER(AC370),ISNUMBER(I370),I370&lt;&gt;0,AC370&gt;0),AC370/I370,"")</f>
        <v/>
      </c>
      <c r="AR370" s="17">
        <f>IF(AND(ISNUMBER(W370),ISNUMBER(Y370)),W370-IF(ISNUMBER(R370),R370,0)-(Y370-IF(ISNUMBER(T370),T370,0)),"")</f>
        <v/>
      </c>
      <c r="AS370" s="17">
        <f>IF(AND(ISNUMBER(X370),ISNUMBER(Z370)),X370-IF(ISNUMBER(S370),S370,0)-(Z370-IF(ISNUMBER(U370),U370,0)),"")</f>
        <v/>
      </c>
      <c r="AT370" s="17">
        <f>IF(AND(ISNUMBER(AR370),ISNUMBER(AS370)),AR370-AS370,"")</f>
        <v/>
      </c>
      <c r="AU370" s="17">
        <f>IF(E370="금융","",IF(AND(ISNUMBER(L370),ISNUMBER(M370),ISNUMBER(N370),ISNUMBER(AT370)),L370+M370-N370-AT370,IF(AND(ISNUMBER(O370),ISNUMBER(N370)),O370-N370,"")))</f>
        <v/>
      </c>
      <c r="AV370" s="8">
        <f>IF(E370="금융","금융업 - 정의되지 않음",IF(AND(ISNUMBER(L370),ISNUMBER(M370),ISNUMBER(N370),ISNUMBER(AT370)),"순이익+감가상각-설비투자-운전자본증감",IF(AND(ISNUMBER(O370),ISNUMBER(N370)),"영업현금흐름-설비투자","산출불가")))</f>
        <v/>
      </c>
      <c r="AW370" s="19">
        <f>IF(AND(ISNUMBER(AU370),ISNUMBER(G370),G370&lt;&gt;0),AU370/G370,"")</f>
        <v/>
      </c>
      <c r="AX370" s="19">
        <f>IF(AND(ISNUMBER(AC370),ISNUMBER(G370),G370&lt;&gt;0),AC370/G370,"")</f>
        <v/>
      </c>
    </row>
    <row r="371">
      <c r="A371" s="8" t="inlineStr">
        <is>
          <t>CVX</t>
        </is>
      </c>
      <c r="B371" s="8" t="inlineStr">
        <is>
          <t>CHEVRON CORP</t>
        </is>
      </c>
      <c r="C371" s="8" t="n">
        <v>2014</v>
      </c>
      <c r="D371" s="8" t="inlineStr">
        <is>
          <t>2014-12-31</t>
        </is>
      </c>
      <c r="E371" s="8" t="inlineStr">
        <is>
          <t>일반</t>
        </is>
      </c>
      <c r="F371" s="8" t="inlineStr">
        <is>
          <t>0000093410-17-000013</t>
        </is>
      </c>
      <c r="G371" s="15" t="n">
        <v>211.97</v>
      </c>
      <c r="H371" s="15" t="n">
        <v>31.202</v>
      </c>
      <c r="I371" s="15" t="n">
        <v>0</v>
      </c>
      <c r="J371" s="15" t="n">
        <v>11.892</v>
      </c>
      <c r="K371" s="15" t="n"/>
      <c r="L371" s="15" t="n">
        <v>19.241</v>
      </c>
      <c r="M371" s="15" t="n">
        <v>16.793</v>
      </c>
      <c r="N371" s="15" t="n">
        <v>35.407</v>
      </c>
      <c r="O371" s="15" t="n">
        <v>31.475</v>
      </c>
      <c r="P371" s="15" t="n">
        <v>155.028</v>
      </c>
      <c r="Q371" s="15" t="n"/>
      <c r="R371" s="15" t="n"/>
      <c r="S371" s="15" t="n"/>
      <c r="T371" s="15" t="n">
        <v>11.79</v>
      </c>
      <c r="U371" s="15" t="n"/>
      <c r="V371" s="15" t="n"/>
      <c r="W371" s="15" t="n">
        <v>42.232</v>
      </c>
      <c r="X371" s="15" t="n"/>
      <c r="Y371" s="15" t="n">
        <v>31.926</v>
      </c>
      <c r="Z371" s="15" t="n"/>
      <c r="AA371" s="15" t="n"/>
      <c r="AB371" s="16" t="n">
        <v>1898</v>
      </c>
      <c r="AC371" s="17">
        <f>IF(AND(ISNUMBER(H371),ISNUMBER(I371)),H371+I371,IF(ISNUMBER(K371),K371,IF(ISNUMBER(H371),H371,"")))</f>
        <v/>
      </c>
      <c r="AD371" s="18">
        <f>IF(OR(NOT(ISNUMBER(J371)),NOT(ISNUMBER(H371)),H371&lt;=0),기준표!$B$8,MIN(MAX(J371/H371,기준표!$B$6),기준표!$B$7))</f>
        <v/>
      </c>
      <c r="AE371" s="17">
        <f>IF(ISNUMBER(AC371),AC371*(1-AD371),"")</f>
        <v/>
      </c>
      <c r="AF371" s="17">
        <f>IF(AND(NOT(ISNUMBER(T371)),NOT(ISNUMBER(V371))),"",IF(ISNUMBER(T371),T371,0)+IF(ISNUMBER(V371),V371,0))</f>
        <v/>
      </c>
      <c r="AG371" s="17">
        <f>IF(E371="금융","",IF(AND(ISNUMBER(P371),ISNUMBER(AF371),ISNUMBER(R371)),P371+AF371-R371,""))</f>
        <v/>
      </c>
      <c r="AH371" s="17">
        <f>IF(E371="금융","",IF(NOT(ISNUMBER(AG371)),"",IF(ISNUMBER(AA371),(AG371+AA371)/2,AG371)))</f>
        <v/>
      </c>
      <c r="AI371" s="19">
        <f>IF(AND(ISNUMBER(AE371),ISNUMBER(AH371),AH371&gt;0),AE371/AH371,"")</f>
        <v/>
      </c>
      <c r="AJ371" s="17">
        <f>IF(E371="금융","",IF(AND(ISNUMBER(P371),ISNUMBER(AF371)),P371+AF371,""))</f>
        <v/>
      </c>
      <c r="AK371" s="19">
        <f>IF(OR(NOT(ISNUMBER(AE371)),NOT(ISNUMBER(AJ371)),AJ371&lt;=0),"",IF(AND(ISNUMBER(G371),AJ371&lt;0.1*G371),"",AE371/AJ371))</f>
        <v/>
      </c>
      <c r="AL371" s="17">
        <f>IF(NOT(ISNUMBER(P371)),"",IF(ISNUMBER(Q371),(P371+Q371)/2,P371))</f>
        <v/>
      </c>
      <c r="AM371" s="19">
        <f>IF(AND(ISNUMBER(L371),ISNUMBER(AL371),AL371&gt;0),L371/AL371,"")</f>
        <v/>
      </c>
      <c r="AN371" s="19">
        <f>IF(AND(ISNUMBER(AM371),ISNUMBER({ROIC})),AM371-{ROIC},"")</f>
        <v/>
      </c>
      <c r="AO371" s="17">
        <f>IF(AND(ISNUMBER(AC371),ISNUMBER(M371)),AC371+M371,"")</f>
        <v/>
      </c>
      <c r="AP371" s="20">
        <f>IF(AND(ISNUMBER(AF371),ISNUMBER(R371),ISNUMBER(AO371),AO371&gt;0),(AF371-R371)/AO371,"")</f>
        <v/>
      </c>
      <c r="AQ371" s="20">
        <f>IF(AND(ISNUMBER(AC371),ISNUMBER(I371),I371&lt;&gt;0,AC371&gt;0),AC371/I371,"")</f>
        <v/>
      </c>
      <c r="AR371" s="17">
        <f>IF(AND(ISNUMBER(W371),ISNUMBER(Y371)),W371-IF(ISNUMBER(R371),R371,0)-(Y371-IF(ISNUMBER(T371),T371,0)),"")</f>
        <v/>
      </c>
      <c r="AS371" s="17">
        <f>IF(AND(ISNUMBER(X371),ISNUMBER(Z371)),X371-IF(ISNUMBER(S371),S371,0)-(Z371-IF(ISNUMBER(U371),U371,0)),"")</f>
        <v/>
      </c>
      <c r="AT371" s="17">
        <f>IF(AND(ISNUMBER(AR371),ISNUMBER(AS371)),AR371-AS371,"")</f>
        <v/>
      </c>
      <c r="AU371" s="17">
        <f>IF(E371="금융","",IF(AND(ISNUMBER(L371),ISNUMBER(M371),ISNUMBER(N371),ISNUMBER(AT371)),L371+M371-N371-AT371,IF(AND(ISNUMBER(O371),ISNUMBER(N371)),O371-N371,"")))</f>
        <v/>
      </c>
      <c r="AV371" s="8">
        <f>IF(E371="금융","금융업 - 정의되지 않음",IF(AND(ISNUMBER(L371),ISNUMBER(M371),ISNUMBER(N371),ISNUMBER(AT371)),"순이익+감가상각-설비투자-운전자본증감",IF(AND(ISNUMBER(O371),ISNUMBER(N371)),"영업현금흐름-설비투자","산출불가")))</f>
        <v/>
      </c>
      <c r="AW371" s="19">
        <f>IF(AND(ISNUMBER(AU371),ISNUMBER(G371),G371&lt;&gt;0),AU371/G371,"")</f>
        <v/>
      </c>
      <c r="AX371" s="19">
        <f>IF(AND(ISNUMBER(AC371),ISNUMBER(G371),G371&lt;&gt;0),AC371/G371,"")</f>
        <v/>
      </c>
    </row>
    <row r="372">
      <c r="A372" s="8" t="inlineStr">
        <is>
          <t>CVX</t>
        </is>
      </c>
      <c r="B372" s="8" t="inlineStr">
        <is>
          <t>CHEVRON CORP</t>
        </is>
      </c>
      <c r="C372" s="8" t="n">
        <v>2015</v>
      </c>
      <c r="D372" s="8" t="inlineStr">
        <is>
          <t>2015-12-31</t>
        </is>
      </c>
      <c r="E372" s="8" t="inlineStr">
        <is>
          <t>일반</t>
        </is>
      </c>
      <c r="F372" s="8" t="inlineStr">
        <is>
          <t>0000093410-18-000010</t>
        </is>
      </c>
      <c r="G372" s="15" t="n">
        <v>138.477</v>
      </c>
      <c r="H372" s="15" t="n">
        <v>4.842</v>
      </c>
      <c r="I372" s="15" t="n">
        <v>0</v>
      </c>
      <c r="J372" s="15" t="n">
        <v>0.132</v>
      </c>
      <c r="K372" s="15" t="n"/>
      <c r="L372" s="15" t="n">
        <v>4.587</v>
      </c>
      <c r="M372" s="15" t="n">
        <v>21.037</v>
      </c>
      <c r="N372" s="15" t="n">
        <v>29.504</v>
      </c>
      <c r="O372" s="15" t="n">
        <v>19.456</v>
      </c>
      <c r="P372" s="15" t="n">
        <v>152.716</v>
      </c>
      <c r="Q372" s="15" t="n">
        <v>155.028</v>
      </c>
      <c r="R372" s="15" t="n">
        <v>12.432</v>
      </c>
      <c r="S372" s="15" t="n"/>
      <c r="T372" s="15" t="n">
        <v>12.927</v>
      </c>
      <c r="U372" s="15" t="n">
        <v>11.79</v>
      </c>
      <c r="V372" s="15" t="n"/>
      <c r="W372" s="15" t="n">
        <v>34.43</v>
      </c>
      <c r="X372" s="15" t="n">
        <v>42.232</v>
      </c>
      <c r="Y372" s="15" t="n">
        <v>25.467</v>
      </c>
      <c r="Z372" s="15" t="n">
        <v>31.926</v>
      </c>
      <c r="AA372" s="15" t="n"/>
      <c r="AB372" s="16" t="n">
        <v>1875</v>
      </c>
      <c r="AC372" s="17">
        <f>IF(AND(ISNUMBER(H372),ISNUMBER(I372)),H372+I372,IF(ISNUMBER(K372),K372,IF(ISNUMBER(H372),H372,"")))</f>
        <v/>
      </c>
      <c r="AD372" s="18">
        <f>IF(OR(NOT(ISNUMBER(J372)),NOT(ISNUMBER(H372)),H372&lt;=0),기준표!$B$8,MIN(MAX(J372/H372,기준표!$B$6),기준표!$B$7))</f>
        <v/>
      </c>
      <c r="AE372" s="17">
        <f>IF(ISNUMBER(AC372),AC372*(1-AD372),"")</f>
        <v/>
      </c>
      <c r="AF372" s="17">
        <f>IF(AND(NOT(ISNUMBER(T372)),NOT(ISNUMBER(V372))),"",IF(ISNUMBER(T372),T372,0)+IF(ISNUMBER(V372),V372,0))</f>
        <v/>
      </c>
      <c r="AG372" s="17">
        <f>IF(E372="금융","",IF(AND(ISNUMBER(P372),ISNUMBER(AF372),ISNUMBER(R372)),P372+AF372-R372,""))</f>
        <v/>
      </c>
      <c r="AH372" s="17">
        <f>IF(E372="금융","",IF(NOT(ISNUMBER(AG372)),"",IF(ISNUMBER(AA372),(AG372+AA372)/2,AG372)))</f>
        <v/>
      </c>
      <c r="AI372" s="19">
        <f>IF(AND(ISNUMBER(AE372),ISNUMBER(AH372),AH372&gt;0),AE372/AH372,"")</f>
        <v/>
      </c>
      <c r="AJ372" s="17">
        <f>IF(E372="금융","",IF(AND(ISNUMBER(P372),ISNUMBER(AF372)),P372+AF372,""))</f>
        <v/>
      </c>
      <c r="AK372" s="19">
        <f>IF(OR(NOT(ISNUMBER(AE372)),NOT(ISNUMBER(AJ372)),AJ372&lt;=0),"",IF(AND(ISNUMBER(G372),AJ372&lt;0.1*G372),"",AE372/AJ372))</f>
        <v/>
      </c>
      <c r="AL372" s="17">
        <f>IF(NOT(ISNUMBER(P372)),"",IF(ISNUMBER(Q372),(P372+Q372)/2,P372))</f>
        <v/>
      </c>
      <c r="AM372" s="19">
        <f>IF(AND(ISNUMBER(L372),ISNUMBER(AL372),AL372&gt;0),L372/AL372,"")</f>
        <v/>
      </c>
      <c r="AN372" s="19">
        <f>IF(AND(ISNUMBER(AM372),ISNUMBER({ROIC})),AM372-{ROIC},"")</f>
        <v/>
      </c>
      <c r="AO372" s="17">
        <f>IF(AND(ISNUMBER(AC372),ISNUMBER(M372)),AC372+M372,"")</f>
        <v/>
      </c>
      <c r="AP372" s="20">
        <f>IF(AND(ISNUMBER(AF372),ISNUMBER(R372),ISNUMBER(AO372),AO372&gt;0),(AF372-R372)/AO372,"")</f>
        <v/>
      </c>
      <c r="AQ372" s="20">
        <f>IF(AND(ISNUMBER(AC372),ISNUMBER(I372),I372&lt;&gt;0,AC372&gt;0),AC372/I372,"")</f>
        <v/>
      </c>
      <c r="AR372" s="17">
        <f>IF(AND(ISNUMBER(W372),ISNUMBER(Y372)),W372-IF(ISNUMBER(R372),R372,0)-(Y372-IF(ISNUMBER(T372),T372,0)),"")</f>
        <v/>
      </c>
      <c r="AS372" s="17">
        <f>IF(AND(ISNUMBER(X372),ISNUMBER(Z372)),X372-IF(ISNUMBER(S372),S372,0)-(Z372-IF(ISNUMBER(U372),U372,0)),"")</f>
        <v/>
      </c>
      <c r="AT372" s="17">
        <f>IF(AND(ISNUMBER(AR372),ISNUMBER(AS372)),AR372-AS372,"")</f>
        <v/>
      </c>
      <c r="AU372" s="17">
        <f>IF(E372="금융","",IF(AND(ISNUMBER(L372),ISNUMBER(M372),ISNUMBER(N372),ISNUMBER(AT372)),L372+M372-N372-AT372,IF(AND(ISNUMBER(O372),ISNUMBER(N372)),O372-N372,"")))</f>
        <v/>
      </c>
      <c r="AV372" s="8">
        <f>IF(E372="금융","금융업 - 정의되지 않음",IF(AND(ISNUMBER(L372),ISNUMBER(M372),ISNUMBER(N372),ISNUMBER(AT372)),"순이익+감가상각-설비투자-운전자본증감",IF(AND(ISNUMBER(O372),ISNUMBER(N372)),"영업현금흐름-설비투자","산출불가")))</f>
        <v/>
      </c>
      <c r="AW372" s="19">
        <f>IF(AND(ISNUMBER(AU372),ISNUMBER(G372),G372&lt;&gt;0),AU372/G372,"")</f>
        <v/>
      </c>
      <c r="AX372" s="19">
        <f>IF(AND(ISNUMBER(AC372),ISNUMBER(G372),G372&lt;&gt;0),AC372/G372,"")</f>
        <v/>
      </c>
    </row>
    <row r="373">
      <c r="A373" s="8" t="inlineStr">
        <is>
          <t>CVX</t>
        </is>
      </c>
      <c r="B373" s="8" t="inlineStr">
        <is>
          <t>CHEVRON CORP</t>
        </is>
      </c>
      <c r="C373" s="8" t="n">
        <v>2016</v>
      </c>
      <c r="D373" s="8" t="inlineStr">
        <is>
          <t>2016-12-31</t>
        </is>
      </c>
      <c r="E373" s="8" t="inlineStr">
        <is>
          <t>일반</t>
        </is>
      </c>
      <c r="F373" s="8" t="inlineStr">
        <is>
          <t>0000093410-19-000008</t>
        </is>
      </c>
      <c r="G373" s="15" t="n">
        <v>114.472</v>
      </c>
      <c r="H373" s="15" t="n">
        <v>-2.16</v>
      </c>
      <c r="I373" s="15" t="n">
        <v>0.201</v>
      </c>
      <c r="J373" s="15" t="n">
        <v>-1.729</v>
      </c>
      <c r="K373" s="15" t="n"/>
      <c r="L373" s="15" t="n">
        <v>-0.497</v>
      </c>
      <c r="M373" s="15" t="n">
        <v>19.457</v>
      </c>
      <c r="N373" s="15" t="n">
        <v>18.109</v>
      </c>
      <c r="O373" s="15" t="n">
        <v>12.69</v>
      </c>
      <c r="P373" s="15" t="n">
        <v>145.556</v>
      </c>
      <c r="Q373" s="15" t="n">
        <v>152.716</v>
      </c>
      <c r="R373" s="15" t="n">
        <v>8.427</v>
      </c>
      <c r="S373" s="15" t="n">
        <v>12.432</v>
      </c>
      <c r="T373" s="15" t="n">
        <v>19.84</v>
      </c>
      <c r="U373" s="15" t="n">
        <v>12.927</v>
      </c>
      <c r="V373" s="15" t="n"/>
      <c r="W373" s="15" t="n">
        <v>29.619</v>
      </c>
      <c r="X373" s="15" t="n">
        <v>34.43</v>
      </c>
      <c r="Y373" s="15" t="n">
        <v>31.785</v>
      </c>
      <c r="Z373" s="15" t="n">
        <v>25.467</v>
      </c>
      <c r="AA373" s="15" t="n">
        <v>153.211</v>
      </c>
      <c r="AB373" s="16" t="n">
        <v>1873</v>
      </c>
      <c r="AC373" s="17">
        <f>IF(AND(ISNUMBER(H373),ISNUMBER(I373)),H373+I373,IF(ISNUMBER(K373),K373,IF(ISNUMBER(H373),H373,"")))</f>
        <v/>
      </c>
      <c r="AD373" s="18">
        <f>IF(OR(NOT(ISNUMBER(J373)),NOT(ISNUMBER(H373)),H373&lt;=0),기준표!$B$8,MIN(MAX(J373/H373,기준표!$B$6),기준표!$B$7))</f>
        <v/>
      </c>
      <c r="AE373" s="17">
        <f>IF(ISNUMBER(AC373),AC373*(1-AD373),"")</f>
        <v/>
      </c>
      <c r="AF373" s="17">
        <f>IF(AND(NOT(ISNUMBER(T373)),NOT(ISNUMBER(V373))),"",IF(ISNUMBER(T373),T373,0)+IF(ISNUMBER(V373),V373,0))</f>
        <v/>
      </c>
      <c r="AG373" s="17">
        <f>IF(E373="금융","",IF(AND(ISNUMBER(P373),ISNUMBER(AF373),ISNUMBER(R373)),P373+AF373-R373,""))</f>
        <v/>
      </c>
      <c r="AH373" s="17">
        <f>IF(E373="금융","",IF(NOT(ISNUMBER(AG373)),"",IF(ISNUMBER(AA373),(AG373+AA373)/2,AG373)))</f>
        <v/>
      </c>
      <c r="AI373" s="19">
        <f>IF(AND(ISNUMBER(AE373),ISNUMBER(AH373),AH373&gt;0),AE373/AH373,"")</f>
        <v/>
      </c>
      <c r="AJ373" s="17">
        <f>IF(E373="금융","",IF(AND(ISNUMBER(P373),ISNUMBER(AF373)),P373+AF373,""))</f>
        <v/>
      </c>
      <c r="AK373" s="19">
        <f>IF(OR(NOT(ISNUMBER(AE373)),NOT(ISNUMBER(AJ373)),AJ373&lt;=0),"",IF(AND(ISNUMBER(G373),AJ373&lt;0.1*G373),"",AE373/AJ373))</f>
        <v/>
      </c>
      <c r="AL373" s="17">
        <f>IF(NOT(ISNUMBER(P373)),"",IF(ISNUMBER(Q373),(P373+Q373)/2,P373))</f>
        <v/>
      </c>
      <c r="AM373" s="19">
        <f>IF(AND(ISNUMBER(L373),ISNUMBER(AL373),AL373&gt;0),L373/AL373,"")</f>
        <v/>
      </c>
      <c r="AN373" s="19">
        <f>IF(AND(ISNUMBER(AM373),ISNUMBER({ROIC})),AM373-{ROIC},"")</f>
        <v/>
      </c>
      <c r="AO373" s="17">
        <f>IF(AND(ISNUMBER(AC373),ISNUMBER(M373)),AC373+M373,"")</f>
        <v/>
      </c>
      <c r="AP373" s="20">
        <f>IF(AND(ISNUMBER(AF373),ISNUMBER(R373),ISNUMBER(AO373),AO373&gt;0),(AF373-R373)/AO373,"")</f>
        <v/>
      </c>
      <c r="AQ373" s="20">
        <f>IF(AND(ISNUMBER(AC373),ISNUMBER(I373),I373&lt;&gt;0,AC373&gt;0),AC373/I373,"")</f>
        <v/>
      </c>
      <c r="AR373" s="17">
        <f>IF(AND(ISNUMBER(W373),ISNUMBER(Y373)),W373-IF(ISNUMBER(R373),R373,0)-(Y373-IF(ISNUMBER(T373),T373,0)),"")</f>
        <v/>
      </c>
      <c r="AS373" s="17">
        <f>IF(AND(ISNUMBER(X373),ISNUMBER(Z373)),X373-IF(ISNUMBER(S373),S373,0)-(Z373-IF(ISNUMBER(U373),U373,0)),"")</f>
        <v/>
      </c>
      <c r="AT373" s="17">
        <f>IF(AND(ISNUMBER(AR373),ISNUMBER(AS373)),AR373-AS373,"")</f>
        <v/>
      </c>
      <c r="AU373" s="17">
        <f>IF(E373="금융","",IF(AND(ISNUMBER(L373),ISNUMBER(M373),ISNUMBER(N373),ISNUMBER(AT373)),L373+M373-N373-AT373,IF(AND(ISNUMBER(O373),ISNUMBER(N373)),O373-N373,"")))</f>
        <v/>
      </c>
      <c r="AV373" s="8">
        <f>IF(E373="금융","금융업 - 정의되지 않음",IF(AND(ISNUMBER(L373),ISNUMBER(M373),ISNUMBER(N373),ISNUMBER(AT373)),"순이익+감가상각-설비투자-운전자본증감",IF(AND(ISNUMBER(O373),ISNUMBER(N373)),"영업현금흐름-설비투자","산출불가")))</f>
        <v/>
      </c>
      <c r="AW373" s="19">
        <f>IF(AND(ISNUMBER(AU373),ISNUMBER(G373),G373&lt;&gt;0),AU373/G373,"")</f>
        <v/>
      </c>
      <c r="AX373" s="19">
        <f>IF(AND(ISNUMBER(AC373),ISNUMBER(G373),G373&lt;&gt;0),AC373/G373,"")</f>
        <v/>
      </c>
    </row>
    <row r="374">
      <c r="A374" s="8" t="inlineStr">
        <is>
          <t>CVX</t>
        </is>
      </c>
      <c r="B374" s="8" t="inlineStr">
        <is>
          <t>CHEVRON CORP</t>
        </is>
      </c>
      <c r="C374" s="8" t="n">
        <v>2017</v>
      </c>
      <c r="D374" s="8" t="inlineStr">
        <is>
          <t>2017-12-31</t>
        </is>
      </c>
      <c r="E374" s="8" t="inlineStr">
        <is>
          <t>일반</t>
        </is>
      </c>
      <c r="F374" s="8" t="inlineStr">
        <is>
          <t>0000093410-20-000010</t>
        </is>
      </c>
      <c r="G374" s="15" t="n">
        <v>141.722</v>
      </c>
      <c r="H374" s="15" t="n">
        <v>9.221</v>
      </c>
      <c r="I374" s="15" t="n">
        <v>0.307</v>
      </c>
      <c r="J374" s="15" t="n">
        <v>-0.048</v>
      </c>
      <c r="K374" s="15" t="n"/>
      <c r="L374" s="15" t="n">
        <v>9.195</v>
      </c>
      <c r="M374" s="15" t="n">
        <v>19.349</v>
      </c>
      <c r="N374" s="15" t="n">
        <v>13.404</v>
      </c>
      <c r="O374" s="15" t="n">
        <v>20.338</v>
      </c>
      <c r="P374" s="15" t="n">
        <v>148.124</v>
      </c>
      <c r="Q374" s="15" t="n">
        <v>145.556</v>
      </c>
      <c r="R374" s="15" t="n">
        <v>5.952</v>
      </c>
      <c r="S374" s="15" t="n">
        <v>8.427</v>
      </c>
      <c r="T374" s="15" t="n">
        <v>15.192</v>
      </c>
      <c r="U374" s="15" t="n">
        <v>19.84</v>
      </c>
      <c r="V374" s="15" t="n"/>
      <c r="W374" s="15" t="n">
        <v>28.56</v>
      </c>
      <c r="X374" s="15" t="n">
        <v>29.619</v>
      </c>
      <c r="Y374" s="15" t="n">
        <v>27.737</v>
      </c>
      <c r="Z374" s="15" t="n">
        <v>31.785</v>
      </c>
      <c r="AA374" s="15" t="n">
        <v>156.969</v>
      </c>
      <c r="AB374" s="16" t="n">
        <v>1898</v>
      </c>
      <c r="AC374" s="17">
        <f>IF(AND(ISNUMBER(H374),ISNUMBER(I374)),H374+I374,IF(ISNUMBER(K374),K374,IF(ISNUMBER(H374),H374,"")))</f>
        <v/>
      </c>
      <c r="AD374" s="18">
        <f>IF(OR(NOT(ISNUMBER(J374)),NOT(ISNUMBER(H374)),H374&lt;=0),기준표!$B$8,MIN(MAX(J374/H374,기준표!$B$6),기준표!$B$7))</f>
        <v/>
      </c>
      <c r="AE374" s="17">
        <f>IF(ISNUMBER(AC374),AC374*(1-AD374),"")</f>
        <v/>
      </c>
      <c r="AF374" s="17">
        <f>IF(AND(NOT(ISNUMBER(T374)),NOT(ISNUMBER(V374))),"",IF(ISNUMBER(T374),T374,0)+IF(ISNUMBER(V374),V374,0))</f>
        <v/>
      </c>
      <c r="AG374" s="17">
        <f>IF(E374="금융","",IF(AND(ISNUMBER(P374),ISNUMBER(AF374),ISNUMBER(R374)),P374+AF374-R374,""))</f>
        <v/>
      </c>
      <c r="AH374" s="17">
        <f>IF(E374="금융","",IF(NOT(ISNUMBER(AG374)),"",IF(ISNUMBER(AA374),(AG374+AA374)/2,AG374)))</f>
        <v/>
      </c>
      <c r="AI374" s="19">
        <f>IF(AND(ISNUMBER(AE374),ISNUMBER(AH374),AH374&gt;0),AE374/AH374,"")</f>
        <v/>
      </c>
      <c r="AJ374" s="17">
        <f>IF(E374="금융","",IF(AND(ISNUMBER(P374),ISNUMBER(AF374)),P374+AF374,""))</f>
        <v/>
      </c>
      <c r="AK374" s="19">
        <f>IF(OR(NOT(ISNUMBER(AE374)),NOT(ISNUMBER(AJ374)),AJ374&lt;=0),"",IF(AND(ISNUMBER(G374),AJ374&lt;0.1*G374),"",AE374/AJ374))</f>
        <v/>
      </c>
      <c r="AL374" s="17">
        <f>IF(NOT(ISNUMBER(P374)),"",IF(ISNUMBER(Q374),(P374+Q374)/2,P374))</f>
        <v/>
      </c>
      <c r="AM374" s="19">
        <f>IF(AND(ISNUMBER(L374),ISNUMBER(AL374),AL374&gt;0),L374/AL374,"")</f>
        <v/>
      </c>
      <c r="AN374" s="19">
        <f>IF(AND(ISNUMBER(AM374),ISNUMBER({ROIC})),AM374-{ROIC},"")</f>
        <v/>
      </c>
      <c r="AO374" s="17">
        <f>IF(AND(ISNUMBER(AC374),ISNUMBER(M374)),AC374+M374,"")</f>
        <v/>
      </c>
      <c r="AP374" s="20">
        <f>IF(AND(ISNUMBER(AF374),ISNUMBER(R374),ISNUMBER(AO374),AO374&gt;0),(AF374-R374)/AO374,"")</f>
        <v/>
      </c>
      <c r="AQ374" s="20">
        <f>IF(AND(ISNUMBER(AC374),ISNUMBER(I374),I374&lt;&gt;0,AC374&gt;0),AC374/I374,"")</f>
        <v/>
      </c>
      <c r="AR374" s="17">
        <f>IF(AND(ISNUMBER(W374),ISNUMBER(Y374)),W374-IF(ISNUMBER(R374),R374,0)-(Y374-IF(ISNUMBER(T374),T374,0)),"")</f>
        <v/>
      </c>
      <c r="AS374" s="17">
        <f>IF(AND(ISNUMBER(X374),ISNUMBER(Z374)),X374-IF(ISNUMBER(S374),S374,0)-(Z374-IF(ISNUMBER(U374),U374,0)),"")</f>
        <v/>
      </c>
      <c r="AT374" s="17">
        <f>IF(AND(ISNUMBER(AR374),ISNUMBER(AS374)),AR374-AS374,"")</f>
        <v/>
      </c>
      <c r="AU374" s="17">
        <f>IF(E374="금융","",IF(AND(ISNUMBER(L374),ISNUMBER(M374),ISNUMBER(N374),ISNUMBER(AT374)),L374+M374-N374-AT374,IF(AND(ISNUMBER(O374),ISNUMBER(N374)),O374-N374,"")))</f>
        <v/>
      </c>
      <c r="AV374" s="8">
        <f>IF(E374="금융","금융업 - 정의되지 않음",IF(AND(ISNUMBER(L374),ISNUMBER(M374),ISNUMBER(N374),ISNUMBER(AT374)),"순이익+감가상각-설비투자-운전자본증감",IF(AND(ISNUMBER(O374),ISNUMBER(N374)),"영업현금흐름-설비투자","산출불가")))</f>
        <v/>
      </c>
      <c r="AW374" s="19">
        <f>IF(AND(ISNUMBER(AU374),ISNUMBER(G374),G374&lt;&gt;0),AU374/G374,"")</f>
        <v/>
      </c>
      <c r="AX374" s="19">
        <f>IF(AND(ISNUMBER(AC374),ISNUMBER(G374),G374&lt;&gt;0),AC374/G374,"")</f>
        <v/>
      </c>
    </row>
    <row r="375">
      <c r="A375" s="8" t="inlineStr">
        <is>
          <t>CVX</t>
        </is>
      </c>
      <c r="B375" s="8" t="inlineStr">
        <is>
          <t>CHEVRON CORP</t>
        </is>
      </c>
      <c r="C375" s="8" t="n">
        <v>2018</v>
      </c>
      <c r="D375" s="8" t="inlineStr">
        <is>
          <t>2018-12-31</t>
        </is>
      </c>
      <c r="E375" s="8" t="inlineStr">
        <is>
          <t>일반</t>
        </is>
      </c>
      <c r="F375" s="8" t="inlineStr">
        <is>
          <t>0000093410-21-000009</t>
        </is>
      </c>
      <c r="G375" s="15" t="n">
        <v>166.339</v>
      </c>
      <c r="H375" s="15" t="n">
        <v>20.575</v>
      </c>
      <c r="I375" s="15" t="n">
        <v>0.748</v>
      </c>
      <c r="J375" s="15" t="n">
        <v>5.715</v>
      </c>
      <c r="K375" s="15" t="n"/>
      <c r="L375" s="15" t="n">
        <v>14.824</v>
      </c>
      <c r="M375" s="15" t="n">
        <v>19.419</v>
      </c>
      <c r="N375" s="15" t="n">
        <v>13.792</v>
      </c>
      <c r="O375" s="15" t="n">
        <v>30.618</v>
      </c>
      <c r="P375" s="15" t="n">
        <v>154.554</v>
      </c>
      <c r="Q375" s="15" t="n">
        <v>148.124</v>
      </c>
      <c r="R375" s="15" t="n">
        <v>10.534</v>
      </c>
      <c r="S375" s="15" t="n">
        <v>5.952</v>
      </c>
      <c r="T375" s="15" t="n">
        <v>15.626</v>
      </c>
      <c r="U375" s="15" t="n">
        <v>15.192</v>
      </c>
      <c r="V375" s="15" t="n">
        <v>28.733</v>
      </c>
      <c r="W375" s="15" t="n">
        <v>34.021</v>
      </c>
      <c r="X375" s="15" t="n">
        <v>28.56</v>
      </c>
      <c r="Y375" s="15" t="n">
        <v>27.171</v>
      </c>
      <c r="Z375" s="15" t="n">
        <v>27.737</v>
      </c>
      <c r="AA375" s="15" t="n">
        <v>157.364</v>
      </c>
      <c r="AB375" s="16" t="n">
        <v>1914</v>
      </c>
      <c r="AC375" s="17">
        <f>IF(AND(ISNUMBER(H375),ISNUMBER(I375)),H375+I375,IF(ISNUMBER(K375),K375,IF(ISNUMBER(H375),H375,"")))</f>
        <v/>
      </c>
      <c r="AD375" s="18">
        <f>IF(OR(NOT(ISNUMBER(J375)),NOT(ISNUMBER(H375)),H375&lt;=0),기준표!$B$8,MIN(MAX(J375/H375,기준표!$B$6),기준표!$B$7))</f>
        <v/>
      </c>
      <c r="AE375" s="17">
        <f>IF(ISNUMBER(AC375),AC375*(1-AD375),"")</f>
        <v/>
      </c>
      <c r="AF375" s="17">
        <f>IF(AND(NOT(ISNUMBER(T375)),NOT(ISNUMBER(V375))),"",IF(ISNUMBER(T375),T375,0)+IF(ISNUMBER(V375),V375,0))</f>
        <v/>
      </c>
      <c r="AG375" s="17">
        <f>IF(E375="금융","",IF(AND(ISNUMBER(P375),ISNUMBER(AF375),ISNUMBER(R375)),P375+AF375-R375,""))</f>
        <v/>
      </c>
      <c r="AH375" s="17">
        <f>IF(E375="금융","",IF(NOT(ISNUMBER(AG375)),"",IF(ISNUMBER(AA375),(AG375+AA375)/2,AG375)))</f>
        <v/>
      </c>
      <c r="AI375" s="19">
        <f>IF(AND(ISNUMBER(AE375),ISNUMBER(AH375),AH375&gt;0),AE375/AH375,"")</f>
        <v/>
      </c>
      <c r="AJ375" s="17">
        <f>IF(E375="금융","",IF(AND(ISNUMBER(P375),ISNUMBER(AF375)),P375+AF375,""))</f>
        <v/>
      </c>
      <c r="AK375" s="19">
        <f>IF(OR(NOT(ISNUMBER(AE375)),NOT(ISNUMBER(AJ375)),AJ375&lt;=0),"",IF(AND(ISNUMBER(G375),AJ375&lt;0.1*G375),"",AE375/AJ375))</f>
        <v/>
      </c>
      <c r="AL375" s="17">
        <f>IF(NOT(ISNUMBER(P375)),"",IF(ISNUMBER(Q375),(P375+Q375)/2,P375))</f>
        <v/>
      </c>
      <c r="AM375" s="19">
        <f>IF(AND(ISNUMBER(L375),ISNUMBER(AL375),AL375&gt;0),L375/AL375,"")</f>
        <v/>
      </c>
      <c r="AN375" s="19">
        <f>IF(AND(ISNUMBER(AM375),ISNUMBER({ROIC})),AM375-{ROIC},"")</f>
        <v/>
      </c>
      <c r="AO375" s="17">
        <f>IF(AND(ISNUMBER(AC375),ISNUMBER(M375)),AC375+M375,"")</f>
        <v/>
      </c>
      <c r="AP375" s="20">
        <f>IF(AND(ISNUMBER(AF375),ISNUMBER(R375),ISNUMBER(AO375),AO375&gt;0),(AF375-R375)/AO375,"")</f>
        <v/>
      </c>
      <c r="AQ375" s="20">
        <f>IF(AND(ISNUMBER(AC375),ISNUMBER(I375),I375&lt;&gt;0,AC375&gt;0),AC375/I375,"")</f>
        <v/>
      </c>
      <c r="AR375" s="17">
        <f>IF(AND(ISNUMBER(W375),ISNUMBER(Y375)),W375-IF(ISNUMBER(R375),R375,0)-(Y375-IF(ISNUMBER(T375),T375,0)),"")</f>
        <v/>
      </c>
      <c r="AS375" s="17">
        <f>IF(AND(ISNUMBER(X375),ISNUMBER(Z375)),X375-IF(ISNUMBER(S375),S375,0)-(Z375-IF(ISNUMBER(U375),U375,0)),"")</f>
        <v/>
      </c>
      <c r="AT375" s="17">
        <f>IF(AND(ISNUMBER(AR375),ISNUMBER(AS375)),AR375-AS375,"")</f>
        <v/>
      </c>
      <c r="AU375" s="17">
        <f>IF(E375="금융","",IF(AND(ISNUMBER(L375),ISNUMBER(M375),ISNUMBER(N375),ISNUMBER(AT375)),L375+M375-N375-AT375,IF(AND(ISNUMBER(O375),ISNUMBER(N375)),O375-N375,"")))</f>
        <v/>
      </c>
      <c r="AV375" s="8">
        <f>IF(E375="금융","금융업 - 정의되지 않음",IF(AND(ISNUMBER(L375),ISNUMBER(M375),ISNUMBER(N375),ISNUMBER(AT375)),"순이익+감가상각-설비투자-운전자본증감",IF(AND(ISNUMBER(O375),ISNUMBER(N375)),"영업현금흐름-설비투자","산출불가")))</f>
        <v/>
      </c>
      <c r="AW375" s="19">
        <f>IF(AND(ISNUMBER(AU375),ISNUMBER(G375),G375&lt;&gt;0),AU375/G375,"")</f>
        <v/>
      </c>
      <c r="AX375" s="19">
        <f>IF(AND(ISNUMBER(AC375),ISNUMBER(G375),G375&lt;&gt;0),AC375/G375,"")</f>
        <v/>
      </c>
    </row>
    <row r="376">
      <c r="A376" s="8" t="inlineStr">
        <is>
          <t>CVX</t>
        </is>
      </c>
      <c r="B376" s="8" t="inlineStr">
        <is>
          <t>CHEVRON CORP</t>
        </is>
      </c>
      <c r="C376" s="8" t="n">
        <v>2019</v>
      </c>
      <c r="D376" s="8" t="inlineStr">
        <is>
          <t>2019-12-31</t>
        </is>
      </c>
      <c r="E376" s="8" t="inlineStr">
        <is>
          <t>일반</t>
        </is>
      </c>
      <c r="F376" s="8" t="inlineStr">
        <is>
          <t>0000093410-22-000019</t>
        </is>
      </c>
      <c r="G376" s="15" t="n">
        <v>146.516</v>
      </c>
      <c r="H376" s="15" t="n">
        <v>5.536</v>
      </c>
      <c r="I376" s="15" t="n">
        <v>0.798</v>
      </c>
      <c r="J376" s="15" t="n">
        <v>2.691</v>
      </c>
      <c r="K376" s="15" t="n"/>
      <c r="L376" s="15" t="n">
        <v>2.924</v>
      </c>
      <c r="M376" s="15" t="n">
        <v>29.218</v>
      </c>
      <c r="N376" s="15" t="n">
        <v>14.116</v>
      </c>
      <c r="O376" s="15" t="n">
        <v>27.314</v>
      </c>
      <c r="P376" s="15" t="n">
        <v>144.213</v>
      </c>
      <c r="Q376" s="15" t="n">
        <v>154.554</v>
      </c>
      <c r="R376" s="15" t="n">
        <v>6.974</v>
      </c>
      <c r="S376" s="15" t="n">
        <v>10.534</v>
      </c>
      <c r="T376" s="15" t="n">
        <v>13.032</v>
      </c>
      <c r="U376" s="15" t="n">
        <v>15.626</v>
      </c>
      <c r="V376" s="15" t="n">
        <v>23.691</v>
      </c>
      <c r="W376" s="15" t="n">
        <v>28.329</v>
      </c>
      <c r="X376" s="15" t="n">
        <v>34.021</v>
      </c>
      <c r="Y376" s="15" t="n">
        <v>26.53</v>
      </c>
      <c r="Z376" s="15" t="n">
        <v>27.171</v>
      </c>
      <c r="AA376" s="15" t="n">
        <v>188.379</v>
      </c>
      <c r="AB376" s="16" t="n">
        <v>1895</v>
      </c>
      <c r="AC376" s="17">
        <f>IF(AND(ISNUMBER(H376),ISNUMBER(I376)),H376+I376,IF(ISNUMBER(K376),K376,IF(ISNUMBER(H376),H376,"")))</f>
        <v/>
      </c>
      <c r="AD376" s="18">
        <f>IF(OR(NOT(ISNUMBER(J376)),NOT(ISNUMBER(H376)),H376&lt;=0),기준표!$B$8,MIN(MAX(J376/H376,기준표!$B$6),기준표!$B$7))</f>
        <v/>
      </c>
      <c r="AE376" s="17">
        <f>IF(ISNUMBER(AC376),AC376*(1-AD376),"")</f>
        <v/>
      </c>
      <c r="AF376" s="17">
        <f>IF(AND(NOT(ISNUMBER(T376)),NOT(ISNUMBER(V376))),"",IF(ISNUMBER(T376),T376,0)+IF(ISNUMBER(V376),V376,0))</f>
        <v/>
      </c>
      <c r="AG376" s="17">
        <f>IF(E376="금융","",IF(AND(ISNUMBER(P376),ISNUMBER(AF376),ISNUMBER(R376)),P376+AF376-R376,""))</f>
        <v/>
      </c>
      <c r="AH376" s="17">
        <f>IF(E376="금융","",IF(NOT(ISNUMBER(AG376)),"",IF(ISNUMBER(AA376),(AG376+AA376)/2,AG376)))</f>
        <v/>
      </c>
      <c r="AI376" s="19">
        <f>IF(AND(ISNUMBER(AE376),ISNUMBER(AH376),AH376&gt;0),AE376/AH376,"")</f>
        <v/>
      </c>
      <c r="AJ376" s="17">
        <f>IF(E376="금융","",IF(AND(ISNUMBER(P376),ISNUMBER(AF376)),P376+AF376,""))</f>
        <v/>
      </c>
      <c r="AK376" s="19">
        <f>IF(OR(NOT(ISNUMBER(AE376)),NOT(ISNUMBER(AJ376)),AJ376&lt;=0),"",IF(AND(ISNUMBER(G376),AJ376&lt;0.1*G376),"",AE376/AJ376))</f>
        <v/>
      </c>
      <c r="AL376" s="17">
        <f>IF(NOT(ISNUMBER(P376)),"",IF(ISNUMBER(Q376),(P376+Q376)/2,P376))</f>
        <v/>
      </c>
      <c r="AM376" s="19">
        <f>IF(AND(ISNUMBER(L376),ISNUMBER(AL376),AL376&gt;0),L376/AL376,"")</f>
        <v/>
      </c>
      <c r="AN376" s="19">
        <f>IF(AND(ISNUMBER(AM376),ISNUMBER({ROIC})),AM376-{ROIC},"")</f>
        <v/>
      </c>
      <c r="AO376" s="17">
        <f>IF(AND(ISNUMBER(AC376),ISNUMBER(M376)),AC376+M376,"")</f>
        <v/>
      </c>
      <c r="AP376" s="20">
        <f>IF(AND(ISNUMBER(AF376),ISNUMBER(R376),ISNUMBER(AO376),AO376&gt;0),(AF376-R376)/AO376,"")</f>
        <v/>
      </c>
      <c r="AQ376" s="20">
        <f>IF(AND(ISNUMBER(AC376),ISNUMBER(I376),I376&lt;&gt;0,AC376&gt;0),AC376/I376,"")</f>
        <v/>
      </c>
      <c r="AR376" s="17">
        <f>IF(AND(ISNUMBER(W376),ISNUMBER(Y376)),W376-IF(ISNUMBER(R376),R376,0)-(Y376-IF(ISNUMBER(T376),T376,0)),"")</f>
        <v/>
      </c>
      <c r="AS376" s="17">
        <f>IF(AND(ISNUMBER(X376),ISNUMBER(Z376)),X376-IF(ISNUMBER(S376),S376,0)-(Z376-IF(ISNUMBER(U376),U376,0)),"")</f>
        <v/>
      </c>
      <c r="AT376" s="17">
        <f>IF(AND(ISNUMBER(AR376),ISNUMBER(AS376)),AR376-AS376,"")</f>
        <v/>
      </c>
      <c r="AU376" s="17">
        <f>IF(E376="금융","",IF(AND(ISNUMBER(L376),ISNUMBER(M376),ISNUMBER(N376),ISNUMBER(AT376)),L376+M376-N376-AT376,IF(AND(ISNUMBER(O376),ISNUMBER(N376)),O376-N376,"")))</f>
        <v/>
      </c>
      <c r="AV376" s="8">
        <f>IF(E376="금융","금융업 - 정의되지 않음",IF(AND(ISNUMBER(L376),ISNUMBER(M376),ISNUMBER(N376),ISNUMBER(AT376)),"순이익+감가상각-설비투자-운전자본증감",IF(AND(ISNUMBER(O376),ISNUMBER(N376)),"영업현금흐름-설비투자","산출불가")))</f>
        <v/>
      </c>
      <c r="AW376" s="19">
        <f>IF(AND(ISNUMBER(AU376),ISNUMBER(G376),G376&lt;&gt;0),AU376/G376,"")</f>
        <v/>
      </c>
      <c r="AX376" s="19">
        <f>IF(AND(ISNUMBER(AC376),ISNUMBER(G376),G376&lt;&gt;0),AC376/G376,"")</f>
        <v/>
      </c>
    </row>
    <row r="377">
      <c r="A377" s="8" t="inlineStr">
        <is>
          <t>CVX</t>
        </is>
      </c>
      <c r="B377" s="8" t="inlineStr">
        <is>
          <t>CHEVRON CORP</t>
        </is>
      </c>
      <c r="C377" s="8" t="n">
        <v>2020</v>
      </c>
      <c r="D377" s="8" t="inlineStr">
        <is>
          <t>2020-12-31</t>
        </is>
      </c>
      <c r="E377" s="8" t="inlineStr">
        <is>
          <t>일반</t>
        </is>
      </c>
      <c r="F377" s="8" t="inlineStr">
        <is>
          <t>0000093410-23-000009</t>
        </is>
      </c>
      <c r="G377" s="15" t="n">
        <v>94.69199999999999</v>
      </c>
      <c r="H377" s="15" t="n">
        <v>-7.453</v>
      </c>
      <c r="I377" s="15" t="n">
        <v>0.697</v>
      </c>
      <c r="J377" s="15" t="n">
        <v>-1.892</v>
      </c>
      <c r="K377" s="15" t="n"/>
      <c r="L377" s="15" t="n">
        <v>-5.543</v>
      </c>
      <c r="M377" s="15" t="n">
        <v>19.508</v>
      </c>
      <c r="N377" s="15" t="n">
        <v>8.922000000000001</v>
      </c>
      <c r="O377" s="15" t="n">
        <v>10.577</v>
      </c>
      <c r="P377" s="15" t="n">
        <v>131.688</v>
      </c>
      <c r="Q377" s="15" t="n">
        <v>144.213</v>
      </c>
      <c r="R377" s="15" t="n">
        <v>6.768</v>
      </c>
      <c r="S377" s="15" t="n">
        <v>6.974</v>
      </c>
      <c r="T377" s="15" t="n">
        <v>11.373</v>
      </c>
      <c r="U377" s="15" t="n">
        <v>13.032</v>
      </c>
      <c r="V377" s="15" t="n">
        <v>42.767</v>
      </c>
      <c r="W377" s="15" t="n">
        <v>26.078</v>
      </c>
      <c r="X377" s="15" t="n">
        <v>28.329</v>
      </c>
      <c r="Y377" s="15" t="n">
        <v>22.183</v>
      </c>
      <c r="Z377" s="15" t="n">
        <v>26.53</v>
      </c>
      <c r="AA377" s="15" t="n">
        <v>173.962</v>
      </c>
      <c r="AB377" s="16" t="n">
        <v>1870</v>
      </c>
      <c r="AC377" s="17">
        <f>IF(AND(ISNUMBER(H377),ISNUMBER(I377)),H377+I377,IF(ISNUMBER(K377),K377,IF(ISNUMBER(H377),H377,"")))</f>
        <v/>
      </c>
      <c r="AD377" s="18">
        <f>IF(OR(NOT(ISNUMBER(J377)),NOT(ISNUMBER(H377)),H377&lt;=0),기준표!$B$8,MIN(MAX(J377/H377,기준표!$B$6),기준표!$B$7))</f>
        <v/>
      </c>
      <c r="AE377" s="17">
        <f>IF(ISNUMBER(AC377),AC377*(1-AD377),"")</f>
        <v/>
      </c>
      <c r="AF377" s="17">
        <f>IF(AND(NOT(ISNUMBER(T377)),NOT(ISNUMBER(V377))),"",IF(ISNUMBER(T377),T377,0)+IF(ISNUMBER(V377),V377,0))</f>
        <v/>
      </c>
      <c r="AG377" s="17">
        <f>IF(E377="금융","",IF(AND(ISNUMBER(P377),ISNUMBER(AF377),ISNUMBER(R377)),P377+AF377-R377,""))</f>
        <v/>
      </c>
      <c r="AH377" s="17">
        <f>IF(E377="금융","",IF(NOT(ISNUMBER(AG377)),"",IF(ISNUMBER(AA377),(AG377+AA377)/2,AG377)))</f>
        <v/>
      </c>
      <c r="AI377" s="19">
        <f>IF(AND(ISNUMBER(AE377),ISNUMBER(AH377),AH377&gt;0),AE377/AH377,"")</f>
        <v/>
      </c>
      <c r="AJ377" s="17">
        <f>IF(E377="금융","",IF(AND(ISNUMBER(P377),ISNUMBER(AF377)),P377+AF377,""))</f>
        <v/>
      </c>
      <c r="AK377" s="19">
        <f>IF(OR(NOT(ISNUMBER(AE377)),NOT(ISNUMBER(AJ377)),AJ377&lt;=0),"",IF(AND(ISNUMBER(G377),AJ377&lt;0.1*G377),"",AE377/AJ377))</f>
        <v/>
      </c>
      <c r="AL377" s="17">
        <f>IF(NOT(ISNUMBER(P377)),"",IF(ISNUMBER(Q377),(P377+Q377)/2,P377))</f>
        <v/>
      </c>
      <c r="AM377" s="19">
        <f>IF(AND(ISNUMBER(L377),ISNUMBER(AL377),AL377&gt;0),L377/AL377,"")</f>
        <v/>
      </c>
      <c r="AN377" s="19">
        <f>IF(AND(ISNUMBER(AM377),ISNUMBER({ROIC})),AM377-{ROIC},"")</f>
        <v/>
      </c>
      <c r="AO377" s="17">
        <f>IF(AND(ISNUMBER(AC377),ISNUMBER(M377)),AC377+M377,"")</f>
        <v/>
      </c>
      <c r="AP377" s="20">
        <f>IF(AND(ISNUMBER(AF377),ISNUMBER(R377),ISNUMBER(AO377),AO377&gt;0),(AF377-R377)/AO377,"")</f>
        <v/>
      </c>
      <c r="AQ377" s="20">
        <f>IF(AND(ISNUMBER(AC377),ISNUMBER(I377),I377&lt;&gt;0,AC377&gt;0),AC377/I377,"")</f>
        <v/>
      </c>
      <c r="AR377" s="17">
        <f>IF(AND(ISNUMBER(W377),ISNUMBER(Y377)),W377-IF(ISNUMBER(R377),R377,0)-(Y377-IF(ISNUMBER(T377),T377,0)),"")</f>
        <v/>
      </c>
      <c r="AS377" s="17">
        <f>IF(AND(ISNUMBER(X377),ISNUMBER(Z377)),X377-IF(ISNUMBER(S377),S377,0)-(Z377-IF(ISNUMBER(U377),U377,0)),"")</f>
        <v/>
      </c>
      <c r="AT377" s="17">
        <f>IF(AND(ISNUMBER(AR377),ISNUMBER(AS377)),AR377-AS377,"")</f>
        <v/>
      </c>
      <c r="AU377" s="17">
        <f>IF(E377="금융","",IF(AND(ISNUMBER(L377),ISNUMBER(M377),ISNUMBER(N377),ISNUMBER(AT377)),L377+M377-N377-AT377,IF(AND(ISNUMBER(O377),ISNUMBER(N377)),O377-N377,"")))</f>
        <v/>
      </c>
      <c r="AV377" s="8">
        <f>IF(E377="금융","금융업 - 정의되지 않음",IF(AND(ISNUMBER(L377),ISNUMBER(M377),ISNUMBER(N377),ISNUMBER(AT377)),"순이익+감가상각-설비투자-운전자본증감",IF(AND(ISNUMBER(O377),ISNUMBER(N377)),"영업현금흐름-설비투자","산출불가")))</f>
        <v/>
      </c>
      <c r="AW377" s="19">
        <f>IF(AND(ISNUMBER(AU377),ISNUMBER(G377),G377&lt;&gt;0),AU377/G377,"")</f>
        <v/>
      </c>
      <c r="AX377" s="19">
        <f>IF(AND(ISNUMBER(AC377),ISNUMBER(G377),G377&lt;&gt;0),AC377/G377,"")</f>
        <v/>
      </c>
    </row>
    <row r="378">
      <c r="A378" s="8" t="inlineStr">
        <is>
          <t>CVX</t>
        </is>
      </c>
      <c r="B378" s="8" t="inlineStr">
        <is>
          <t>CHEVRON CORP</t>
        </is>
      </c>
      <c r="C378" s="8" t="n">
        <v>2021</v>
      </c>
      <c r="D378" s="8" t="inlineStr">
        <is>
          <t>2021-12-31</t>
        </is>
      </c>
      <c r="E378" s="8" t="inlineStr">
        <is>
          <t>일반</t>
        </is>
      </c>
      <c r="F378" s="8" t="inlineStr">
        <is>
          <t>0000093410-24-000013</t>
        </is>
      </c>
      <c r="G378" s="15" t="n">
        <v>162.465</v>
      </c>
      <c r="H378" s="15" t="n">
        <v>21.639</v>
      </c>
      <c r="I378" s="15" t="n">
        <v>0.712</v>
      </c>
      <c r="J378" s="15" t="n">
        <v>5.95</v>
      </c>
      <c r="K378" s="15" t="n"/>
      <c r="L378" s="15" t="n">
        <v>15.625</v>
      </c>
      <c r="M378" s="15" t="n">
        <v>17.925</v>
      </c>
      <c r="N378" s="15" t="n">
        <v>8.055999999999999</v>
      </c>
      <c r="O378" s="15" t="n">
        <v>29.187</v>
      </c>
      <c r="P378" s="15" t="n">
        <v>139.067</v>
      </c>
      <c r="Q378" s="15" t="n">
        <v>131.688</v>
      </c>
      <c r="R378" s="15" t="n">
        <v>6.83</v>
      </c>
      <c r="S378" s="15" t="n">
        <v>6.768</v>
      </c>
      <c r="T378" s="15" t="n">
        <v>8.015000000000001</v>
      </c>
      <c r="U378" s="15" t="n">
        <v>11.373</v>
      </c>
      <c r="V378" s="15" t="n">
        <v>31.113</v>
      </c>
      <c r="W378" s="15" t="n">
        <v>33.738</v>
      </c>
      <c r="X378" s="15" t="n">
        <v>26.078</v>
      </c>
      <c r="Y378" s="15" t="n">
        <v>26.791</v>
      </c>
      <c r="Z378" s="15" t="n">
        <v>22.183</v>
      </c>
      <c r="AA378" s="15" t="n">
        <v>179.06</v>
      </c>
      <c r="AB378" s="16" t="n">
        <v>1920</v>
      </c>
      <c r="AC378" s="17">
        <f>IF(AND(ISNUMBER(H378),ISNUMBER(I378)),H378+I378,IF(ISNUMBER(K378),K378,IF(ISNUMBER(H378),H378,"")))</f>
        <v/>
      </c>
      <c r="AD378" s="18">
        <f>IF(OR(NOT(ISNUMBER(J378)),NOT(ISNUMBER(H378)),H378&lt;=0),기준표!$B$8,MIN(MAX(J378/H378,기준표!$B$6),기준표!$B$7))</f>
        <v/>
      </c>
      <c r="AE378" s="17">
        <f>IF(ISNUMBER(AC378),AC378*(1-AD378),"")</f>
        <v/>
      </c>
      <c r="AF378" s="17">
        <f>IF(AND(NOT(ISNUMBER(T378)),NOT(ISNUMBER(V378))),"",IF(ISNUMBER(T378),T378,0)+IF(ISNUMBER(V378),V378,0))</f>
        <v/>
      </c>
      <c r="AG378" s="17">
        <f>IF(E378="금융","",IF(AND(ISNUMBER(P378),ISNUMBER(AF378),ISNUMBER(R378)),P378+AF378-R378,""))</f>
        <v/>
      </c>
      <c r="AH378" s="17">
        <f>IF(E378="금융","",IF(NOT(ISNUMBER(AG378)),"",IF(ISNUMBER(AA378),(AG378+AA378)/2,AG378)))</f>
        <v/>
      </c>
      <c r="AI378" s="19">
        <f>IF(AND(ISNUMBER(AE378),ISNUMBER(AH378),AH378&gt;0),AE378/AH378,"")</f>
        <v/>
      </c>
      <c r="AJ378" s="17">
        <f>IF(E378="금융","",IF(AND(ISNUMBER(P378),ISNUMBER(AF378)),P378+AF378,""))</f>
        <v/>
      </c>
      <c r="AK378" s="19">
        <f>IF(OR(NOT(ISNUMBER(AE378)),NOT(ISNUMBER(AJ378)),AJ378&lt;=0),"",IF(AND(ISNUMBER(G378),AJ378&lt;0.1*G378),"",AE378/AJ378))</f>
        <v/>
      </c>
      <c r="AL378" s="17">
        <f>IF(NOT(ISNUMBER(P378)),"",IF(ISNUMBER(Q378),(P378+Q378)/2,P378))</f>
        <v/>
      </c>
      <c r="AM378" s="19">
        <f>IF(AND(ISNUMBER(L378),ISNUMBER(AL378),AL378&gt;0),L378/AL378,"")</f>
        <v/>
      </c>
      <c r="AN378" s="19">
        <f>IF(AND(ISNUMBER(AM378),ISNUMBER({ROIC})),AM378-{ROIC},"")</f>
        <v/>
      </c>
      <c r="AO378" s="17">
        <f>IF(AND(ISNUMBER(AC378),ISNUMBER(M378)),AC378+M378,"")</f>
        <v/>
      </c>
      <c r="AP378" s="20">
        <f>IF(AND(ISNUMBER(AF378),ISNUMBER(R378),ISNUMBER(AO378),AO378&gt;0),(AF378-R378)/AO378,"")</f>
        <v/>
      </c>
      <c r="AQ378" s="20">
        <f>IF(AND(ISNUMBER(AC378),ISNUMBER(I378),I378&lt;&gt;0,AC378&gt;0),AC378/I378,"")</f>
        <v/>
      </c>
      <c r="AR378" s="17">
        <f>IF(AND(ISNUMBER(W378),ISNUMBER(Y378)),W378-IF(ISNUMBER(R378),R378,0)-(Y378-IF(ISNUMBER(T378),T378,0)),"")</f>
        <v/>
      </c>
      <c r="AS378" s="17">
        <f>IF(AND(ISNUMBER(X378),ISNUMBER(Z378)),X378-IF(ISNUMBER(S378),S378,0)-(Z378-IF(ISNUMBER(U378),U378,0)),"")</f>
        <v/>
      </c>
      <c r="AT378" s="17">
        <f>IF(AND(ISNUMBER(AR378),ISNUMBER(AS378)),AR378-AS378,"")</f>
        <v/>
      </c>
      <c r="AU378" s="17">
        <f>IF(E378="금융","",IF(AND(ISNUMBER(L378),ISNUMBER(M378),ISNUMBER(N378),ISNUMBER(AT378)),L378+M378-N378-AT378,IF(AND(ISNUMBER(O378),ISNUMBER(N378)),O378-N378,"")))</f>
        <v/>
      </c>
      <c r="AV378" s="8">
        <f>IF(E378="금융","금융업 - 정의되지 않음",IF(AND(ISNUMBER(L378),ISNUMBER(M378),ISNUMBER(N378),ISNUMBER(AT378)),"순이익+감가상각-설비투자-운전자본증감",IF(AND(ISNUMBER(O378),ISNUMBER(N378)),"영업현금흐름-설비투자","산출불가")))</f>
        <v/>
      </c>
      <c r="AW378" s="19">
        <f>IF(AND(ISNUMBER(AU378),ISNUMBER(G378),G378&lt;&gt;0),AU378/G378,"")</f>
        <v/>
      </c>
      <c r="AX378" s="19">
        <f>IF(AND(ISNUMBER(AC378),ISNUMBER(G378),G378&lt;&gt;0),AC378/G378,"")</f>
        <v/>
      </c>
    </row>
    <row r="379">
      <c r="A379" s="8" t="inlineStr">
        <is>
          <t>CVX</t>
        </is>
      </c>
      <c r="B379" s="8" t="inlineStr">
        <is>
          <t>CHEVRON CORP</t>
        </is>
      </c>
      <c r="C379" s="8" t="n">
        <v>2022</v>
      </c>
      <c r="D379" s="8" t="inlineStr">
        <is>
          <t>2022-12-31</t>
        </is>
      </c>
      <c r="E379" s="8" t="inlineStr">
        <is>
          <t>일반</t>
        </is>
      </c>
      <c r="F379" s="8" t="inlineStr">
        <is>
          <t>0000093410-25-000009</t>
        </is>
      </c>
      <c r="G379" s="15" t="n">
        <v>246.252</v>
      </c>
      <c r="H379" s="15" t="n">
        <v>49.674</v>
      </c>
      <c r="I379" s="15" t="n">
        <v>0.516</v>
      </c>
      <c r="J379" s="15" t="n">
        <v>14.066</v>
      </c>
      <c r="K379" s="15" t="n"/>
      <c r="L379" s="15" t="n">
        <v>35.465</v>
      </c>
      <c r="M379" s="15" t="n">
        <v>16.319</v>
      </c>
      <c r="N379" s="15" t="n">
        <v>11.974</v>
      </c>
      <c r="O379" s="15" t="n">
        <v>49.602</v>
      </c>
      <c r="P379" s="15" t="n">
        <v>159.282</v>
      </c>
      <c r="Q379" s="15" t="n">
        <v>139.067</v>
      </c>
      <c r="R379" s="15" t="n">
        <v>19.344</v>
      </c>
      <c r="S379" s="15" t="n">
        <v>6.83</v>
      </c>
      <c r="T379" s="15" t="n">
        <v>6.014</v>
      </c>
      <c r="U379" s="15" t="n">
        <v>8.015000000000001</v>
      </c>
      <c r="V379" s="15" t="n">
        <v>21.375</v>
      </c>
      <c r="W379" s="15" t="n">
        <v>50.343</v>
      </c>
      <c r="X379" s="15" t="n">
        <v>33.738</v>
      </c>
      <c r="Y379" s="15" t="n">
        <v>34.208</v>
      </c>
      <c r="Z379" s="15" t="n">
        <v>26.791</v>
      </c>
      <c r="AA379" s="15" t="n">
        <v>171.365</v>
      </c>
      <c r="AB379" s="16" t="n">
        <v>1940</v>
      </c>
      <c r="AC379" s="17">
        <f>IF(AND(ISNUMBER(H379),ISNUMBER(I379)),H379+I379,IF(ISNUMBER(K379),K379,IF(ISNUMBER(H379),H379,"")))</f>
        <v/>
      </c>
      <c r="AD379" s="18">
        <f>IF(OR(NOT(ISNUMBER(J379)),NOT(ISNUMBER(H379)),H379&lt;=0),기준표!$B$8,MIN(MAX(J379/H379,기준표!$B$6),기준표!$B$7))</f>
        <v/>
      </c>
      <c r="AE379" s="17">
        <f>IF(ISNUMBER(AC379),AC379*(1-AD379),"")</f>
        <v/>
      </c>
      <c r="AF379" s="17">
        <f>IF(AND(NOT(ISNUMBER(T379)),NOT(ISNUMBER(V379))),"",IF(ISNUMBER(T379),T379,0)+IF(ISNUMBER(V379),V379,0))</f>
        <v/>
      </c>
      <c r="AG379" s="17">
        <f>IF(E379="금융","",IF(AND(ISNUMBER(P379),ISNUMBER(AF379),ISNUMBER(R379)),P379+AF379-R379,""))</f>
        <v/>
      </c>
      <c r="AH379" s="17">
        <f>IF(E379="금융","",IF(NOT(ISNUMBER(AG379)),"",IF(ISNUMBER(AA379),(AG379+AA379)/2,AG379)))</f>
        <v/>
      </c>
      <c r="AI379" s="19">
        <f>IF(AND(ISNUMBER(AE379),ISNUMBER(AH379),AH379&gt;0),AE379/AH379,"")</f>
        <v/>
      </c>
      <c r="AJ379" s="17">
        <f>IF(E379="금융","",IF(AND(ISNUMBER(P379),ISNUMBER(AF379)),P379+AF379,""))</f>
        <v/>
      </c>
      <c r="AK379" s="19">
        <f>IF(OR(NOT(ISNUMBER(AE379)),NOT(ISNUMBER(AJ379)),AJ379&lt;=0),"",IF(AND(ISNUMBER(G379),AJ379&lt;0.1*G379),"",AE379/AJ379))</f>
        <v/>
      </c>
      <c r="AL379" s="17">
        <f>IF(NOT(ISNUMBER(P379)),"",IF(ISNUMBER(Q379),(P379+Q379)/2,P379))</f>
        <v/>
      </c>
      <c r="AM379" s="19">
        <f>IF(AND(ISNUMBER(L379),ISNUMBER(AL379),AL379&gt;0),L379/AL379,"")</f>
        <v/>
      </c>
      <c r="AN379" s="19">
        <f>IF(AND(ISNUMBER(AM379),ISNUMBER({ROIC})),AM379-{ROIC},"")</f>
        <v/>
      </c>
      <c r="AO379" s="17">
        <f>IF(AND(ISNUMBER(AC379),ISNUMBER(M379)),AC379+M379,"")</f>
        <v/>
      </c>
      <c r="AP379" s="20">
        <f>IF(AND(ISNUMBER(AF379),ISNUMBER(R379),ISNUMBER(AO379),AO379&gt;0),(AF379-R379)/AO379,"")</f>
        <v/>
      </c>
      <c r="AQ379" s="20">
        <f>IF(AND(ISNUMBER(AC379),ISNUMBER(I379),I379&lt;&gt;0,AC379&gt;0),AC379/I379,"")</f>
        <v/>
      </c>
      <c r="AR379" s="17">
        <f>IF(AND(ISNUMBER(W379),ISNUMBER(Y379)),W379-IF(ISNUMBER(R379),R379,0)-(Y379-IF(ISNUMBER(T379),T379,0)),"")</f>
        <v/>
      </c>
      <c r="AS379" s="17">
        <f>IF(AND(ISNUMBER(X379),ISNUMBER(Z379)),X379-IF(ISNUMBER(S379),S379,0)-(Z379-IF(ISNUMBER(U379),U379,0)),"")</f>
        <v/>
      </c>
      <c r="AT379" s="17">
        <f>IF(AND(ISNUMBER(AR379),ISNUMBER(AS379)),AR379-AS379,"")</f>
        <v/>
      </c>
      <c r="AU379" s="17">
        <f>IF(E379="금융","",IF(AND(ISNUMBER(L379),ISNUMBER(M379),ISNUMBER(N379),ISNUMBER(AT379)),L379+M379-N379-AT379,IF(AND(ISNUMBER(O379),ISNUMBER(N379)),O379-N379,"")))</f>
        <v/>
      </c>
      <c r="AV379" s="8">
        <f>IF(E379="금융","금융업 - 정의되지 않음",IF(AND(ISNUMBER(L379),ISNUMBER(M379),ISNUMBER(N379),ISNUMBER(AT379)),"순이익+감가상각-설비투자-운전자본증감",IF(AND(ISNUMBER(O379),ISNUMBER(N379)),"영업현금흐름-설비투자","산출불가")))</f>
        <v/>
      </c>
      <c r="AW379" s="19">
        <f>IF(AND(ISNUMBER(AU379),ISNUMBER(G379),G379&lt;&gt;0),AU379/G379,"")</f>
        <v/>
      </c>
      <c r="AX379" s="19">
        <f>IF(AND(ISNUMBER(AC379),ISNUMBER(G379),G379&lt;&gt;0),AC379/G379,"")</f>
        <v/>
      </c>
    </row>
    <row r="380">
      <c r="A380" s="8" t="inlineStr">
        <is>
          <t>CVX</t>
        </is>
      </c>
      <c r="B380" s="8" t="inlineStr">
        <is>
          <t>CHEVRON CORP</t>
        </is>
      </c>
      <c r="C380" s="8" t="n">
        <v>2023</v>
      </c>
      <c r="D380" s="8" t="inlineStr">
        <is>
          <t>2023-12-31</t>
        </is>
      </c>
      <c r="E380" s="8" t="inlineStr">
        <is>
          <t>일반</t>
        </is>
      </c>
      <c r="F380" s="8" t="inlineStr">
        <is>
          <t>0000093410-26-000078</t>
        </is>
      </c>
      <c r="G380" s="15" t="n">
        <v>200.949</v>
      </c>
      <c r="H380" s="15" t="n">
        <v>29.584</v>
      </c>
      <c r="I380" s="15" t="n">
        <v>0.469</v>
      </c>
      <c r="J380" s="15" t="n">
        <v>8.173</v>
      </c>
      <c r="K380" s="15" t="n"/>
      <c r="L380" s="15" t="n">
        <v>21.369</v>
      </c>
      <c r="M380" s="15" t="n">
        <v>17.326</v>
      </c>
      <c r="N380" s="15" t="n">
        <v>15.829</v>
      </c>
      <c r="O380" s="15" t="n">
        <v>35.609</v>
      </c>
      <c r="P380" s="15" t="n">
        <v>160.957</v>
      </c>
      <c r="Q380" s="15" t="n">
        <v>159.282</v>
      </c>
      <c r="R380" s="15" t="n">
        <v>9.32</v>
      </c>
      <c r="S380" s="15" t="n">
        <v>19.344</v>
      </c>
      <c r="T380" s="15" t="n">
        <v>5.072</v>
      </c>
      <c r="U380" s="15" t="n">
        <v>6.014</v>
      </c>
      <c r="V380" s="15" t="n">
        <v>20.307</v>
      </c>
      <c r="W380" s="15" t="n">
        <v>41.128</v>
      </c>
      <c r="X380" s="15" t="n">
        <v>50.343</v>
      </c>
      <c r="Y380" s="15" t="n">
        <v>32.258</v>
      </c>
      <c r="Z380" s="15" t="n">
        <v>34.208</v>
      </c>
      <c r="AA380" s="15" t="n">
        <v>167.327</v>
      </c>
      <c r="AB380" s="16" t="n">
        <v>1880</v>
      </c>
      <c r="AC380" s="17">
        <f>IF(AND(ISNUMBER(H380),ISNUMBER(I380)),H380+I380,IF(ISNUMBER(K380),K380,IF(ISNUMBER(H380),H380,"")))</f>
        <v/>
      </c>
      <c r="AD380" s="18">
        <f>IF(OR(NOT(ISNUMBER(J380)),NOT(ISNUMBER(H380)),H380&lt;=0),기준표!$B$8,MIN(MAX(J380/H380,기준표!$B$6),기준표!$B$7))</f>
        <v/>
      </c>
      <c r="AE380" s="17">
        <f>IF(ISNUMBER(AC380),AC380*(1-AD380),"")</f>
        <v/>
      </c>
      <c r="AF380" s="17">
        <f>IF(AND(NOT(ISNUMBER(T380)),NOT(ISNUMBER(V380))),"",IF(ISNUMBER(T380),T380,0)+IF(ISNUMBER(V380),V380,0))</f>
        <v/>
      </c>
      <c r="AG380" s="17">
        <f>IF(E380="금융","",IF(AND(ISNUMBER(P380),ISNUMBER(AF380),ISNUMBER(R380)),P380+AF380-R380,""))</f>
        <v/>
      </c>
      <c r="AH380" s="17">
        <f>IF(E380="금융","",IF(NOT(ISNUMBER(AG380)),"",IF(ISNUMBER(AA380),(AG380+AA380)/2,AG380)))</f>
        <v/>
      </c>
      <c r="AI380" s="19">
        <f>IF(AND(ISNUMBER(AE380),ISNUMBER(AH380),AH380&gt;0),AE380/AH380,"")</f>
        <v/>
      </c>
      <c r="AJ380" s="17">
        <f>IF(E380="금융","",IF(AND(ISNUMBER(P380),ISNUMBER(AF380)),P380+AF380,""))</f>
        <v/>
      </c>
      <c r="AK380" s="19">
        <f>IF(OR(NOT(ISNUMBER(AE380)),NOT(ISNUMBER(AJ380)),AJ380&lt;=0),"",IF(AND(ISNUMBER(G380),AJ380&lt;0.1*G380),"",AE380/AJ380))</f>
        <v/>
      </c>
      <c r="AL380" s="17">
        <f>IF(NOT(ISNUMBER(P380)),"",IF(ISNUMBER(Q380),(P380+Q380)/2,P380))</f>
        <v/>
      </c>
      <c r="AM380" s="19">
        <f>IF(AND(ISNUMBER(L380),ISNUMBER(AL380),AL380&gt;0),L380/AL380,"")</f>
        <v/>
      </c>
      <c r="AN380" s="19">
        <f>IF(AND(ISNUMBER(AM380),ISNUMBER({ROIC})),AM380-{ROIC},"")</f>
        <v/>
      </c>
      <c r="AO380" s="17">
        <f>IF(AND(ISNUMBER(AC380),ISNUMBER(M380)),AC380+M380,"")</f>
        <v/>
      </c>
      <c r="AP380" s="20">
        <f>IF(AND(ISNUMBER(AF380),ISNUMBER(R380),ISNUMBER(AO380),AO380&gt;0),(AF380-R380)/AO380,"")</f>
        <v/>
      </c>
      <c r="AQ380" s="20">
        <f>IF(AND(ISNUMBER(AC380),ISNUMBER(I380),I380&lt;&gt;0,AC380&gt;0),AC380/I380,"")</f>
        <v/>
      </c>
      <c r="AR380" s="17">
        <f>IF(AND(ISNUMBER(W380),ISNUMBER(Y380)),W380-IF(ISNUMBER(R380),R380,0)-(Y380-IF(ISNUMBER(T380),T380,0)),"")</f>
        <v/>
      </c>
      <c r="AS380" s="17">
        <f>IF(AND(ISNUMBER(X380),ISNUMBER(Z380)),X380-IF(ISNUMBER(S380),S380,0)-(Z380-IF(ISNUMBER(U380),U380,0)),"")</f>
        <v/>
      </c>
      <c r="AT380" s="17">
        <f>IF(AND(ISNUMBER(AR380),ISNUMBER(AS380)),AR380-AS380,"")</f>
        <v/>
      </c>
      <c r="AU380" s="17">
        <f>IF(E380="금융","",IF(AND(ISNUMBER(L380),ISNUMBER(M380),ISNUMBER(N380),ISNUMBER(AT380)),L380+M380-N380-AT380,IF(AND(ISNUMBER(O380),ISNUMBER(N380)),O380-N380,"")))</f>
        <v/>
      </c>
      <c r="AV380" s="8">
        <f>IF(E380="금융","금융업 - 정의되지 않음",IF(AND(ISNUMBER(L380),ISNUMBER(M380),ISNUMBER(N380),ISNUMBER(AT380)),"순이익+감가상각-설비투자-운전자본증감",IF(AND(ISNUMBER(O380),ISNUMBER(N380)),"영업현금흐름-설비투자","산출불가")))</f>
        <v/>
      </c>
      <c r="AW380" s="19">
        <f>IF(AND(ISNUMBER(AU380),ISNUMBER(G380),G380&lt;&gt;0),AU380/G380,"")</f>
        <v/>
      </c>
      <c r="AX380" s="19">
        <f>IF(AND(ISNUMBER(AC380),ISNUMBER(G380),G380&lt;&gt;0),AC380/G380,"")</f>
        <v/>
      </c>
    </row>
    <row r="381">
      <c r="A381" s="8" t="inlineStr">
        <is>
          <t>CVX</t>
        </is>
      </c>
      <c r="B381" s="8" t="inlineStr">
        <is>
          <t>CHEVRON CORP</t>
        </is>
      </c>
      <c r="C381" s="8" t="n">
        <v>2024</v>
      </c>
      <c r="D381" s="8" t="inlineStr">
        <is>
          <t>2024-12-31</t>
        </is>
      </c>
      <c r="E381" s="8" t="inlineStr">
        <is>
          <t>일반</t>
        </is>
      </c>
      <c r="F381" s="8" t="inlineStr">
        <is>
          <t>0000093410-26-000078</t>
        </is>
      </c>
      <c r="G381" s="15" t="n">
        <v>202.792</v>
      </c>
      <c r="H381" s="15" t="n">
        <v>27.506</v>
      </c>
      <c r="I381" s="15" t="n">
        <v>0.594</v>
      </c>
      <c r="J381" s="15" t="n">
        <v>9.757</v>
      </c>
      <c r="K381" s="15" t="n"/>
      <c r="L381" s="15" t="n">
        <v>17.661</v>
      </c>
      <c r="M381" s="15" t="n">
        <v>17.282</v>
      </c>
      <c r="N381" s="15" t="n">
        <v>16.448</v>
      </c>
      <c r="O381" s="15" t="n">
        <v>31.492</v>
      </c>
      <c r="P381" s="15" t="n">
        <v>152.318</v>
      </c>
      <c r="Q381" s="15" t="n">
        <v>160.957</v>
      </c>
      <c r="R381" s="15" t="n">
        <v>8.262</v>
      </c>
      <c r="S381" s="15" t="n">
        <v>9.32</v>
      </c>
      <c r="T381" s="15" t="n">
        <v>12.656</v>
      </c>
      <c r="U381" s="15" t="n">
        <v>5.072</v>
      </c>
      <c r="V381" s="15" t="n">
        <v>20.135</v>
      </c>
      <c r="W381" s="15" t="n">
        <v>40.911</v>
      </c>
      <c r="X381" s="15" t="n">
        <v>41.128</v>
      </c>
      <c r="Y381" s="15" t="n">
        <v>38.558</v>
      </c>
      <c r="Z381" s="15" t="n">
        <v>32.258</v>
      </c>
      <c r="AA381" s="15" t="n">
        <v>177.016</v>
      </c>
      <c r="AB381" s="16" t="n">
        <v>1817</v>
      </c>
      <c r="AC381" s="17">
        <f>IF(AND(ISNUMBER(H381),ISNUMBER(I381)),H381+I381,IF(ISNUMBER(K381),K381,IF(ISNUMBER(H381),H381,"")))</f>
        <v/>
      </c>
      <c r="AD381" s="18">
        <f>IF(OR(NOT(ISNUMBER(J381)),NOT(ISNUMBER(H381)),H381&lt;=0),기준표!$B$8,MIN(MAX(J381/H381,기준표!$B$6),기준표!$B$7))</f>
        <v/>
      </c>
      <c r="AE381" s="17">
        <f>IF(ISNUMBER(AC381),AC381*(1-AD381),"")</f>
        <v/>
      </c>
      <c r="AF381" s="17">
        <f>IF(AND(NOT(ISNUMBER(T381)),NOT(ISNUMBER(V381))),"",IF(ISNUMBER(T381),T381,0)+IF(ISNUMBER(V381),V381,0))</f>
        <v/>
      </c>
      <c r="AG381" s="17">
        <f>IF(E381="금융","",IF(AND(ISNUMBER(P381),ISNUMBER(AF381),ISNUMBER(R381)),P381+AF381-R381,""))</f>
        <v/>
      </c>
      <c r="AH381" s="17">
        <f>IF(E381="금융","",IF(NOT(ISNUMBER(AG381)),"",IF(ISNUMBER(AA381),(AG381+AA381)/2,AG381)))</f>
        <v/>
      </c>
      <c r="AI381" s="19">
        <f>IF(AND(ISNUMBER(AE381),ISNUMBER(AH381),AH381&gt;0),AE381/AH381,"")</f>
        <v/>
      </c>
      <c r="AJ381" s="17">
        <f>IF(E381="금융","",IF(AND(ISNUMBER(P381),ISNUMBER(AF381)),P381+AF381,""))</f>
        <v/>
      </c>
      <c r="AK381" s="19">
        <f>IF(OR(NOT(ISNUMBER(AE381)),NOT(ISNUMBER(AJ381)),AJ381&lt;=0),"",IF(AND(ISNUMBER(G381),AJ381&lt;0.1*G381),"",AE381/AJ381))</f>
        <v/>
      </c>
      <c r="AL381" s="17">
        <f>IF(NOT(ISNUMBER(P381)),"",IF(ISNUMBER(Q381),(P381+Q381)/2,P381))</f>
        <v/>
      </c>
      <c r="AM381" s="19">
        <f>IF(AND(ISNUMBER(L381),ISNUMBER(AL381),AL381&gt;0),L381/AL381,"")</f>
        <v/>
      </c>
      <c r="AN381" s="19">
        <f>IF(AND(ISNUMBER(AM381),ISNUMBER({ROIC})),AM381-{ROIC},"")</f>
        <v/>
      </c>
      <c r="AO381" s="17">
        <f>IF(AND(ISNUMBER(AC381),ISNUMBER(M381)),AC381+M381,"")</f>
        <v/>
      </c>
      <c r="AP381" s="20">
        <f>IF(AND(ISNUMBER(AF381),ISNUMBER(R381),ISNUMBER(AO381),AO381&gt;0),(AF381-R381)/AO381,"")</f>
        <v/>
      </c>
      <c r="AQ381" s="20">
        <f>IF(AND(ISNUMBER(AC381),ISNUMBER(I381),I381&lt;&gt;0,AC381&gt;0),AC381/I381,"")</f>
        <v/>
      </c>
      <c r="AR381" s="17">
        <f>IF(AND(ISNUMBER(W381),ISNUMBER(Y381)),W381-IF(ISNUMBER(R381),R381,0)-(Y381-IF(ISNUMBER(T381),T381,0)),"")</f>
        <v/>
      </c>
      <c r="AS381" s="17">
        <f>IF(AND(ISNUMBER(X381),ISNUMBER(Z381)),X381-IF(ISNUMBER(S381),S381,0)-(Z381-IF(ISNUMBER(U381),U381,0)),"")</f>
        <v/>
      </c>
      <c r="AT381" s="17">
        <f>IF(AND(ISNUMBER(AR381),ISNUMBER(AS381)),AR381-AS381,"")</f>
        <v/>
      </c>
      <c r="AU381" s="17">
        <f>IF(E381="금융","",IF(AND(ISNUMBER(L381),ISNUMBER(M381),ISNUMBER(N381),ISNUMBER(AT381)),L381+M381-N381-AT381,IF(AND(ISNUMBER(O381),ISNUMBER(N381)),O381-N381,"")))</f>
        <v/>
      </c>
      <c r="AV381" s="8">
        <f>IF(E381="금융","금융업 - 정의되지 않음",IF(AND(ISNUMBER(L381),ISNUMBER(M381),ISNUMBER(N381),ISNUMBER(AT381)),"순이익+감가상각-설비투자-운전자본증감",IF(AND(ISNUMBER(O381),ISNUMBER(N381)),"영업현금흐름-설비투자","산출불가")))</f>
        <v/>
      </c>
      <c r="AW381" s="19">
        <f>IF(AND(ISNUMBER(AU381),ISNUMBER(G381),G381&lt;&gt;0),AU381/G381,"")</f>
        <v/>
      </c>
      <c r="AX381" s="19">
        <f>IF(AND(ISNUMBER(AC381),ISNUMBER(G381),G381&lt;&gt;0),AC381/G381,"")</f>
        <v/>
      </c>
    </row>
    <row r="382">
      <c r="A382" s="8" t="inlineStr">
        <is>
          <t>CVX</t>
        </is>
      </c>
      <c r="B382" s="8" t="inlineStr">
        <is>
          <t>CHEVRON CORP</t>
        </is>
      </c>
      <c r="C382" s="8" t="n">
        <v>2025</v>
      </c>
      <c r="D382" s="8" t="inlineStr">
        <is>
          <t>2025-12-31</t>
        </is>
      </c>
      <c r="E382" s="8" t="inlineStr">
        <is>
          <t>일반</t>
        </is>
      </c>
      <c r="F382" s="8" t="inlineStr">
        <is>
          <t>0000093410-26-000078</t>
        </is>
      </c>
      <c r="G382" s="15" t="n">
        <v>189.031</v>
      </c>
      <c r="H382" s="15" t="n">
        <v>19.743</v>
      </c>
      <c r="I382" s="15" t="n">
        <v>1.217</v>
      </c>
      <c r="J382" s="15" t="n">
        <v>7.258</v>
      </c>
      <c r="K382" s="15" t="n"/>
      <c r="L382" s="15" t="n">
        <v>12.299</v>
      </c>
      <c r="M382" s="15" t="n">
        <v>20.132</v>
      </c>
      <c r="N382" s="15" t="n">
        <v>17.347</v>
      </c>
      <c r="O382" s="15" t="n">
        <v>33.939</v>
      </c>
      <c r="P382" s="15" t="n">
        <v>186.45</v>
      </c>
      <c r="Q382" s="15" t="n">
        <v>152.318</v>
      </c>
      <c r="R382" s="15" t="n">
        <v>7.285</v>
      </c>
      <c r="S382" s="15" t="n">
        <v>8.262</v>
      </c>
      <c r="T382" s="15" t="n">
        <v>10.918</v>
      </c>
      <c r="U382" s="15" t="n">
        <v>12.656</v>
      </c>
      <c r="V382" s="15" t="n">
        <v>39.781</v>
      </c>
      <c r="W382" s="15" t="n">
        <v>38.552</v>
      </c>
      <c r="X382" s="15" t="n">
        <v>40.911</v>
      </c>
      <c r="Y382" s="15" t="n">
        <v>33.387</v>
      </c>
      <c r="Z382" s="15" t="n">
        <v>38.558</v>
      </c>
      <c r="AA382" s="15" t="n">
        <v>176.847</v>
      </c>
      <c r="AB382" s="16" t="n">
        <v>1856</v>
      </c>
      <c r="AC382" s="17">
        <f>IF(AND(ISNUMBER(H382),ISNUMBER(I382)),H382+I382,IF(ISNUMBER(K382),K382,IF(ISNUMBER(H382),H382,"")))</f>
        <v/>
      </c>
      <c r="AD382" s="18">
        <f>IF(OR(NOT(ISNUMBER(J382)),NOT(ISNUMBER(H382)),H382&lt;=0),기준표!$B$8,MIN(MAX(J382/H382,기준표!$B$6),기준표!$B$7))</f>
        <v/>
      </c>
      <c r="AE382" s="17">
        <f>IF(ISNUMBER(AC382),AC382*(1-AD382),"")</f>
        <v/>
      </c>
      <c r="AF382" s="17">
        <f>IF(AND(NOT(ISNUMBER(T382)),NOT(ISNUMBER(V382))),"",IF(ISNUMBER(T382),T382,0)+IF(ISNUMBER(V382),V382,0))</f>
        <v/>
      </c>
      <c r="AG382" s="17">
        <f>IF(E382="금융","",IF(AND(ISNUMBER(P382),ISNUMBER(AF382),ISNUMBER(R382)),P382+AF382-R382,""))</f>
        <v/>
      </c>
      <c r="AH382" s="17">
        <f>IF(E382="금융","",IF(NOT(ISNUMBER(AG382)),"",IF(ISNUMBER(AA382),(AG382+AA382)/2,AG382)))</f>
        <v/>
      </c>
      <c r="AI382" s="19">
        <f>IF(AND(ISNUMBER(AE382),ISNUMBER(AH382),AH382&gt;0),AE382/AH382,"")</f>
        <v/>
      </c>
      <c r="AJ382" s="17">
        <f>IF(E382="금융","",IF(AND(ISNUMBER(P382),ISNUMBER(AF382)),P382+AF382,""))</f>
        <v/>
      </c>
      <c r="AK382" s="19">
        <f>IF(OR(NOT(ISNUMBER(AE382)),NOT(ISNUMBER(AJ382)),AJ382&lt;=0),"",IF(AND(ISNUMBER(G382),AJ382&lt;0.1*G382),"",AE382/AJ382))</f>
        <v/>
      </c>
      <c r="AL382" s="17">
        <f>IF(NOT(ISNUMBER(P382)),"",IF(ISNUMBER(Q382),(P382+Q382)/2,P382))</f>
        <v/>
      </c>
      <c r="AM382" s="19">
        <f>IF(AND(ISNUMBER(L382),ISNUMBER(AL382),AL382&gt;0),L382/AL382,"")</f>
        <v/>
      </c>
      <c r="AN382" s="19">
        <f>IF(AND(ISNUMBER(AM382),ISNUMBER({ROIC})),AM382-{ROIC},"")</f>
        <v/>
      </c>
      <c r="AO382" s="17">
        <f>IF(AND(ISNUMBER(AC382),ISNUMBER(M382)),AC382+M382,"")</f>
        <v/>
      </c>
      <c r="AP382" s="20">
        <f>IF(AND(ISNUMBER(AF382),ISNUMBER(R382),ISNUMBER(AO382),AO382&gt;0),(AF382-R382)/AO382,"")</f>
        <v/>
      </c>
      <c r="AQ382" s="20">
        <f>IF(AND(ISNUMBER(AC382),ISNUMBER(I382),I382&lt;&gt;0,AC382&gt;0),AC382/I382,"")</f>
        <v/>
      </c>
      <c r="AR382" s="17">
        <f>IF(AND(ISNUMBER(W382),ISNUMBER(Y382)),W382-IF(ISNUMBER(R382),R382,0)-(Y382-IF(ISNUMBER(T382),T382,0)),"")</f>
        <v/>
      </c>
      <c r="AS382" s="17">
        <f>IF(AND(ISNUMBER(X382),ISNUMBER(Z382)),X382-IF(ISNUMBER(S382),S382,0)-(Z382-IF(ISNUMBER(U382),U382,0)),"")</f>
        <v/>
      </c>
      <c r="AT382" s="17">
        <f>IF(AND(ISNUMBER(AR382),ISNUMBER(AS382)),AR382-AS382,"")</f>
        <v/>
      </c>
      <c r="AU382" s="17">
        <f>IF(E382="금융","",IF(AND(ISNUMBER(L382),ISNUMBER(M382),ISNUMBER(N382),ISNUMBER(AT382)),L382+M382-N382-AT382,IF(AND(ISNUMBER(O382),ISNUMBER(N382)),O382-N382,"")))</f>
        <v/>
      </c>
      <c r="AV382" s="8">
        <f>IF(E382="금융","금융업 - 정의되지 않음",IF(AND(ISNUMBER(L382),ISNUMBER(M382),ISNUMBER(N382),ISNUMBER(AT382)),"순이익+감가상각-설비투자-운전자본증감",IF(AND(ISNUMBER(O382),ISNUMBER(N382)),"영업현금흐름-설비투자","산출불가")))</f>
        <v/>
      </c>
      <c r="AW382" s="19">
        <f>IF(AND(ISNUMBER(AU382),ISNUMBER(G382),G382&lt;&gt;0),AU382/G382,"")</f>
        <v/>
      </c>
      <c r="AX382" s="19">
        <f>IF(AND(ISNUMBER(AC382),ISNUMBER(G382),G382&lt;&gt;0),AC382/G382,"")</f>
        <v/>
      </c>
    </row>
    <row r="383">
      <c r="A383" s="8" t="inlineStr">
        <is>
          <t>HD</t>
        </is>
      </c>
      <c r="B383" s="8" t="inlineStr">
        <is>
          <t>HOME DEPOT, INC.</t>
        </is>
      </c>
      <c r="C383" s="8" t="n">
        <v>2014</v>
      </c>
      <c r="D383" s="8" t="inlineStr">
        <is>
          <t>2015-02-01</t>
        </is>
      </c>
      <c r="E383" s="8" t="inlineStr">
        <is>
          <t>일반</t>
        </is>
      </c>
      <c r="F383" s="8" t="inlineStr">
        <is>
          <t>0000354950-17-000005</t>
        </is>
      </c>
      <c r="G383" s="15" t="n"/>
      <c r="H383" s="15" t="n"/>
      <c r="I383" s="15" t="n"/>
      <c r="J383" s="15" t="n">
        <v>3.631</v>
      </c>
      <c r="K383" s="15" t="n">
        <v>10.469</v>
      </c>
      <c r="L383" s="15" t="n">
        <v>6.345</v>
      </c>
      <c r="M383" s="15" t="n">
        <v>1.786</v>
      </c>
      <c r="N383" s="15" t="n">
        <v>1.442</v>
      </c>
      <c r="O383" s="15" t="n">
        <v>8.242000000000001</v>
      </c>
      <c r="P383" s="15" t="n">
        <v>9.321999999999999</v>
      </c>
      <c r="Q383" s="15" t="n"/>
      <c r="R383" s="15" t="n">
        <v>2.216</v>
      </c>
      <c r="S383" s="15" t="n"/>
      <c r="T383" s="15" t="n">
        <v>0.038</v>
      </c>
      <c r="U383" s="15" t="n"/>
      <c r="V383" s="15" t="n">
        <v>16.869</v>
      </c>
      <c r="W383" s="15" t="n">
        <v>15.302</v>
      </c>
      <c r="X383" s="15" t="n"/>
      <c r="Y383" s="15" t="n">
        <v>11.269</v>
      </c>
      <c r="Z383" s="15" t="n"/>
      <c r="AA383" s="15" t="n"/>
      <c r="AB383" s="16" t="n">
        <v>1307</v>
      </c>
      <c r="AC383" s="17">
        <f>IF(AND(ISNUMBER(H383),ISNUMBER(I383)),H383+I383,IF(ISNUMBER(K383),K383,IF(ISNUMBER(H383),H383,"")))</f>
        <v/>
      </c>
      <c r="AD383" s="18">
        <f>IF(OR(NOT(ISNUMBER(J383)),NOT(ISNUMBER(H383)),H383&lt;=0),기준표!$B$8,MIN(MAX(J383/H383,기준표!$B$6),기준표!$B$7))</f>
        <v/>
      </c>
      <c r="AE383" s="17">
        <f>IF(ISNUMBER(AC383),AC383*(1-AD383),"")</f>
        <v/>
      </c>
      <c r="AF383" s="17">
        <f>IF(AND(NOT(ISNUMBER(T383)),NOT(ISNUMBER(V383))),"",IF(ISNUMBER(T383),T383,0)+IF(ISNUMBER(V383),V383,0))</f>
        <v/>
      </c>
      <c r="AG383" s="17">
        <f>IF(E383="금융","",IF(AND(ISNUMBER(P383),ISNUMBER(AF383),ISNUMBER(R383)),P383+AF383-R383,""))</f>
        <v/>
      </c>
      <c r="AH383" s="17">
        <f>IF(E383="금융","",IF(NOT(ISNUMBER(AG383)),"",IF(ISNUMBER(AA383),(AG383+AA383)/2,AG383)))</f>
        <v/>
      </c>
      <c r="AI383" s="19">
        <f>IF(AND(ISNUMBER(AE383),ISNUMBER(AH383),AH383&gt;0),AE383/AH383,"")</f>
        <v/>
      </c>
      <c r="AJ383" s="17">
        <f>IF(E383="금융","",IF(AND(ISNUMBER(P383),ISNUMBER(AF383)),P383+AF383,""))</f>
        <v/>
      </c>
      <c r="AK383" s="19">
        <f>IF(OR(NOT(ISNUMBER(AE383)),NOT(ISNUMBER(AJ383)),AJ383&lt;=0),"",IF(AND(ISNUMBER(G383),AJ383&lt;0.1*G383),"",AE383/AJ383))</f>
        <v/>
      </c>
      <c r="AL383" s="17">
        <f>IF(NOT(ISNUMBER(P383)),"",IF(ISNUMBER(Q383),(P383+Q383)/2,P383))</f>
        <v/>
      </c>
      <c r="AM383" s="19">
        <f>IF(AND(ISNUMBER(L383),ISNUMBER(AL383),AL383&gt;0),L383/AL383,"")</f>
        <v/>
      </c>
      <c r="AN383" s="19">
        <f>IF(AND(ISNUMBER(AM383),ISNUMBER({ROIC})),AM383-{ROIC},"")</f>
        <v/>
      </c>
      <c r="AO383" s="17">
        <f>IF(AND(ISNUMBER(AC383),ISNUMBER(M383)),AC383+M383,"")</f>
        <v/>
      </c>
      <c r="AP383" s="20">
        <f>IF(AND(ISNUMBER(AF383),ISNUMBER(R383),ISNUMBER(AO383),AO383&gt;0),(AF383-R383)/AO383,"")</f>
        <v/>
      </c>
      <c r="AQ383" s="20">
        <f>IF(AND(ISNUMBER(AC383),ISNUMBER(I383),I383&lt;&gt;0,AC383&gt;0),AC383/I383,"")</f>
        <v/>
      </c>
      <c r="AR383" s="17">
        <f>IF(AND(ISNUMBER(W383),ISNUMBER(Y383)),W383-IF(ISNUMBER(R383),R383,0)-(Y383-IF(ISNUMBER(T383),T383,0)),"")</f>
        <v/>
      </c>
      <c r="AS383" s="17">
        <f>IF(AND(ISNUMBER(X383),ISNUMBER(Z383)),X383-IF(ISNUMBER(S383),S383,0)-(Z383-IF(ISNUMBER(U383),U383,0)),"")</f>
        <v/>
      </c>
      <c r="AT383" s="17">
        <f>IF(AND(ISNUMBER(AR383),ISNUMBER(AS383)),AR383-AS383,"")</f>
        <v/>
      </c>
      <c r="AU383" s="17">
        <f>IF(E383="금융","",IF(AND(ISNUMBER(L383),ISNUMBER(M383),ISNUMBER(N383),ISNUMBER(AT383)),L383+M383-N383-AT383,IF(AND(ISNUMBER(O383),ISNUMBER(N383)),O383-N383,"")))</f>
        <v/>
      </c>
      <c r="AV383" s="8">
        <f>IF(E383="금융","금융업 - 정의되지 않음",IF(AND(ISNUMBER(L383),ISNUMBER(M383),ISNUMBER(N383),ISNUMBER(AT383)),"순이익+감가상각-설비투자-운전자본증감",IF(AND(ISNUMBER(O383),ISNUMBER(N383)),"영업현금흐름-설비투자","산출불가")))</f>
        <v/>
      </c>
      <c r="AW383" s="19">
        <f>IF(AND(ISNUMBER(AU383),ISNUMBER(G383),G383&lt;&gt;0),AU383/G383,"")</f>
        <v/>
      </c>
      <c r="AX383" s="19">
        <f>IF(AND(ISNUMBER(AC383),ISNUMBER(G383),G383&lt;&gt;0),AC383/G383,"")</f>
        <v/>
      </c>
    </row>
    <row r="384">
      <c r="A384" s="8" t="inlineStr">
        <is>
          <t>HD</t>
        </is>
      </c>
      <c r="B384" s="8" t="inlineStr">
        <is>
          <t>HOME DEPOT, INC.</t>
        </is>
      </c>
      <c r="C384" s="8" t="n">
        <v>2015</v>
      </c>
      <c r="D384" s="8" t="inlineStr">
        <is>
          <t>2016-01-31</t>
        </is>
      </c>
      <c r="E384" s="8" t="inlineStr">
        <is>
          <t>일반</t>
        </is>
      </c>
      <c r="F384" s="8" t="inlineStr">
        <is>
          <t>0000354950-18-000019</t>
        </is>
      </c>
      <c r="G384" s="15" t="n"/>
      <c r="H384" s="15" t="n"/>
      <c r="I384" s="15" t="n"/>
      <c r="J384" s="15" t="n">
        <v>4.012</v>
      </c>
      <c r="K384" s="15" t="n">
        <v>11.774</v>
      </c>
      <c r="L384" s="15" t="n">
        <v>7.009</v>
      </c>
      <c r="M384" s="15" t="n">
        <v>1.863</v>
      </c>
      <c r="N384" s="15" t="n">
        <v>1.503</v>
      </c>
      <c r="O384" s="15" t="n">
        <v>9.372999999999999</v>
      </c>
      <c r="P384" s="15" t="n">
        <v>6.316</v>
      </c>
      <c r="Q384" s="15" t="n">
        <v>9.321999999999999</v>
      </c>
      <c r="R384" s="15" t="n">
        <v>2.216</v>
      </c>
      <c r="S384" s="15" t="n">
        <v>2.216</v>
      </c>
      <c r="T384" s="15" t="n">
        <v>0.077</v>
      </c>
      <c r="U384" s="15" t="n">
        <v>0.038</v>
      </c>
      <c r="V384" s="15" t="n">
        <v>20.789</v>
      </c>
      <c r="W384" s="15" t="n">
        <v>16.484</v>
      </c>
      <c r="X384" s="15" t="n">
        <v>15.302</v>
      </c>
      <c r="Y384" s="15" t="n">
        <v>12.524</v>
      </c>
      <c r="Z384" s="15" t="n">
        <v>11.269</v>
      </c>
      <c r="AA384" s="15" t="n">
        <v>24.013</v>
      </c>
      <c r="AB384" s="16" t="n">
        <v>1252</v>
      </c>
      <c r="AC384" s="17">
        <f>IF(AND(ISNUMBER(H384),ISNUMBER(I384)),H384+I384,IF(ISNUMBER(K384),K384,IF(ISNUMBER(H384),H384,"")))</f>
        <v/>
      </c>
      <c r="AD384" s="18">
        <f>IF(OR(NOT(ISNUMBER(J384)),NOT(ISNUMBER(H384)),H384&lt;=0),기준표!$B$8,MIN(MAX(J384/H384,기준표!$B$6),기준표!$B$7))</f>
        <v/>
      </c>
      <c r="AE384" s="17">
        <f>IF(ISNUMBER(AC384),AC384*(1-AD384),"")</f>
        <v/>
      </c>
      <c r="AF384" s="17">
        <f>IF(AND(NOT(ISNUMBER(T384)),NOT(ISNUMBER(V384))),"",IF(ISNUMBER(T384),T384,0)+IF(ISNUMBER(V384),V384,0))</f>
        <v/>
      </c>
      <c r="AG384" s="17">
        <f>IF(E384="금융","",IF(AND(ISNUMBER(P384),ISNUMBER(AF384),ISNUMBER(R384)),P384+AF384-R384,""))</f>
        <v/>
      </c>
      <c r="AH384" s="17">
        <f>IF(E384="금융","",IF(NOT(ISNUMBER(AG384)),"",IF(ISNUMBER(AA384),(AG384+AA384)/2,AG384)))</f>
        <v/>
      </c>
      <c r="AI384" s="19">
        <f>IF(AND(ISNUMBER(AE384),ISNUMBER(AH384),AH384&gt;0),AE384/AH384,"")</f>
        <v/>
      </c>
      <c r="AJ384" s="17">
        <f>IF(E384="금융","",IF(AND(ISNUMBER(P384),ISNUMBER(AF384)),P384+AF384,""))</f>
        <v/>
      </c>
      <c r="AK384" s="19">
        <f>IF(OR(NOT(ISNUMBER(AE384)),NOT(ISNUMBER(AJ384)),AJ384&lt;=0),"",IF(AND(ISNUMBER(G384),AJ384&lt;0.1*G384),"",AE384/AJ384))</f>
        <v/>
      </c>
      <c r="AL384" s="17">
        <f>IF(NOT(ISNUMBER(P384)),"",IF(ISNUMBER(Q384),(P384+Q384)/2,P384))</f>
        <v/>
      </c>
      <c r="AM384" s="19">
        <f>IF(AND(ISNUMBER(L384),ISNUMBER(AL384),AL384&gt;0),L384/AL384,"")</f>
        <v/>
      </c>
      <c r="AN384" s="19">
        <f>IF(AND(ISNUMBER(AM384),ISNUMBER({ROIC})),AM384-{ROIC},"")</f>
        <v/>
      </c>
      <c r="AO384" s="17">
        <f>IF(AND(ISNUMBER(AC384),ISNUMBER(M384)),AC384+M384,"")</f>
        <v/>
      </c>
      <c r="AP384" s="20">
        <f>IF(AND(ISNUMBER(AF384),ISNUMBER(R384),ISNUMBER(AO384),AO384&gt;0),(AF384-R384)/AO384,"")</f>
        <v/>
      </c>
      <c r="AQ384" s="20">
        <f>IF(AND(ISNUMBER(AC384),ISNUMBER(I384),I384&lt;&gt;0,AC384&gt;0),AC384/I384,"")</f>
        <v/>
      </c>
      <c r="AR384" s="17">
        <f>IF(AND(ISNUMBER(W384),ISNUMBER(Y384)),W384-IF(ISNUMBER(R384),R384,0)-(Y384-IF(ISNUMBER(T384),T384,0)),"")</f>
        <v/>
      </c>
      <c r="AS384" s="17">
        <f>IF(AND(ISNUMBER(X384),ISNUMBER(Z384)),X384-IF(ISNUMBER(S384),S384,0)-(Z384-IF(ISNUMBER(U384),U384,0)),"")</f>
        <v/>
      </c>
      <c r="AT384" s="17">
        <f>IF(AND(ISNUMBER(AR384),ISNUMBER(AS384)),AR384-AS384,"")</f>
        <v/>
      </c>
      <c r="AU384" s="17">
        <f>IF(E384="금융","",IF(AND(ISNUMBER(L384),ISNUMBER(M384),ISNUMBER(N384),ISNUMBER(AT384)),L384+M384-N384-AT384,IF(AND(ISNUMBER(O384),ISNUMBER(N384)),O384-N384,"")))</f>
        <v/>
      </c>
      <c r="AV384" s="8">
        <f>IF(E384="금융","금융업 - 정의되지 않음",IF(AND(ISNUMBER(L384),ISNUMBER(M384),ISNUMBER(N384),ISNUMBER(AT384)),"순이익+감가상각-설비투자-운전자본증감",IF(AND(ISNUMBER(O384),ISNUMBER(N384)),"영업현금흐름-설비투자","산출불가")))</f>
        <v/>
      </c>
      <c r="AW384" s="19">
        <f>IF(AND(ISNUMBER(AU384),ISNUMBER(G384),G384&lt;&gt;0),AU384/G384,"")</f>
        <v/>
      </c>
      <c r="AX384" s="19">
        <f>IF(AND(ISNUMBER(AC384),ISNUMBER(G384),G384&lt;&gt;0),AC384/G384,"")</f>
        <v/>
      </c>
    </row>
    <row r="385">
      <c r="A385" s="8" t="inlineStr">
        <is>
          <t>HD</t>
        </is>
      </c>
      <c r="B385" s="8" t="inlineStr">
        <is>
          <t>HOME DEPOT, INC.</t>
        </is>
      </c>
      <c r="C385" s="8" t="n">
        <v>2016</v>
      </c>
      <c r="D385" s="8" t="inlineStr">
        <is>
          <t>2017-01-29</t>
        </is>
      </c>
      <c r="E385" s="8" t="inlineStr">
        <is>
          <t>일반</t>
        </is>
      </c>
      <c r="F385" s="8" t="inlineStr">
        <is>
          <t>0000354950-19-000010</t>
        </is>
      </c>
      <c r="G385" s="15" t="n">
        <v>94.595</v>
      </c>
      <c r="H385" s="15" t="n"/>
      <c r="I385" s="15" t="n"/>
      <c r="J385" s="15" t="n">
        <v>4.534</v>
      </c>
      <c r="K385" s="15" t="n">
        <v>13.427</v>
      </c>
      <c r="L385" s="15" t="n">
        <v>7.957</v>
      </c>
      <c r="M385" s="15" t="n">
        <v>1.973</v>
      </c>
      <c r="N385" s="15" t="n">
        <v>1.621</v>
      </c>
      <c r="O385" s="15" t="n">
        <v>9.782999999999999</v>
      </c>
      <c r="P385" s="15" t="n">
        <v>4.333</v>
      </c>
      <c r="Q385" s="15" t="n">
        <v>6.316</v>
      </c>
      <c r="R385" s="15" t="n">
        <v>2.538</v>
      </c>
      <c r="S385" s="15" t="n">
        <v>2.216</v>
      </c>
      <c r="T385" s="15" t="n">
        <v>0.542</v>
      </c>
      <c r="U385" s="15" t="n">
        <v>0.077</v>
      </c>
      <c r="V385" s="15" t="n">
        <v>22.349</v>
      </c>
      <c r="W385" s="15" t="n">
        <v>17.724</v>
      </c>
      <c r="X385" s="15" t="n">
        <v>16.484</v>
      </c>
      <c r="Y385" s="15" t="n">
        <v>14.133</v>
      </c>
      <c r="Z385" s="15" t="n">
        <v>12.524</v>
      </c>
      <c r="AA385" s="15" t="n">
        <v>24.966</v>
      </c>
      <c r="AB385" s="16" t="n">
        <v>1203</v>
      </c>
      <c r="AC385" s="17">
        <f>IF(AND(ISNUMBER(H385),ISNUMBER(I385)),H385+I385,IF(ISNUMBER(K385),K385,IF(ISNUMBER(H385),H385,"")))</f>
        <v/>
      </c>
      <c r="AD385" s="18">
        <f>IF(OR(NOT(ISNUMBER(J385)),NOT(ISNUMBER(H385)),H385&lt;=0),기준표!$B$8,MIN(MAX(J385/H385,기준표!$B$6),기준표!$B$7))</f>
        <v/>
      </c>
      <c r="AE385" s="17">
        <f>IF(ISNUMBER(AC385),AC385*(1-AD385),"")</f>
        <v/>
      </c>
      <c r="AF385" s="17">
        <f>IF(AND(NOT(ISNUMBER(T385)),NOT(ISNUMBER(V385))),"",IF(ISNUMBER(T385),T385,0)+IF(ISNUMBER(V385),V385,0))</f>
        <v/>
      </c>
      <c r="AG385" s="17">
        <f>IF(E385="금융","",IF(AND(ISNUMBER(P385),ISNUMBER(AF385),ISNUMBER(R385)),P385+AF385-R385,""))</f>
        <v/>
      </c>
      <c r="AH385" s="17">
        <f>IF(E385="금융","",IF(NOT(ISNUMBER(AG385)),"",IF(ISNUMBER(AA385),(AG385+AA385)/2,AG385)))</f>
        <v/>
      </c>
      <c r="AI385" s="19">
        <f>IF(AND(ISNUMBER(AE385),ISNUMBER(AH385),AH385&gt;0),AE385/AH385,"")</f>
        <v/>
      </c>
      <c r="AJ385" s="17">
        <f>IF(E385="금융","",IF(AND(ISNUMBER(P385),ISNUMBER(AF385)),P385+AF385,""))</f>
        <v/>
      </c>
      <c r="AK385" s="19">
        <f>IF(OR(NOT(ISNUMBER(AE385)),NOT(ISNUMBER(AJ385)),AJ385&lt;=0),"",IF(AND(ISNUMBER(G385),AJ385&lt;0.1*G385),"",AE385/AJ385))</f>
        <v/>
      </c>
      <c r="AL385" s="17">
        <f>IF(NOT(ISNUMBER(P385)),"",IF(ISNUMBER(Q385),(P385+Q385)/2,P385))</f>
        <v/>
      </c>
      <c r="AM385" s="19">
        <f>IF(AND(ISNUMBER(L385),ISNUMBER(AL385),AL385&gt;0),L385/AL385,"")</f>
        <v/>
      </c>
      <c r="AN385" s="19">
        <f>IF(AND(ISNUMBER(AM385),ISNUMBER({ROIC})),AM385-{ROIC},"")</f>
        <v/>
      </c>
      <c r="AO385" s="17">
        <f>IF(AND(ISNUMBER(AC385),ISNUMBER(M385)),AC385+M385,"")</f>
        <v/>
      </c>
      <c r="AP385" s="20">
        <f>IF(AND(ISNUMBER(AF385),ISNUMBER(R385),ISNUMBER(AO385),AO385&gt;0),(AF385-R385)/AO385,"")</f>
        <v/>
      </c>
      <c r="AQ385" s="20">
        <f>IF(AND(ISNUMBER(AC385),ISNUMBER(I385),I385&lt;&gt;0,AC385&gt;0),AC385/I385,"")</f>
        <v/>
      </c>
      <c r="AR385" s="17">
        <f>IF(AND(ISNUMBER(W385),ISNUMBER(Y385)),W385-IF(ISNUMBER(R385),R385,0)-(Y385-IF(ISNUMBER(T385),T385,0)),"")</f>
        <v/>
      </c>
      <c r="AS385" s="17">
        <f>IF(AND(ISNUMBER(X385),ISNUMBER(Z385)),X385-IF(ISNUMBER(S385),S385,0)-(Z385-IF(ISNUMBER(U385),U385,0)),"")</f>
        <v/>
      </c>
      <c r="AT385" s="17">
        <f>IF(AND(ISNUMBER(AR385),ISNUMBER(AS385)),AR385-AS385,"")</f>
        <v/>
      </c>
      <c r="AU385" s="17">
        <f>IF(E385="금융","",IF(AND(ISNUMBER(L385),ISNUMBER(M385),ISNUMBER(N385),ISNUMBER(AT385)),L385+M385-N385-AT385,IF(AND(ISNUMBER(O385),ISNUMBER(N385)),O385-N385,"")))</f>
        <v/>
      </c>
      <c r="AV385" s="8">
        <f>IF(E385="금융","금융업 - 정의되지 않음",IF(AND(ISNUMBER(L385),ISNUMBER(M385),ISNUMBER(N385),ISNUMBER(AT385)),"순이익+감가상각-설비투자-운전자본증감",IF(AND(ISNUMBER(O385),ISNUMBER(N385)),"영업현금흐름-설비투자","산출불가")))</f>
        <v/>
      </c>
      <c r="AW385" s="19">
        <f>IF(AND(ISNUMBER(AU385),ISNUMBER(G385),G385&lt;&gt;0),AU385/G385,"")</f>
        <v/>
      </c>
      <c r="AX385" s="19">
        <f>IF(AND(ISNUMBER(AC385),ISNUMBER(G385),G385&lt;&gt;0),AC385/G385,"")</f>
        <v/>
      </c>
    </row>
    <row r="386">
      <c r="A386" s="8" t="inlineStr">
        <is>
          <t>HD</t>
        </is>
      </c>
      <c r="B386" s="8" t="inlineStr">
        <is>
          <t>HOME DEPOT, INC.</t>
        </is>
      </c>
      <c r="C386" s="8" t="n">
        <v>2017</v>
      </c>
      <c r="D386" s="8" t="inlineStr">
        <is>
          <t>2018-01-28</t>
        </is>
      </c>
      <c r="E386" s="8" t="inlineStr">
        <is>
          <t>일반</t>
        </is>
      </c>
      <c r="F386" s="8" t="inlineStr">
        <is>
          <t>0000354950-20-000015</t>
        </is>
      </c>
      <c r="G386" s="15" t="n">
        <v>100.904</v>
      </c>
      <c r="H386" s="15" t="n"/>
      <c r="I386" s="15" t="n"/>
      <c r="J386" s="15" t="n">
        <v>5.068</v>
      </c>
      <c r="K386" s="15" t="n">
        <v>14.681</v>
      </c>
      <c r="L386" s="15" t="n">
        <v>8.630000000000001</v>
      </c>
      <c r="M386" s="15" t="n">
        <v>2.062</v>
      </c>
      <c r="N386" s="15" t="n">
        <v>1.897</v>
      </c>
      <c r="O386" s="15" t="n">
        <v>12.031</v>
      </c>
      <c r="P386" s="15" t="n">
        <v>1.454</v>
      </c>
      <c r="Q386" s="15" t="n">
        <v>4.333</v>
      </c>
      <c r="R386" s="15" t="n">
        <v>3.595</v>
      </c>
      <c r="S386" s="15" t="n">
        <v>2.538</v>
      </c>
      <c r="T386" s="15" t="n">
        <v>1.202</v>
      </c>
      <c r="U386" s="15" t="n">
        <v>0.542</v>
      </c>
      <c r="V386" s="15" t="n">
        <v>24.267</v>
      </c>
      <c r="W386" s="15" t="n">
        <v>18.933</v>
      </c>
      <c r="X386" s="15" t="n">
        <v>17.724</v>
      </c>
      <c r="Y386" s="15" t="n">
        <v>16.194</v>
      </c>
      <c r="Z386" s="15" t="n">
        <v>14.133</v>
      </c>
      <c r="AA386" s="15" t="n">
        <v>24.686</v>
      </c>
      <c r="AB386" s="16" t="n">
        <v>1158</v>
      </c>
      <c r="AC386" s="17">
        <f>IF(AND(ISNUMBER(H386),ISNUMBER(I386)),H386+I386,IF(ISNUMBER(K386),K386,IF(ISNUMBER(H386),H386,"")))</f>
        <v/>
      </c>
      <c r="AD386" s="18">
        <f>IF(OR(NOT(ISNUMBER(J386)),NOT(ISNUMBER(H386)),H386&lt;=0),기준표!$B$8,MIN(MAX(J386/H386,기준표!$B$6),기준표!$B$7))</f>
        <v/>
      </c>
      <c r="AE386" s="17">
        <f>IF(ISNUMBER(AC386),AC386*(1-AD386),"")</f>
        <v/>
      </c>
      <c r="AF386" s="17">
        <f>IF(AND(NOT(ISNUMBER(T386)),NOT(ISNUMBER(V386))),"",IF(ISNUMBER(T386),T386,0)+IF(ISNUMBER(V386),V386,0))</f>
        <v/>
      </c>
      <c r="AG386" s="17">
        <f>IF(E386="금융","",IF(AND(ISNUMBER(P386),ISNUMBER(AF386),ISNUMBER(R386)),P386+AF386-R386,""))</f>
        <v/>
      </c>
      <c r="AH386" s="17">
        <f>IF(E386="금융","",IF(NOT(ISNUMBER(AG386)),"",IF(ISNUMBER(AA386),(AG386+AA386)/2,AG386)))</f>
        <v/>
      </c>
      <c r="AI386" s="19">
        <f>IF(AND(ISNUMBER(AE386),ISNUMBER(AH386),AH386&gt;0),AE386/AH386,"")</f>
        <v/>
      </c>
      <c r="AJ386" s="17">
        <f>IF(E386="금융","",IF(AND(ISNUMBER(P386),ISNUMBER(AF386)),P386+AF386,""))</f>
        <v/>
      </c>
      <c r="AK386" s="19">
        <f>IF(OR(NOT(ISNUMBER(AE386)),NOT(ISNUMBER(AJ386)),AJ386&lt;=0),"",IF(AND(ISNUMBER(G386),AJ386&lt;0.1*G386),"",AE386/AJ386))</f>
        <v/>
      </c>
      <c r="AL386" s="17">
        <f>IF(NOT(ISNUMBER(P386)),"",IF(ISNUMBER(Q386),(P386+Q386)/2,P386))</f>
        <v/>
      </c>
      <c r="AM386" s="19">
        <f>IF(AND(ISNUMBER(L386),ISNUMBER(AL386),AL386&gt;0),L386/AL386,"")</f>
        <v/>
      </c>
      <c r="AN386" s="19">
        <f>IF(AND(ISNUMBER(AM386),ISNUMBER({ROIC})),AM386-{ROIC},"")</f>
        <v/>
      </c>
      <c r="AO386" s="17">
        <f>IF(AND(ISNUMBER(AC386),ISNUMBER(M386)),AC386+M386,"")</f>
        <v/>
      </c>
      <c r="AP386" s="20">
        <f>IF(AND(ISNUMBER(AF386),ISNUMBER(R386),ISNUMBER(AO386),AO386&gt;0),(AF386-R386)/AO386,"")</f>
        <v/>
      </c>
      <c r="AQ386" s="20">
        <f>IF(AND(ISNUMBER(AC386),ISNUMBER(I386),I386&lt;&gt;0,AC386&gt;0),AC386/I386,"")</f>
        <v/>
      </c>
      <c r="AR386" s="17">
        <f>IF(AND(ISNUMBER(W386),ISNUMBER(Y386)),W386-IF(ISNUMBER(R386),R386,0)-(Y386-IF(ISNUMBER(T386),T386,0)),"")</f>
        <v/>
      </c>
      <c r="AS386" s="17">
        <f>IF(AND(ISNUMBER(X386),ISNUMBER(Z386)),X386-IF(ISNUMBER(S386),S386,0)-(Z386-IF(ISNUMBER(U386),U386,0)),"")</f>
        <v/>
      </c>
      <c r="AT386" s="17">
        <f>IF(AND(ISNUMBER(AR386),ISNUMBER(AS386)),AR386-AS386,"")</f>
        <v/>
      </c>
      <c r="AU386" s="17">
        <f>IF(E386="금융","",IF(AND(ISNUMBER(L386),ISNUMBER(M386),ISNUMBER(N386),ISNUMBER(AT386)),L386+M386-N386-AT386,IF(AND(ISNUMBER(O386),ISNUMBER(N386)),O386-N386,"")))</f>
        <v/>
      </c>
      <c r="AV386" s="8">
        <f>IF(E386="금융","금융업 - 정의되지 않음",IF(AND(ISNUMBER(L386),ISNUMBER(M386),ISNUMBER(N386),ISNUMBER(AT386)),"순이익+감가상각-설비투자-운전자본증감",IF(AND(ISNUMBER(O386),ISNUMBER(N386)),"영업현금흐름-설비투자","산출불가")))</f>
        <v/>
      </c>
      <c r="AW386" s="19">
        <f>IF(AND(ISNUMBER(AU386),ISNUMBER(G386),G386&lt;&gt;0),AU386/G386,"")</f>
        <v/>
      </c>
      <c r="AX386" s="19">
        <f>IF(AND(ISNUMBER(AC386),ISNUMBER(G386),G386&lt;&gt;0),AC386/G386,"")</f>
        <v/>
      </c>
    </row>
    <row r="387">
      <c r="A387" s="8" t="inlineStr">
        <is>
          <t>HD</t>
        </is>
      </c>
      <c r="B387" s="8" t="inlineStr">
        <is>
          <t>HOME DEPOT, INC.</t>
        </is>
      </c>
      <c r="C387" s="8" t="n">
        <v>2018</v>
      </c>
      <c r="D387" s="8" t="inlineStr">
        <is>
          <t>2019-02-03</t>
        </is>
      </c>
      <c r="E387" s="8" t="inlineStr">
        <is>
          <t>일반</t>
        </is>
      </c>
      <c r="F387" s="8" t="inlineStr">
        <is>
          <t>0000354950-21-000089</t>
        </is>
      </c>
      <c r="G387" s="15" t="n">
        <v>108.203</v>
      </c>
      <c r="H387" s="15" t="n"/>
      <c r="I387" s="15" t="n"/>
      <c r="J387" s="15" t="n">
        <v>3.435</v>
      </c>
      <c r="K387" s="15" t="n">
        <v>15.53</v>
      </c>
      <c r="L387" s="15" t="n">
        <v>11.121</v>
      </c>
      <c r="M387" s="15" t="n">
        <v>2.152</v>
      </c>
      <c r="N387" s="15" t="n">
        <v>2.442</v>
      </c>
      <c r="O387" s="15" t="n">
        <v>13.165</v>
      </c>
      <c r="P387" s="15" t="n">
        <v>-1.878</v>
      </c>
      <c r="Q387" s="15" t="n">
        <v>1.454</v>
      </c>
      <c r="R387" s="15" t="n">
        <v>1.778</v>
      </c>
      <c r="S387" s="15" t="n">
        <v>3.595</v>
      </c>
      <c r="T387" s="15" t="n">
        <v>1.056</v>
      </c>
      <c r="U387" s="15" t="n">
        <v>1.202</v>
      </c>
      <c r="V387" s="15" t="n">
        <v>26.807</v>
      </c>
      <c r="W387" s="15" t="n">
        <v>18.529</v>
      </c>
      <c r="X387" s="15" t="n">
        <v>18.933</v>
      </c>
      <c r="Y387" s="15" t="n">
        <v>16.716</v>
      </c>
      <c r="Z387" s="15" t="n">
        <v>16.194</v>
      </c>
      <c r="AA387" s="15" t="n">
        <v>23.328</v>
      </c>
      <c r="AB387" s="16" t="n">
        <v>1105</v>
      </c>
      <c r="AC387" s="17">
        <f>IF(AND(ISNUMBER(H387),ISNUMBER(I387)),H387+I387,IF(ISNUMBER(K387),K387,IF(ISNUMBER(H387),H387,"")))</f>
        <v/>
      </c>
      <c r="AD387" s="18">
        <f>IF(OR(NOT(ISNUMBER(J387)),NOT(ISNUMBER(H387)),H387&lt;=0),기준표!$B$8,MIN(MAX(J387/H387,기준표!$B$6),기준표!$B$7))</f>
        <v/>
      </c>
      <c r="AE387" s="17">
        <f>IF(ISNUMBER(AC387),AC387*(1-AD387),"")</f>
        <v/>
      </c>
      <c r="AF387" s="17">
        <f>IF(AND(NOT(ISNUMBER(T387)),NOT(ISNUMBER(V387))),"",IF(ISNUMBER(T387),T387,0)+IF(ISNUMBER(V387),V387,0))</f>
        <v/>
      </c>
      <c r="AG387" s="17">
        <f>IF(E387="금융","",IF(AND(ISNUMBER(P387),ISNUMBER(AF387),ISNUMBER(R387)),P387+AF387-R387,""))</f>
        <v/>
      </c>
      <c r="AH387" s="17">
        <f>IF(E387="금융","",IF(NOT(ISNUMBER(AG387)),"",IF(ISNUMBER(AA387),(AG387+AA387)/2,AG387)))</f>
        <v/>
      </c>
      <c r="AI387" s="19">
        <f>IF(AND(ISNUMBER(AE387),ISNUMBER(AH387),AH387&gt;0),AE387/AH387,"")</f>
        <v/>
      </c>
      <c r="AJ387" s="17">
        <f>IF(E387="금융","",IF(AND(ISNUMBER(P387),ISNUMBER(AF387)),P387+AF387,""))</f>
        <v/>
      </c>
      <c r="AK387" s="19">
        <f>IF(OR(NOT(ISNUMBER(AE387)),NOT(ISNUMBER(AJ387)),AJ387&lt;=0),"",IF(AND(ISNUMBER(G387),AJ387&lt;0.1*G387),"",AE387/AJ387))</f>
        <v/>
      </c>
      <c r="AL387" s="17">
        <f>IF(NOT(ISNUMBER(P387)),"",IF(ISNUMBER(Q387),(P387+Q387)/2,P387))</f>
        <v/>
      </c>
      <c r="AM387" s="19">
        <f>IF(AND(ISNUMBER(L387),ISNUMBER(AL387),AL387&gt;0),L387/AL387,"")</f>
        <v/>
      </c>
      <c r="AN387" s="19">
        <f>IF(AND(ISNUMBER(AM387),ISNUMBER({ROIC})),AM387-{ROIC},"")</f>
        <v/>
      </c>
      <c r="AO387" s="17">
        <f>IF(AND(ISNUMBER(AC387),ISNUMBER(M387)),AC387+M387,"")</f>
        <v/>
      </c>
      <c r="AP387" s="20">
        <f>IF(AND(ISNUMBER(AF387),ISNUMBER(R387),ISNUMBER(AO387),AO387&gt;0),(AF387-R387)/AO387,"")</f>
        <v/>
      </c>
      <c r="AQ387" s="20">
        <f>IF(AND(ISNUMBER(AC387),ISNUMBER(I387),I387&lt;&gt;0,AC387&gt;0),AC387/I387,"")</f>
        <v/>
      </c>
      <c r="AR387" s="17">
        <f>IF(AND(ISNUMBER(W387),ISNUMBER(Y387)),W387-IF(ISNUMBER(R387),R387,0)-(Y387-IF(ISNUMBER(T387),T387,0)),"")</f>
        <v/>
      </c>
      <c r="AS387" s="17">
        <f>IF(AND(ISNUMBER(X387),ISNUMBER(Z387)),X387-IF(ISNUMBER(S387),S387,0)-(Z387-IF(ISNUMBER(U387),U387,0)),"")</f>
        <v/>
      </c>
      <c r="AT387" s="17">
        <f>IF(AND(ISNUMBER(AR387),ISNUMBER(AS387)),AR387-AS387,"")</f>
        <v/>
      </c>
      <c r="AU387" s="17">
        <f>IF(E387="금융","",IF(AND(ISNUMBER(L387),ISNUMBER(M387),ISNUMBER(N387),ISNUMBER(AT387)),L387+M387-N387-AT387,IF(AND(ISNUMBER(O387),ISNUMBER(N387)),O387-N387,"")))</f>
        <v/>
      </c>
      <c r="AV387" s="8">
        <f>IF(E387="금융","금융업 - 정의되지 않음",IF(AND(ISNUMBER(L387),ISNUMBER(M387),ISNUMBER(N387),ISNUMBER(AT387)),"순이익+감가상각-설비투자-운전자본증감",IF(AND(ISNUMBER(O387),ISNUMBER(N387)),"영업현금흐름-설비투자","산출불가")))</f>
        <v/>
      </c>
      <c r="AW387" s="19">
        <f>IF(AND(ISNUMBER(AU387),ISNUMBER(G387),G387&lt;&gt;0),AU387/G387,"")</f>
        <v/>
      </c>
      <c r="AX387" s="19">
        <f>IF(AND(ISNUMBER(AC387),ISNUMBER(G387),G387&lt;&gt;0),AC387/G387,"")</f>
        <v/>
      </c>
    </row>
    <row r="388">
      <c r="A388" s="8" t="inlineStr">
        <is>
          <t>HD</t>
        </is>
      </c>
      <c r="B388" s="8" t="inlineStr">
        <is>
          <t>HOME DEPOT, INC.</t>
        </is>
      </c>
      <c r="C388" s="8" t="n">
        <v>2019</v>
      </c>
      <c r="D388" s="8" t="inlineStr">
        <is>
          <t>2020-02-02</t>
        </is>
      </c>
      <c r="E388" s="8" t="inlineStr">
        <is>
          <t>일반</t>
        </is>
      </c>
      <c r="F388" s="8" t="inlineStr">
        <is>
          <t>0000354950-22-000070</t>
        </is>
      </c>
      <c r="G388" s="15" t="n">
        <v>110.225</v>
      </c>
      <c r="H388" s="15" t="n">
        <v>14.715</v>
      </c>
      <c r="I388" s="15" t="n"/>
      <c r="J388" s="15" t="n">
        <v>3.473</v>
      </c>
      <c r="K388" s="15" t="n">
        <v>15.843</v>
      </c>
      <c r="L388" s="15" t="n">
        <v>11.242</v>
      </c>
      <c r="M388" s="15" t="n">
        <v>2.296</v>
      </c>
      <c r="N388" s="15" t="n">
        <v>2.678</v>
      </c>
      <c r="O388" s="15" t="n">
        <v>13.687</v>
      </c>
      <c r="P388" s="15" t="n">
        <v>-3.116</v>
      </c>
      <c r="Q388" s="15" t="n">
        <v>-1.878</v>
      </c>
      <c r="R388" s="15" t="n">
        <v>2.133</v>
      </c>
      <c r="S388" s="15" t="n">
        <v>1.778</v>
      </c>
      <c r="T388" s="15" t="n">
        <v>1.839</v>
      </c>
      <c r="U388" s="15" t="n">
        <v>1.056</v>
      </c>
      <c r="V388" s="15" t="n">
        <v>28.67</v>
      </c>
      <c r="W388" s="15" t="n">
        <v>19.81</v>
      </c>
      <c r="X388" s="15" t="n">
        <v>18.529</v>
      </c>
      <c r="Y388" s="15" t="n">
        <v>18.375</v>
      </c>
      <c r="Z388" s="15" t="n">
        <v>16.716</v>
      </c>
      <c r="AA388" s="15" t="n">
        <v>24.207</v>
      </c>
      <c r="AB388" s="16" t="n">
        <v>1077</v>
      </c>
      <c r="AC388" s="17">
        <f>IF(AND(ISNUMBER(H388),ISNUMBER(I388)),H388+I388,IF(ISNUMBER(K388),K388,IF(ISNUMBER(H388),H388,"")))</f>
        <v/>
      </c>
      <c r="AD388" s="18">
        <f>IF(OR(NOT(ISNUMBER(J388)),NOT(ISNUMBER(H388)),H388&lt;=0),기준표!$B$8,MIN(MAX(J388/H388,기준표!$B$6),기준표!$B$7))</f>
        <v/>
      </c>
      <c r="AE388" s="17">
        <f>IF(ISNUMBER(AC388),AC388*(1-AD388),"")</f>
        <v/>
      </c>
      <c r="AF388" s="17">
        <f>IF(AND(NOT(ISNUMBER(T388)),NOT(ISNUMBER(V388))),"",IF(ISNUMBER(T388),T388,0)+IF(ISNUMBER(V388),V388,0))</f>
        <v/>
      </c>
      <c r="AG388" s="17">
        <f>IF(E388="금융","",IF(AND(ISNUMBER(P388),ISNUMBER(AF388),ISNUMBER(R388)),P388+AF388-R388,""))</f>
        <v/>
      </c>
      <c r="AH388" s="17">
        <f>IF(E388="금융","",IF(NOT(ISNUMBER(AG388)),"",IF(ISNUMBER(AA388),(AG388+AA388)/2,AG388)))</f>
        <v/>
      </c>
      <c r="AI388" s="19">
        <f>IF(AND(ISNUMBER(AE388),ISNUMBER(AH388),AH388&gt;0),AE388/AH388,"")</f>
        <v/>
      </c>
      <c r="AJ388" s="17">
        <f>IF(E388="금융","",IF(AND(ISNUMBER(P388),ISNUMBER(AF388)),P388+AF388,""))</f>
        <v/>
      </c>
      <c r="AK388" s="19">
        <f>IF(OR(NOT(ISNUMBER(AE388)),NOT(ISNUMBER(AJ388)),AJ388&lt;=0),"",IF(AND(ISNUMBER(G388),AJ388&lt;0.1*G388),"",AE388/AJ388))</f>
        <v/>
      </c>
      <c r="AL388" s="17">
        <f>IF(NOT(ISNUMBER(P388)),"",IF(ISNUMBER(Q388),(P388+Q388)/2,P388))</f>
        <v/>
      </c>
      <c r="AM388" s="19">
        <f>IF(AND(ISNUMBER(L388),ISNUMBER(AL388),AL388&gt;0),L388/AL388,"")</f>
        <v/>
      </c>
      <c r="AN388" s="19">
        <f>IF(AND(ISNUMBER(AM388),ISNUMBER({ROIC})),AM388-{ROIC},"")</f>
        <v/>
      </c>
      <c r="AO388" s="17">
        <f>IF(AND(ISNUMBER(AC388),ISNUMBER(M388)),AC388+M388,"")</f>
        <v/>
      </c>
      <c r="AP388" s="20">
        <f>IF(AND(ISNUMBER(AF388),ISNUMBER(R388),ISNUMBER(AO388),AO388&gt;0),(AF388-R388)/AO388,"")</f>
        <v/>
      </c>
      <c r="AQ388" s="20">
        <f>IF(AND(ISNUMBER(AC388),ISNUMBER(I388),I388&lt;&gt;0,AC388&gt;0),AC388/I388,"")</f>
        <v/>
      </c>
      <c r="AR388" s="17">
        <f>IF(AND(ISNUMBER(W388),ISNUMBER(Y388)),W388-IF(ISNUMBER(R388),R388,0)-(Y388-IF(ISNUMBER(T388),T388,0)),"")</f>
        <v/>
      </c>
      <c r="AS388" s="17">
        <f>IF(AND(ISNUMBER(X388),ISNUMBER(Z388)),X388-IF(ISNUMBER(S388),S388,0)-(Z388-IF(ISNUMBER(U388),U388,0)),"")</f>
        <v/>
      </c>
      <c r="AT388" s="17">
        <f>IF(AND(ISNUMBER(AR388),ISNUMBER(AS388)),AR388-AS388,"")</f>
        <v/>
      </c>
      <c r="AU388" s="17">
        <f>IF(E388="금융","",IF(AND(ISNUMBER(L388),ISNUMBER(M388),ISNUMBER(N388),ISNUMBER(AT388)),L388+M388-N388-AT388,IF(AND(ISNUMBER(O388),ISNUMBER(N388)),O388-N388,"")))</f>
        <v/>
      </c>
      <c r="AV388" s="8">
        <f>IF(E388="금융","금융업 - 정의되지 않음",IF(AND(ISNUMBER(L388),ISNUMBER(M388),ISNUMBER(N388),ISNUMBER(AT388)),"순이익+감가상각-설비투자-운전자본증감",IF(AND(ISNUMBER(O388),ISNUMBER(N388)),"영업현금흐름-설비투자","산출불가")))</f>
        <v/>
      </c>
      <c r="AW388" s="19">
        <f>IF(AND(ISNUMBER(AU388),ISNUMBER(G388),G388&lt;&gt;0),AU388/G388,"")</f>
        <v/>
      </c>
      <c r="AX388" s="19">
        <f>IF(AND(ISNUMBER(AC388),ISNUMBER(G388),G388&lt;&gt;0),AC388/G388,"")</f>
        <v/>
      </c>
    </row>
    <row r="389">
      <c r="A389" s="8" t="inlineStr">
        <is>
          <t>HD</t>
        </is>
      </c>
      <c r="B389" s="8" t="inlineStr">
        <is>
          <t>HOME DEPOT, INC.</t>
        </is>
      </c>
      <c r="C389" s="8" t="n">
        <v>2020</v>
      </c>
      <c r="D389" s="8" t="inlineStr">
        <is>
          <t>2021-01-31</t>
        </is>
      </c>
      <c r="E389" s="8" t="inlineStr">
        <is>
          <t>일반</t>
        </is>
      </c>
      <c r="F389" s="8" t="inlineStr">
        <is>
          <t>0000354950-23-000059</t>
        </is>
      </c>
      <c r="G389" s="15" t="n">
        <v>132.11</v>
      </c>
      <c r="H389" s="15" t="n">
        <v>16.978</v>
      </c>
      <c r="I389" s="15" t="n"/>
      <c r="J389" s="15" t="n">
        <v>4.112</v>
      </c>
      <c r="K389" s="15" t="n">
        <v>18.278</v>
      </c>
      <c r="L389" s="15" t="n">
        <v>12.866</v>
      </c>
      <c r="M389" s="15" t="n">
        <v>2.519</v>
      </c>
      <c r="N389" s="15" t="n">
        <v>2.463</v>
      </c>
      <c r="O389" s="15" t="n">
        <v>18.839</v>
      </c>
      <c r="P389" s="15" t="n">
        <v>3.299</v>
      </c>
      <c r="Q389" s="15" t="n">
        <v>-3.116</v>
      </c>
      <c r="R389" s="15" t="n">
        <v>7.895</v>
      </c>
      <c r="S389" s="15" t="n">
        <v>2.133</v>
      </c>
      <c r="T389" s="15" t="n">
        <v>1.416</v>
      </c>
      <c r="U389" s="15" t="n">
        <v>1.839</v>
      </c>
      <c r="V389" s="15" t="n">
        <v>35.822</v>
      </c>
      <c r="W389" s="15" t="n">
        <v>28.477</v>
      </c>
      <c r="X389" s="15" t="n">
        <v>19.81</v>
      </c>
      <c r="Y389" s="15" t="n">
        <v>23.166</v>
      </c>
      <c r="Z389" s="15" t="n">
        <v>18.375</v>
      </c>
      <c r="AA389" s="15" t="n">
        <v>25.26</v>
      </c>
      <c r="AB389" s="16" t="n">
        <v>1077</v>
      </c>
      <c r="AC389" s="17">
        <f>IF(AND(ISNUMBER(H389),ISNUMBER(I389)),H389+I389,IF(ISNUMBER(K389),K389,IF(ISNUMBER(H389),H389,"")))</f>
        <v/>
      </c>
      <c r="AD389" s="18">
        <f>IF(OR(NOT(ISNUMBER(J389)),NOT(ISNUMBER(H389)),H389&lt;=0),기준표!$B$8,MIN(MAX(J389/H389,기준표!$B$6),기준표!$B$7))</f>
        <v/>
      </c>
      <c r="AE389" s="17">
        <f>IF(ISNUMBER(AC389),AC389*(1-AD389),"")</f>
        <v/>
      </c>
      <c r="AF389" s="17">
        <f>IF(AND(NOT(ISNUMBER(T389)),NOT(ISNUMBER(V389))),"",IF(ISNUMBER(T389),T389,0)+IF(ISNUMBER(V389),V389,0))</f>
        <v/>
      </c>
      <c r="AG389" s="17">
        <f>IF(E389="금융","",IF(AND(ISNUMBER(P389),ISNUMBER(AF389),ISNUMBER(R389)),P389+AF389-R389,""))</f>
        <v/>
      </c>
      <c r="AH389" s="17">
        <f>IF(E389="금융","",IF(NOT(ISNUMBER(AG389)),"",IF(ISNUMBER(AA389),(AG389+AA389)/2,AG389)))</f>
        <v/>
      </c>
      <c r="AI389" s="19">
        <f>IF(AND(ISNUMBER(AE389),ISNUMBER(AH389),AH389&gt;0),AE389/AH389,"")</f>
        <v/>
      </c>
      <c r="AJ389" s="17">
        <f>IF(E389="금융","",IF(AND(ISNUMBER(P389),ISNUMBER(AF389)),P389+AF389,""))</f>
        <v/>
      </c>
      <c r="AK389" s="19">
        <f>IF(OR(NOT(ISNUMBER(AE389)),NOT(ISNUMBER(AJ389)),AJ389&lt;=0),"",IF(AND(ISNUMBER(G389),AJ389&lt;0.1*G389),"",AE389/AJ389))</f>
        <v/>
      </c>
      <c r="AL389" s="17">
        <f>IF(NOT(ISNUMBER(P389)),"",IF(ISNUMBER(Q389),(P389+Q389)/2,P389))</f>
        <v/>
      </c>
      <c r="AM389" s="19">
        <f>IF(AND(ISNUMBER(L389),ISNUMBER(AL389),AL389&gt;0),L389/AL389,"")</f>
        <v/>
      </c>
      <c r="AN389" s="19">
        <f>IF(AND(ISNUMBER(AM389),ISNUMBER({ROIC})),AM389-{ROIC},"")</f>
        <v/>
      </c>
      <c r="AO389" s="17">
        <f>IF(AND(ISNUMBER(AC389),ISNUMBER(M389)),AC389+M389,"")</f>
        <v/>
      </c>
      <c r="AP389" s="20">
        <f>IF(AND(ISNUMBER(AF389),ISNUMBER(R389),ISNUMBER(AO389),AO389&gt;0),(AF389-R389)/AO389,"")</f>
        <v/>
      </c>
      <c r="AQ389" s="20">
        <f>IF(AND(ISNUMBER(AC389),ISNUMBER(I389),I389&lt;&gt;0,AC389&gt;0),AC389/I389,"")</f>
        <v/>
      </c>
      <c r="AR389" s="17">
        <f>IF(AND(ISNUMBER(W389),ISNUMBER(Y389)),W389-IF(ISNUMBER(R389),R389,0)-(Y389-IF(ISNUMBER(T389),T389,0)),"")</f>
        <v/>
      </c>
      <c r="AS389" s="17">
        <f>IF(AND(ISNUMBER(X389),ISNUMBER(Z389)),X389-IF(ISNUMBER(S389),S389,0)-(Z389-IF(ISNUMBER(U389),U389,0)),"")</f>
        <v/>
      </c>
      <c r="AT389" s="17">
        <f>IF(AND(ISNUMBER(AR389),ISNUMBER(AS389)),AR389-AS389,"")</f>
        <v/>
      </c>
      <c r="AU389" s="17">
        <f>IF(E389="금융","",IF(AND(ISNUMBER(L389),ISNUMBER(M389),ISNUMBER(N389),ISNUMBER(AT389)),L389+M389-N389-AT389,IF(AND(ISNUMBER(O389),ISNUMBER(N389)),O389-N389,"")))</f>
        <v/>
      </c>
      <c r="AV389" s="8">
        <f>IF(E389="금융","금융업 - 정의되지 않음",IF(AND(ISNUMBER(L389),ISNUMBER(M389),ISNUMBER(N389),ISNUMBER(AT389)),"순이익+감가상각-설비투자-운전자본증감",IF(AND(ISNUMBER(O389),ISNUMBER(N389)),"영업현금흐름-설비투자","산출불가")))</f>
        <v/>
      </c>
      <c r="AW389" s="19">
        <f>IF(AND(ISNUMBER(AU389),ISNUMBER(G389),G389&lt;&gt;0),AU389/G389,"")</f>
        <v/>
      </c>
      <c r="AX389" s="19">
        <f>IF(AND(ISNUMBER(AC389),ISNUMBER(G389),G389&lt;&gt;0),AC389/G389,"")</f>
        <v/>
      </c>
    </row>
    <row r="390">
      <c r="A390" s="8" t="inlineStr">
        <is>
          <t>HD</t>
        </is>
      </c>
      <c r="B390" s="8" t="inlineStr">
        <is>
          <t>HOME DEPOT, INC.</t>
        </is>
      </c>
      <c r="C390" s="8" t="n">
        <v>2021</v>
      </c>
      <c r="D390" s="8" t="inlineStr">
        <is>
          <t>2022-01-30</t>
        </is>
      </c>
      <c r="E390" s="8" t="inlineStr">
        <is>
          <t>일반</t>
        </is>
      </c>
      <c r="F390" s="8" t="inlineStr">
        <is>
          <t>0000354950-24-000062</t>
        </is>
      </c>
      <c r="G390" s="15" t="n">
        <v>151.157</v>
      </c>
      <c r="H390" s="15" t="n">
        <v>21.737</v>
      </c>
      <c r="I390" s="15" t="n"/>
      <c r="J390" s="15" t="n">
        <v>5.304</v>
      </c>
      <c r="K390" s="15" t="n">
        <v>23.04</v>
      </c>
      <c r="L390" s="15" t="n">
        <v>16.433</v>
      </c>
      <c r="M390" s="15" t="n">
        <v>2.862</v>
      </c>
      <c r="N390" s="15" t="n">
        <v>2.566</v>
      </c>
      <c r="O390" s="15" t="n">
        <v>16.571</v>
      </c>
      <c r="P390" s="15" t="n">
        <v>-1.696</v>
      </c>
      <c r="Q390" s="15" t="n">
        <v>3.299</v>
      </c>
      <c r="R390" s="15" t="n">
        <v>2.343</v>
      </c>
      <c r="S390" s="15" t="n">
        <v>7.895</v>
      </c>
      <c r="T390" s="15" t="n">
        <v>2.447</v>
      </c>
      <c r="U390" s="15" t="n">
        <v>1.416</v>
      </c>
      <c r="V390" s="15" t="n">
        <v>36.604</v>
      </c>
      <c r="W390" s="15" t="n">
        <v>29.055</v>
      </c>
      <c r="X390" s="15" t="n">
        <v>28.477</v>
      </c>
      <c r="Y390" s="15" t="n">
        <v>28.693</v>
      </c>
      <c r="Z390" s="15" t="n">
        <v>23.166</v>
      </c>
      <c r="AA390" s="15" t="n">
        <v>32.642</v>
      </c>
      <c r="AB390" s="16" t="n">
        <v>1035</v>
      </c>
      <c r="AC390" s="17">
        <f>IF(AND(ISNUMBER(H390),ISNUMBER(I390)),H390+I390,IF(ISNUMBER(K390),K390,IF(ISNUMBER(H390),H390,"")))</f>
        <v/>
      </c>
      <c r="AD390" s="18">
        <f>IF(OR(NOT(ISNUMBER(J390)),NOT(ISNUMBER(H390)),H390&lt;=0),기준표!$B$8,MIN(MAX(J390/H390,기준표!$B$6),기준표!$B$7))</f>
        <v/>
      </c>
      <c r="AE390" s="17">
        <f>IF(ISNUMBER(AC390),AC390*(1-AD390),"")</f>
        <v/>
      </c>
      <c r="AF390" s="17">
        <f>IF(AND(NOT(ISNUMBER(T390)),NOT(ISNUMBER(V390))),"",IF(ISNUMBER(T390),T390,0)+IF(ISNUMBER(V390),V390,0))</f>
        <v/>
      </c>
      <c r="AG390" s="17">
        <f>IF(E390="금융","",IF(AND(ISNUMBER(P390),ISNUMBER(AF390),ISNUMBER(R390)),P390+AF390-R390,""))</f>
        <v/>
      </c>
      <c r="AH390" s="17">
        <f>IF(E390="금융","",IF(NOT(ISNUMBER(AG390)),"",IF(ISNUMBER(AA390),(AG390+AA390)/2,AG390)))</f>
        <v/>
      </c>
      <c r="AI390" s="19">
        <f>IF(AND(ISNUMBER(AE390),ISNUMBER(AH390),AH390&gt;0),AE390/AH390,"")</f>
        <v/>
      </c>
      <c r="AJ390" s="17">
        <f>IF(E390="금융","",IF(AND(ISNUMBER(P390),ISNUMBER(AF390)),P390+AF390,""))</f>
        <v/>
      </c>
      <c r="AK390" s="19">
        <f>IF(OR(NOT(ISNUMBER(AE390)),NOT(ISNUMBER(AJ390)),AJ390&lt;=0),"",IF(AND(ISNUMBER(G390),AJ390&lt;0.1*G390),"",AE390/AJ390))</f>
        <v/>
      </c>
      <c r="AL390" s="17">
        <f>IF(NOT(ISNUMBER(P390)),"",IF(ISNUMBER(Q390),(P390+Q390)/2,P390))</f>
        <v/>
      </c>
      <c r="AM390" s="19">
        <f>IF(AND(ISNUMBER(L390),ISNUMBER(AL390),AL390&gt;0),L390/AL390,"")</f>
        <v/>
      </c>
      <c r="AN390" s="19">
        <f>IF(AND(ISNUMBER(AM390),ISNUMBER({ROIC})),AM390-{ROIC},"")</f>
        <v/>
      </c>
      <c r="AO390" s="17">
        <f>IF(AND(ISNUMBER(AC390),ISNUMBER(M390)),AC390+M390,"")</f>
        <v/>
      </c>
      <c r="AP390" s="20">
        <f>IF(AND(ISNUMBER(AF390),ISNUMBER(R390),ISNUMBER(AO390),AO390&gt;0),(AF390-R390)/AO390,"")</f>
        <v/>
      </c>
      <c r="AQ390" s="20">
        <f>IF(AND(ISNUMBER(AC390),ISNUMBER(I390),I390&lt;&gt;0,AC390&gt;0),AC390/I390,"")</f>
        <v/>
      </c>
      <c r="AR390" s="17">
        <f>IF(AND(ISNUMBER(W390),ISNUMBER(Y390)),W390-IF(ISNUMBER(R390),R390,0)-(Y390-IF(ISNUMBER(T390),T390,0)),"")</f>
        <v/>
      </c>
      <c r="AS390" s="17">
        <f>IF(AND(ISNUMBER(X390),ISNUMBER(Z390)),X390-IF(ISNUMBER(S390),S390,0)-(Z390-IF(ISNUMBER(U390),U390,0)),"")</f>
        <v/>
      </c>
      <c r="AT390" s="17">
        <f>IF(AND(ISNUMBER(AR390),ISNUMBER(AS390)),AR390-AS390,"")</f>
        <v/>
      </c>
      <c r="AU390" s="17">
        <f>IF(E390="금융","",IF(AND(ISNUMBER(L390),ISNUMBER(M390),ISNUMBER(N390),ISNUMBER(AT390)),L390+M390-N390-AT390,IF(AND(ISNUMBER(O390),ISNUMBER(N390)),O390-N390,"")))</f>
        <v/>
      </c>
      <c r="AV390" s="8">
        <f>IF(E390="금융","금융업 - 정의되지 않음",IF(AND(ISNUMBER(L390),ISNUMBER(M390),ISNUMBER(N390),ISNUMBER(AT390)),"순이익+감가상각-설비투자-운전자본증감",IF(AND(ISNUMBER(O390),ISNUMBER(N390)),"영업현금흐름-설비투자","산출불가")))</f>
        <v/>
      </c>
      <c r="AW390" s="19">
        <f>IF(AND(ISNUMBER(AU390),ISNUMBER(G390),G390&lt;&gt;0),AU390/G390,"")</f>
        <v/>
      </c>
      <c r="AX390" s="19">
        <f>IF(AND(ISNUMBER(AC390),ISNUMBER(G390),G390&lt;&gt;0),AC390/G390,"")</f>
        <v/>
      </c>
    </row>
    <row r="391">
      <c r="A391" s="8" t="inlineStr">
        <is>
          <t>HD</t>
        </is>
      </c>
      <c r="B391" s="8" t="inlineStr">
        <is>
          <t>HOME DEPOT, INC.</t>
        </is>
      </c>
      <c r="C391" s="8" t="n">
        <v>2022</v>
      </c>
      <c r="D391" s="8" t="inlineStr">
        <is>
          <t>2023-01-29</t>
        </is>
      </c>
      <c r="E391" s="8" t="inlineStr">
        <is>
          <t>일반</t>
        </is>
      </c>
      <c r="F391" s="8" t="inlineStr">
        <is>
          <t>0000354950-25-000085</t>
        </is>
      </c>
      <c r="G391" s="15" t="n">
        <v>157.403</v>
      </c>
      <c r="H391" s="15" t="n">
        <v>22.477</v>
      </c>
      <c r="I391" s="15" t="n">
        <v>1.617</v>
      </c>
      <c r="J391" s="15" t="n">
        <v>5.372</v>
      </c>
      <c r="K391" s="15" t="n">
        <v>24.039</v>
      </c>
      <c r="L391" s="15" t="n">
        <v>17.105</v>
      </c>
      <c r="M391" s="15" t="n">
        <v>2.796</v>
      </c>
      <c r="N391" s="15" t="n">
        <v>3.119</v>
      </c>
      <c r="O391" s="15" t="n">
        <v>14.615</v>
      </c>
      <c r="P391" s="15" t="n">
        <v>1.562</v>
      </c>
      <c r="Q391" s="15" t="n">
        <v>-1.696</v>
      </c>
      <c r="R391" s="15" t="n">
        <v>2.757</v>
      </c>
      <c r="S391" s="15" t="n">
        <v>2.343</v>
      </c>
      <c r="T391" s="15" t="n">
        <v>1.231</v>
      </c>
      <c r="U391" s="15" t="n">
        <v>2.447</v>
      </c>
      <c r="V391" s="15" t="n">
        <v>41.962</v>
      </c>
      <c r="W391" s="15" t="n">
        <v>32.471</v>
      </c>
      <c r="X391" s="15" t="n">
        <v>29.055</v>
      </c>
      <c r="Y391" s="15" t="n">
        <v>23.11</v>
      </c>
      <c r="Z391" s="15" t="n">
        <v>28.693</v>
      </c>
      <c r="AA391" s="15" t="n">
        <v>35.012</v>
      </c>
      <c r="AB391" s="16" t="n">
        <v>1016</v>
      </c>
      <c r="AC391" s="17">
        <f>IF(AND(ISNUMBER(H391),ISNUMBER(I391)),H391+I391,IF(ISNUMBER(K391),K391,IF(ISNUMBER(H391),H391,"")))</f>
        <v/>
      </c>
      <c r="AD391" s="18">
        <f>IF(OR(NOT(ISNUMBER(J391)),NOT(ISNUMBER(H391)),H391&lt;=0),기준표!$B$8,MIN(MAX(J391/H391,기준표!$B$6),기준표!$B$7))</f>
        <v/>
      </c>
      <c r="AE391" s="17">
        <f>IF(ISNUMBER(AC391),AC391*(1-AD391),"")</f>
        <v/>
      </c>
      <c r="AF391" s="17">
        <f>IF(AND(NOT(ISNUMBER(T391)),NOT(ISNUMBER(V391))),"",IF(ISNUMBER(T391),T391,0)+IF(ISNUMBER(V391),V391,0))</f>
        <v/>
      </c>
      <c r="AG391" s="17">
        <f>IF(E391="금융","",IF(AND(ISNUMBER(P391),ISNUMBER(AF391),ISNUMBER(R391)),P391+AF391-R391,""))</f>
        <v/>
      </c>
      <c r="AH391" s="17">
        <f>IF(E391="금융","",IF(NOT(ISNUMBER(AG391)),"",IF(ISNUMBER(AA391),(AG391+AA391)/2,AG391)))</f>
        <v/>
      </c>
      <c r="AI391" s="19">
        <f>IF(AND(ISNUMBER(AE391),ISNUMBER(AH391),AH391&gt;0),AE391/AH391,"")</f>
        <v/>
      </c>
      <c r="AJ391" s="17">
        <f>IF(E391="금융","",IF(AND(ISNUMBER(P391),ISNUMBER(AF391)),P391+AF391,""))</f>
        <v/>
      </c>
      <c r="AK391" s="19">
        <f>IF(OR(NOT(ISNUMBER(AE391)),NOT(ISNUMBER(AJ391)),AJ391&lt;=0),"",IF(AND(ISNUMBER(G391),AJ391&lt;0.1*G391),"",AE391/AJ391))</f>
        <v/>
      </c>
      <c r="AL391" s="17">
        <f>IF(NOT(ISNUMBER(P391)),"",IF(ISNUMBER(Q391),(P391+Q391)/2,P391))</f>
        <v/>
      </c>
      <c r="AM391" s="19">
        <f>IF(AND(ISNUMBER(L391),ISNUMBER(AL391),AL391&gt;0),L391/AL391,"")</f>
        <v/>
      </c>
      <c r="AN391" s="19">
        <f>IF(AND(ISNUMBER(AM391),ISNUMBER({ROIC})),AM391-{ROIC},"")</f>
        <v/>
      </c>
      <c r="AO391" s="17">
        <f>IF(AND(ISNUMBER(AC391),ISNUMBER(M391)),AC391+M391,"")</f>
        <v/>
      </c>
      <c r="AP391" s="20">
        <f>IF(AND(ISNUMBER(AF391),ISNUMBER(R391),ISNUMBER(AO391),AO391&gt;0),(AF391-R391)/AO391,"")</f>
        <v/>
      </c>
      <c r="AQ391" s="20">
        <f>IF(AND(ISNUMBER(AC391),ISNUMBER(I391),I391&lt;&gt;0,AC391&gt;0),AC391/I391,"")</f>
        <v/>
      </c>
      <c r="AR391" s="17">
        <f>IF(AND(ISNUMBER(W391),ISNUMBER(Y391)),W391-IF(ISNUMBER(R391),R391,0)-(Y391-IF(ISNUMBER(T391),T391,0)),"")</f>
        <v/>
      </c>
      <c r="AS391" s="17">
        <f>IF(AND(ISNUMBER(X391),ISNUMBER(Z391)),X391-IF(ISNUMBER(S391),S391,0)-(Z391-IF(ISNUMBER(U391),U391,0)),"")</f>
        <v/>
      </c>
      <c r="AT391" s="17">
        <f>IF(AND(ISNUMBER(AR391),ISNUMBER(AS391)),AR391-AS391,"")</f>
        <v/>
      </c>
      <c r="AU391" s="17">
        <f>IF(E391="금융","",IF(AND(ISNUMBER(L391),ISNUMBER(M391),ISNUMBER(N391),ISNUMBER(AT391)),L391+M391-N391-AT391,IF(AND(ISNUMBER(O391),ISNUMBER(N391)),O391-N391,"")))</f>
        <v/>
      </c>
      <c r="AV391" s="8">
        <f>IF(E391="금융","금융업 - 정의되지 않음",IF(AND(ISNUMBER(L391),ISNUMBER(M391),ISNUMBER(N391),ISNUMBER(AT391)),"순이익+감가상각-설비투자-운전자본증감",IF(AND(ISNUMBER(O391),ISNUMBER(N391)),"영업현금흐름-설비투자","산출불가")))</f>
        <v/>
      </c>
      <c r="AW391" s="19">
        <f>IF(AND(ISNUMBER(AU391),ISNUMBER(G391),G391&lt;&gt;0),AU391/G391,"")</f>
        <v/>
      </c>
      <c r="AX391" s="19">
        <f>IF(AND(ISNUMBER(AC391),ISNUMBER(G391),G391&lt;&gt;0),AC391/G391,"")</f>
        <v/>
      </c>
    </row>
    <row r="392">
      <c r="A392" s="8" t="inlineStr">
        <is>
          <t>HD</t>
        </is>
      </c>
      <c r="B392" s="8" t="inlineStr">
        <is>
          <t>HOME DEPOT, INC.</t>
        </is>
      </c>
      <c r="C392" s="8" t="n">
        <v>2023</v>
      </c>
      <c r="D392" s="8" t="inlineStr">
        <is>
          <t>2024-01-28</t>
        </is>
      </c>
      <c r="E392" s="8" t="inlineStr">
        <is>
          <t>일반</t>
        </is>
      </c>
      <c r="F392" s="8" t="inlineStr">
        <is>
          <t>0001628280-26-019436</t>
        </is>
      </c>
      <c r="G392" s="15" t="n">
        <v>152.669</v>
      </c>
      <c r="H392" s="15" t="n">
        <v>19.924</v>
      </c>
      <c r="I392" s="15" t="n">
        <v>1.943</v>
      </c>
      <c r="J392" s="15" t="n">
        <v>4.781</v>
      </c>
      <c r="K392" s="15" t="n">
        <v>21.689</v>
      </c>
      <c r="L392" s="15" t="n">
        <v>15.143</v>
      </c>
      <c r="M392" s="15" t="n">
        <v>3.061</v>
      </c>
      <c r="N392" s="15" t="n">
        <v>3.226</v>
      </c>
      <c r="O392" s="15" t="n">
        <v>21.172</v>
      </c>
      <c r="P392" s="15" t="n">
        <v>1.044</v>
      </c>
      <c r="Q392" s="15" t="n">
        <v>1.562</v>
      </c>
      <c r="R392" s="15" t="n">
        <v>3.76</v>
      </c>
      <c r="S392" s="15" t="n">
        <v>2.757</v>
      </c>
      <c r="T392" s="15" t="n">
        <v>1.368</v>
      </c>
      <c r="U392" s="15" t="n">
        <v>1.231</v>
      </c>
      <c r="V392" s="15" t="n">
        <v>42.743</v>
      </c>
      <c r="W392" s="15" t="n">
        <v>29.775</v>
      </c>
      <c r="X392" s="15" t="n">
        <v>32.471</v>
      </c>
      <c r="Y392" s="15" t="n">
        <v>22.015</v>
      </c>
      <c r="Z392" s="15" t="n">
        <v>23.11</v>
      </c>
      <c r="AA392" s="15" t="n">
        <v>41.998</v>
      </c>
      <c r="AB392" s="16" t="n">
        <v>992</v>
      </c>
      <c r="AC392" s="17">
        <f>IF(AND(ISNUMBER(H392),ISNUMBER(I392)),H392+I392,IF(ISNUMBER(K392),K392,IF(ISNUMBER(H392),H392,"")))</f>
        <v/>
      </c>
      <c r="AD392" s="18">
        <f>IF(OR(NOT(ISNUMBER(J392)),NOT(ISNUMBER(H392)),H392&lt;=0),기준표!$B$8,MIN(MAX(J392/H392,기준표!$B$6),기준표!$B$7))</f>
        <v/>
      </c>
      <c r="AE392" s="17">
        <f>IF(ISNUMBER(AC392),AC392*(1-AD392),"")</f>
        <v/>
      </c>
      <c r="AF392" s="17">
        <f>IF(AND(NOT(ISNUMBER(T392)),NOT(ISNUMBER(V392))),"",IF(ISNUMBER(T392),T392,0)+IF(ISNUMBER(V392),V392,0))</f>
        <v/>
      </c>
      <c r="AG392" s="17">
        <f>IF(E392="금융","",IF(AND(ISNUMBER(P392),ISNUMBER(AF392),ISNUMBER(R392)),P392+AF392-R392,""))</f>
        <v/>
      </c>
      <c r="AH392" s="17">
        <f>IF(E392="금융","",IF(NOT(ISNUMBER(AG392)),"",IF(ISNUMBER(AA392),(AG392+AA392)/2,AG392)))</f>
        <v/>
      </c>
      <c r="AI392" s="19">
        <f>IF(AND(ISNUMBER(AE392),ISNUMBER(AH392),AH392&gt;0),AE392/AH392,"")</f>
        <v/>
      </c>
      <c r="AJ392" s="17">
        <f>IF(E392="금융","",IF(AND(ISNUMBER(P392),ISNUMBER(AF392)),P392+AF392,""))</f>
        <v/>
      </c>
      <c r="AK392" s="19">
        <f>IF(OR(NOT(ISNUMBER(AE392)),NOT(ISNUMBER(AJ392)),AJ392&lt;=0),"",IF(AND(ISNUMBER(G392),AJ392&lt;0.1*G392),"",AE392/AJ392))</f>
        <v/>
      </c>
      <c r="AL392" s="17">
        <f>IF(NOT(ISNUMBER(P392)),"",IF(ISNUMBER(Q392),(P392+Q392)/2,P392))</f>
        <v/>
      </c>
      <c r="AM392" s="19">
        <f>IF(AND(ISNUMBER(L392),ISNUMBER(AL392),AL392&gt;0),L392/AL392,"")</f>
        <v/>
      </c>
      <c r="AN392" s="19">
        <f>IF(AND(ISNUMBER(AM392),ISNUMBER({ROIC})),AM392-{ROIC},"")</f>
        <v/>
      </c>
      <c r="AO392" s="17">
        <f>IF(AND(ISNUMBER(AC392),ISNUMBER(M392)),AC392+M392,"")</f>
        <v/>
      </c>
      <c r="AP392" s="20">
        <f>IF(AND(ISNUMBER(AF392),ISNUMBER(R392),ISNUMBER(AO392),AO392&gt;0),(AF392-R392)/AO392,"")</f>
        <v/>
      </c>
      <c r="AQ392" s="20">
        <f>IF(AND(ISNUMBER(AC392),ISNUMBER(I392),I392&lt;&gt;0,AC392&gt;0),AC392/I392,"")</f>
        <v/>
      </c>
      <c r="AR392" s="17">
        <f>IF(AND(ISNUMBER(W392),ISNUMBER(Y392)),W392-IF(ISNUMBER(R392),R392,0)-(Y392-IF(ISNUMBER(T392),T392,0)),"")</f>
        <v/>
      </c>
      <c r="AS392" s="17">
        <f>IF(AND(ISNUMBER(X392),ISNUMBER(Z392)),X392-IF(ISNUMBER(S392),S392,0)-(Z392-IF(ISNUMBER(U392),U392,0)),"")</f>
        <v/>
      </c>
      <c r="AT392" s="17">
        <f>IF(AND(ISNUMBER(AR392),ISNUMBER(AS392)),AR392-AS392,"")</f>
        <v/>
      </c>
      <c r="AU392" s="17">
        <f>IF(E392="금융","",IF(AND(ISNUMBER(L392),ISNUMBER(M392),ISNUMBER(N392),ISNUMBER(AT392)),L392+M392-N392-AT392,IF(AND(ISNUMBER(O392),ISNUMBER(N392)),O392-N392,"")))</f>
        <v/>
      </c>
      <c r="AV392" s="8">
        <f>IF(E392="금융","금융업 - 정의되지 않음",IF(AND(ISNUMBER(L392),ISNUMBER(M392),ISNUMBER(N392),ISNUMBER(AT392)),"순이익+감가상각-설비투자-운전자본증감",IF(AND(ISNUMBER(O392),ISNUMBER(N392)),"영업현금흐름-설비투자","산출불가")))</f>
        <v/>
      </c>
      <c r="AW392" s="19">
        <f>IF(AND(ISNUMBER(AU392),ISNUMBER(G392),G392&lt;&gt;0),AU392/G392,"")</f>
        <v/>
      </c>
      <c r="AX392" s="19">
        <f>IF(AND(ISNUMBER(AC392),ISNUMBER(G392),G392&lt;&gt;0),AC392/G392,"")</f>
        <v/>
      </c>
    </row>
    <row r="393">
      <c r="A393" s="8" t="inlineStr">
        <is>
          <t>HD</t>
        </is>
      </c>
      <c r="B393" s="8" t="inlineStr">
        <is>
          <t>HOME DEPOT, INC.</t>
        </is>
      </c>
      <c r="C393" s="8" t="n">
        <v>2024</v>
      </c>
      <c r="D393" s="8" t="inlineStr">
        <is>
          <t>2025-02-02</t>
        </is>
      </c>
      <c r="E393" s="8" t="inlineStr">
        <is>
          <t>일반</t>
        </is>
      </c>
      <c r="F393" s="8" t="inlineStr">
        <is>
          <t>0001628280-26-019436</t>
        </is>
      </c>
      <c r="G393" s="15" t="n">
        <v>159.514</v>
      </c>
      <c r="H393" s="15" t="n">
        <v>19.406</v>
      </c>
      <c r="I393" s="15" t="n">
        <v>2.321</v>
      </c>
      <c r="J393" s="15" t="n">
        <v>4.6</v>
      </c>
      <c r="K393" s="15" t="n">
        <v>21.526</v>
      </c>
      <c r="L393" s="15" t="n">
        <v>14.806</v>
      </c>
      <c r="M393" s="15" t="n">
        <v>3.336</v>
      </c>
      <c r="N393" s="15" t="n">
        <v>3.485</v>
      </c>
      <c r="O393" s="15" t="n">
        <v>19.81</v>
      </c>
      <c r="P393" s="15" t="n">
        <v>6.64</v>
      </c>
      <c r="Q393" s="15" t="n">
        <v>1.044</v>
      </c>
      <c r="R393" s="15" t="n">
        <v>1.659</v>
      </c>
      <c r="S393" s="15" t="n">
        <v>3.76</v>
      </c>
      <c r="T393" s="15" t="n">
        <v>4.582</v>
      </c>
      <c r="U393" s="15" t="n">
        <v>1.368</v>
      </c>
      <c r="V393" s="15" t="n">
        <v>48.485</v>
      </c>
      <c r="W393" s="15" t="n">
        <v>31.683</v>
      </c>
      <c r="X393" s="15" t="n">
        <v>29.775</v>
      </c>
      <c r="Y393" s="15" t="n">
        <v>28.661</v>
      </c>
      <c r="Z393" s="15" t="n">
        <v>22.015</v>
      </c>
      <c r="AA393" s="15" t="n">
        <v>41.395</v>
      </c>
      <c r="AB393" s="16" t="n">
        <v>994</v>
      </c>
      <c r="AC393" s="17">
        <f>IF(AND(ISNUMBER(H393),ISNUMBER(I393)),H393+I393,IF(ISNUMBER(K393),K393,IF(ISNUMBER(H393),H393,"")))</f>
        <v/>
      </c>
      <c r="AD393" s="18">
        <f>IF(OR(NOT(ISNUMBER(J393)),NOT(ISNUMBER(H393)),H393&lt;=0),기준표!$B$8,MIN(MAX(J393/H393,기준표!$B$6),기준표!$B$7))</f>
        <v/>
      </c>
      <c r="AE393" s="17">
        <f>IF(ISNUMBER(AC393),AC393*(1-AD393),"")</f>
        <v/>
      </c>
      <c r="AF393" s="17">
        <f>IF(AND(NOT(ISNUMBER(T393)),NOT(ISNUMBER(V393))),"",IF(ISNUMBER(T393),T393,0)+IF(ISNUMBER(V393),V393,0))</f>
        <v/>
      </c>
      <c r="AG393" s="17">
        <f>IF(E393="금융","",IF(AND(ISNUMBER(P393),ISNUMBER(AF393),ISNUMBER(R393)),P393+AF393-R393,""))</f>
        <v/>
      </c>
      <c r="AH393" s="17">
        <f>IF(E393="금융","",IF(NOT(ISNUMBER(AG393)),"",IF(ISNUMBER(AA393),(AG393+AA393)/2,AG393)))</f>
        <v/>
      </c>
      <c r="AI393" s="19">
        <f>IF(AND(ISNUMBER(AE393),ISNUMBER(AH393),AH393&gt;0),AE393/AH393,"")</f>
        <v/>
      </c>
      <c r="AJ393" s="17">
        <f>IF(E393="금융","",IF(AND(ISNUMBER(P393),ISNUMBER(AF393)),P393+AF393,""))</f>
        <v/>
      </c>
      <c r="AK393" s="19">
        <f>IF(OR(NOT(ISNUMBER(AE393)),NOT(ISNUMBER(AJ393)),AJ393&lt;=0),"",IF(AND(ISNUMBER(G393),AJ393&lt;0.1*G393),"",AE393/AJ393))</f>
        <v/>
      </c>
      <c r="AL393" s="17">
        <f>IF(NOT(ISNUMBER(P393)),"",IF(ISNUMBER(Q393),(P393+Q393)/2,P393))</f>
        <v/>
      </c>
      <c r="AM393" s="19">
        <f>IF(AND(ISNUMBER(L393),ISNUMBER(AL393),AL393&gt;0),L393/AL393,"")</f>
        <v/>
      </c>
      <c r="AN393" s="19">
        <f>IF(AND(ISNUMBER(AM393),ISNUMBER({ROIC})),AM393-{ROIC},"")</f>
        <v/>
      </c>
      <c r="AO393" s="17">
        <f>IF(AND(ISNUMBER(AC393),ISNUMBER(M393)),AC393+M393,"")</f>
        <v/>
      </c>
      <c r="AP393" s="20">
        <f>IF(AND(ISNUMBER(AF393),ISNUMBER(R393),ISNUMBER(AO393),AO393&gt;0),(AF393-R393)/AO393,"")</f>
        <v/>
      </c>
      <c r="AQ393" s="20">
        <f>IF(AND(ISNUMBER(AC393),ISNUMBER(I393),I393&lt;&gt;0,AC393&gt;0),AC393/I393,"")</f>
        <v/>
      </c>
      <c r="AR393" s="17">
        <f>IF(AND(ISNUMBER(W393),ISNUMBER(Y393)),W393-IF(ISNUMBER(R393),R393,0)-(Y393-IF(ISNUMBER(T393),T393,0)),"")</f>
        <v/>
      </c>
      <c r="AS393" s="17">
        <f>IF(AND(ISNUMBER(X393),ISNUMBER(Z393)),X393-IF(ISNUMBER(S393),S393,0)-(Z393-IF(ISNUMBER(U393),U393,0)),"")</f>
        <v/>
      </c>
      <c r="AT393" s="17">
        <f>IF(AND(ISNUMBER(AR393),ISNUMBER(AS393)),AR393-AS393,"")</f>
        <v/>
      </c>
      <c r="AU393" s="17">
        <f>IF(E393="금융","",IF(AND(ISNUMBER(L393),ISNUMBER(M393),ISNUMBER(N393),ISNUMBER(AT393)),L393+M393-N393-AT393,IF(AND(ISNUMBER(O393),ISNUMBER(N393)),O393-N393,"")))</f>
        <v/>
      </c>
      <c r="AV393" s="8">
        <f>IF(E393="금융","금융업 - 정의되지 않음",IF(AND(ISNUMBER(L393),ISNUMBER(M393),ISNUMBER(N393),ISNUMBER(AT393)),"순이익+감가상각-설비투자-운전자본증감",IF(AND(ISNUMBER(O393),ISNUMBER(N393)),"영업현금흐름-설비투자","산출불가")))</f>
        <v/>
      </c>
      <c r="AW393" s="19">
        <f>IF(AND(ISNUMBER(AU393),ISNUMBER(G393),G393&lt;&gt;0),AU393/G393,"")</f>
        <v/>
      </c>
      <c r="AX393" s="19">
        <f>IF(AND(ISNUMBER(AC393),ISNUMBER(G393),G393&lt;&gt;0),AC393/G393,"")</f>
        <v/>
      </c>
    </row>
    <row r="394">
      <c r="A394" s="8" t="inlineStr">
        <is>
          <t>HD</t>
        </is>
      </c>
      <c r="B394" s="8" t="inlineStr">
        <is>
          <t>HOME DEPOT, INC.</t>
        </is>
      </c>
      <c r="C394" s="8" t="n">
        <v>2025</v>
      </c>
      <c r="D394" s="8" t="inlineStr">
        <is>
          <t>2026-02-01</t>
        </is>
      </c>
      <c r="E394" s="8" t="inlineStr">
        <is>
          <t>일반</t>
        </is>
      </c>
      <c r="F394" s="8" t="inlineStr">
        <is>
          <t>0001628280-26-019436</t>
        </is>
      </c>
      <c r="G394" s="15" t="n">
        <v>164.683</v>
      </c>
      <c r="H394" s="15" t="n">
        <v>18.602</v>
      </c>
      <c r="I394" s="15" t="n">
        <v>2.412</v>
      </c>
      <c r="J394" s="15" t="n">
        <v>4.446</v>
      </c>
      <c r="K394" s="15" t="n">
        <v>20.89</v>
      </c>
      <c r="L394" s="15" t="n">
        <v>14.156</v>
      </c>
      <c r="M394" s="15" t="n">
        <v>3.514</v>
      </c>
      <c r="N394" s="15" t="n">
        <v>3.679</v>
      </c>
      <c r="O394" s="15" t="n">
        <v>16.325</v>
      </c>
      <c r="P394" s="15" t="n">
        <v>12.813</v>
      </c>
      <c r="Q394" s="15" t="n">
        <v>6.64</v>
      </c>
      <c r="R394" s="15" t="n">
        <v>1.389</v>
      </c>
      <c r="S394" s="15" t="n">
        <v>1.659</v>
      </c>
      <c r="T394" s="15" t="n">
        <v>4.967</v>
      </c>
      <c r="U394" s="15" t="n">
        <v>4.582</v>
      </c>
      <c r="V394" s="15" t="n">
        <v>46.341</v>
      </c>
      <c r="W394" s="15" t="n">
        <v>34.391</v>
      </c>
      <c r="X394" s="15" t="n">
        <v>31.683</v>
      </c>
      <c r="Y394" s="15" t="n">
        <v>32.424</v>
      </c>
      <c r="Z394" s="15" t="n">
        <v>28.661</v>
      </c>
      <c r="AA394" s="15" t="n">
        <v>58.048</v>
      </c>
      <c r="AB394" s="16" t="n">
        <v>996</v>
      </c>
      <c r="AC394" s="17">
        <f>IF(AND(ISNUMBER(H394),ISNUMBER(I394)),H394+I394,IF(ISNUMBER(K394),K394,IF(ISNUMBER(H394),H394,"")))</f>
        <v/>
      </c>
      <c r="AD394" s="18">
        <f>IF(OR(NOT(ISNUMBER(J394)),NOT(ISNUMBER(H394)),H394&lt;=0),기준표!$B$8,MIN(MAX(J394/H394,기준표!$B$6),기준표!$B$7))</f>
        <v/>
      </c>
      <c r="AE394" s="17">
        <f>IF(ISNUMBER(AC394),AC394*(1-AD394),"")</f>
        <v/>
      </c>
      <c r="AF394" s="17">
        <f>IF(AND(NOT(ISNUMBER(T394)),NOT(ISNUMBER(V394))),"",IF(ISNUMBER(T394),T394,0)+IF(ISNUMBER(V394),V394,0))</f>
        <v/>
      </c>
      <c r="AG394" s="17">
        <f>IF(E394="금융","",IF(AND(ISNUMBER(P394),ISNUMBER(AF394),ISNUMBER(R394)),P394+AF394-R394,""))</f>
        <v/>
      </c>
      <c r="AH394" s="17">
        <f>IF(E394="금융","",IF(NOT(ISNUMBER(AG394)),"",IF(ISNUMBER(AA394),(AG394+AA394)/2,AG394)))</f>
        <v/>
      </c>
      <c r="AI394" s="19">
        <f>IF(AND(ISNUMBER(AE394),ISNUMBER(AH394),AH394&gt;0),AE394/AH394,"")</f>
        <v/>
      </c>
      <c r="AJ394" s="17">
        <f>IF(E394="금융","",IF(AND(ISNUMBER(P394),ISNUMBER(AF394)),P394+AF394,""))</f>
        <v/>
      </c>
      <c r="AK394" s="19">
        <f>IF(OR(NOT(ISNUMBER(AE394)),NOT(ISNUMBER(AJ394)),AJ394&lt;=0),"",IF(AND(ISNUMBER(G394),AJ394&lt;0.1*G394),"",AE394/AJ394))</f>
        <v/>
      </c>
      <c r="AL394" s="17">
        <f>IF(NOT(ISNUMBER(P394)),"",IF(ISNUMBER(Q394),(P394+Q394)/2,P394))</f>
        <v/>
      </c>
      <c r="AM394" s="19">
        <f>IF(AND(ISNUMBER(L394),ISNUMBER(AL394),AL394&gt;0),L394/AL394,"")</f>
        <v/>
      </c>
      <c r="AN394" s="19">
        <f>IF(AND(ISNUMBER(AM394),ISNUMBER({ROIC})),AM394-{ROIC},"")</f>
        <v/>
      </c>
      <c r="AO394" s="17">
        <f>IF(AND(ISNUMBER(AC394),ISNUMBER(M394)),AC394+M394,"")</f>
        <v/>
      </c>
      <c r="AP394" s="20">
        <f>IF(AND(ISNUMBER(AF394),ISNUMBER(R394),ISNUMBER(AO394),AO394&gt;0),(AF394-R394)/AO394,"")</f>
        <v/>
      </c>
      <c r="AQ394" s="20">
        <f>IF(AND(ISNUMBER(AC394),ISNUMBER(I394),I394&lt;&gt;0,AC394&gt;0),AC394/I394,"")</f>
        <v/>
      </c>
      <c r="AR394" s="17">
        <f>IF(AND(ISNUMBER(W394),ISNUMBER(Y394)),W394-IF(ISNUMBER(R394),R394,0)-(Y394-IF(ISNUMBER(T394),T394,0)),"")</f>
        <v/>
      </c>
      <c r="AS394" s="17">
        <f>IF(AND(ISNUMBER(X394),ISNUMBER(Z394)),X394-IF(ISNUMBER(S394),S394,0)-(Z394-IF(ISNUMBER(U394),U394,0)),"")</f>
        <v/>
      </c>
      <c r="AT394" s="17">
        <f>IF(AND(ISNUMBER(AR394),ISNUMBER(AS394)),AR394-AS394,"")</f>
        <v/>
      </c>
      <c r="AU394" s="17">
        <f>IF(E394="금융","",IF(AND(ISNUMBER(L394),ISNUMBER(M394),ISNUMBER(N394),ISNUMBER(AT394)),L394+M394-N394-AT394,IF(AND(ISNUMBER(O394),ISNUMBER(N394)),O394-N394,"")))</f>
        <v/>
      </c>
      <c r="AV394" s="8">
        <f>IF(E394="금융","금융업 - 정의되지 않음",IF(AND(ISNUMBER(L394),ISNUMBER(M394),ISNUMBER(N394),ISNUMBER(AT394)),"순이익+감가상각-설비투자-운전자본증감",IF(AND(ISNUMBER(O394),ISNUMBER(N394)),"영업현금흐름-설비투자","산출불가")))</f>
        <v/>
      </c>
      <c r="AW394" s="19">
        <f>IF(AND(ISNUMBER(AU394),ISNUMBER(G394),G394&lt;&gt;0),AU394/G394,"")</f>
        <v/>
      </c>
      <c r="AX394" s="19">
        <f>IF(AND(ISNUMBER(AC394),ISNUMBER(G394),G394&lt;&gt;0),AC394/G394,"")</f>
        <v/>
      </c>
    </row>
    <row r="395">
      <c r="A395" s="8" t="inlineStr">
        <is>
          <t>MS</t>
        </is>
      </c>
      <c r="B395" s="8" t="inlineStr">
        <is>
          <t>MORGAN STANLEY</t>
        </is>
      </c>
      <c r="C395" s="8" t="n">
        <v>2014</v>
      </c>
      <c r="D395" s="8" t="inlineStr">
        <is>
          <t>2014-12-31</t>
        </is>
      </c>
      <c r="E395" s="8" t="inlineStr">
        <is>
          <t>금융</t>
        </is>
      </c>
      <c r="F395" s="8" t="inlineStr">
        <is>
          <t>0001193125-17-059212</t>
        </is>
      </c>
      <c r="G395" s="15" t="n">
        <v>34.275</v>
      </c>
      <c r="H395" s="15" t="n">
        <v>3.591</v>
      </c>
      <c r="I395" s="15" t="n">
        <v>1.735</v>
      </c>
      <c r="J395" s="15" t="n">
        <v>-0.09</v>
      </c>
      <c r="K395" s="15" t="n"/>
      <c r="L395" s="15" t="n">
        <v>3.467</v>
      </c>
      <c r="M395" s="15" t="n">
        <v>1.161</v>
      </c>
      <c r="N395" s="15" t="n"/>
      <c r="O395" s="15" t="n"/>
      <c r="P395" s="15" t="n">
        <v>70.90000000000001</v>
      </c>
      <c r="Q395" s="15" t="n"/>
      <c r="R395" s="15" t="n">
        <v>87.59099999999999</v>
      </c>
      <c r="S395" s="15" t="n"/>
      <c r="T395" s="15" t="n">
        <v>20.74</v>
      </c>
      <c r="U395" s="15" t="n"/>
      <c r="V395" s="15" t="n">
        <v>152.772</v>
      </c>
      <c r="W395" s="15" t="n"/>
      <c r="X395" s="15" t="n"/>
      <c r="Y395" s="15" t="n"/>
      <c r="Z395" s="15" t="n"/>
      <c r="AA395" s="15" t="n"/>
      <c r="AB395" s="16" t="n">
        <v>1951</v>
      </c>
      <c r="AC395" s="17">
        <f>IF(AND(ISNUMBER(H395),ISNUMBER(I395)),H395+I395,IF(ISNUMBER(K395),K395,IF(ISNUMBER(H395),H395,"")))</f>
        <v/>
      </c>
      <c r="AD395" s="18">
        <f>IF(OR(NOT(ISNUMBER(J395)),NOT(ISNUMBER(H395)),H395&lt;=0),기준표!$B$8,MIN(MAX(J395/H395,기준표!$B$6),기준표!$B$7))</f>
        <v/>
      </c>
      <c r="AE395" s="17">
        <f>IF(ISNUMBER(AC395),AC395*(1-AD395),"")</f>
        <v/>
      </c>
      <c r="AF395" s="17">
        <f>IF(AND(NOT(ISNUMBER(T395)),NOT(ISNUMBER(V395))),"",IF(ISNUMBER(T395),T395,0)+IF(ISNUMBER(V395),V395,0))</f>
        <v/>
      </c>
      <c r="AG395" s="17">
        <f>IF(E395="금융","",IF(AND(ISNUMBER(P395),ISNUMBER(AF395),ISNUMBER(R395)),P395+AF395-R395,""))</f>
        <v/>
      </c>
      <c r="AH395" s="17">
        <f>IF(E395="금융","",IF(NOT(ISNUMBER(AG395)),"",IF(ISNUMBER(AA395),(AG395+AA395)/2,AG395)))</f>
        <v/>
      </c>
      <c r="AI395" s="19">
        <f>IF(AND(ISNUMBER(AE395),ISNUMBER(AH395),AH395&gt;0),AE395/AH395,"")</f>
        <v/>
      </c>
      <c r="AJ395" s="17">
        <f>IF(E395="금융","",IF(AND(ISNUMBER(P395),ISNUMBER(AF395)),P395+AF395,""))</f>
        <v/>
      </c>
      <c r="AK395" s="19">
        <f>IF(OR(NOT(ISNUMBER(AE395)),NOT(ISNUMBER(AJ395)),AJ395&lt;=0),"",IF(AND(ISNUMBER(G395),AJ395&lt;0.1*G395),"",AE395/AJ395))</f>
        <v/>
      </c>
      <c r="AL395" s="17">
        <f>IF(NOT(ISNUMBER(P395)),"",IF(ISNUMBER(Q395),(P395+Q395)/2,P395))</f>
        <v/>
      </c>
      <c r="AM395" s="19">
        <f>IF(AND(ISNUMBER(L395),ISNUMBER(AL395),AL395&gt;0),L395/AL395,"")</f>
        <v/>
      </c>
      <c r="AN395" s="19">
        <f>IF(AND(ISNUMBER(AM395),ISNUMBER({ROIC})),AM395-{ROIC},"")</f>
        <v/>
      </c>
      <c r="AO395" s="17">
        <f>IF(AND(ISNUMBER(AC395),ISNUMBER(M395)),AC395+M395,"")</f>
        <v/>
      </c>
      <c r="AP395" s="20">
        <f>IF(AND(ISNUMBER(AF395),ISNUMBER(R395),ISNUMBER(AO395),AO395&gt;0),(AF395-R395)/AO395,"")</f>
        <v/>
      </c>
      <c r="AQ395" s="20">
        <f>IF(AND(ISNUMBER(AC395),ISNUMBER(I395),I395&lt;&gt;0,AC395&gt;0),AC395/I395,"")</f>
        <v/>
      </c>
      <c r="AR395" s="17">
        <f>IF(AND(ISNUMBER(W395),ISNUMBER(Y395)),W395-IF(ISNUMBER(R395),R395,0)-(Y395-IF(ISNUMBER(T395),T395,0)),"")</f>
        <v/>
      </c>
      <c r="AS395" s="17">
        <f>IF(AND(ISNUMBER(X395),ISNUMBER(Z395)),X395-IF(ISNUMBER(S395),S395,0)-(Z395-IF(ISNUMBER(U395),U395,0)),"")</f>
        <v/>
      </c>
      <c r="AT395" s="17">
        <f>IF(AND(ISNUMBER(AR395),ISNUMBER(AS395)),AR395-AS395,"")</f>
        <v/>
      </c>
      <c r="AU395" s="17">
        <f>IF(E395="금융","",IF(AND(ISNUMBER(L395),ISNUMBER(M395),ISNUMBER(N395),ISNUMBER(AT395)),L395+M395-N395-AT395,IF(AND(ISNUMBER(O395),ISNUMBER(N395)),O395-N395,"")))</f>
        <v/>
      </c>
      <c r="AV395" s="8">
        <f>IF(E395="금융","금융업 - 정의되지 않음",IF(AND(ISNUMBER(L395),ISNUMBER(M395),ISNUMBER(N395),ISNUMBER(AT395)),"순이익+감가상각-설비투자-운전자본증감",IF(AND(ISNUMBER(O395),ISNUMBER(N395)),"영업현금흐름-설비투자","산출불가")))</f>
        <v/>
      </c>
      <c r="AW395" s="19">
        <f>IF(AND(ISNUMBER(AU395),ISNUMBER(G395),G395&lt;&gt;0),AU395/G395,"")</f>
        <v/>
      </c>
      <c r="AX395" s="19">
        <f>IF(AND(ISNUMBER(AC395),ISNUMBER(G395),G395&lt;&gt;0),AC395/G395,"")</f>
        <v/>
      </c>
    </row>
    <row r="396">
      <c r="A396" s="8" t="inlineStr">
        <is>
          <t>MS</t>
        </is>
      </c>
      <c r="B396" s="8" t="inlineStr">
        <is>
          <t>MORGAN STANLEY</t>
        </is>
      </c>
      <c r="C396" s="8" t="n">
        <v>2015</v>
      </c>
      <c r="D396" s="8" t="inlineStr">
        <is>
          <t>2015-12-31</t>
        </is>
      </c>
      <c r="E396" s="8" t="inlineStr">
        <is>
          <t>금융</t>
        </is>
      </c>
      <c r="F396" s="8" t="inlineStr">
        <is>
          <t>0001193125-18-060831</t>
        </is>
      </c>
      <c r="G396" s="15" t="n">
        <v>35.155</v>
      </c>
      <c r="H396" s="15" t="n">
        <v>8.494999999999999</v>
      </c>
      <c r="I396" s="15" t="n">
        <v>3.093</v>
      </c>
      <c r="J396" s="15" t="n">
        <v>2.2</v>
      </c>
      <c r="K396" s="15" t="n"/>
      <c r="L396" s="15" t="n">
        <v>6.127</v>
      </c>
      <c r="M396" s="15" t="n">
        <v>1.433</v>
      </c>
      <c r="N396" s="15" t="n"/>
      <c r="O396" s="15" t="n">
        <v>-4.463</v>
      </c>
      <c r="P396" s="15" t="n">
        <v>75.182</v>
      </c>
      <c r="Q396" s="15" t="n">
        <v>70.90000000000001</v>
      </c>
      <c r="R396" s="15" t="n">
        <v>85.55200000000001</v>
      </c>
      <c r="S396" s="15" t="n">
        <v>87.59099999999999</v>
      </c>
      <c r="T396" s="15" t="n">
        <v>22.396</v>
      </c>
      <c r="U396" s="15" t="n">
        <v>20.74</v>
      </c>
      <c r="V396" s="15" t="n">
        <v>153.768</v>
      </c>
      <c r="W396" s="15" t="n"/>
      <c r="X396" s="15" t="n"/>
      <c r="Y396" s="15" t="n"/>
      <c r="Z396" s="15" t="n"/>
      <c r="AA396" s="15" t="n"/>
      <c r="AB396" s="16" t="n">
        <v>1920</v>
      </c>
      <c r="AC396" s="17">
        <f>IF(AND(ISNUMBER(H396),ISNUMBER(I396)),H396+I396,IF(ISNUMBER(K396),K396,IF(ISNUMBER(H396),H396,"")))</f>
        <v/>
      </c>
      <c r="AD396" s="18">
        <f>IF(OR(NOT(ISNUMBER(J396)),NOT(ISNUMBER(H396)),H396&lt;=0),기준표!$B$8,MIN(MAX(J396/H396,기준표!$B$6),기준표!$B$7))</f>
        <v/>
      </c>
      <c r="AE396" s="17">
        <f>IF(ISNUMBER(AC396),AC396*(1-AD396),"")</f>
        <v/>
      </c>
      <c r="AF396" s="17">
        <f>IF(AND(NOT(ISNUMBER(T396)),NOT(ISNUMBER(V396))),"",IF(ISNUMBER(T396),T396,0)+IF(ISNUMBER(V396),V396,0))</f>
        <v/>
      </c>
      <c r="AG396" s="17">
        <f>IF(E396="금융","",IF(AND(ISNUMBER(P396),ISNUMBER(AF396),ISNUMBER(R396)),P396+AF396-R396,""))</f>
        <v/>
      </c>
      <c r="AH396" s="17">
        <f>IF(E396="금융","",IF(NOT(ISNUMBER(AG396)),"",IF(ISNUMBER(AA396),(AG396+AA396)/2,AG396)))</f>
        <v/>
      </c>
      <c r="AI396" s="19">
        <f>IF(AND(ISNUMBER(AE396),ISNUMBER(AH396),AH396&gt;0),AE396/AH396,"")</f>
        <v/>
      </c>
      <c r="AJ396" s="17">
        <f>IF(E396="금융","",IF(AND(ISNUMBER(P396),ISNUMBER(AF396)),P396+AF396,""))</f>
        <v/>
      </c>
      <c r="AK396" s="19">
        <f>IF(OR(NOT(ISNUMBER(AE396)),NOT(ISNUMBER(AJ396)),AJ396&lt;=0),"",IF(AND(ISNUMBER(G396),AJ396&lt;0.1*G396),"",AE396/AJ396))</f>
        <v/>
      </c>
      <c r="AL396" s="17">
        <f>IF(NOT(ISNUMBER(P396)),"",IF(ISNUMBER(Q396),(P396+Q396)/2,P396))</f>
        <v/>
      </c>
      <c r="AM396" s="19">
        <f>IF(AND(ISNUMBER(L396),ISNUMBER(AL396),AL396&gt;0),L396/AL396,"")</f>
        <v/>
      </c>
      <c r="AN396" s="19">
        <f>IF(AND(ISNUMBER(AM396),ISNUMBER({ROIC})),AM396-{ROIC},"")</f>
        <v/>
      </c>
      <c r="AO396" s="17">
        <f>IF(AND(ISNUMBER(AC396),ISNUMBER(M396)),AC396+M396,"")</f>
        <v/>
      </c>
      <c r="AP396" s="20">
        <f>IF(AND(ISNUMBER(AF396),ISNUMBER(R396),ISNUMBER(AO396),AO396&gt;0),(AF396-R396)/AO396,"")</f>
        <v/>
      </c>
      <c r="AQ396" s="20">
        <f>IF(AND(ISNUMBER(AC396),ISNUMBER(I396),I396&lt;&gt;0,AC396&gt;0),AC396/I396,"")</f>
        <v/>
      </c>
      <c r="AR396" s="17">
        <f>IF(AND(ISNUMBER(W396),ISNUMBER(Y396)),W396-IF(ISNUMBER(R396),R396,0)-(Y396-IF(ISNUMBER(T396),T396,0)),"")</f>
        <v/>
      </c>
      <c r="AS396" s="17">
        <f>IF(AND(ISNUMBER(X396),ISNUMBER(Z396)),X396-IF(ISNUMBER(S396),S396,0)-(Z396-IF(ISNUMBER(U396),U396,0)),"")</f>
        <v/>
      </c>
      <c r="AT396" s="17">
        <f>IF(AND(ISNUMBER(AR396),ISNUMBER(AS396)),AR396-AS396,"")</f>
        <v/>
      </c>
      <c r="AU396" s="17">
        <f>IF(E396="금융","",IF(AND(ISNUMBER(L396),ISNUMBER(M396),ISNUMBER(N396),ISNUMBER(AT396)),L396+M396-N396-AT396,IF(AND(ISNUMBER(O396),ISNUMBER(N396)),O396-N396,"")))</f>
        <v/>
      </c>
      <c r="AV396" s="8">
        <f>IF(E396="금융","금융업 - 정의되지 않음",IF(AND(ISNUMBER(L396),ISNUMBER(M396),ISNUMBER(N396),ISNUMBER(AT396)),"순이익+감가상각-설비투자-운전자본증감",IF(AND(ISNUMBER(O396),ISNUMBER(N396)),"영업현금흐름-설비투자","산출불가")))</f>
        <v/>
      </c>
      <c r="AW396" s="19">
        <f>IF(AND(ISNUMBER(AU396),ISNUMBER(G396),G396&lt;&gt;0),AU396/G396,"")</f>
        <v/>
      </c>
      <c r="AX396" s="19">
        <f>IF(AND(ISNUMBER(AC396),ISNUMBER(G396),G396&lt;&gt;0),AC396/G396,"")</f>
        <v/>
      </c>
    </row>
    <row r="397">
      <c r="A397" s="8" t="inlineStr">
        <is>
          <t>MS</t>
        </is>
      </c>
      <c r="B397" s="8" t="inlineStr">
        <is>
          <t>MORGAN STANLEY</t>
        </is>
      </c>
      <c r="C397" s="8" t="n">
        <v>2016</v>
      </c>
      <c r="D397" s="8" t="inlineStr">
        <is>
          <t>2016-12-31</t>
        </is>
      </c>
      <c r="E397" s="8" t="inlineStr">
        <is>
          <t>금융</t>
        </is>
      </c>
      <c r="F397" s="8" t="inlineStr">
        <is>
          <t>0001193125-19-051943</t>
        </is>
      </c>
      <c r="G397" s="15" t="n">
        <v>34.631</v>
      </c>
      <c r="H397" s="15" t="n">
        <v>8.848000000000001</v>
      </c>
      <c r="I397" s="15" t="n">
        <v>3.698</v>
      </c>
      <c r="J397" s="15" t="n">
        <v>2.726</v>
      </c>
      <c r="K397" s="15" t="n"/>
      <c r="L397" s="15" t="n">
        <v>5.979</v>
      </c>
      <c r="M397" s="15" t="n">
        <v>1.736</v>
      </c>
      <c r="N397" s="15" t="n"/>
      <c r="O397" s="15" t="n">
        <v>5.383</v>
      </c>
      <c r="P397" s="15" t="n">
        <v>76.05</v>
      </c>
      <c r="Q397" s="15" t="n">
        <v>75.182</v>
      </c>
      <c r="R397" s="15" t="n">
        <v>77.36</v>
      </c>
      <c r="S397" s="15" t="n">
        <v>85.55200000000001</v>
      </c>
      <c r="T397" s="15" t="n">
        <v>26.127</v>
      </c>
      <c r="U397" s="15" t="n">
        <v>22.396</v>
      </c>
      <c r="V397" s="15" t="n">
        <v>164.775</v>
      </c>
      <c r="W397" s="15" t="n"/>
      <c r="X397" s="15" t="n"/>
      <c r="Y397" s="15" t="n"/>
      <c r="Z397" s="15" t="n"/>
      <c r="AA397" s="15" t="n"/>
      <c r="AB397" s="16" t="n">
        <v>1852</v>
      </c>
      <c r="AC397" s="17">
        <f>IF(AND(ISNUMBER(H397),ISNUMBER(I397)),H397+I397,IF(ISNUMBER(K397),K397,IF(ISNUMBER(H397),H397,"")))</f>
        <v/>
      </c>
      <c r="AD397" s="18">
        <f>IF(OR(NOT(ISNUMBER(J397)),NOT(ISNUMBER(H397)),H397&lt;=0),기준표!$B$8,MIN(MAX(J397/H397,기준표!$B$6),기준표!$B$7))</f>
        <v/>
      </c>
      <c r="AE397" s="17">
        <f>IF(ISNUMBER(AC397),AC397*(1-AD397),"")</f>
        <v/>
      </c>
      <c r="AF397" s="17">
        <f>IF(AND(NOT(ISNUMBER(T397)),NOT(ISNUMBER(V397))),"",IF(ISNUMBER(T397),T397,0)+IF(ISNUMBER(V397),V397,0))</f>
        <v/>
      </c>
      <c r="AG397" s="17">
        <f>IF(E397="금융","",IF(AND(ISNUMBER(P397),ISNUMBER(AF397),ISNUMBER(R397)),P397+AF397-R397,""))</f>
        <v/>
      </c>
      <c r="AH397" s="17">
        <f>IF(E397="금융","",IF(NOT(ISNUMBER(AG397)),"",IF(ISNUMBER(AA397),(AG397+AA397)/2,AG397)))</f>
        <v/>
      </c>
      <c r="AI397" s="19">
        <f>IF(AND(ISNUMBER(AE397),ISNUMBER(AH397),AH397&gt;0),AE397/AH397,"")</f>
        <v/>
      </c>
      <c r="AJ397" s="17">
        <f>IF(E397="금융","",IF(AND(ISNUMBER(P397),ISNUMBER(AF397)),P397+AF397,""))</f>
        <v/>
      </c>
      <c r="AK397" s="19">
        <f>IF(OR(NOT(ISNUMBER(AE397)),NOT(ISNUMBER(AJ397)),AJ397&lt;=0),"",IF(AND(ISNUMBER(G397),AJ397&lt;0.1*G397),"",AE397/AJ397))</f>
        <v/>
      </c>
      <c r="AL397" s="17">
        <f>IF(NOT(ISNUMBER(P397)),"",IF(ISNUMBER(Q397),(P397+Q397)/2,P397))</f>
        <v/>
      </c>
      <c r="AM397" s="19">
        <f>IF(AND(ISNUMBER(L397),ISNUMBER(AL397),AL397&gt;0),L397/AL397,"")</f>
        <v/>
      </c>
      <c r="AN397" s="19">
        <f>IF(AND(ISNUMBER(AM397),ISNUMBER({ROIC})),AM397-{ROIC},"")</f>
        <v/>
      </c>
      <c r="AO397" s="17">
        <f>IF(AND(ISNUMBER(AC397),ISNUMBER(M397)),AC397+M397,"")</f>
        <v/>
      </c>
      <c r="AP397" s="20">
        <f>IF(AND(ISNUMBER(AF397),ISNUMBER(R397),ISNUMBER(AO397),AO397&gt;0),(AF397-R397)/AO397,"")</f>
        <v/>
      </c>
      <c r="AQ397" s="20">
        <f>IF(AND(ISNUMBER(AC397),ISNUMBER(I397),I397&lt;&gt;0,AC397&gt;0),AC397/I397,"")</f>
        <v/>
      </c>
      <c r="AR397" s="17">
        <f>IF(AND(ISNUMBER(W397),ISNUMBER(Y397)),W397-IF(ISNUMBER(R397),R397,0)-(Y397-IF(ISNUMBER(T397),T397,0)),"")</f>
        <v/>
      </c>
      <c r="AS397" s="17">
        <f>IF(AND(ISNUMBER(X397),ISNUMBER(Z397)),X397-IF(ISNUMBER(S397),S397,0)-(Z397-IF(ISNUMBER(U397),U397,0)),"")</f>
        <v/>
      </c>
      <c r="AT397" s="17">
        <f>IF(AND(ISNUMBER(AR397),ISNUMBER(AS397)),AR397-AS397,"")</f>
        <v/>
      </c>
      <c r="AU397" s="17">
        <f>IF(E397="금융","",IF(AND(ISNUMBER(L397),ISNUMBER(M397),ISNUMBER(N397),ISNUMBER(AT397)),L397+M397-N397-AT397,IF(AND(ISNUMBER(O397),ISNUMBER(N397)),O397-N397,"")))</f>
        <v/>
      </c>
      <c r="AV397" s="8">
        <f>IF(E397="금융","금융업 - 정의되지 않음",IF(AND(ISNUMBER(L397),ISNUMBER(M397),ISNUMBER(N397),ISNUMBER(AT397)),"순이익+감가상각-설비투자-운전자본증감",IF(AND(ISNUMBER(O397),ISNUMBER(N397)),"영업현금흐름-설비투자","산출불가")))</f>
        <v/>
      </c>
      <c r="AW397" s="19">
        <f>IF(AND(ISNUMBER(AU397),ISNUMBER(G397),G397&lt;&gt;0),AU397/G397,"")</f>
        <v/>
      </c>
      <c r="AX397" s="19">
        <f>IF(AND(ISNUMBER(AC397),ISNUMBER(G397),G397&lt;&gt;0),AC397/G397,"")</f>
        <v/>
      </c>
    </row>
    <row r="398">
      <c r="A398" s="8" t="inlineStr">
        <is>
          <t>MS</t>
        </is>
      </c>
      <c r="B398" s="8" t="inlineStr">
        <is>
          <t>MORGAN STANLEY</t>
        </is>
      </c>
      <c r="C398" s="8" t="n">
        <v>2017</v>
      </c>
      <c r="D398" s="8" t="inlineStr">
        <is>
          <t>2017-12-31</t>
        </is>
      </c>
      <c r="E398" s="8" t="inlineStr">
        <is>
          <t>금융</t>
        </is>
      </c>
      <c r="F398" s="8" t="inlineStr">
        <is>
          <t>0000895421-20-000265</t>
        </is>
      </c>
      <c r="G398" s="15" t="n">
        <v>37.945</v>
      </c>
      <c r="H398" s="15" t="n">
        <v>10.403</v>
      </c>
      <c r="I398" s="15" t="n">
        <v>3.3</v>
      </c>
      <c r="J398" s="15" t="n">
        <v>4.168</v>
      </c>
      <c r="K398" s="15" t="n"/>
      <c r="L398" s="15" t="n">
        <v>6.111</v>
      </c>
      <c r="M398" s="15" t="n">
        <v>1.753</v>
      </c>
      <c r="N398" s="15" t="n"/>
      <c r="O398" s="15" t="n">
        <v>-4.505</v>
      </c>
      <c r="P398" s="15" t="n">
        <v>77.39100000000001</v>
      </c>
      <c r="Q398" s="15" t="n">
        <v>76.05</v>
      </c>
      <c r="R398" s="15" t="n">
        <v>80.395</v>
      </c>
      <c r="S398" s="15" t="n">
        <v>77.36</v>
      </c>
      <c r="T398" s="15" t="n">
        <v>23.87</v>
      </c>
      <c r="U398" s="15" t="n">
        <v>26.127</v>
      </c>
      <c r="V398" s="15" t="n">
        <v>191.063</v>
      </c>
      <c r="W398" s="15" t="n"/>
      <c r="X398" s="15" t="n"/>
      <c r="Y398" s="15" t="n"/>
      <c r="Z398" s="15" t="n"/>
      <c r="AA398" s="15" t="n"/>
      <c r="AB398" s="16" t="n">
        <v>1788</v>
      </c>
      <c r="AC398" s="17">
        <f>IF(AND(ISNUMBER(H398),ISNUMBER(I398)),H398+I398,IF(ISNUMBER(K398),K398,IF(ISNUMBER(H398),H398,"")))</f>
        <v/>
      </c>
      <c r="AD398" s="18">
        <f>IF(OR(NOT(ISNUMBER(J398)),NOT(ISNUMBER(H398)),H398&lt;=0),기준표!$B$8,MIN(MAX(J398/H398,기준표!$B$6),기준표!$B$7))</f>
        <v/>
      </c>
      <c r="AE398" s="17">
        <f>IF(ISNUMBER(AC398),AC398*(1-AD398),"")</f>
        <v/>
      </c>
      <c r="AF398" s="17">
        <f>IF(AND(NOT(ISNUMBER(T398)),NOT(ISNUMBER(V398))),"",IF(ISNUMBER(T398),T398,0)+IF(ISNUMBER(V398),V398,0))</f>
        <v/>
      </c>
      <c r="AG398" s="17">
        <f>IF(E398="금융","",IF(AND(ISNUMBER(P398),ISNUMBER(AF398),ISNUMBER(R398)),P398+AF398-R398,""))</f>
        <v/>
      </c>
      <c r="AH398" s="17">
        <f>IF(E398="금융","",IF(NOT(ISNUMBER(AG398)),"",IF(ISNUMBER(AA398),(AG398+AA398)/2,AG398)))</f>
        <v/>
      </c>
      <c r="AI398" s="19">
        <f>IF(AND(ISNUMBER(AE398),ISNUMBER(AH398),AH398&gt;0),AE398/AH398,"")</f>
        <v/>
      </c>
      <c r="AJ398" s="17">
        <f>IF(E398="금융","",IF(AND(ISNUMBER(P398),ISNUMBER(AF398)),P398+AF398,""))</f>
        <v/>
      </c>
      <c r="AK398" s="19">
        <f>IF(OR(NOT(ISNUMBER(AE398)),NOT(ISNUMBER(AJ398)),AJ398&lt;=0),"",IF(AND(ISNUMBER(G398),AJ398&lt;0.1*G398),"",AE398/AJ398))</f>
        <v/>
      </c>
      <c r="AL398" s="17">
        <f>IF(NOT(ISNUMBER(P398)),"",IF(ISNUMBER(Q398),(P398+Q398)/2,P398))</f>
        <v/>
      </c>
      <c r="AM398" s="19">
        <f>IF(AND(ISNUMBER(L398),ISNUMBER(AL398),AL398&gt;0),L398/AL398,"")</f>
        <v/>
      </c>
      <c r="AN398" s="19">
        <f>IF(AND(ISNUMBER(AM398),ISNUMBER({ROIC})),AM398-{ROIC},"")</f>
        <v/>
      </c>
      <c r="AO398" s="17">
        <f>IF(AND(ISNUMBER(AC398),ISNUMBER(M398)),AC398+M398,"")</f>
        <v/>
      </c>
      <c r="AP398" s="20">
        <f>IF(AND(ISNUMBER(AF398),ISNUMBER(R398),ISNUMBER(AO398),AO398&gt;0),(AF398-R398)/AO398,"")</f>
        <v/>
      </c>
      <c r="AQ398" s="20">
        <f>IF(AND(ISNUMBER(AC398),ISNUMBER(I398),I398&lt;&gt;0,AC398&gt;0),AC398/I398,"")</f>
        <v/>
      </c>
      <c r="AR398" s="17">
        <f>IF(AND(ISNUMBER(W398),ISNUMBER(Y398)),W398-IF(ISNUMBER(R398),R398,0)-(Y398-IF(ISNUMBER(T398),T398,0)),"")</f>
        <v/>
      </c>
      <c r="AS398" s="17">
        <f>IF(AND(ISNUMBER(X398),ISNUMBER(Z398)),X398-IF(ISNUMBER(S398),S398,0)-(Z398-IF(ISNUMBER(U398),U398,0)),"")</f>
        <v/>
      </c>
      <c r="AT398" s="17">
        <f>IF(AND(ISNUMBER(AR398),ISNUMBER(AS398)),AR398-AS398,"")</f>
        <v/>
      </c>
      <c r="AU398" s="17">
        <f>IF(E398="금융","",IF(AND(ISNUMBER(L398),ISNUMBER(M398),ISNUMBER(N398),ISNUMBER(AT398)),L398+M398-N398-AT398,IF(AND(ISNUMBER(O398),ISNUMBER(N398)),O398-N398,"")))</f>
        <v/>
      </c>
      <c r="AV398" s="8">
        <f>IF(E398="금융","금융업 - 정의되지 않음",IF(AND(ISNUMBER(L398),ISNUMBER(M398),ISNUMBER(N398),ISNUMBER(AT398)),"순이익+감가상각-설비투자-운전자본증감",IF(AND(ISNUMBER(O398),ISNUMBER(N398)),"영업현금흐름-설비투자","산출불가")))</f>
        <v/>
      </c>
      <c r="AW398" s="19">
        <f>IF(AND(ISNUMBER(AU398),ISNUMBER(G398),G398&lt;&gt;0),AU398/G398,"")</f>
        <v/>
      </c>
      <c r="AX398" s="19">
        <f>IF(AND(ISNUMBER(AC398),ISNUMBER(G398),G398&lt;&gt;0),AC398/G398,"")</f>
        <v/>
      </c>
    </row>
    <row r="399">
      <c r="A399" s="8" t="inlineStr">
        <is>
          <t>MS</t>
        </is>
      </c>
      <c r="B399" s="8" t="inlineStr">
        <is>
          <t>MORGAN STANLEY</t>
        </is>
      </c>
      <c r="C399" s="8" t="n">
        <v>2018</v>
      </c>
      <c r="D399" s="8" t="inlineStr">
        <is>
          <t>2018-12-31</t>
        </is>
      </c>
      <c r="E399" s="8" t="inlineStr">
        <is>
          <t>금융</t>
        </is>
      </c>
      <c r="F399" s="8" t="inlineStr">
        <is>
          <t>0000895421-21-000286</t>
        </is>
      </c>
      <c r="G399" s="15" t="n">
        <v>40.107</v>
      </c>
      <c r="H399" s="15" t="n">
        <v>11.237</v>
      </c>
      <c r="I399" s="15" t="n">
        <v>3.806</v>
      </c>
      <c r="J399" s="15" t="n">
        <v>2.35</v>
      </c>
      <c r="K399" s="15" t="n"/>
      <c r="L399" s="15" t="n">
        <v>8.747999999999999</v>
      </c>
      <c r="M399" s="15" t="n">
        <v>1.844</v>
      </c>
      <c r="N399" s="15" t="n"/>
      <c r="O399" s="15" t="n">
        <v>7.305</v>
      </c>
      <c r="P399" s="15" t="n">
        <v>80.246</v>
      </c>
      <c r="Q399" s="15" t="n">
        <v>77.39100000000001</v>
      </c>
      <c r="R399" s="15" t="n">
        <v>87.196</v>
      </c>
      <c r="S399" s="15" t="n">
        <v>80.395</v>
      </c>
      <c r="T399" s="15" t="n">
        <v>24.694</v>
      </c>
      <c r="U399" s="15" t="n">
        <v>23.87</v>
      </c>
      <c r="V399" s="15" t="n">
        <v>188.117</v>
      </c>
      <c r="W399" s="15" t="n"/>
      <c r="X399" s="15" t="n"/>
      <c r="Y399" s="15" t="n"/>
      <c r="Z399" s="15" t="n"/>
      <c r="AA399" s="15" t="n"/>
      <c r="AB399" s="16" t="n">
        <v>1700</v>
      </c>
      <c r="AC399" s="17">
        <f>IF(AND(ISNUMBER(H399),ISNUMBER(I399)),H399+I399,IF(ISNUMBER(K399),K399,IF(ISNUMBER(H399),H399,"")))</f>
        <v/>
      </c>
      <c r="AD399" s="18">
        <f>IF(OR(NOT(ISNUMBER(J399)),NOT(ISNUMBER(H399)),H399&lt;=0),기준표!$B$8,MIN(MAX(J399/H399,기준표!$B$6),기준표!$B$7))</f>
        <v/>
      </c>
      <c r="AE399" s="17">
        <f>IF(ISNUMBER(AC399),AC399*(1-AD399),"")</f>
        <v/>
      </c>
      <c r="AF399" s="17">
        <f>IF(AND(NOT(ISNUMBER(T399)),NOT(ISNUMBER(V399))),"",IF(ISNUMBER(T399),T399,0)+IF(ISNUMBER(V399),V399,0))</f>
        <v/>
      </c>
      <c r="AG399" s="17">
        <f>IF(E399="금융","",IF(AND(ISNUMBER(P399),ISNUMBER(AF399),ISNUMBER(R399)),P399+AF399-R399,""))</f>
        <v/>
      </c>
      <c r="AH399" s="17">
        <f>IF(E399="금융","",IF(NOT(ISNUMBER(AG399)),"",IF(ISNUMBER(AA399),(AG399+AA399)/2,AG399)))</f>
        <v/>
      </c>
      <c r="AI399" s="19">
        <f>IF(AND(ISNUMBER(AE399),ISNUMBER(AH399),AH399&gt;0),AE399/AH399,"")</f>
        <v/>
      </c>
      <c r="AJ399" s="17">
        <f>IF(E399="금융","",IF(AND(ISNUMBER(P399),ISNUMBER(AF399)),P399+AF399,""))</f>
        <v/>
      </c>
      <c r="AK399" s="19">
        <f>IF(OR(NOT(ISNUMBER(AE399)),NOT(ISNUMBER(AJ399)),AJ399&lt;=0),"",IF(AND(ISNUMBER(G399),AJ399&lt;0.1*G399),"",AE399/AJ399))</f>
        <v/>
      </c>
      <c r="AL399" s="17">
        <f>IF(NOT(ISNUMBER(P399)),"",IF(ISNUMBER(Q399),(P399+Q399)/2,P399))</f>
        <v/>
      </c>
      <c r="AM399" s="19">
        <f>IF(AND(ISNUMBER(L399),ISNUMBER(AL399),AL399&gt;0),L399/AL399,"")</f>
        <v/>
      </c>
      <c r="AN399" s="19">
        <f>IF(AND(ISNUMBER(AM399),ISNUMBER({ROIC})),AM399-{ROIC},"")</f>
        <v/>
      </c>
      <c r="AO399" s="17">
        <f>IF(AND(ISNUMBER(AC399),ISNUMBER(M399)),AC399+M399,"")</f>
        <v/>
      </c>
      <c r="AP399" s="20">
        <f>IF(AND(ISNUMBER(AF399),ISNUMBER(R399),ISNUMBER(AO399),AO399&gt;0),(AF399-R399)/AO399,"")</f>
        <v/>
      </c>
      <c r="AQ399" s="20">
        <f>IF(AND(ISNUMBER(AC399),ISNUMBER(I399),I399&lt;&gt;0,AC399&gt;0),AC399/I399,"")</f>
        <v/>
      </c>
      <c r="AR399" s="17">
        <f>IF(AND(ISNUMBER(W399),ISNUMBER(Y399)),W399-IF(ISNUMBER(R399),R399,0)-(Y399-IF(ISNUMBER(T399),T399,0)),"")</f>
        <v/>
      </c>
      <c r="AS399" s="17">
        <f>IF(AND(ISNUMBER(X399),ISNUMBER(Z399)),X399-IF(ISNUMBER(S399),S399,0)-(Z399-IF(ISNUMBER(U399),U399,0)),"")</f>
        <v/>
      </c>
      <c r="AT399" s="17">
        <f>IF(AND(ISNUMBER(AR399),ISNUMBER(AS399)),AR399-AS399,"")</f>
        <v/>
      </c>
      <c r="AU399" s="17">
        <f>IF(E399="금융","",IF(AND(ISNUMBER(L399),ISNUMBER(M399),ISNUMBER(N399),ISNUMBER(AT399)),L399+M399-N399-AT399,IF(AND(ISNUMBER(O399),ISNUMBER(N399)),O399-N399,"")))</f>
        <v/>
      </c>
      <c r="AV399" s="8">
        <f>IF(E399="금융","금융업 - 정의되지 않음",IF(AND(ISNUMBER(L399),ISNUMBER(M399),ISNUMBER(N399),ISNUMBER(AT399)),"순이익+감가상각-설비투자-운전자본증감",IF(AND(ISNUMBER(O399),ISNUMBER(N399)),"영업현금흐름-설비투자","산출불가")))</f>
        <v/>
      </c>
      <c r="AW399" s="19">
        <f>IF(AND(ISNUMBER(AU399),ISNUMBER(G399),G399&lt;&gt;0),AU399/G399,"")</f>
        <v/>
      </c>
      <c r="AX399" s="19">
        <f>IF(AND(ISNUMBER(AC399),ISNUMBER(G399),G399&lt;&gt;0),AC399/G399,"")</f>
        <v/>
      </c>
    </row>
    <row r="400">
      <c r="A400" s="8" t="inlineStr">
        <is>
          <t>MS</t>
        </is>
      </c>
      <c r="B400" s="8" t="inlineStr">
        <is>
          <t>MORGAN STANLEY</t>
        </is>
      </c>
      <c r="C400" s="8" t="n">
        <v>2019</v>
      </c>
      <c r="D400" s="8" t="inlineStr">
        <is>
          <t>2019-12-31</t>
        </is>
      </c>
      <c r="E400" s="8" t="inlineStr">
        <is>
          <t>금융</t>
        </is>
      </c>
      <c r="F400" s="8" t="inlineStr">
        <is>
          <t>0000895421-22-000400</t>
        </is>
      </c>
      <c r="G400" s="15" t="n">
        <v>41.538</v>
      </c>
      <c r="H400" s="15" t="n">
        <v>11.301</v>
      </c>
      <c r="I400" s="15" t="n">
        <v>4.694</v>
      </c>
      <c r="J400" s="15" t="n">
        <v>2.064</v>
      </c>
      <c r="K400" s="15" t="n"/>
      <c r="L400" s="15" t="n">
        <v>9.042</v>
      </c>
      <c r="M400" s="15" t="n">
        <v>2.643</v>
      </c>
      <c r="N400" s="15" t="n"/>
      <c r="O400" s="15" t="n">
        <v>40.773</v>
      </c>
      <c r="P400" s="15" t="n">
        <v>81.54900000000001</v>
      </c>
      <c r="Q400" s="15" t="n">
        <v>80.246</v>
      </c>
      <c r="R400" s="15" t="n">
        <v>82.17100000000001</v>
      </c>
      <c r="S400" s="15" t="n">
        <v>87.196</v>
      </c>
      <c r="T400" s="15" t="n">
        <v>20.402</v>
      </c>
      <c r="U400" s="15" t="n">
        <v>24.694</v>
      </c>
      <c r="V400" s="15" t="n">
        <v>190.06</v>
      </c>
      <c r="W400" s="15" t="n"/>
      <c r="X400" s="15" t="n"/>
      <c r="Y400" s="15" t="n"/>
      <c r="Z400" s="15" t="n"/>
      <c r="AA400" s="15" t="n"/>
      <c r="AB400" s="16" t="n">
        <v>1594</v>
      </c>
      <c r="AC400" s="17">
        <f>IF(AND(ISNUMBER(H400),ISNUMBER(I400)),H400+I400,IF(ISNUMBER(K400),K400,IF(ISNUMBER(H400),H400,"")))</f>
        <v/>
      </c>
      <c r="AD400" s="18">
        <f>IF(OR(NOT(ISNUMBER(J400)),NOT(ISNUMBER(H400)),H400&lt;=0),기준표!$B$8,MIN(MAX(J400/H400,기준표!$B$6),기준표!$B$7))</f>
        <v/>
      </c>
      <c r="AE400" s="17">
        <f>IF(ISNUMBER(AC400),AC400*(1-AD400),"")</f>
        <v/>
      </c>
      <c r="AF400" s="17">
        <f>IF(AND(NOT(ISNUMBER(T400)),NOT(ISNUMBER(V400))),"",IF(ISNUMBER(T400),T400,0)+IF(ISNUMBER(V400),V400,0))</f>
        <v/>
      </c>
      <c r="AG400" s="17">
        <f>IF(E400="금융","",IF(AND(ISNUMBER(P400),ISNUMBER(AF400),ISNUMBER(R400)),P400+AF400-R400,""))</f>
        <v/>
      </c>
      <c r="AH400" s="17">
        <f>IF(E400="금융","",IF(NOT(ISNUMBER(AG400)),"",IF(ISNUMBER(AA400),(AG400+AA400)/2,AG400)))</f>
        <v/>
      </c>
      <c r="AI400" s="19">
        <f>IF(AND(ISNUMBER(AE400),ISNUMBER(AH400),AH400&gt;0),AE400/AH400,"")</f>
        <v/>
      </c>
      <c r="AJ400" s="17">
        <f>IF(E400="금융","",IF(AND(ISNUMBER(P400),ISNUMBER(AF400)),P400+AF400,""))</f>
        <v/>
      </c>
      <c r="AK400" s="19">
        <f>IF(OR(NOT(ISNUMBER(AE400)),NOT(ISNUMBER(AJ400)),AJ400&lt;=0),"",IF(AND(ISNUMBER(G400),AJ400&lt;0.1*G400),"",AE400/AJ400))</f>
        <v/>
      </c>
      <c r="AL400" s="17">
        <f>IF(NOT(ISNUMBER(P400)),"",IF(ISNUMBER(Q400),(P400+Q400)/2,P400))</f>
        <v/>
      </c>
      <c r="AM400" s="19">
        <f>IF(AND(ISNUMBER(L400),ISNUMBER(AL400),AL400&gt;0),L400/AL400,"")</f>
        <v/>
      </c>
      <c r="AN400" s="19">
        <f>IF(AND(ISNUMBER(AM400),ISNUMBER({ROIC})),AM400-{ROIC},"")</f>
        <v/>
      </c>
      <c r="AO400" s="17">
        <f>IF(AND(ISNUMBER(AC400),ISNUMBER(M400)),AC400+M400,"")</f>
        <v/>
      </c>
      <c r="AP400" s="20">
        <f>IF(AND(ISNUMBER(AF400),ISNUMBER(R400),ISNUMBER(AO400),AO400&gt;0),(AF400-R400)/AO400,"")</f>
        <v/>
      </c>
      <c r="AQ400" s="20">
        <f>IF(AND(ISNUMBER(AC400),ISNUMBER(I400),I400&lt;&gt;0,AC400&gt;0),AC400/I400,"")</f>
        <v/>
      </c>
      <c r="AR400" s="17">
        <f>IF(AND(ISNUMBER(W400),ISNUMBER(Y400)),W400-IF(ISNUMBER(R400),R400,0)-(Y400-IF(ISNUMBER(T400),T400,0)),"")</f>
        <v/>
      </c>
      <c r="AS400" s="17">
        <f>IF(AND(ISNUMBER(X400),ISNUMBER(Z400)),X400-IF(ISNUMBER(S400),S400,0)-(Z400-IF(ISNUMBER(U400),U400,0)),"")</f>
        <v/>
      </c>
      <c r="AT400" s="17">
        <f>IF(AND(ISNUMBER(AR400),ISNUMBER(AS400)),AR400-AS400,"")</f>
        <v/>
      </c>
      <c r="AU400" s="17">
        <f>IF(E400="금융","",IF(AND(ISNUMBER(L400),ISNUMBER(M400),ISNUMBER(N400),ISNUMBER(AT400)),L400+M400-N400-AT400,IF(AND(ISNUMBER(O400),ISNUMBER(N400)),O400-N400,"")))</f>
        <v/>
      </c>
      <c r="AV400" s="8">
        <f>IF(E400="금융","금융업 - 정의되지 않음",IF(AND(ISNUMBER(L400),ISNUMBER(M400),ISNUMBER(N400),ISNUMBER(AT400)),"순이익+감가상각-설비투자-운전자본증감",IF(AND(ISNUMBER(O400),ISNUMBER(N400)),"영업현금흐름-설비투자","산출불가")))</f>
        <v/>
      </c>
      <c r="AW400" s="19">
        <f>IF(AND(ISNUMBER(AU400),ISNUMBER(G400),G400&lt;&gt;0),AU400/G400,"")</f>
        <v/>
      </c>
      <c r="AX400" s="19">
        <f>IF(AND(ISNUMBER(AC400),ISNUMBER(G400),G400&lt;&gt;0),AC400/G400,"")</f>
        <v/>
      </c>
    </row>
    <row r="401">
      <c r="A401" s="8" t="inlineStr">
        <is>
          <t>MS</t>
        </is>
      </c>
      <c r="B401" s="8" t="inlineStr">
        <is>
          <t>MORGAN STANLEY</t>
        </is>
      </c>
      <c r="C401" s="8" t="n">
        <v>2020</v>
      </c>
      <c r="D401" s="8" t="inlineStr">
        <is>
          <t>2020-12-31</t>
        </is>
      </c>
      <c r="E401" s="8" t="inlineStr">
        <is>
          <t>금융</t>
        </is>
      </c>
      <c r="F401" s="8" t="inlineStr">
        <is>
          <t>0000895421-23-000284</t>
        </is>
      </c>
      <c r="G401" s="15" t="n">
        <v>48.757</v>
      </c>
      <c r="H401" s="15" t="n">
        <v>14.418</v>
      </c>
      <c r="I401" s="15" t="n">
        <v>6.313</v>
      </c>
      <c r="J401" s="15" t="n">
        <v>3.239</v>
      </c>
      <c r="K401" s="15" t="n"/>
      <c r="L401" s="15" t="n">
        <v>10.996</v>
      </c>
      <c r="M401" s="15" t="n">
        <v>3.769</v>
      </c>
      <c r="N401" s="15" t="n"/>
      <c r="O401" s="15" t="n">
        <v>-25.231</v>
      </c>
      <c r="P401" s="15" t="n">
        <v>101.781</v>
      </c>
      <c r="Q401" s="15" t="n">
        <v>81.54900000000001</v>
      </c>
      <c r="R401" s="15" t="n">
        <v>105.654</v>
      </c>
      <c r="S401" s="15" t="n">
        <v>82.17100000000001</v>
      </c>
      <c r="T401" s="15" t="n">
        <v>24.241</v>
      </c>
      <c r="U401" s="15" t="n">
        <v>20.402</v>
      </c>
      <c r="V401" s="15" t="n">
        <v>213.388</v>
      </c>
      <c r="W401" s="15" t="n"/>
      <c r="X401" s="15" t="n"/>
      <c r="Y401" s="15" t="n"/>
      <c r="Z401" s="15" t="n"/>
      <c r="AA401" s="15" t="n"/>
      <c r="AB401" s="16" t="n">
        <v>1810</v>
      </c>
      <c r="AC401" s="17">
        <f>IF(AND(ISNUMBER(H401),ISNUMBER(I401)),H401+I401,IF(ISNUMBER(K401),K401,IF(ISNUMBER(H401),H401,"")))</f>
        <v/>
      </c>
      <c r="AD401" s="18">
        <f>IF(OR(NOT(ISNUMBER(J401)),NOT(ISNUMBER(H401)),H401&lt;=0),기준표!$B$8,MIN(MAX(J401/H401,기준표!$B$6),기준표!$B$7))</f>
        <v/>
      </c>
      <c r="AE401" s="17">
        <f>IF(ISNUMBER(AC401),AC401*(1-AD401),"")</f>
        <v/>
      </c>
      <c r="AF401" s="17">
        <f>IF(AND(NOT(ISNUMBER(T401)),NOT(ISNUMBER(V401))),"",IF(ISNUMBER(T401),T401,0)+IF(ISNUMBER(V401),V401,0))</f>
        <v/>
      </c>
      <c r="AG401" s="17">
        <f>IF(E401="금융","",IF(AND(ISNUMBER(P401),ISNUMBER(AF401),ISNUMBER(R401)),P401+AF401-R401,""))</f>
        <v/>
      </c>
      <c r="AH401" s="17">
        <f>IF(E401="금융","",IF(NOT(ISNUMBER(AG401)),"",IF(ISNUMBER(AA401),(AG401+AA401)/2,AG401)))</f>
        <v/>
      </c>
      <c r="AI401" s="19">
        <f>IF(AND(ISNUMBER(AE401),ISNUMBER(AH401),AH401&gt;0),AE401/AH401,"")</f>
        <v/>
      </c>
      <c r="AJ401" s="17">
        <f>IF(E401="금융","",IF(AND(ISNUMBER(P401),ISNUMBER(AF401)),P401+AF401,""))</f>
        <v/>
      </c>
      <c r="AK401" s="19">
        <f>IF(OR(NOT(ISNUMBER(AE401)),NOT(ISNUMBER(AJ401)),AJ401&lt;=0),"",IF(AND(ISNUMBER(G401),AJ401&lt;0.1*G401),"",AE401/AJ401))</f>
        <v/>
      </c>
      <c r="AL401" s="17">
        <f>IF(NOT(ISNUMBER(P401)),"",IF(ISNUMBER(Q401),(P401+Q401)/2,P401))</f>
        <v/>
      </c>
      <c r="AM401" s="19">
        <f>IF(AND(ISNUMBER(L401),ISNUMBER(AL401),AL401&gt;0),L401/AL401,"")</f>
        <v/>
      </c>
      <c r="AN401" s="19">
        <f>IF(AND(ISNUMBER(AM401),ISNUMBER({ROIC})),AM401-{ROIC},"")</f>
        <v/>
      </c>
      <c r="AO401" s="17">
        <f>IF(AND(ISNUMBER(AC401),ISNUMBER(M401)),AC401+M401,"")</f>
        <v/>
      </c>
      <c r="AP401" s="20">
        <f>IF(AND(ISNUMBER(AF401),ISNUMBER(R401),ISNUMBER(AO401),AO401&gt;0),(AF401-R401)/AO401,"")</f>
        <v/>
      </c>
      <c r="AQ401" s="20">
        <f>IF(AND(ISNUMBER(AC401),ISNUMBER(I401),I401&lt;&gt;0,AC401&gt;0),AC401/I401,"")</f>
        <v/>
      </c>
      <c r="AR401" s="17">
        <f>IF(AND(ISNUMBER(W401),ISNUMBER(Y401)),W401-IF(ISNUMBER(R401),R401,0)-(Y401-IF(ISNUMBER(T401),T401,0)),"")</f>
        <v/>
      </c>
      <c r="AS401" s="17">
        <f>IF(AND(ISNUMBER(X401),ISNUMBER(Z401)),X401-IF(ISNUMBER(S401),S401,0)-(Z401-IF(ISNUMBER(U401),U401,0)),"")</f>
        <v/>
      </c>
      <c r="AT401" s="17">
        <f>IF(AND(ISNUMBER(AR401),ISNUMBER(AS401)),AR401-AS401,"")</f>
        <v/>
      </c>
      <c r="AU401" s="17">
        <f>IF(E401="금융","",IF(AND(ISNUMBER(L401),ISNUMBER(M401),ISNUMBER(N401),ISNUMBER(AT401)),L401+M401-N401-AT401,IF(AND(ISNUMBER(O401),ISNUMBER(N401)),O401-N401,"")))</f>
        <v/>
      </c>
      <c r="AV401" s="8">
        <f>IF(E401="금융","금융업 - 정의되지 않음",IF(AND(ISNUMBER(L401),ISNUMBER(M401),ISNUMBER(N401),ISNUMBER(AT401)),"순이익+감가상각-설비투자-운전자본증감",IF(AND(ISNUMBER(O401),ISNUMBER(N401)),"영업현금흐름-설비투자","산출불가")))</f>
        <v/>
      </c>
      <c r="AW401" s="19">
        <f>IF(AND(ISNUMBER(AU401),ISNUMBER(G401),G401&lt;&gt;0),AU401/G401,"")</f>
        <v/>
      </c>
      <c r="AX401" s="19">
        <f>IF(AND(ISNUMBER(AC401),ISNUMBER(G401),G401&lt;&gt;0),AC401/G401,"")</f>
        <v/>
      </c>
    </row>
    <row r="402">
      <c r="A402" s="8" t="inlineStr">
        <is>
          <t>MS</t>
        </is>
      </c>
      <c r="B402" s="8" t="inlineStr">
        <is>
          <t>MORGAN STANLEY</t>
        </is>
      </c>
      <c r="C402" s="8" t="n">
        <v>2021</v>
      </c>
      <c r="D402" s="8" t="inlineStr">
        <is>
          <t>2021-12-31</t>
        </is>
      </c>
      <c r="E402" s="8" t="inlineStr">
        <is>
          <t>금융</t>
        </is>
      </c>
      <c r="F402" s="8" t="inlineStr">
        <is>
          <t>0000895421-24-000300</t>
        </is>
      </c>
      <c r="G402" s="15" t="n">
        <v>59.755</v>
      </c>
      <c r="H402" s="15" t="n">
        <v>19.668</v>
      </c>
      <c r="I402" s="15" t="n">
        <v>8.045</v>
      </c>
      <c r="J402" s="15" t="n">
        <v>4.548</v>
      </c>
      <c r="K402" s="15" t="n"/>
      <c r="L402" s="15" t="n">
        <v>15.034</v>
      </c>
      <c r="M402" s="15" t="n">
        <v>4.216</v>
      </c>
      <c r="N402" s="15" t="n"/>
      <c r="O402" s="15" t="n">
        <v>33.971</v>
      </c>
      <c r="P402" s="15" t="n">
        <v>105.441</v>
      </c>
      <c r="Q402" s="15" t="n">
        <v>101.781</v>
      </c>
      <c r="R402" s="15" t="n">
        <v>127.725</v>
      </c>
      <c r="S402" s="15" t="n">
        <v>105.654</v>
      </c>
      <c r="T402" s="15" t="n"/>
      <c r="U402" s="15" t="n">
        <v>24.241</v>
      </c>
      <c r="V402" s="15" t="n">
        <v>227.363</v>
      </c>
      <c r="W402" s="15" t="n"/>
      <c r="X402" s="15" t="n"/>
      <c r="Y402" s="15" t="n"/>
      <c r="Z402" s="15" t="n"/>
      <c r="AA402" s="15" t="n"/>
      <c r="AB402" s="16" t="n">
        <v>1772</v>
      </c>
      <c r="AC402" s="17">
        <f>IF(AND(ISNUMBER(H402),ISNUMBER(I402)),H402+I402,IF(ISNUMBER(K402),K402,IF(ISNUMBER(H402),H402,"")))</f>
        <v/>
      </c>
      <c r="AD402" s="18">
        <f>IF(OR(NOT(ISNUMBER(J402)),NOT(ISNUMBER(H402)),H402&lt;=0),기준표!$B$8,MIN(MAX(J402/H402,기준표!$B$6),기준표!$B$7))</f>
        <v/>
      </c>
      <c r="AE402" s="17">
        <f>IF(ISNUMBER(AC402),AC402*(1-AD402),"")</f>
        <v/>
      </c>
      <c r="AF402" s="17">
        <f>IF(AND(NOT(ISNUMBER(T402)),NOT(ISNUMBER(V402))),"",IF(ISNUMBER(T402),T402,0)+IF(ISNUMBER(V402),V402,0))</f>
        <v/>
      </c>
      <c r="AG402" s="17">
        <f>IF(E402="금융","",IF(AND(ISNUMBER(P402),ISNUMBER(AF402),ISNUMBER(R402)),P402+AF402-R402,""))</f>
        <v/>
      </c>
      <c r="AH402" s="17">
        <f>IF(E402="금융","",IF(NOT(ISNUMBER(AG402)),"",IF(ISNUMBER(AA402),(AG402+AA402)/2,AG402)))</f>
        <v/>
      </c>
      <c r="AI402" s="19">
        <f>IF(AND(ISNUMBER(AE402),ISNUMBER(AH402),AH402&gt;0),AE402/AH402,"")</f>
        <v/>
      </c>
      <c r="AJ402" s="17">
        <f>IF(E402="금융","",IF(AND(ISNUMBER(P402),ISNUMBER(AF402)),P402+AF402,""))</f>
        <v/>
      </c>
      <c r="AK402" s="19">
        <f>IF(OR(NOT(ISNUMBER(AE402)),NOT(ISNUMBER(AJ402)),AJ402&lt;=0),"",IF(AND(ISNUMBER(G402),AJ402&lt;0.1*G402),"",AE402/AJ402))</f>
        <v/>
      </c>
      <c r="AL402" s="17">
        <f>IF(NOT(ISNUMBER(P402)),"",IF(ISNUMBER(Q402),(P402+Q402)/2,P402))</f>
        <v/>
      </c>
      <c r="AM402" s="19">
        <f>IF(AND(ISNUMBER(L402),ISNUMBER(AL402),AL402&gt;0),L402/AL402,"")</f>
        <v/>
      </c>
      <c r="AN402" s="19">
        <f>IF(AND(ISNUMBER(AM402),ISNUMBER({ROIC})),AM402-{ROIC},"")</f>
        <v/>
      </c>
      <c r="AO402" s="17">
        <f>IF(AND(ISNUMBER(AC402),ISNUMBER(M402)),AC402+M402,"")</f>
        <v/>
      </c>
      <c r="AP402" s="20">
        <f>IF(AND(ISNUMBER(AF402),ISNUMBER(R402),ISNUMBER(AO402),AO402&gt;0),(AF402-R402)/AO402,"")</f>
        <v/>
      </c>
      <c r="AQ402" s="20">
        <f>IF(AND(ISNUMBER(AC402),ISNUMBER(I402),I402&lt;&gt;0,AC402&gt;0),AC402/I402,"")</f>
        <v/>
      </c>
      <c r="AR402" s="17">
        <f>IF(AND(ISNUMBER(W402),ISNUMBER(Y402)),W402-IF(ISNUMBER(R402),R402,0)-(Y402-IF(ISNUMBER(T402),T402,0)),"")</f>
        <v/>
      </c>
      <c r="AS402" s="17">
        <f>IF(AND(ISNUMBER(X402),ISNUMBER(Z402)),X402-IF(ISNUMBER(S402),S402,0)-(Z402-IF(ISNUMBER(U402),U402,0)),"")</f>
        <v/>
      </c>
      <c r="AT402" s="17">
        <f>IF(AND(ISNUMBER(AR402),ISNUMBER(AS402)),AR402-AS402,"")</f>
        <v/>
      </c>
      <c r="AU402" s="17">
        <f>IF(E402="금융","",IF(AND(ISNUMBER(L402),ISNUMBER(M402),ISNUMBER(N402),ISNUMBER(AT402)),L402+M402-N402-AT402,IF(AND(ISNUMBER(O402),ISNUMBER(N402)),O402-N402,"")))</f>
        <v/>
      </c>
      <c r="AV402" s="8">
        <f>IF(E402="금융","금융업 - 정의되지 않음",IF(AND(ISNUMBER(L402),ISNUMBER(M402),ISNUMBER(N402),ISNUMBER(AT402)),"순이익+감가상각-설비투자-운전자본증감",IF(AND(ISNUMBER(O402),ISNUMBER(N402)),"영업현금흐름-설비투자","산출불가")))</f>
        <v/>
      </c>
      <c r="AW402" s="19">
        <f>IF(AND(ISNUMBER(AU402),ISNUMBER(G402),G402&lt;&gt;0),AU402/G402,"")</f>
        <v/>
      </c>
      <c r="AX402" s="19">
        <f>IF(AND(ISNUMBER(AC402),ISNUMBER(G402),G402&lt;&gt;0),AC402/G402,"")</f>
        <v/>
      </c>
    </row>
    <row r="403">
      <c r="A403" s="8" t="inlineStr">
        <is>
          <t>MS</t>
        </is>
      </c>
      <c r="B403" s="8" t="inlineStr">
        <is>
          <t>MORGAN STANLEY</t>
        </is>
      </c>
      <c r="C403" s="8" t="n">
        <v>2022</v>
      </c>
      <c r="D403" s="8" t="inlineStr">
        <is>
          <t>2022-12-31</t>
        </is>
      </c>
      <c r="E403" s="8" t="inlineStr">
        <is>
          <t>금융</t>
        </is>
      </c>
      <c r="F403" s="8" t="inlineStr">
        <is>
          <t>0000895421-25-000304</t>
        </is>
      </c>
      <c r="G403" s="15" t="n">
        <v>53.668</v>
      </c>
      <c r="H403" s="15" t="n">
        <v>14.089</v>
      </c>
      <c r="I403" s="15" t="n">
        <v>9.327</v>
      </c>
      <c r="J403" s="15" t="n">
        <v>2.91</v>
      </c>
      <c r="K403" s="15" t="n"/>
      <c r="L403" s="15" t="n">
        <v>11.029</v>
      </c>
      <c r="M403" s="15" t="n">
        <v>3.998</v>
      </c>
      <c r="N403" s="15" t="n"/>
      <c r="O403" s="15" t="n">
        <v>-6.397</v>
      </c>
      <c r="P403" s="15" t="n">
        <v>100.141</v>
      </c>
      <c r="Q403" s="15" t="n">
        <v>105.441</v>
      </c>
      <c r="R403" s="15" t="n">
        <v>128.127</v>
      </c>
      <c r="S403" s="15" t="n">
        <v>127.725</v>
      </c>
      <c r="T403" s="15" t="n"/>
      <c r="U403" s="15" t="n"/>
      <c r="V403" s="15" t="n">
        <v>233.867</v>
      </c>
      <c r="W403" s="15" t="n"/>
      <c r="X403" s="15" t="n"/>
      <c r="Y403" s="15" t="n"/>
      <c r="Z403" s="15" t="n"/>
      <c r="AA403" s="15" t="n"/>
      <c r="AB403" s="16" t="n">
        <v>1675</v>
      </c>
      <c r="AC403" s="17">
        <f>IF(AND(ISNUMBER(H403),ISNUMBER(I403)),H403+I403,IF(ISNUMBER(K403),K403,IF(ISNUMBER(H403),H403,"")))</f>
        <v/>
      </c>
      <c r="AD403" s="18">
        <f>IF(OR(NOT(ISNUMBER(J403)),NOT(ISNUMBER(H403)),H403&lt;=0),기준표!$B$8,MIN(MAX(J403/H403,기준표!$B$6),기준표!$B$7))</f>
        <v/>
      </c>
      <c r="AE403" s="17">
        <f>IF(ISNUMBER(AC403),AC403*(1-AD403),"")</f>
        <v/>
      </c>
      <c r="AF403" s="17">
        <f>IF(AND(NOT(ISNUMBER(T403)),NOT(ISNUMBER(V403))),"",IF(ISNUMBER(T403),T403,0)+IF(ISNUMBER(V403),V403,0))</f>
        <v/>
      </c>
      <c r="AG403" s="17">
        <f>IF(E403="금융","",IF(AND(ISNUMBER(P403),ISNUMBER(AF403),ISNUMBER(R403)),P403+AF403-R403,""))</f>
        <v/>
      </c>
      <c r="AH403" s="17">
        <f>IF(E403="금융","",IF(NOT(ISNUMBER(AG403)),"",IF(ISNUMBER(AA403),(AG403+AA403)/2,AG403)))</f>
        <v/>
      </c>
      <c r="AI403" s="19">
        <f>IF(AND(ISNUMBER(AE403),ISNUMBER(AH403),AH403&gt;0),AE403/AH403,"")</f>
        <v/>
      </c>
      <c r="AJ403" s="17">
        <f>IF(E403="금융","",IF(AND(ISNUMBER(P403),ISNUMBER(AF403)),P403+AF403,""))</f>
        <v/>
      </c>
      <c r="AK403" s="19">
        <f>IF(OR(NOT(ISNUMBER(AE403)),NOT(ISNUMBER(AJ403)),AJ403&lt;=0),"",IF(AND(ISNUMBER(G403),AJ403&lt;0.1*G403),"",AE403/AJ403))</f>
        <v/>
      </c>
      <c r="AL403" s="17">
        <f>IF(NOT(ISNUMBER(P403)),"",IF(ISNUMBER(Q403),(P403+Q403)/2,P403))</f>
        <v/>
      </c>
      <c r="AM403" s="19">
        <f>IF(AND(ISNUMBER(L403),ISNUMBER(AL403),AL403&gt;0),L403/AL403,"")</f>
        <v/>
      </c>
      <c r="AN403" s="19">
        <f>IF(AND(ISNUMBER(AM403),ISNUMBER({ROIC})),AM403-{ROIC},"")</f>
        <v/>
      </c>
      <c r="AO403" s="17">
        <f>IF(AND(ISNUMBER(AC403),ISNUMBER(M403)),AC403+M403,"")</f>
        <v/>
      </c>
      <c r="AP403" s="20">
        <f>IF(AND(ISNUMBER(AF403),ISNUMBER(R403),ISNUMBER(AO403),AO403&gt;0),(AF403-R403)/AO403,"")</f>
        <v/>
      </c>
      <c r="AQ403" s="20">
        <f>IF(AND(ISNUMBER(AC403),ISNUMBER(I403),I403&lt;&gt;0,AC403&gt;0),AC403/I403,"")</f>
        <v/>
      </c>
      <c r="AR403" s="17">
        <f>IF(AND(ISNUMBER(W403),ISNUMBER(Y403)),W403-IF(ISNUMBER(R403),R403,0)-(Y403-IF(ISNUMBER(T403),T403,0)),"")</f>
        <v/>
      </c>
      <c r="AS403" s="17">
        <f>IF(AND(ISNUMBER(X403),ISNUMBER(Z403)),X403-IF(ISNUMBER(S403),S403,0)-(Z403-IF(ISNUMBER(U403),U403,0)),"")</f>
        <v/>
      </c>
      <c r="AT403" s="17">
        <f>IF(AND(ISNUMBER(AR403),ISNUMBER(AS403)),AR403-AS403,"")</f>
        <v/>
      </c>
      <c r="AU403" s="17">
        <f>IF(E403="금융","",IF(AND(ISNUMBER(L403),ISNUMBER(M403),ISNUMBER(N403),ISNUMBER(AT403)),L403+M403-N403-AT403,IF(AND(ISNUMBER(O403),ISNUMBER(N403)),O403-N403,"")))</f>
        <v/>
      </c>
      <c r="AV403" s="8">
        <f>IF(E403="금융","금융업 - 정의되지 않음",IF(AND(ISNUMBER(L403),ISNUMBER(M403),ISNUMBER(N403),ISNUMBER(AT403)),"순이익+감가상각-설비투자-운전자본증감",IF(AND(ISNUMBER(O403),ISNUMBER(N403)),"영업현금흐름-설비투자","산출불가")))</f>
        <v/>
      </c>
      <c r="AW403" s="19">
        <f>IF(AND(ISNUMBER(AU403),ISNUMBER(G403),G403&lt;&gt;0),AU403/G403,"")</f>
        <v/>
      </c>
      <c r="AX403" s="19">
        <f>IF(AND(ISNUMBER(AC403),ISNUMBER(G403),G403&lt;&gt;0),AC403/G403,"")</f>
        <v/>
      </c>
    </row>
    <row r="404">
      <c r="A404" s="8" t="inlineStr">
        <is>
          <t>MS</t>
        </is>
      </c>
      <c r="B404" s="8" t="inlineStr">
        <is>
          <t>MORGAN STANLEY</t>
        </is>
      </c>
      <c r="C404" s="8" t="n">
        <v>2023</v>
      </c>
      <c r="D404" s="8" t="inlineStr">
        <is>
          <t>2023-12-31</t>
        </is>
      </c>
      <c r="E404" s="8" t="inlineStr">
        <is>
          <t>금융</t>
        </is>
      </c>
      <c r="F404" s="8" t="inlineStr">
        <is>
          <t>0000895421-26-000086</t>
        </is>
      </c>
      <c r="G404" s="15" t="n">
        <v>54.143</v>
      </c>
      <c r="H404" s="15" t="n">
        <v>11.813</v>
      </c>
      <c r="I404" s="15" t="n">
        <v>8.23</v>
      </c>
      <c r="J404" s="15" t="n">
        <v>2.583</v>
      </c>
      <c r="K404" s="15" t="n"/>
      <c r="L404" s="15" t="n">
        <v>9.087</v>
      </c>
      <c r="M404" s="15" t="n">
        <v>4.256</v>
      </c>
      <c r="N404" s="15" t="n"/>
      <c r="O404" s="15" t="n">
        <v>-33.536</v>
      </c>
      <c r="P404" s="15" t="n">
        <v>99.038</v>
      </c>
      <c r="Q404" s="15" t="n">
        <v>100.141</v>
      </c>
      <c r="R404" s="15" t="n">
        <v>89.232</v>
      </c>
      <c r="S404" s="15" t="n">
        <v>128.127</v>
      </c>
      <c r="T404" s="15" t="n"/>
      <c r="U404" s="15" t="n"/>
      <c r="V404" s="15" t="n">
        <v>260.544</v>
      </c>
      <c r="W404" s="15" t="n"/>
      <c r="X404" s="15" t="n"/>
      <c r="Y404" s="15" t="n"/>
      <c r="Z404" s="15" t="n"/>
      <c r="AA404" s="15" t="n"/>
      <c r="AB404" s="16" t="n">
        <v>1627</v>
      </c>
      <c r="AC404" s="17">
        <f>IF(AND(ISNUMBER(H404),ISNUMBER(I404)),H404+I404,IF(ISNUMBER(K404),K404,IF(ISNUMBER(H404),H404,"")))</f>
        <v/>
      </c>
      <c r="AD404" s="18">
        <f>IF(OR(NOT(ISNUMBER(J404)),NOT(ISNUMBER(H404)),H404&lt;=0),기준표!$B$8,MIN(MAX(J404/H404,기준표!$B$6),기준표!$B$7))</f>
        <v/>
      </c>
      <c r="AE404" s="17">
        <f>IF(ISNUMBER(AC404),AC404*(1-AD404),"")</f>
        <v/>
      </c>
      <c r="AF404" s="17">
        <f>IF(AND(NOT(ISNUMBER(T404)),NOT(ISNUMBER(V404))),"",IF(ISNUMBER(T404),T404,0)+IF(ISNUMBER(V404),V404,0))</f>
        <v/>
      </c>
      <c r="AG404" s="17">
        <f>IF(E404="금융","",IF(AND(ISNUMBER(P404),ISNUMBER(AF404),ISNUMBER(R404)),P404+AF404-R404,""))</f>
        <v/>
      </c>
      <c r="AH404" s="17">
        <f>IF(E404="금융","",IF(NOT(ISNUMBER(AG404)),"",IF(ISNUMBER(AA404),(AG404+AA404)/2,AG404)))</f>
        <v/>
      </c>
      <c r="AI404" s="19">
        <f>IF(AND(ISNUMBER(AE404),ISNUMBER(AH404),AH404&gt;0),AE404/AH404,"")</f>
        <v/>
      </c>
      <c r="AJ404" s="17">
        <f>IF(E404="금융","",IF(AND(ISNUMBER(P404),ISNUMBER(AF404)),P404+AF404,""))</f>
        <v/>
      </c>
      <c r="AK404" s="19">
        <f>IF(OR(NOT(ISNUMBER(AE404)),NOT(ISNUMBER(AJ404)),AJ404&lt;=0),"",IF(AND(ISNUMBER(G404),AJ404&lt;0.1*G404),"",AE404/AJ404))</f>
        <v/>
      </c>
      <c r="AL404" s="17">
        <f>IF(NOT(ISNUMBER(P404)),"",IF(ISNUMBER(Q404),(P404+Q404)/2,P404))</f>
        <v/>
      </c>
      <c r="AM404" s="19">
        <f>IF(AND(ISNUMBER(L404),ISNUMBER(AL404),AL404&gt;0),L404/AL404,"")</f>
        <v/>
      </c>
      <c r="AN404" s="19">
        <f>IF(AND(ISNUMBER(AM404),ISNUMBER({ROIC})),AM404-{ROIC},"")</f>
        <v/>
      </c>
      <c r="AO404" s="17">
        <f>IF(AND(ISNUMBER(AC404),ISNUMBER(M404)),AC404+M404,"")</f>
        <v/>
      </c>
      <c r="AP404" s="20">
        <f>IF(AND(ISNUMBER(AF404),ISNUMBER(R404),ISNUMBER(AO404),AO404&gt;0),(AF404-R404)/AO404,"")</f>
        <v/>
      </c>
      <c r="AQ404" s="20">
        <f>IF(AND(ISNUMBER(AC404),ISNUMBER(I404),I404&lt;&gt;0,AC404&gt;0),AC404/I404,"")</f>
        <v/>
      </c>
      <c r="AR404" s="17">
        <f>IF(AND(ISNUMBER(W404),ISNUMBER(Y404)),W404-IF(ISNUMBER(R404),R404,0)-(Y404-IF(ISNUMBER(T404),T404,0)),"")</f>
        <v/>
      </c>
      <c r="AS404" s="17">
        <f>IF(AND(ISNUMBER(X404),ISNUMBER(Z404)),X404-IF(ISNUMBER(S404),S404,0)-(Z404-IF(ISNUMBER(U404),U404,0)),"")</f>
        <v/>
      </c>
      <c r="AT404" s="17">
        <f>IF(AND(ISNUMBER(AR404),ISNUMBER(AS404)),AR404-AS404,"")</f>
        <v/>
      </c>
      <c r="AU404" s="17">
        <f>IF(E404="금융","",IF(AND(ISNUMBER(L404),ISNUMBER(M404),ISNUMBER(N404),ISNUMBER(AT404)),L404+M404-N404-AT404,IF(AND(ISNUMBER(O404),ISNUMBER(N404)),O404-N404,"")))</f>
        <v/>
      </c>
      <c r="AV404" s="8">
        <f>IF(E404="금융","금융업 - 정의되지 않음",IF(AND(ISNUMBER(L404),ISNUMBER(M404),ISNUMBER(N404),ISNUMBER(AT404)),"순이익+감가상각-설비투자-운전자본증감",IF(AND(ISNUMBER(O404),ISNUMBER(N404)),"영업현금흐름-설비투자","산출불가")))</f>
        <v/>
      </c>
      <c r="AW404" s="19">
        <f>IF(AND(ISNUMBER(AU404),ISNUMBER(G404),G404&lt;&gt;0),AU404/G404,"")</f>
        <v/>
      </c>
      <c r="AX404" s="19">
        <f>IF(AND(ISNUMBER(AC404),ISNUMBER(G404),G404&lt;&gt;0),AC404/G404,"")</f>
        <v/>
      </c>
    </row>
    <row r="405">
      <c r="A405" s="8" t="inlineStr">
        <is>
          <t>MS</t>
        </is>
      </c>
      <c r="B405" s="8" t="inlineStr">
        <is>
          <t>MORGAN STANLEY</t>
        </is>
      </c>
      <c r="C405" s="8" t="n">
        <v>2024</v>
      </c>
      <c r="D405" s="8" t="inlineStr">
        <is>
          <t>2024-12-31</t>
        </is>
      </c>
      <c r="E405" s="8" t="inlineStr">
        <is>
          <t>금융</t>
        </is>
      </c>
      <c r="F405" s="8" t="inlineStr">
        <is>
          <t>0000895421-26-000086</t>
        </is>
      </c>
      <c r="G405" s="15" t="n">
        <v>61.761</v>
      </c>
      <c r="H405" s="15" t="n">
        <v>17.596</v>
      </c>
      <c r="I405" s="15" t="n">
        <v>8.611000000000001</v>
      </c>
      <c r="J405" s="15" t="n">
        <v>4.067</v>
      </c>
      <c r="K405" s="15" t="n"/>
      <c r="L405" s="15" t="n">
        <v>13.39</v>
      </c>
      <c r="M405" s="15" t="n">
        <v>5.161</v>
      </c>
      <c r="N405" s="15" t="n"/>
      <c r="O405" s="15" t="n">
        <v>1.362</v>
      </c>
      <c r="P405" s="15" t="n">
        <v>104.511</v>
      </c>
      <c r="Q405" s="15" t="n">
        <v>99.038</v>
      </c>
      <c r="R405" s="15" t="n">
        <v>105.386</v>
      </c>
      <c r="S405" s="15" t="n">
        <v>89.232</v>
      </c>
      <c r="T405" s="15" t="n"/>
      <c r="U405" s="15" t="n"/>
      <c r="V405" s="15" t="n">
        <v>284.307</v>
      </c>
      <c r="W405" s="15" t="n"/>
      <c r="X405" s="15" t="n"/>
      <c r="Y405" s="15" t="n"/>
      <c r="Z405" s="15" t="n"/>
      <c r="AA405" s="15" t="n"/>
      <c r="AB405" s="16" t="n">
        <v>1606.653706</v>
      </c>
      <c r="AC405" s="17">
        <f>IF(AND(ISNUMBER(H405),ISNUMBER(I405)),H405+I405,IF(ISNUMBER(K405),K405,IF(ISNUMBER(H405),H405,"")))</f>
        <v/>
      </c>
      <c r="AD405" s="18">
        <f>IF(OR(NOT(ISNUMBER(J405)),NOT(ISNUMBER(H405)),H405&lt;=0),기준표!$B$8,MIN(MAX(J405/H405,기준표!$B$6),기준표!$B$7))</f>
        <v/>
      </c>
      <c r="AE405" s="17">
        <f>IF(ISNUMBER(AC405),AC405*(1-AD405),"")</f>
        <v/>
      </c>
      <c r="AF405" s="17">
        <f>IF(AND(NOT(ISNUMBER(T405)),NOT(ISNUMBER(V405))),"",IF(ISNUMBER(T405),T405,0)+IF(ISNUMBER(V405),V405,0))</f>
        <v/>
      </c>
      <c r="AG405" s="17">
        <f>IF(E405="금융","",IF(AND(ISNUMBER(P405),ISNUMBER(AF405),ISNUMBER(R405)),P405+AF405-R405,""))</f>
        <v/>
      </c>
      <c r="AH405" s="17">
        <f>IF(E405="금융","",IF(NOT(ISNUMBER(AG405)),"",IF(ISNUMBER(AA405),(AG405+AA405)/2,AG405)))</f>
        <v/>
      </c>
      <c r="AI405" s="19">
        <f>IF(AND(ISNUMBER(AE405),ISNUMBER(AH405),AH405&gt;0),AE405/AH405,"")</f>
        <v/>
      </c>
      <c r="AJ405" s="17">
        <f>IF(E405="금융","",IF(AND(ISNUMBER(P405),ISNUMBER(AF405)),P405+AF405,""))</f>
        <v/>
      </c>
      <c r="AK405" s="19">
        <f>IF(OR(NOT(ISNUMBER(AE405)),NOT(ISNUMBER(AJ405)),AJ405&lt;=0),"",IF(AND(ISNUMBER(G405),AJ405&lt;0.1*G405),"",AE405/AJ405))</f>
        <v/>
      </c>
      <c r="AL405" s="17">
        <f>IF(NOT(ISNUMBER(P405)),"",IF(ISNUMBER(Q405),(P405+Q405)/2,P405))</f>
        <v/>
      </c>
      <c r="AM405" s="19">
        <f>IF(AND(ISNUMBER(L405),ISNUMBER(AL405),AL405&gt;0),L405/AL405,"")</f>
        <v/>
      </c>
      <c r="AN405" s="19">
        <f>IF(AND(ISNUMBER(AM405),ISNUMBER({ROIC})),AM405-{ROIC},"")</f>
        <v/>
      </c>
      <c r="AO405" s="17">
        <f>IF(AND(ISNUMBER(AC405),ISNUMBER(M405)),AC405+M405,"")</f>
        <v/>
      </c>
      <c r="AP405" s="20">
        <f>IF(AND(ISNUMBER(AF405),ISNUMBER(R405),ISNUMBER(AO405),AO405&gt;0),(AF405-R405)/AO405,"")</f>
        <v/>
      </c>
      <c r="AQ405" s="20">
        <f>IF(AND(ISNUMBER(AC405),ISNUMBER(I405),I405&lt;&gt;0,AC405&gt;0),AC405/I405,"")</f>
        <v/>
      </c>
      <c r="AR405" s="17">
        <f>IF(AND(ISNUMBER(W405),ISNUMBER(Y405)),W405-IF(ISNUMBER(R405),R405,0)-(Y405-IF(ISNUMBER(T405),T405,0)),"")</f>
        <v/>
      </c>
      <c r="AS405" s="17">
        <f>IF(AND(ISNUMBER(X405),ISNUMBER(Z405)),X405-IF(ISNUMBER(S405),S405,0)-(Z405-IF(ISNUMBER(U405),U405,0)),"")</f>
        <v/>
      </c>
      <c r="AT405" s="17">
        <f>IF(AND(ISNUMBER(AR405),ISNUMBER(AS405)),AR405-AS405,"")</f>
        <v/>
      </c>
      <c r="AU405" s="17">
        <f>IF(E405="금융","",IF(AND(ISNUMBER(L405),ISNUMBER(M405),ISNUMBER(N405),ISNUMBER(AT405)),L405+M405-N405-AT405,IF(AND(ISNUMBER(O405),ISNUMBER(N405)),O405-N405,"")))</f>
        <v/>
      </c>
      <c r="AV405" s="8">
        <f>IF(E405="금융","금융업 - 정의되지 않음",IF(AND(ISNUMBER(L405),ISNUMBER(M405),ISNUMBER(N405),ISNUMBER(AT405)),"순이익+감가상각-설비투자-운전자본증감",IF(AND(ISNUMBER(O405),ISNUMBER(N405)),"영업현금흐름-설비투자","산출불가")))</f>
        <v/>
      </c>
      <c r="AW405" s="19">
        <f>IF(AND(ISNUMBER(AU405),ISNUMBER(G405),G405&lt;&gt;0),AU405/G405,"")</f>
        <v/>
      </c>
      <c r="AX405" s="19">
        <f>IF(AND(ISNUMBER(AC405),ISNUMBER(G405),G405&lt;&gt;0),AC405/G405,"")</f>
        <v/>
      </c>
    </row>
    <row r="406">
      <c r="A406" s="8" t="inlineStr">
        <is>
          <t>MS</t>
        </is>
      </c>
      <c r="B406" s="8" t="inlineStr">
        <is>
          <t>MORGAN STANLEY</t>
        </is>
      </c>
      <c r="C406" s="8" t="n">
        <v>2025</v>
      </c>
      <c r="D406" s="8" t="inlineStr">
        <is>
          <t>2025-12-31</t>
        </is>
      </c>
      <c r="E406" s="8" t="inlineStr">
        <is>
          <t>금융</t>
        </is>
      </c>
      <c r="F406" s="8" t="inlineStr">
        <is>
          <t>0000895421-26-000086</t>
        </is>
      </c>
      <c r="G406" s="15" t="n">
        <v>70.645</v>
      </c>
      <c r="H406" s="15" t="n">
        <v>21.954</v>
      </c>
      <c r="I406" s="15" t="n">
        <v>10.046</v>
      </c>
      <c r="J406" s="15" t="n">
        <v>4.929</v>
      </c>
      <c r="K406" s="15" t="n"/>
      <c r="L406" s="15" t="n">
        <v>16.861</v>
      </c>
      <c r="M406" s="15" t="n">
        <v>4.658</v>
      </c>
      <c r="N406" s="15" t="n"/>
      <c r="O406" s="15" t="n">
        <v>-17.889</v>
      </c>
      <c r="P406" s="15" t="n">
        <v>111.632</v>
      </c>
      <c r="Q406" s="15" t="n">
        <v>104.511</v>
      </c>
      <c r="R406" s="15" t="n">
        <v>111.695</v>
      </c>
      <c r="S406" s="15" t="n">
        <v>105.386</v>
      </c>
      <c r="T406" s="15" t="n"/>
      <c r="U406" s="15" t="n"/>
      <c r="V406" s="15" t="n">
        <v>341.681</v>
      </c>
      <c r="W406" s="15" t="n"/>
      <c r="X406" s="15" t="n"/>
      <c r="Y406" s="15" t="n"/>
      <c r="Z406" s="15" t="n"/>
      <c r="AA406" s="15" t="n"/>
      <c r="AB406" s="16" t="n">
        <v>1582.834137</v>
      </c>
      <c r="AC406" s="17">
        <f>IF(AND(ISNUMBER(H406),ISNUMBER(I406)),H406+I406,IF(ISNUMBER(K406),K406,IF(ISNUMBER(H406),H406,"")))</f>
        <v/>
      </c>
      <c r="AD406" s="18">
        <f>IF(OR(NOT(ISNUMBER(J406)),NOT(ISNUMBER(H406)),H406&lt;=0),기준표!$B$8,MIN(MAX(J406/H406,기준표!$B$6),기준표!$B$7))</f>
        <v/>
      </c>
      <c r="AE406" s="17">
        <f>IF(ISNUMBER(AC406),AC406*(1-AD406),"")</f>
        <v/>
      </c>
      <c r="AF406" s="17">
        <f>IF(AND(NOT(ISNUMBER(T406)),NOT(ISNUMBER(V406))),"",IF(ISNUMBER(T406),T406,0)+IF(ISNUMBER(V406),V406,0))</f>
        <v/>
      </c>
      <c r="AG406" s="17">
        <f>IF(E406="금융","",IF(AND(ISNUMBER(P406),ISNUMBER(AF406),ISNUMBER(R406)),P406+AF406-R406,""))</f>
        <v/>
      </c>
      <c r="AH406" s="17">
        <f>IF(E406="금융","",IF(NOT(ISNUMBER(AG406)),"",IF(ISNUMBER(AA406),(AG406+AA406)/2,AG406)))</f>
        <v/>
      </c>
      <c r="AI406" s="19">
        <f>IF(AND(ISNUMBER(AE406),ISNUMBER(AH406),AH406&gt;0),AE406/AH406,"")</f>
        <v/>
      </c>
      <c r="AJ406" s="17">
        <f>IF(E406="금융","",IF(AND(ISNUMBER(P406),ISNUMBER(AF406)),P406+AF406,""))</f>
        <v/>
      </c>
      <c r="AK406" s="19">
        <f>IF(OR(NOT(ISNUMBER(AE406)),NOT(ISNUMBER(AJ406)),AJ406&lt;=0),"",IF(AND(ISNUMBER(G406),AJ406&lt;0.1*G406),"",AE406/AJ406))</f>
        <v/>
      </c>
      <c r="AL406" s="17">
        <f>IF(NOT(ISNUMBER(P406)),"",IF(ISNUMBER(Q406),(P406+Q406)/2,P406))</f>
        <v/>
      </c>
      <c r="AM406" s="19">
        <f>IF(AND(ISNUMBER(L406),ISNUMBER(AL406),AL406&gt;0),L406/AL406,"")</f>
        <v/>
      </c>
      <c r="AN406" s="19">
        <f>IF(AND(ISNUMBER(AM406),ISNUMBER({ROIC})),AM406-{ROIC},"")</f>
        <v/>
      </c>
      <c r="AO406" s="17">
        <f>IF(AND(ISNUMBER(AC406),ISNUMBER(M406)),AC406+M406,"")</f>
        <v/>
      </c>
      <c r="AP406" s="20">
        <f>IF(AND(ISNUMBER(AF406),ISNUMBER(R406),ISNUMBER(AO406),AO406&gt;0),(AF406-R406)/AO406,"")</f>
        <v/>
      </c>
      <c r="AQ406" s="20">
        <f>IF(AND(ISNUMBER(AC406),ISNUMBER(I406),I406&lt;&gt;0,AC406&gt;0),AC406/I406,"")</f>
        <v/>
      </c>
      <c r="AR406" s="17">
        <f>IF(AND(ISNUMBER(W406),ISNUMBER(Y406)),W406-IF(ISNUMBER(R406),R406,0)-(Y406-IF(ISNUMBER(T406),T406,0)),"")</f>
        <v/>
      </c>
      <c r="AS406" s="17">
        <f>IF(AND(ISNUMBER(X406),ISNUMBER(Z406)),X406-IF(ISNUMBER(S406),S406,0)-(Z406-IF(ISNUMBER(U406),U406,0)),"")</f>
        <v/>
      </c>
      <c r="AT406" s="17">
        <f>IF(AND(ISNUMBER(AR406),ISNUMBER(AS406)),AR406-AS406,"")</f>
        <v/>
      </c>
      <c r="AU406" s="17">
        <f>IF(E406="금융","",IF(AND(ISNUMBER(L406),ISNUMBER(M406),ISNUMBER(N406),ISNUMBER(AT406)),L406+M406-N406-AT406,IF(AND(ISNUMBER(O406),ISNUMBER(N406)),O406-N406,"")))</f>
        <v/>
      </c>
      <c r="AV406" s="8">
        <f>IF(E406="금융","금융업 - 정의되지 않음",IF(AND(ISNUMBER(L406),ISNUMBER(M406),ISNUMBER(N406),ISNUMBER(AT406)),"순이익+감가상각-설비투자-운전자본증감",IF(AND(ISNUMBER(O406),ISNUMBER(N406)),"영업현금흐름-설비투자","산출불가")))</f>
        <v/>
      </c>
      <c r="AW406" s="19">
        <f>IF(AND(ISNUMBER(AU406),ISNUMBER(G406),G406&lt;&gt;0),AU406/G406,"")</f>
        <v/>
      </c>
      <c r="AX406" s="19">
        <f>IF(AND(ISNUMBER(AC406),ISNUMBER(G406),G406&lt;&gt;0),AC406/G406,"")</f>
        <v/>
      </c>
    </row>
    <row r="407">
      <c r="A407" s="8" t="inlineStr">
        <is>
          <t>PG</t>
        </is>
      </c>
      <c r="B407" s="8" t="inlineStr">
        <is>
          <t>PROCTER &amp; GAMBLE Co</t>
        </is>
      </c>
      <c r="C407" s="8" t="n">
        <v>2015</v>
      </c>
      <c r="D407" s="8" t="inlineStr">
        <is>
          <t>2015-06-30</t>
        </is>
      </c>
      <c r="E407" s="8" t="inlineStr">
        <is>
          <t>일반</t>
        </is>
      </c>
      <c r="F407" s="8" t="inlineStr">
        <is>
          <t>0000080424-17-000047</t>
        </is>
      </c>
      <c r="G407" s="15" t="n"/>
      <c r="H407" s="15" t="n"/>
      <c r="I407" s="15" t="n"/>
      <c r="J407" s="15" t="n">
        <v>2.725</v>
      </c>
      <c r="K407" s="15" t="n">
        <v>11.049</v>
      </c>
      <c r="L407" s="15" t="n">
        <v>7.036</v>
      </c>
      <c r="M407" s="15" t="n">
        <v>3.134</v>
      </c>
      <c r="N407" s="15" t="n">
        <v>3.736</v>
      </c>
      <c r="O407" s="15" t="n">
        <v>14.608</v>
      </c>
      <c r="P407" s="15" t="n">
        <v>63.05</v>
      </c>
      <c r="Q407" s="15" t="n"/>
      <c r="R407" s="15" t="n"/>
      <c r="S407" s="15" t="n"/>
      <c r="T407" s="15" t="n">
        <v>12.018</v>
      </c>
      <c r="U407" s="15" t="n"/>
      <c r="V407" s="15" t="n">
        <v>18.327</v>
      </c>
      <c r="W407" s="15" t="n">
        <v>29.646</v>
      </c>
      <c r="X407" s="15" t="n"/>
      <c r="Y407" s="15" t="n">
        <v>29.79</v>
      </c>
      <c r="Z407" s="15" t="n"/>
      <c r="AA407" s="15" t="n"/>
      <c r="AB407" s="16" t="n">
        <v>2883.6</v>
      </c>
      <c r="AC407" s="17">
        <f>IF(AND(ISNUMBER(H407),ISNUMBER(I407)),H407+I407,IF(ISNUMBER(K407),K407,IF(ISNUMBER(H407),H407,"")))</f>
        <v/>
      </c>
      <c r="AD407" s="18">
        <f>IF(OR(NOT(ISNUMBER(J407)),NOT(ISNUMBER(H407)),H407&lt;=0),기준표!$B$8,MIN(MAX(J407/H407,기준표!$B$6),기준표!$B$7))</f>
        <v/>
      </c>
      <c r="AE407" s="17">
        <f>IF(ISNUMBER(AC407),AC407*(1-AD407),"")</f>
        <v/>
      </c>
      <c r="AF407" s="17">
        <f>IF(AND(NOT(ISNUMBER(T407)),NOT(ISNUMBER(V407))),"",IF(ISNUMBER(T407),T407,0)+IF(ISNUMBER(V407),V407,0))</f>
        <v/>
      </c>
      <c r="AG407" s="17">
        <f>IF(E407="금융","",IF(AND(ISNUMBER(P407),ISNUMBER(AF407),ISNUMBER(R407)),P407+AF407-R407,""))</f>
        <v/>
      </c>
      <c r="AH407" s="17">
        <f>IF(E407="금융","",IF(NOT(ISNUMBER(AG407)),"",IF(ISNUMBER(AA407),(AG407+AA407)/2,AG407)))</f>
        <v/>
      </c>
      <c r="AI407" s="19">
        <f>IF(AND(ISNUMBER(AE407),ISNUMBER(AH407),AH407&gt;0),AE407/AH407,"")</f>
        <v/>
      </c>
      <c r="AJ407" s="17">
        <f>IF(E407="금융","",IF(AND(ISNUMBER(P407),ISNUMBER(AF407)),P407+AF407,""))</f>
        <v/>
      </c>
      <c r="AK407" s="19">
        <f>IF(OR(NOT(ISNUMBER(AE407)),NOT(ISNUMBER(AJ407)),AJ407&lt;=0),"",IF(AND(ISNUMBER(G407),AJ407&lt;0.1*G407),"",AE407/AJ407))</f>
        <v/>
      </c>
      <c r="AL407" s="17">
        <f>IF(NOT(ISNUMBER(P407)),"",IF(ISNUMBER(Q407),(P407+Q407)/2,P407))</f>
        <v/>
      </c>
      <c r="AM407" s="19">
        <f>IF(AND(ISNUMBER(L407),ISNUMBER(AL407),AL407&gt;0),L407/AL407,"")</f>
        <v/>
      </c>
      <c r="AN407" s="19">
        <f>IF(AND(ISNUMBER(AM407),ISNUMBER({ROIC})),AM407-{ROIC},"")</f>
        <v/>
      </c>
      <c r="AO407" s="17">
        <f>IF(AND(ISNUMBER(AC407),ISNUMBER(M407)),AC407+M407,"")</f>
        <v/>
      </c>
      <c r="AP407" s="20">
        <f>IF(AND(ISNUMBER(AF407),ISNUMBER(R407),ISNUMBER(AO407),AO407&gt;0),(AF407-R407)/AO407,"")</f>
        <v/>
      </c>
      <c r="AQ407" s="20">
        <f>IF(AND(ISNUMBER(AC407),ISNUMBER(I407),I407&lt;&gt;0,AC407&gt;0),AC407/I407,"")</f>
        <v/>
      </c>
      <c r="AR407" s="17">
        <f>IF(AND(ISNUMBER(W407),ISNUMBER(Y407)),W407-IF(ISNUMBER(R407),R407,0)-(Y407-IF(ISNUMBER(T407),T407,0)),"")</f>
        <v/>
      </c>
      <c r="AS407" s="17">
        <f>IF(AND(ISNUMBER(X407),ISNUMBER(Z407)),X407-IF(ISNUMBER(S407),S407,0)-(Z407-IF(ISNUMBER(U407),U407,0)),"")</f>
        <v/>
      </c>
      <c r="AT407" s="17">
        <f>IF(AND(ISNUMBER(AR407),ISNUMBER(AS407)),AR407-AS407,"")</f>
        <v/>
      </c>
      <c r="AU407" s="17">
        <f>IF(E407="금융","",IF(AND(ISNUMBER(L407),ISNUMBER(M407),ISNUMBER(N407),ISNUMBER(AT407)),L407+M407-N407-AT407,IF(AND(ISNUMBER(O407),ISNUMBER(N407)),O407-N407,"")))</f>
        <v/>
      </c>
      <c r="AV407" s="8">
        <f>IF(E407="금융","금융업 - 정의되지 않음",IF(AND(ISNUMBER(L407),ISNUMBER(M407),ISNUMBER(N407),ISNUMBER(AT407)),"순이익+감가상각-설비투자-운전자본증감",IF(AND(ISNUMBER(O407),ISNUMBER(N407)),"영업현금흐름-설비투자","산출불가")))</f>
        <v/>
      </c>
      <c r="AW407" s="19">
        <f>IF(AND(ISNUMBER(AU407),ISNUMBER(G407),G407&lt;&gt;0),AU407/G407,"")</f>
        <v/>
      </c>
      <c r="AX407" s="19">
        <f>IF(AND(ISNUMBER(AC407),ISNUMBER(G407),G407&lt;&gt;0),AC407/G407,"")</f>
        <v/>
      </c>
    </row>
    <row r="408">
      <c r="A408" s="8" t="inlineStr">
        <is>
          <t>PG</t>
        </is>
      </c>
      <c r="B408" s="8" t="inlineStr">
        <is>
          <t>PROCTER &amp; GAMBLE Co</t>
        </is>
      </c>
      <c r="C408" s="8" t="n">
        <v>2016</v>
      </c>
      <c r="D408" s="8" t="inlineStr">
        <is>
          <t>2016-06-30</t>
        </is>
      </c>
      <c r="E408" s="8" t="inlineStr">
        <is>
          <t>일반</t>
        </is>
      </c>
      <c r="F408" s="8" t="inlineStr">
        <is>
          <t>0000080424-18-000055</t>
        </is>
      </c>
      <c r="G408" s="15" t="n"/>
      <c r="H408" s="15" t="n"/>
      <c r="I408" s="15" t="n"/>
      <c r="J408" s="15" t="n">
        <v>3.342</v>
      </c>
      <c r="K408" s="15" t="n">
        <v>13.441</v>
      </c>
      <c r="L408" s="15" t="n">
        <v>10.508</v>
      </c>
      <c r="M408" s="15" t="n">
        <v>3.078</v>
      </c>
      <c r="N408" s="15" t="n">
        <v>3.314</v>
      </c>
      <c r="O408" s="15" t="n">
        <v>15.435</v>
      </c>
      <c r="P408" s="15" t="n">
        <v>57.983</v>
      </c>
      <c r="Q408" s="15" t="n">
        <v>63.05</v>
      </c>
      <c r="R408" s="15" t="n"/>
      <c r="S408" s="15" t="n"/>
      <c r="T408" s="15" t="n">
        <v>11.653</v>
      </c>
      <c r="U408" s="15" t="n">
        <v>12.018</v>
      </c>
      <c r="V408" s="15" t="n">
        <v>18.945</v>
      </c>
      <c r="W408" s="15" t="n">
        <v>33.782</v>
      </c>
      <c r="X408" s="15" t="n">
        <v>29.646</v>
      </c>
      <c r="Y408" s="15" t="n">
        <v>30.77</v>
      </c>
      <c r="Z408" s="15" t="n">
        <v>29.79</v>
      </c>
      <c r="AA408" s="15" t="n"/>
      <c r="AB408" s="16" t="n">
        <v>2844.4</v>
      </c>
      <c r="AC408" s="17">
        <f>IF(AND(ISNUMBER(H408),ISNUMBER(I408)),H408+I408,IF(ISNUMBER(K408),K408,IF(ISNUMBER(H408),H408,"")))</f>
        <v/>
      </c>
      <c r="AD408" s="18">
        <f>IF(OR(NOT(ISNUMBER(J408)),NOT(ISNUMBER(H408)),H408&lt;=0),기준표!$B$8,MIN(MAX(J408/H408,기준표!$B$6),기준표!$B$7))</f>
        <v/>
      </c>
      <c r="AE408" s="17">
        <f>IF(ISNUMBER(AC408),AC408*(1-AD408),"")</f>
        <v/>
      </c>
      <c r="AF408" s="17">
        <f>IF(AND(NOT(ISNUMBER(T408)),NOT(ISNUMBER(V408))),"",IF(ISNUMBER(T408),T408,0)+IF(ISNUMBER(V408),V408,0))</f>
        <v/>
      </c>
      <c r="AG408" s="17">
        <f>IF(E408="금융","",IF(AND(ISNUMBER(P408),ISNUMBER(AF408),ISNUMBER(R408)),P408+AF408-R408,""))</f>
        <v/>
      </c>
      <c r="AH408" s="17">
        <f>IF(E408="금융","",IF(NOT(ISNUMBER(AG408)),"",IF(ISNUMBER(AA408),(AG408+AA408)/2,AG408)))</f>
        <v/>
      </c>
      <c r="AI408" s="19">
        <f>IF(AND(ISNUMBER(AE408),ISNUMBER(AH408),AH408&gt;0),AE408/AH408,"")</f>
        <v/>
      </c>
      <c r="AJ408" s="17">
        <f>IF(E408="금융","",IF(AND(ISNUMBER(P408),ISNUMBER(AF408)),P408+AF408,""))</f>
        <v/>
      </c>
      <c r="AK408" s="19">
        <f>IF(OR(NOT(ISNUMBER(AE408)),NOT(ISNUMBER(AJ408)),AJ408&lt;=0),"",IF(AND(ISNUMBER(G408),AJ408&lt;0.1*G408),"",AE408/AJ408))</f>
        <v/>
      </c>
      <c r="AL408" s="17">
        <f>IF(NOT(ISNUMBER(P408)),"",IF(ISNUMBER(Q408),(P408+Q408)/2,P408))</f>
        <v/>
      </c>
      <c r="AM408" s="19">
        <f>IF(AND(ISNUMBER(L408),ISNUMBER(AL408),AL408&gt;0),L408/AL408,"")</f>
        <v/>
      </c>
      <c r="AN408" s="19">
        <f>IF(AND(ISNUMBER(AM408),ISNUMBER({ROIC})),AM408-{ROIC},"")</f>
        <v/>
      </c>
      <c r="AO408" s="17">
        <f>IF(AND(ISNUMBER(AC408),ISNUMBER(M408)),AC408+M408,"")</f>
        <v/>
      </c>
      <c r="AP408" s="20">
        <f>IF(AND(ISNUMBER(AF408),ISNUMBER(R408),ISNUMBER(AO408),AO408&gt;0),(AF408-R408)/AO408,"")</f>
        <v/>
      </c>
      <c r="AQ408" s="20">
        <f>IF(AND(ISNUMBER(AC408),ISNUMBER(I408),I408&lt;&gt;0,AC408&gt;0),AC408/I408,"")</f>
        <v/>
      </c>
      <c r="AR408" s="17">
        <f>IF(AND(ISNUMBER(W408),ISNUMBER(Y408)),W408-IF(ISNUMBER(R408),R408,0)-(Y408-IF(ISNUMBER(T408),T408,0)),"")</f>
        <v/>
      </c>
      <c r="AS408" s="17">
        <f>IF(AND(ISNUMBER(X408),ISNUMBER(Z408)),X408-IF(ISNUMBER(S408),S408,0)-(Z408-IF(ISNUMBER(U408),U408,0)),"")</f>
        <v/>
      </c>
      <c r="AT408" s="17">
        <f>IF(AND(ISNUMBER(AR408),ISNUMBER(AS408)),AR408-AS408,"")</f>
        <v/>
      </c>
      <c r="AU408" s="17">
        <f>IF(E408="금융","",IF(AND(ISNUMBER(L408),ISNUMBER(M408),ISNUMBER(N408),ISNUMBER(AT408)),L408+M408-N408-AT408,IF(AND(ISNUMBER(O408),ISNUMBER(N408)),O408-N408,"")))</f>
        <v/>
      </c>
      <c r="AV408" s="8">
        <f>IF(E408="금융","금융업 - 정의되지 않음",IF(AND(ISNUMBER(L408),ISNUMBER(M408),ISNUMBER(N408),ISNUMBER(AT408)),"순이익+감가상각-설비투자-운전자본증감",IF(AND(ISNUMBER(O408),ISNUMBER(N408)),"영업현금흐름-설비투자","산출불가")))</f>
        <v/>
      </c>
      <c r="AW408" s="19">
        <f>IF(AND(ISNUMBER(AU408),ISNUMBER(G408),G408&lt;&gt;0),AU408/G408,"")</f>
        <v/>
      </c>
      <c r="AX408" s="19">
        <f>IF(AND(ISNUMBER(AC408),ISNUMBER(G408),G408&lt;&gt;0),AC408/G408,"")</f>
        <v/>
      </c>
    </row>
    <row r="409">
      <c r="A409" s="8" t="inlineStr">
        <is>
          <t>PG</t>
        </is>
      </c>
      <c r="B409" s="8" t="inlineStr">
        <is>
          <t>PROCTER &amp; GAMBLE Co</t>
        </is>
      </c>
      <c r="C409" s="8" t="n">
        <v>2017</v>
      </c>
      <c r="D409" s="8" t="inlineStr">
        <is>
          <t>2017-06-30</t>
        </is>
      </c>
      <c r="E409" s="8" t="inlineStr">
        <is>
          <t>일반</t>
        </is>
      </c>
      <c r="F409" s="8" t="inlineStr">
        <is>
          <t>0000080424-19-000050</t>
        </is>
      </c>
      <c r="G409" s="15" t="n">
        <v>65.05800000000001</v>
      </c>
      <c r="H409" s="15" t="n"/>
      <c r="I409" s="15" t="n"/>
      <c r="J409" s="15" t="n">
        <v>3.063</v>
      </c>
      <c r="K409" s="15" t="n">
        <v>13.766</v>
      </c>
      <c r="L409" s="15" t="n">
        <v>15.326</v>
      </c>
      <c r="M409" s="15" t="n">
        <v>2.82</v>
      </c>
      <c r="N409" s="15" t="n">
        <v>3.384</v>
      </c>
      <c r="O409" s="15" t="n">
        <v>12.753</v>
      </c>
      <c r="P409" s="15" t="n">
        <v>55.778</v>
      </c>
      <c r="Q409" s="15" t="n">
        <v>57.983</v>
      </c>
      <c r="R409" s="15" t="n">
        <v>5.569</v>
      </c>
      <c r="S409" s="15" t="n"/>
      <c r="T409" s="15" t="n">
        <v>13.554</v>
      </c>
      <c r="U409" s="15" t="n">
        <v>11.653</v>
      </c>
      <c r="V409" s="15" t="n">
        <v>18.038</v>
      </c>
      <c r="W409" s="15" t="n">
        <v>26.494</v>
      </c>
      <c r="X409" s="15" t="n">
        <v>33.782</v>
      </c>
      <c r="Y409" s="15" t="n">
        <v>30.21</v>
      </c>
      <c r="Z409" s="15" t="n">
        <v>30.77</v>
      </c>
      <c r="AA409" s="15" t="n"/>
      <c r="AB409" s="16" t="n">
        <v>2740.4</v>
      </c>
      <c r="AC409" s="17">
        <f>IF(AND(ISNUMBER(H409),ISNUMBER(I409)),H409+I409,IF(ISNUMBER(K409),K409,IF(ISNUMBER(H409),H409,"")))</f>
        <v/>
      </c>
      <c r="AD409" s="18">
        <f>IF(OR(NOT(ISNUMBER(J409)),NOT(ISNUMBER(H409)),H409&lt;=0),기준표!$B$8,MIN(MAX(J409/H409,기준표!$B$6),기준표!$B$7))</f>
        <v/>
      </c>
      <c r="AE409" s="17">
        <f>IF(ISNUMBER(AC409),AC409*(1-AD409),"")</f>
        <v/>
      </c>
      <c r="AF409" s="17">
        <f>IF(AND(NOT(ISNUMBER(T409)),NOT(ISNUMBER(V409))),"",IF(ISNUMBER(T409),T409,0)+IF(ISNUMBER(V409),V409,0))</f>
        <v/>
      </c>
      <c r="AG409" s="17">
        <f>IF(E409="금융","",IF(AND(ISNUMBER(P409),ISNUMBER(AF409),ISNUMBER(R409)),P409+AF409-R409,""))</f>
        <v/>
      </c>
      <c r="AH409" s="17">
        <f>IF(E409="금융","",IF(NOT(ISNUMBER(AG409)),"",IF(ISNUMBER(AA409),(AG409+AA409)/2,AG409)))</f>
        <v/>
      </c>
      <c r="AI409" s="19">
        <f>IF(AND(ISNUMBER(AE409),ISNUMBER(AH409),AH409&gt;0),AE409/AH409,"")</f>
        <v/>
      </c>
      <c r="AJ409" s="17">
        <f>IF(E409="금융","",IF(AND(ISNUMBER(P409),ISNUMBER(AF409)),P409+AF409,""))</f>
        <v/>
      </c>
      <c r="AK409" s="19">
        <f>IF(OR(NOT(ISNUMBER(AE409)),NOT(ISNUMBER(AJ409)),AJ409&lt;=0),"",IF(AND(ISNUMBER(G409),AJ409&lt;0.1*G409),"",AE409/AJ409))</f>
        <v/>
      </c>
      <c r="AL409" s="17">
        <f>IF(NOT(ISNUMBER(P409)),"",IF(ISNUMBER(Q409),(P409+Q409)/2,P409))</f>
        <v/>
      </c>
      <c r="AM409" s="19">
        <f>IF(AND(ISNUMBER(L409),ISNUMBER(AL409),AL409&gt;0),L409/AL409,"")</f>
        <v/>
      </c>
      <c r="AN409" s="19">
        <f>IF(AND(ISNUMBER(AM409),ISNUMBER({ROIC})),AM409-{ROIC},"")</f>
        <v/>
      </c>
      <c r="AO409" s="17">
        <f>IF(AND(ISNUMBER(AC409),ISNUMBER(M409)),AC409+M409,"")</f>
        <v/>
      </c>
      <c r="AP409" s="20">
        <f>IF(AND(ISNUMBER(AF409),ISNUMBER(R409),ISNUMBER(AO409),AO409&gt;0),(AF409-R409)/AO409,"")</f>
        <v/>
      </c>
      <c r="AQ409" s="20">
        <f>IF(AND(ISNUMBER(AC409),ISNUMBER(I409),I409&lt;&gt;0,AC409&gt;0),AC409/I409,"")</f>
        <v/>
      </c>
      <c r="AR409" s="17">
        <f>IF(AND(ISNUMBER(W409),ISNUMBER(Y409)),W409-IF(ISNUMBER(R409),R409,0)-(Y409-IF(ISNUMBER(T409),T409,0)),"")</f>
        <v/>
      </c>
      <c r="AS409" s="17">
        <f>IF(AND(ISNUMBER(X409),ISNUMBER(Z409)),X409-IF(ISNUMBER(S409),S409,0)-(Z409-IF(ISNUMBER(U409),U409,0)),"")</f>
        <v/>
      </c>
      <c r="AT409" s="17">
        <f>IF(AND(ISNUMBER(AR409),ISNUMBER(AS409)),AR409-AS409,"")</f>
        <v/>
      </c>
      <c r="AU409" s="17">
        <f>IF(E409="금융","",IF(AND(ISNUMBER(L409),ISNUMBER(M409),ISNUMBER(N409),ISNUMBER(AT409)),L409+M409-N409-AT409,IF(AND(ISNUMBER(O409),ISNUMBER(N409)),O409-N409,"")))</f>
        <v/>
      </c>
      <c r="AV409" s="8">
        <f>IF(E409="금융","금융업 - 정의되지 않음",IF(AND(ISNUMBER(L409),ISNUMBER(M409),ISNUMBER(N409),ISNUMBER(AT409)),"순이익+감가상각-설비투자-운전자본증감",IF(AND(ISNUMBER(O409),ISNUMBER(N409)),"영업현금흐름-설비투자","산출불가")))</f>
        <v/>
      </c>
      <c r="AW409" s="19">
        <f>IF(AND(ISNUMBER(AU409),ISNUMBER(G409),G409&lt;&gt;0),AU409/G409,"")</f>
        <v/>
      </c>
      <c r="AX409" s="19">
        <f>IF(AND(ISNUMBER(AC409),ISNUMBER(G409),G409&lt;&gt;0),AC409/G409,"")</f>
        <v/>
      </c>
    </row>
    <row r="410">
      <c r="A410" s="8" t="inlineStr">
        <is>
          <t>PG</t>
        </is>
      </c>
      <c r="B410" s="8" t="inlineStr">
        <is>
          <t>PROCTER &amp; GAMBLE Co</t>
        </is>
      </c>
      <c r="C410" s="8" t="n">
        <v>2018</v>
      </c>
      <c r="D410" s="8" t="inlineStr">
        <is>
          <t>2018-06-30</t>
        </is>
      </c>
      <c r="E410" s="8" t="inlineStr">
        <is>
          <t>일반</t>
        </is>
      </c>
      <c r="F410" s="8" t="inlineStr">
        <is>
          <t>0000080424-20-000053</t>
        </is>
      </c>
      <c r="G410" s="15" t="n">
        <v>66.83199999999999</v>
      </c>
      <c r="H410" s="15" t="n"/>
      <c r="I410" s="15" t="n"/>
      <c r="J410" s="15" t="n">
        <v>3.465</v>
      </c>
      <c r="K410" s="15" t="n">
        <v>13.363</v>
      </c>
      <c r="L410" s="15" t="n">
        <v>9.75</v>
      </c>
      <c r="M410" s="15" t="n">
        <v>2.834</v>
      </c>
      <c r="N410" s="15" t="n">
        <v>3.717</v>
      </c>
      <c r="O410" s="15" t="n">
        <v>14.867</v>
      </c>
      <c r="P410" s="15" t="n">
        <v>52.883</v>
      </c>
      <c r="Q410" s="15" t="n">
        <v>55.778</v>
      </c>
      <c r="R410" s="15" t="n">
        <v>2.569</v>
      </c>
      <c r="S410" s="15" t="n">
        <v>5.569</v>
      </c>
      <c r="T410" s="15" t="n">
        <v>10.423</v>
      </c>
      <c r="U410" s="15" t="n">
        <v>13.554</v>
      </c>
      <c r="V410" s="15" t="n">
        <v>20.863</v>
      </c>
      <c r="W410" s="15" t="n">
        <v>23.32</v>
      </c>
      <c r="X410" s="15" t="n">
        <v>26.494</v>
      </c>
      <c r="Y410" s="15" t="n">
        <v>28.237</v>
      </c>
      <c r="Z410" s="15" t="n">
        <v>30.21</v>
      </c>
      <c r="AA410" s="15" t="n">
        <v>81.801</v>
      </c>
      <c r="AB410" s="16" t="n">
        <v>2656.7</v>
      </c>
      <c r="AC410" s="17">
        <f>IF(AND(ISNUMBER(H410),ISNUMBER(I410)),H410+I410,IF(ISNUMBER(K410),K410,IF(ISNUMBER(H410),H410,"")))</f>
        <v/>
      </c>
      <c r="AD410" s="18">
        <f>IF(OR(NOT(ISNUMBER(J410)),NOT(ISNUMBER(H410)),H410&lt;=0),기준표!$B$8,MIN(MAX(J410/H410,기준표!$B$6),기준표!$B$7))</f>
        <v/>
      </c>
      <c r="AE410" s="17">
        <f>IF(ISNUMBER(AC410),AC410*(1-AD410),"")</f>
        <v/>
      </c>
      <c r="AF410" s="17">
        <f>IF(AND(NOT(ISNUMBER(T410)),NOT(ISNUMBER(V410))),"",IF(ISNUMBER(T410),T410,0)+IF(ISNUMBER(V410),V410,0))</f>
        <v/>
      </c>
      <c r="AG410" s="17">
        <f>IF(E410="금융","",IF(AND(ISNUMBER(P410),ISNUMBER(AF410),ISNUMBER(R410)),P410+AF410-R410,""))</f>
        <v/>
      </c>
      <c r="AH410" s="17">
        <f>IF(E410="금융","",IF(NOT(ISNUMBER(AG410)),"",IF(ISNUMBER(AA410),(AG410+AA410)/2,AG410)))</f>
        <v/>
      </c>
      <c r="AI410" s="19">
        <f>IF(AND(ISNUMBER(AE410),ISNUMBER(AH410),AH410&gt;0),AE410/AH410,"")</f>
        <v/>
      </c>
      <c r="AJ410" s="17">
        <f>IF(E410="금융","",IF(AND(ISNUMBER(P410),ISNUMBER(AF410)),P410+AF410,""))</f>
        <v/>
      </c>
      <c r="AK410" s="19">
        <f>IF(OR(NOT(ISNUMBER(AE410)),NOT(ISNUMBER(AJ410)),AJ410&lt;=0),"",IF(AND(ISNUMBER(G410),AJ410&lt;0.1*G410),"",AE410/AJ410))</f>
        <v/>
      </c>
      <c r="AL410" s="17">
        <f>IF(NOT(ISNUMBER(P410)),"",IF(ISNUMBER(Q410),(P410+Q410)/2,P410))</f>
        <v/>
      </c>
      <c r="AM410" s="19">
        <f>IF(AND(ISNUMBER(L410),ISNUMBER(AL410),AL410&gt;0),L410/AL410,"")</f>
        <v/>
      </c>
      <c r="AN410" s="19">
        <f>IF(AND(ISNUMBER(AM410),ISNUMBER({ROIC})),AM410-{ROIC},"")</f>
        <v/>
      </c>
      <c r="AO410" s="17">
        <f>IF(AND(ISNUMBER(AC410),ISNUMBER(M410)),AC410+M410,"")</f>
        <v/>
      </c>
      <c r="AP410" s="20">
        <f>IF(AND(ISNUMBER(AF410),ISNUMBER(R410),ISNUMBER(AO410),AO410&gt;0),(AF410-R410)/AO410,"")</f>
        <v/>
      </c>
      <c r="AQ410" s="20">
        <f>IF(AND(ISNUMBER(AC410),ISNUMBER(I410),I410&lt;&gt;0,AC410&gt;0),AC410/I410,"")</f>
        <v/>
      </c>
      <c r="AR410" s="17">
        <f>IF(AND(ISNUMBER(W410),ISNUMBER(Y410)),W410-IF(ISNUMBER(R410),R410,0)-(Y410-IF(ISNUMBER(T410),T410,0)),"")</f>
        <v/>
      </c>
      <c r="AS410" s="17">
        <f>IF(AND(ISNUMBER(X410),ISNUMBER(Z410)),X410-IF(ISNUMBER(S410),S410,0)-(Z410-IF(ISNUMBER(U410),U410,0)),"")</f>
        <v/>
      </c>
      <c r="AT410" s="17">
        <f>IF(AND(ISNUMBER(AR410),ISNUMBER(AS410)),AR410-AS410,"")</f>
        <v/>
      </c>
      <c r="AU410" s="17">
        <f>IF(E410="금융","",IF(AND(ISNUMBER(L410),ISNUMBER(M410),ISNUMBER(N410),ISNUMBER(AT410)),L410+M410-N410-AT410,IF(AND(ISNUMBER(O410),ISNUMBER(N410)),O410-N410,"")))</f>
        <v/>
      </c>
      <c r="AV410" s="8">
        <f>IF(E410="금융","금융업 - 정의되지 않음",IF(AND(ISNUMBER(L410),ISNUMBER(M410),ISNUMBER(N410),ISNUMBER(AT410)),"순이익+감가상각-설비투자-운전자본증감",IF(AND(ISNUMBER(O410),ISNUMBER(N410)),"영업현금흐름-설비투자","산출불가")))</f>
        <v/>
      </c>
      <c r="AW410" s="19">
        <f>IF(AND(ISNUMBER(AU410),ISNUMBER(G410),G410&lt;&gt;0),AU410/G410,"")</f>
        <v/>
      </c>
      <c r="AX410" s="19">
        <f>IF(AND(ISNUMBER(AC410),ISNUMBER(G410),G410&lt;&gt;0),AC410/G410,"")</f>
        <v/>
      </c>
    </row>
    <row r="411">
      <c r="A411" s="8" t="inlineStr">
        <is>
          <t>PG</t>
        </is>
      </c>
      <c r="B411" s="8" t="inlineStr">
        <is>
          <t>PROCTER &amp; GAMBLE Co</t>
        </is>
      </c>
      <c r="C411" s="8" t="n">
        <v>2019</v>
      </c>
      <c r="D411" s="8" t="inlineStr">
        <is>
          <t>2019-06-30</t>
        </is>
      </c>
      <c r="E411" s="8" t="inlineStr">
        <is>
          <t>일반</t>
        </is>
      </c>
      <c r="F411" s="8" t="inlineStr">
        <is>
          <t>0000080424-21-000100</t>
        </is>
      </c>
      <c r="G411" s="15" t="n">
        <v>67.684</v>
      </c>
      <c r="H411" s="15" t="n"/>
      <c r="I411" s="15" t="n"/>
      <c r="J411" s="15" t="n">
        <v>2.103</v>
      </c>
      <c r="K411" s="15" t="n">
        <v>5.487</v>
      </c>
      <c r="L411" s="15" t="n">
        <v>3.897</v>
      </c>
      <c r="M411" s="15" t="n">
        <v>2.824</v>
      </c>
      <c r="N411" s="15" t="n">
        <v>3.347</v>
      </c>
      <c r="O411" s="15" t="n">
        <v>15.242</v>
      </c>
      <c r="P411" s="15" t="n">
        <v>47.579</v>
      </c>
      <c r="Q411" s="15" t="n">
        <v>52.883</v>
      </c>
      <c r="R411" s="15" t="n">
        <v>4.239</v>
      </c>
      <c r="S411" s="15" t="n">
        <v>2.569</v>
      </c>
      <c r="T411" s="15" t="n">
        <v>9.696999999999999</v>
      </c>
      <c r="U411" s="15" t="n">
        <v>10.423</v>
      </c>
      <c r="V411" s="15" t="n">
        <v>20.395</v>
      </c>
      <c r="W411" s="15" t="n">
        <v>22.473</v>
      </c>
      <c r="X411" s="15" t="n">
        <v>23.32</v>
      </c>
      <c r="Y411" s="15" t="n">
        <v>30.011</v>
      </c>
      <c r="Z411" s="15" t="n">
        <v>28.237</v>
      </c>
      <c r="AA411" s="15" t="n">
        <v>81.59999999999999</v>
      </c>
      <c r="AB411" s="16" t="n">
        <v>2539.5</v>
      </c>
      <c r="AC411" s="17">
        <f>IF(AND(ISNUMBER(H411),ISNUMBER(I411)),H411+I411,IF(ISNUMBER(K411),K411,IF(ISNUMBER(H411),H411,"")))</f>
        <v/>
      </c>
      <c r="AD411" s="18">
        <f>IF(OR(NOT(ISNUMBER(J411)),NOT(ISNUMBER(H411)),H411&lt;=0),기준표!$B$8,MIN(MAX(J411/H411,기준표!$B$6),기준표!$B$7))</f>
        <v/>
      </c>
      <c r="AE411" s="17">
        <f>IF(ISNUMBER(AC411),AC411*(1-AD411),"")</f>
        <v/>
      </c>
      <c r="AF411" s="17">
        <f>IF(AND(NOT(ISNUMBER(T411)),NOT(ISNUMBER(V411))),"",IF(ISNUMBER(T411),T411,0)+IF(ISNUMBER(V411),V411,0))</f>
        <v/>
      </c>
      <c r="AG411" s="17">
        <f>IF(E411="금융","",IF(AND(ISNUMBER(P411),ISNUMBER(AF411),ISNUMBER(R411)),P411+AF411-R411,""))</f>
        <v/>
      </c>
      <c r="AH411" s="17">
        <f>IF(E411="금융","",IF(NOT(ISNUMBER(AG411)),"",IF(ISNUMBER(AA411),(AG411+AA411)/2,AG411)))</f>
        <v/>
      </c>
      <c r="AI411" s="19">
        <f>IF(AND(ISNUMBER(AE411),ISNUMBER(AH411),AH411&gt;0),AE411/AH411,"")</f>
        <v/>
      </c>
      <c r="AJ411" s="17">
        <f>IF(E411="금융","",IF(AND(ISNUMBER(P411),ISNUMBER(AF411)),P411+AF411,""))</f>
        <v/>
      </c>
      <c r="AK411" s="19">
        <f>IF(OR(NOT(ISNUMBER(AE411)),NOT(ISNUMBER(AJ411)),AJ411&lt;=0),"",IF(AND(ISNUMBER(G411),AJ411&lt;0.1*G411),"",AE411/AJ411))</f>
        <v/>
      </c>
      <c r="AL411" s="17">
        <f>IF(NOT(ISNUMBER(P411)),"",IF(ISNUMBER(Q411),(P411+Q411)/2,P411))</f>
        <v/>
      </c>
      <c r="AM411" s="19">
        <f>IF(AND(ISNUMBER(L411),ISNUMBER(AL411),AL411&gt;0),L411/AL411,"")</f>
        <v/>
      </c>
      <c r="AN411" s="19">
        <f>IF(AND(ISNUMBER(AM411),ISNUMBER({ROIC})),AM411-{ROIC},"")</f>
        <v/>
      </c>
      <c r="AO411" s="17">
        <f>IF(AND(ISNUMBER(AC411),ISNUMBER(M411)),AC411+M411,"")</f>
        <v/>
      </c>
      <c r="AP411" s="20">
        <f>IF(AND(ISNUMBER(AF411),ISNUMBER(R411),ISNUMBER(AO411),AO411&gt;0),(AF411-R411)/AO411,"")</f>
        <v/>
      </c>
      <c r="AQ411" s="20">
        <f>IF(AND(ISNUMBER(AC411),ISNUMBER(I411),I411&lt;&gt;0,AC411&gt;0),AC411/I411,"")</f>
        <v/>
      </c>
      <c r="AR411" s="17">
        <f>IF(AND(ISNUMBER(W411),ISNUMBER(Y411)),W411-IF(ISNUMBER(R411),R411,0)-(Y411-IF(ISNUMBER(T411),T411,0)),"")</f>
        <v/>
      </c>
      <c r="AS411" s="17">
        <f>IF(AND(ISNUMBER(X411),ISNUMBER(Z411)),X411-IF(ISNUMBER(S411),S411,0)-(Z411-IF(ISNUMBER(U411),U411,0)),"")</f>
        <v/>
      </c>
      <c r="AT411" s="17">
        <f>IF(AND(ISNUMBER(AR411),ISNUMBER(AS411)),AR411-AS411,"")</f>
        <v/>
      </c>
      <c r="AU411" s="17">
        <f>IF(E411="금융","",IF(AND(ISNUMBER(L411),ISNUMBER(M411),ISNUMBER(N411),ISNUMBER(AT411)),L411+M411-N411-AT411,IF(AND(ISNUMBER(O411),ISNUMBER(N411)),O411-N411,"")))</f>
        <v/>
      </c>
      <c r="AV411" s="8">
        <f>IF(E411="금융","금융업 - 정의되지 않음",IF(AND(ISNUMBER(L411),ISNUMBER(M411),ISNUMBER(N411),ISNUMBER(AT411)),"순이익+감가상각-설비투자-운전자본증감",IF(AND(ISNUMBER(O411),ISNUMBER(N411)),"영업현금흐름-설비투자","산출불가")))</f>
        <v/>
      </c>
      <c r="AW411" s="19">
        <f>IF(AND(ISNUMBER(AU411),ISNUMBER(G411),G411&lt;&gt;0),AU411/G411,"")</f>
        <v/>
      </c>
      <c r="AX411" s="19">
        <f>IF(AND(ISNUMBER(AC411),ISNUMBER(G411),G411&lt;&gt;0),AC411/G411,"")</f>
        <v/>
      </c>
    </row>
    <row r="412">
      <c r="A412" s="8" t="inlineStr">
        <is>
          <t>PG</t>
        </is>
      </c>
      <c r="B412" s="8" t="inlineStr">
        <is>
          <t>PROCTER &amp; GAMBLE Co</t>
        </is>
      </c>
      <c r="C412" s="8" t="n">
        <v>2020</v>
      </c>
      <c r="D412" s="8" t="inlineStr">
        <is>
          <t>2020-06-30</t>
        </is>
      </c>
      <c r="E412" s="8" t="inlineStr">
        <is>
          <t>일반</t>
        </is>
      </c>
      <c r="F412" s="8" t="inlineStr">
        <is>
          <t>0000080424-22-000064</t>
        </is>
      </c>
      <c r="G412" s="15" t="n">
        <v>70.95</v>
      </c>
      <c r="H412" s="15" t="n"/>
      <c r="I412" s="15" t="n"/>
      <c r="J412" s="15" t="n">
        <v>2.731</v>
      </c>
      <c r="K412" s="15" t="n">
        <v>15.706</v>
      </c>
      <c r="L412" s="15" t="n">
        <v>13.027</v>
      </c>
      <c r="M412" s="15" t="n">
        <v>3.013</v>
      </c>
      <c r="N412" s="15" t="n">
        <v>3.073</v>
      </c>
      <c r="O412" s="15" t="n">
        <v>17.403</v>
      </c>
      <c r="P412" s="15" t="n">
        <v>46.878</v>
      </c>
      <c r="Q412" s="15" t="n">
        <v>47.579</v>
      </c>
      <c r="R412" s="15" t="n">
        <v>16.181</v>
      </c>
      <c r="S412" s="15" t="n">
        <v>4.239</v>
      </c>
      <c r="T412" s="15" t="n">
        <v>11.183</v>
      </c>
      <c r="U412" s="15" t="n">
        <v>9.696999999999999</v>
      </c>
      <c r="V412" s="15" t="n">
        <v>23.537</v>
      </c>
      <c r="W412" s="15" t="n">
        <v>27.987</v>
      </c>
      <c r="X412" s="15" t="n">
        <v>22.473</v>
      </c>
      <c r="Y412" s="15" t="n">
        <v>32.976</v>
      </c>
      <c r="Z412" s="15" t="n">
        <v>30.011</v>
      </c>
      <c r="AA412" s="15" t="n">
        <v>73.432</v>
      </c>
      <c r="AB412" s="16" t="n">
        <v>2625.8</v>
      </c>
      <c r="AC412" s="17">
        <f>IF(AND(ISNUMBER(H412),ISNUMBER(I412)),H412+I412,IF(ISNUMBER(K412),K412,IF(ISNUMBER(H412),H412,"")))</f>
        <v/>
      </c>
      <c r="AD412" s="18">
        <f>IF(OR(NOT(ISNUMBER(J412)),NOT(ISNUMBER(H412)),H412&lt;=0),기준표!$B$8,MIN(MAX(J412/H412,기준표!$B$6),기준표!$B$7))</f>
        <v/>
      </c>
      <c r="AE412" s="17">
        <f>IF(ISNUMBER(AC412),AC412*(1-AD412),"")</f>
        <v/>
      </c>
      <c r="AF412" s="17">
        <f>IF(AND(NOT(ISNUMBER(T412)),NOT(ISNUMBER(V412))),"",IF(ISNUMBER(T412),T412,0)+IF(ISNUMBER(V412),V412,0))</f>
        <v/>
      </c>
      <c r="AG412" s="17">
        <f>IF(E412="금융","",IF(AND(ISNUMBER(P412),ISNUMBER(AF412),ISNUMBER(R412)),P412+AF412-R412,""))</f>
        <v/>
      </c>
      <c r="AH412" s="17">
        <f>IF(E412="금융","",IF(NOT(ISNUMBER(AG412)),"",IF(ISNUMBER(AA412),(AG412+AA412)/2,AG412)))</f>
        <v/>
      </c>
      <c r="AI412" s="19">
        <f>IF(AND(ISNUMBER(AE412),ISNUMBER(AH412),AH412&gt;0),AE412/AH412,"")</f>
        <v/>
      </c>
      <c r="AJ412" s="17">
        <f>IF(E412="금융","",IF(AND(ISNUMBER(P412),ISNUMBER(AF412)),P412+AF412,""))</f>
        <v/>
      </c>
      <c r="AK412" s="19">
        <f>IF(OR(NOT(ISNUMBER(AE412)),NOT(ISNUMBER(AJ412)),AJ412&lt;=0),"",IF(AND(ISNUMBER(G412),AJ412&lt;0.1*G412),"",AE412/AJ412))</f>
        <v/>
      </c>
      <c r="AL412" s="17">
        <f>IF(NOT(ISNUMBER(P412)),"",IF(ISNUMBER(Q412),(P412+Q412)/2,P412))</f>
        <v/>
      </c>
      <c r="AM412" s="19">
        <f>IF(AND(ISNUMBER(L412),ISNUMBER(AL412),AL412&gt;0),L412/AL412,"")</f>
        <v/>
      </c>
      <c r="AN412" s="19">
        <f>IF(AND(ISNUMBER(AM412),ISNUMBER({ROIC})),AM412-{ROIC},"")</f>
        <v/>
      </c>
      <c r="AO412" s="17">
        <f>IF(AND(ISNUMBER(AC412),ISNUMBER(M412)),AC412+M412,"")</f>
        <v/>
      </c>
      <c r="AP412" s="20">
        <f>IF(AND(ISNUMBER(AF412),ISNUMBER(R412),ISNUMBER(AO412),AO412&gt;0),(AF412-R412)/AO412,"")</f>
        <v/>
      </c>
      <c r="AQ412" s="20">
        <f>IF(AND(ISNUMBER(AC412),ISNUMBER(I412),I412&lt;&gt;0,AC412&gt;0),AC412/I412,"")</f>
        <v/>
      </c>
      <c r="AR412" s="17">
        <f>IF(AND(ISNUMBER(W412),ISNUMBER(Y412)),W412-IF(ISNUMBER(R412),R412,0)-(Y412-IF(ISNUMBER(T412),T412,0)),"")</f>
        <v/>
      </c>
      <c r="AS412" s="17">
        <f>IF(AND(ISNUMBER(X412),ISNUMBER(Z412)),X412-IF(ISNUMBER(S412),S412,0)-(Z412-IF(ISNUMBER(U412),U412,0)),"")</f>
        <v/>
      </c>
      <c r="AT412" s="17">
        <f>IF(AND(ISNUMBER(AR412),ISNUMBER(AS412)),AR412-AS412,"")</f>
        <v/>
      </c>
      <c r="AU412" s="17">
        <f>IF(E412="금융","",IF(AND(ISNUMBER(L412),ISNUMBER(M412),ISNUMBER(N412),ISNUMBER(AT412)),L412+M412-N412-AT412,IF(AND(ISNUMBER(O412),ISNUMBER(N412)),O412-N412,"")))</f>
        <v/>
      </c>
      <c r="AV412" s="8">
        <f>IF(E412="금융","금융업 - 정의되지 않음",IF(AND(ISNUMBER(L412),ISNUMBER(M412),ISNUMBER(N412),ISNUMBER(AT412)),"순이익+감가상각-설비투자-운전자본증감",IF(AND(ISNUMBER(O412),ISNUMBER(N412)),"영업현금흐름-설비투자","산출불가")))</f>
        <v/>
      </c>
      <c r="AW412" s="19">
        <f>IF(AND(ISNUMBER(AU412),ISNUMBER(G412),G412&lt;&gt;0),AU412/G412,"")</f>
        <v/>
      </c>
      <c r="AX412" s="19">
        <f>IF(AND(ISNUMBER(AC412),ISNUMBER(G412),G412&lt;&gt;0),AC412/G412,"")</f>
        <v/>
      </c>
    </row>
    <row r="413">
      <c r="A413" s="8" t="inlineStr">
        <is>
          <t>PG</t>
        </is>
      </c>
      <c r="B413" s="8" t="inlineStr">
        <is>
          <t>PROCTER &amp; GAMBLE Co</t>
        </is>
      </c>
      <c r="C413" s="8" t="n">
        <v>2021</v>
      </c>
      <c r="D413" s="8" t="inlineStr">
        <is>
          <t>2021-06-30</t>
        </is>
      </c>
      <c r="E413" s="8" t="inlineStr">
        <is>
          <t>일반</t>
        </is>
      </c>
      <c r="F413" s="8" t="inlineStr">
        <is>
          <t>0000080424-23-000073</t>
        </is>
      </c>
      <c r="G413" s="15" t="n">
        <v>76.11799999999999</v>
      </c>
      <c r="H413" s="15" t="n"/>
      <c r="I413" s="15" t="n"/>
      <c r="J413" s="15" t="n">
        <v>3.263</v>
      </c>
      <c r="K413" s="15" t="n">
        <v>17.986</v>
      </c>
      <c r="L413" s="15" t="n">
        <v>14.306</v>
      </c>
      <c r="M413" s="15" t="n">
        <v>2.735</v>
      </c>
      <c r="N413" s="15" t="n">
        <v>2.787</v>
      </c>
      <c r="O413" s="15" t="n">
        <v>18.371</v>
      </c>
      <c r="P413" s="15" t="n">
        <v>46.654</v>
      </c>
      <c r="Q413" s="15" t="n">
        <v>46.878</v>
      </c>
      <c r="R413" s="15" t="n">
        <v>10.288</v>
      </c>
      <c r="S413" s="15" t="n">
        <v>16.181</v>
      </c>
      <c r="T413" s="15" t="n">
        <v>8.888999999999999</v>
      </c>
      <c r="U413" s="15" t="n">
        <v>11.183</v>
      </c>
      <c r="V413" s="15" t="n">
        <v>23.099</v>
      </c>
      <c r="W413" s="15" t="n">
        <v>23.091</v>
      </c>
      <c r="X413" s="15" t="n">
        <v>27.987</v>
      </c>
      <c r="Y413" s="15" t="n">
        <v>33.132</v>
      </c>
      <c r="Z413" s="15" t="n">
        <v>32.976</v>
      </c>
      <c r="AA413" s="15" t="n">
        <v>65.417</v>
      </c>
      <c r="AB413" s="16" t="n">
        <v>2601</v>
      </c>
      <c r="AC413" s="17">
        <f>IF(AND(ISNUMBER(H413),ISNUMBER(I413)),H413+I413,IF(ISNUMBER(K413),K413,IF(ISNUMBER(H413),H413,"")))</f>
        <v/>
      </c>
      <c r="AD413" s="18">
        <f>IF(OR(NOT(ISNUMBER(J413)),NOT(ISNUMBER(H413)),H413&lt;=0),기준표!$B$8,MIN(MAX(J413/H413,기준표!$B$6),기준표!$B$7))</f>
        <v/>
      </c>
      <c r="AE413" s="17">
        <f>IF(ISNUMBER(AC413),AC413*(1-AD413),"")</f>
        <v/>
      </c>
      <c r="AF413" s="17">
        <f>IF(AND(NOT(ISNUMBER(T413)),NOT(ISNUMBER(V413))),"",IF(ISNUMBER(T413),T413,0)+IF(ISNUMBER(V413),V413,0))</f>
        <v/>
      </c>
      <c r="AG413" s="17">
        <f>IF(E413="금융","",IF(AND(ISNUMBER(P413),ISNUMBER(AF413),ISNUMBER(R413)),P413+AF413-R413,""))</f>
        <v/>
      </c>
      <c r="AH413" s="17">
        <f>IF(E413="금융","",IF(NOT(ISNUMBER(AG413)),"",IF(ISNUMBER(AA413),(AG413+AA413)/2,AG413)))</f>
        <v/>
      </c>
      <c r="AI413" s="19">
        <f>IF(AND(ISNUMBER(AE413),ISNUMBER(AH413),AH413&gt;0),AE413/AH413,"")</f>
        <v/>
      </c>
      <c r="AJ413" s="17">
        <f>IF(E413="금융","",IF(AND(ISNUMBER(P413),ISNUMBER(AF413)),P413+AF413,""))</f>
        <v/>
      </c>
      <c r="AK413" s="19">
        <f>IF(OR(NOT(ISNUMBER(AE413)),NOT(ISNUMBER(AJ413)),AJ413&lt;=0),"",IF(AND(ISNUMBER(G413),AJ413&lt;0.1*G413),"",AE413/AJ413))</f>
        <v/>
      </c>
      <c r="AL413" s="17">
        <f>IF(NOT(ISNUMBER(P413)),"",IF(ISNUMBER(Q413),(P413+Q413)/2,P413))</f>
        <v/>
      </c>
      <c r="AM413" s="19">
        <f>IF(AND(ISNUMBER(L413),ISNUMBER(AL413),AL413&gt;0),L413/AL413,"")</f>
        <v/>
      </c>
      <c r="AN413" s="19">
        <f>IF(AND(ISNUMBER(AM413),ISNUMBER({ROIC})),AM413-{ROIC},"")</f>
        <v/>
      </c>
      <c r="AO413" s="17">
        <f>IF(AND(ISNUMBER(AC413),ISNUMBER(M413)),AC413+M413,"")</f>
        <v/>
      </c>
      <c r="AP413" s="20">
        <f>IF(AND(ISNUMBER(AF413),ISNUMBER(R413),ISNUMBER(AO413),AO413&gt;0),(AF413-R413)/AO413,"")</f>
        <v/>
      </c>
      <c r="AQ413" s="20">
        <f>IF(AND(ISNUMBER(AC413),ISNUMBER(I413),I413&lt;&gt;0,AC413&gt;0),AC413/I413,"")</f>
        <v/>
      </c>
      <c r="AR413" s="17">
        <f>IF(AND(ISNUMBER(W413),ISNUMBER(Y413)),W413-IF(ISNUMBER(R413),R413,0)-(Y413-IF(ISNUMBER(T413),T413,0)),"")</f>
        <v/>
      </c>
      <c r="AS413" s="17">
        <f>IF(AND(ISNUMBER(X413),ISNUMBER(Z413)),X413-IF(ISNUMBER(S413),S413,0)-(Z413-IF(ISNUMBER(U413),U413,0)),"")</f>
        <v/>
      </c>
      <c r="AT413" s="17">
        <f>IF(AND(ISNUMBER(AR413),ISNUMBER(AS413)),AR413-AS413,"")</f>
        <v/>
      </c>
      <c r="AU413" s="17">
        <f>IF(E413="금융","",IF(AND(ISNUMBER(L413),ISNUMBER(M413),ISNUMBER(N413),ISNUMBER(AT413)),L413+M413-N413-AT413,IF(AND(ISNUMBER(O413),ISNUMBER(N413)),O413-N413,"")))</f>
        <v/>
      </c>
      <c r="AV413" s="8">
        <f>IF(E413="금융","금융업 - 정의되지 않음",IF(AND(ISNUMBER(L413),ISNUMBER(M413),ISNUMBER(N413),ISNUMBER(AT413)),"순이익+감가상각-설비투자-운전자본증감",IF(AND(ISNUMBER(O413),ISNUMBER(N413)),"영업현금흐름-설비투자","산출불가")))</f>
        <v/>
      </c>
      <c r="AW413" s="19">
        <f>IF(AND(ISNUMBER(AU413),ISNUMBER(G413),G413&lt;&gt;0),AU413/G413,"")</f>
        <v/>
      </c>
      <c r="AX413" s="19">
        <f>IF(AND(ISNUMBER(AC413),ISNUMBER(G413),G413&lt;&gt;0),AC413/G413,"")</f>
        <v/>
      </c>
    </row>
    <row r="414">
      <c r="A414" s="8" t="inlineStr">
        <is>
          <t>PG</t>
        </is>
      </c>
      <c r="B414" s="8" t="inlineStr">
        <is>
          <t>PROCTER &amp; GAMBLE Co</t>
        </is>
      </c>
      <c r="C414" s="8" t="n">
        <v>2022</v>
      </c>
      <c r="D414" s="8" t="inlineStr">
        <is>
          <t>2022-06-30</t>
        </is>
      </c>
      <c r="E414" s="8" t="inlineStr">
        <is>
          <t>일반</t>
        </is>
      </c>
      <c r="F414" s="8" t="inlineStr">
        <is>
          <t>0000080424-24-000083</t>
        </is>
      </c>
      <c r="G414" s="15" t="n">
        <v>80.187</v>
      </c>
      <c r="H414" s="15" t="n">
        <v>17.995</v>
      </c>
      <c r="I414" s="15" t="n">
        <v>0.439</v>
      </c>
      <c r="J414" s="15" t="n">
        <v>3.202</v>
      </c>
      <c r="K414" s="15" t="n">
        <v>17.813</v>
      </c>
      <c r="L414" s="15" t="n">
        <v>14.742</v>
      </c>
      <c r="M414" s="15" t="n">
        <v>2.807</v>
      </c>
      <c r="N414" s="15" t="n">
        <v>3.156</v>
      </c>
      <c r="O414" s="15" t="n">
        <v>16.723</v>
      </c>
      <c r="P414" s="15" t="n">
        <v>46.854</v>
      </c>
      <c r="Q414" s="15" t="n">
        <v>46.654</v>
      </c>
      <c r="R414" s="15" t="n">
        <v>7.214</v>
      </c>
      <c r="S414" s="15" t="n">
        <v>10.288</v>
      </c>
      <c r="T414" s="15" t="n">
        <v>8.645</v>
      </c>
      <c r="U414" s="15" t="n">
        <v>8.888999999999999</v>
      </c>
      <c r="V414" s="15" t="n">
        <v>22.848</v>
      </c>
      <c r="W414" s="15" t="n">
        <v>21.653</v>
      </c>
      <c r="X414" s="15" t="n">
        <v>23.091</v>
      </c>
      <c r="Y414" s="15" t="n">
        <v>33.081</v>
      </c>
      <c r="Z414" s="15" t="n">
        <v>33.132</v>
      </c>
      <c r="AA414" s="15" t="n">
        <v>68.354</v>
      </c>
      <c r="AB414" s="16" t="n">
        <v>2539.1</v>
      </c>
      <c r="AC414" s="17">
        <f>IF(AND(ISNUMBER(H414),ISNUMBER(I414)),H414+I414,IF(ISNUMBER(K414),K414,IF(ISNUMBER(H414),H414,"")))</f>
        <v/>
      </c>
      <c r="AD414" s="18">
        <f>IF(OR(NOT(ISNUMBER(J414)),NOT(ISNUMBER(H414)),H414&lt;=0),기준표!$B$8,MIN(MAX(J414/H414,기준표!$B$6),기준표!$B$7))</f>
        <v/>
      </c>
      <c r="AE414" s="17">
        <f>IF(ISNUMBER(AC414),AC414*(1-AD414),"")</f>
        <v/>
      </c>
      <c r="AF414" s="17">
        <f>IF(AND(NOT(ISNUMBER(T414)),NOT(ISNUMBER(V414))),"",IF(ISNUMBER(T414),T414,0)+IF(ISNUMBER(V414),V414,0))</f>
        <v/>
      </c>
      <c r="AG414" s="17">
        <f>IF(E414="금융","",IF(AND(ISNUMBER(P414),ISNUMBER(AF414),ISNUMBER(R414)),P414+AF414-R414,""))</f>
        <v/>
      </c>
      <c r="AH414" s="17">
        <f>IF(E414="금융","",IF(NOT(ISNUMBER(AG414)),"",IF(ISNUMBER(AA414),(AG414+AA414)/2,AG414)))</f>
        <v/>
      </c>
      <c r="AI414" s="19">
        <f>IF(AND(ISNUMBER(AE414),ISNUMBER(AH414),AH414&gt;0),AE414/AH414,"")</f>
        <v/>
      </c>
      <c r="AJ414" s="17">
        <f>IF(E414="금융","",IF(AND(ISNUMBER(P414),ISNUMBER(AF414)),P414+AF414,""))</f>
        <v/>
      </c>
      <c r="AK414" s="19">
        <f>IF(OR(NOT(ISNUMBER(AE414)),NOT(ISNUMBER(AJ414)),AJ414&lt;=0),"",IF(AND(ISNUMBER(G414),AJ414&lt;0.1*G414),"",AE414/AJ414))</f>
        <v/>
      </c>
      <c r="AL414" s="17">
        <f>IF(NOT(ISNUMBER(P414)),"",IF(ISNUMBER(Q414),(P414+Q414)/2,P414))</f>
        <v/>
      </c>
      <c r="AM414" s="19">
        <f>IF(AND(ISNUMBER(L414),ISNUMBER(AL414),AL414&gt;0),L414/AL414,"")</f>
        <v/>
      </c>
      <c r="AN414" s="19">
        <f>IF(AND(ISNUMBER(AM414),ISNUMBER({ROIC})),AM414-{ROIC},"")</f>
        <v/>
      </c>
      <c r="AO414" s="17">
        <f>IF(AND(ISNUMBER(AC414),ISNUMBER(M414)),AC414+M414,"")</f>
        <v/>
      </c>
      <c r="AP414" s="20">
        <f>IF(AND(ISNUMBER(AF414),ISNUMBER(R414),ISNUMBER(AO414),AO414&gt;0),(AF414-R414)/AO414,"")</f>
        <v/>
      </c>
      <c r="AQ414" s="20">
        <f>IF(AND(ISNUMBER(AC414),ISNUMBER(I414),I414&lt;&gt;0,AC414&gt;0),AC414/I414,"")</f>
        <v/>
      </c>
      <c r="AR414" s="17">
        <f>IF(AND(ISNUMBER(W414),ISNUMBER(Y414)),W414-IF(ISNUMBER(R414),R414,0)-(Y414-IF(ISNUMBER(T414),T414,0)),"")</f>
        <v/>
      </c>
      <c r="AS414" s="17">
        <f>IF(AND(ISNUMBER(X414),ISNUMBER(Z414)),X414-IF(ISNUMBER(S414),S414,0)-(Z414-IF(ISNUMBER(U414),U414,0)),"")</f>
        <v/>
      </c>
      <c r="AT414" s="17">
        <f>IF(AND(ISNUMBER(AR414),ISNUMBER(AS414)),AR414-AS414,"")</f>
        <v/>
      </c>
      <c r="AU414" s="17">
        <f>IF(E414="금융","",IF(AND(ISNUMBER(L414),ISNUMBER(M414),ISNUMBER(N414),ISNUMBER(AT414)),L414+M414-N414-AT414,IF(AND(ISNUMBER(O414),ISNUMBER(N414)),O414-N414,"")))</f>
        <v/>
      </c>
      <c r="AV414" s="8">
        <f>IF(E414="금융","금융업 - 정의되지 않음",IF(AND(ISNUMBER(L414),ISNUMBER(M414),ISNUMBER(N414),ISNUMBER(AT414)),"순이익+감가상각-설비투자-운전자본증감",IF(AND(ISNUMBER(O414),ISNUMBER(N414)),"영업현금흐름-설비투자","산출불가")))</f>
        <v/>
      </c>
      <c r="AW414" s="19">
        <f>IF(AND(ISNUMBER(AU414),ISNUMBER(G414),G414&lt;&gt;0),AU414/G414,"")</f>
        <v/>
      </c>
      <c r="AX414" s="19">
        <f>IF(AND(ISNUMBER(AC414),ISNUMBER(G414),G414&lt;&gt;0),AC414/G414,"")</f>
        <v/>
      </c>
    </row>
    <row r="415">
      <c r="A415" s="8" t="inlineStr">
        <is>
          <t>PG</t>
        </is>
      </c>
      <c r="B415" s="8" t="inlineStr">
        <is>
          <t>PROCTER &amp; GAMBLE Co</t>
        </is>
      </c>
      <c r="C415" s="8" t="n">
        <v>2023</v>
      </c>
      <c r="D415" s="8" t="inlineStr">
        <is>
          <t>2023-06-30</t>
        </is>
      </c>
      <c r="E415" s="8" t="inlineStr">
        <is>
          <t>일반</t>
        </is>
      </c>
      <c r="F415" s="8" t="inlineStr">
        <is>
          <t>0000080424-25-000076</t>
        </is>
      </c>
      <c r="G415" s="15" t="n">
        <v>82.006</v>
      </c>
      <c r="H415" s="15" t="n">
        <v>18.353</v>
      </c>
      <c r="I415" s="15" t="n">
        <v>0.756</v>
      </c>
      <c r="J415" s="15" t="n">
        <v>3.615</v>
      </c>
      <c r="K415" s="15" t="n">
        <v>18.134</v>
      </c>
      <c r="L415" s="15" t="n">
        <v>14.653</v>
      </c>
      <c r="M415" s="15" t="n">
        <v>2.714</v>
      </c>
      <c r="N415" s="15" t="n">
        <v>3.062</v>
      </c>
      <c r="O415" s="15" t="n">
        <v>16.848</v>
      </c>
      <c r="P415" s="15" t="n">
        <v>47.065</v>
      </c>
      <c r="Q415" s="15" t="n">
        <v>46.854</v>
      </c>
      <c r="R415" s="15" t="n">
        <v>8.246</v>
      </c>
      <c r="S415" s="15" t="n">
        <v>7.214</v>
      </c>
      <c r="T415" s="15" t="n">
        <v>10.229</v>
      </c>
      <c r="U415" s="15" t="n">
        <v>8.645</v>
      </c>
      <c r="V415" s="15" t="n">
        <v>24.378</v>
      </c>
      <c r="W415" s="15" t="n">
        <v>22.648</v>
      </c>
      <c r="X415" s="15" t="n">
        <v>21.653</v>
      </c>
      <c r="Y415" s="15" t="n">
        <v>35.756</v>
      </c>
      <c r="Z415" s="15" t="n">
        <v>33.081</v>
      </c>
      <c r="AA415" s="15" t="n">
        <v>71.133</v>
      </c>
      <c r="AB415" s="16" t="n">
        <v>2483.9</v>
      </c>
      <c r="AC415" s="17">
        <f>IF(AND(ISNUMBER(H415),ISNUMBER(I415)),H415+I415,IF(ISNUMBER(K415),K415,IF(ISNUMBER(H415),H415,"")))</f>
        <v/>
      </c>
      <c r="AD415" s="18">
        <f>IF(OR(NOT(ISNUMBER(J415)),NOT(ISNUMBER(H415)),H415&lt;=0),기준표!$B$8,MIN(MAX(J415/H415,기준표!$B$6),기준표!$B$7))</f>
        <v/>
      </c>
      <c r="AE415" s="17">
        <f>IF(ISNUMBER(AC415),AC415*(1-AD415),"")</f>
        <v/>
      </c>
      <c r="AF415" s="17">
        <f>IF(AND(NOT(ISNUMBER(T415)),NOT(ISNUMBER(V415))),"",IF(ISNUMBER(T415),T415,0)+IF(ISNUMBER(V415),V415,0))</f>
        <v/>
      </c>
      <c r="AG415" s="17">
        <f>IF(E415="금융","",IF(AND(ISNUMBER(P415),ISNUMBER(AF415),ISNUMBER(R415)),P415+AF415-R415,""))</f>
        <v/>
      </c>
      <c r="AH415" s="17">
        <f>IF(E415="금융","",IF(NOT(ISNUMBER(AG415)),"",IF(ISNUMBER(AA415),(AG415+AA415)/2,AG415)))</f>
        <v/>
      </c>
      <c r="AI415" s="19">
        <f>IF(AND(ISNUMBER(AE415),ISNUMBER(AH415),AH415&gt;0),AE415/AH415,"")</f>
        <v/>
      </c>
      <c r="AJ415" s="17">
        <f>IF(E415="금융","",IF(AND(ISNUMBER(P415),ISNUMBER(AF415)),P415+AF415,""))</f>
        <v/>
      </c>
      <c r="AK415" s="19">
        <f>IF(OR(NOT(ISNUMBER(AE415)),NOT(ISNUMBER(AJ415)),AJ415&lt;=0),"",IF(AND(ISNUMBER(G415),AJ415&lt;0.1*G415),"",AE415/AJ415))</f>
        <v/>
      </c>
      <c r="AL415" s="17">
        <f>IF(NOT(ISNUMBER(P415)),"",IF(ISNUMBER(Q415),(P415+Q415)/2,P415))</f>
        <v/>
      </c>
      <c r="AM415" s="19">
        <f>IF(AND(ISNUMBER(L415),ISNUMBER(AL415),AL415&gt;0),L415/AL415,"")</f>
        <v/>
      </c>
      <c r="AN415" s="19">
        <f>IF(AND(ISNUMBER(AM415),ISNUMBER({ROIC})),AM415-{ROIC},"")</f>
        <v/>
      </c>
      <c r="AO415" s="17">
        <f>IF(AND(ISNUMBER(AC415),ISNUMBER(M415)),AC415+M415,"")</f>
        <v/>
      </c>
      <c r="AP415" s="20">
        <f>IF(AND(ISNUMBER(AF415),ISNUMBER(R415),ISNUMBER(AO415),AO415&gt;0),(AF415-R415)/AO415,"")</f>
        <v/>
      </c>
      <c r="AQ415" s="20">
        <f>IF(AND(ISNUMBER(AC415),ISNUMBER(I415),I415&lt;&gt;0,AC415&gt;0),AC415/I415,"")</f>
        <v/>
      </c>
      <c r="AR415" s="17">
        <f>IF(AND(ISNUMBER(W415),ISNUMBER(Y415)),W415-IF(ISNUMBER(R415),R415,0)-(Y415-IF(ISNUMBER(T415),T415,0)),"")</f>
        <v/>
      </c>
      <c r="AS415" s="17">
        <f>IF(AND(ISNUMBER(X415),ISNUMBER(Z415)),X415-IF(ISNUMBER(S415),S415,0)-(Z415-IF(ISNUMBER(U415),U415,0)),"")</f>
        <v/>
      </c>
      <c r="AT415" s="17">
        <f>IF(AND(ISNUMBER(AR415),ISNUMBER(AS415)),AR415-AS415,"")</f>
        <v/>
      </c>
      <c r="AU415" s="17">
        <f>IF(E415="금융","",IF(AND(ISNUMBER(L415),ISNUMBER(M415),ISNUMBER(N415),ISNUMBER(AT415)),L415+M415-N415-AT415,IF(AND(ISNUMBER(O415),ISNUMBER(N415)),O415-N415,"")))</f>
        <v/>
      </c>
      <c r="AV415" s="8">
        <f>IF(E415="금융","금융업 - 정의되지 않음",IF(AND(ISNUMBER(L415),ISNUMBER(M415),ISNUMBER(N415),ISNUMBER(AT415)),"순이익+감가상각-설비투자-운전자본증감",IF(AND(ISNUMBER(O415),ISNUMBER(N415)),"영업현금흐름-설비투자","산출불가")))</f>
        <v/>
      </c>
      <c r="AW415" s="19">
        <f>IF(AND(ISNUMBER(AU415),ISNUMBER(G415),G415&lt;&gt;0),AU415/G415,"")</f>
        <v/>
      </c>
      <c r="AX415" s="19">
        <f>IF(AND(ISNUMBER(AC415),ISNUMBER(G415),G415&lt;&gt;0),AC415/G415,"")</f>
        <v/>
      </c>
    </row>
    <row r="416">
      <c r="A416" s="8" t="inlineStr">
        <is>
          <t>PG</t>
        </is>
      </c>
      <c r="B416" s="8" t="inlineStr">
        <is>
          <t>PROCTER &amp; GAMBLE Co</t>
        </is>
      </c>
      <c r="C416" s="8" t="n">
        <v>2024</v>
      </c>
      <c r="D416" s="8" t="inlineStr">
        <is>
          <t>2024-06-30</t>
        </is>
      </c>
      <c r="E416" s="8" t="inlineStr">
        <is>
          <t>일반</t>
        </is>
      </c>
      <c r="F416" s="8" t="inlineStr">
        <is>
          <t>0000080424-26-000103</t>
        </is>
      </c>
      <c r="G416" s="15" t="n">
        <v>84.039</v>
      </c>
      <c r="H416" s="15" t="n">
        <v>18.761</v>
      </c>
      <c r="I416" s="15" t="n">
        <v>0.925</v>
      </c>
      <c r="J416" s="15" t="n">
        <v>3.787</v>
      </c>
      <c r="K416" s="15" t="n">
        <v>18.545</v>
      </c>
      <c r="L416" s="15" t="n">
        <v>14.879</v>
      </c>
      <c r="M416" s="15" t="n">
        <v>2.896</v>
      </c>
      <c r="N416" s="15" t="n">
        <v>3.322</v>
      </c>
      <c r="O416" s="15" t="n">
        <v>19.846</v>
      </c>
      <c r="P416" s="15" t="n">
        <v>50.559</v>
      </c>
      <c r="Q416" s="15" t="n">
        <v>47.065</v>
      </c>
      <c r="R416" s="15" t="n">
        <v>9.481999999999999</v>
      </c>
      <c r="S416" s="15" t="n">
        <v>8.246</v>
      </c>
      <c r="T416" s="15" t="n">
        <v>7.191</v>
      </c>
      <c r="U416" s="15" t="n">
        <v>10.229</v>
      </c>
      <c r="V416" s="15" t="n">
        <v>25.269</v>
      </c>
      <c r="W416" s="15" t="n">
        <v>24.709</v>
      </c>
      <c r="X416" s="15" t="n">
        <v>22.648</v>
      </c>
      <c r="Y416" s="15" t="n">
        <v>33.627</v>
      </c>
      <c r="Z416" s="15" t="n">
        <v>35.756</v>
      </c>
      <c r="AA416" s="15" t="n">
        <v>73.426</v>
      </c>
      <c r="AB416" s="16" t="n">
        <v>2471.9</v>
      </c>
      <c r="AC416" s="17">
        <f>IF(AND(ISNUMBER(H416),ISNUMBER(I416)),H416+I416,IF(ISNUMBER(K416),K416,IF(ISNUMBER(H416),H416,"")))</f>
        <v/>
      </c>
      <c r="AD416" s="18">
        <f>IF(OR(NOT(ISNUMBER(J416)),NOT(ISNUMBER(H416)),H416&lt;=0),기준표!$B$8,MIN(MAX(J416/H416,기준표!$B$6),기준표!$B$7))</f>
        <v/>
      </c>
      <c r="AE416" s="17">
        <f>IF(ISNUMBER(AC416),AC416*(1-AD416),"")</f>
        <v/>
      </c>
      <c r="AF416" s="17">
        <f>IF(AND(NOT(ISNUMBER(T416)),NOT(ISNUMBER(V416))),"",IF(ISNUMBER(T416),T416,0)+IF(ISNUMBER(V416),V416,0))</f>
        <v/>
      </c>
      <c r="AG416" s="17">
        <f>IF(E416="금융","",IF(AND(ISNUMBER(P416),ISNUMBER(AF416),ISNUMBER(R416)),P416+AF416-R416,""))</f>
        <v/>
      </c>
      <c r="AH416" s="17">
        <f>IF(E416="금융","",IF(NOT(ISNUMBER(AG416)),"",IF(ISNUMBER(AA416),(AG416+AA416)/2,AG416)))</f>
        <v/>
      </c>
      <c r="AI416" s="19">
        <f>IF(AND(ISNUMBER(AE416),ISNUMBER(AH416),AH416&gt;0),AE416/AH416,"")</f>
        <v/>
      </c>
      <c r="AJ416" s="17">
        <f>IF(E416="금융","",IF(AND(ISNUMBER(P416),ISNUMBER(AF416)),P416+AF416,""))</f>
        <v/>
      </c>
      <c r="AK416" s="19">
        <f>IF(OR(NOT(ISNUMBER(AE416)),NOT(ISNUMBER(AJ416)),AJ416&lt;=0),"",IF(AND(ISNUMBER(G416),AJ416&lt;0.1*G416),"",AE416/AJ416))</f>
        <v/>
      </c>
      <c r="AL416" s="17">
        <f>IF(NOT(ISNUMBER(P416)),"",IF(ISNUMBER(Q416),(P416+Q416)/2,P416))</f>
        <v/>
      </c>
      <c r="AM416" s="19">
        <f>IF(AND(ISNUMBER(L416),ISNUMBER(AL416),AL416&gt;0),L416/AL416,"")</f>
        <v/>
      </c>
      <c r="AN416" s="19">
        <f>IF(AND(ISNUMBER(AM416),ISNUMBER({ROIC})),AM416-{ROIC},"")</f>
        <v/>
      </c>
      <c r="AO416" s="17">
        <f>IF(AND(ISNUMBER(AC416),ISNUMBER(M416)),AC416+M416,"")</f>
        <v/>
      </c>
      <c r="AP416" s="20">
        <f>IF(AND(ISNUMBER(AF416),ISNUMBER(R416),ISNUMBER(AO416),AO416&gt;0),(AF416-R416)/AO416,"")</f>
        <v/>
      </c>
      <c r="AQ416" s="20">
        <f>IF(AND(ISNUMBER(AC416),ISNUMBER(I416),I416&lt;&gt;0,AC416&gt;0),AC416/I416,"")</f>
        <v/>
      </c>
      <c r="AR416" s="17">
        <f>IF(AND(ISNUMBER(W416),ISNUMBER(Y416)),W416-IF(ISNUMBER(R416),R416,0)-(Y416-IF(ISNUMBER(T416),T416,0)),"")</f>
        <v/>
      </c>
      <c r="AS416" s="17">
        <f>IF(AND(ISNUMBER(X416),ISNUMBER(Z416)),X416-IF(ISNUMBER(S416),S416,0)-(Z416-IF(ISNUMBER(U416),U416,0)),"")</f>
        <v/>
      </c>
      <c r="AT416" s="17">
        <f>IF(AND(ISNUMBER(AR416),ISNUMBER(AS416)),AR416-AS416,"")</f>
        <v/>
      </c>
      <c r="AU416" s="17">
        <f>IF(E416="금융","",IF(AND(ISNUMBER(L416),ISNUMBER(M416),ISNUMBER(N416),ISNUMBER(AT416)),L416+M416-N416-AT416,IF(AND(ISNUMBER(O416),ISNUMBER(N416)),O416-N416,"")))</f>
        <v/>
      </c>
      <c r="AV416" s="8">
        <f>IF(E416="금융","금융업 - 정의되지 않음",IF(AND(ISNUMBER(L416),ISNUMBER(M416),ISNUMBER(N416),ISNUMBER(AT416)),"순이익+감가상각-설비투자-운전자본증감",IF(AND(ISNUMBER(O416),ISNUMBER(N416)),"영업현금흐름-설비투자","산출불가")))</f>
        <v/>
      </c>
      <c r="AW416" s="19">
        <f>IF(AND(ISNUMBER(AU416),ISNUMBER(G416),G416&lt;&gt;0),AU416/G416,"")</f>
        <v/>
      </c>
      <c r="AX416" s="19">
        <f>IF(AND(ISNUMBER(AC416),ISNUMBER(G416),G416&lt;&gt;0),AC416/G416,"")</f>
        <v/>
      </c>
    </row>
    <row r="417">
      <c r="A417" s="8" t="inlineStr">
        <is>
          <t>PG</t>
        </is>
      </c>
      <c r="B417" s="8" t="inlineStr">
        <is>
          <t>PROCTER &amp; GAMBLE Co</t>
        </is>
      </c>
      <c r="C417" s="8" t="n">
        <v>2025</v>
      </c>
      <c r="D417" s="8" t="inlineStr">
        <is>
          <t>2025-06-30</t>
        </is>
      </c>
      <c r="E417" s="8" t="inlineStr">
        <is>
          <t>일반</t>
        </is>
      </c>
      <c r="F417" s="8" t="inlineStr">
        <is>
          <t>0000080424-26-000103</t>
        </is>
      </c>
      <c r="G417" s="15" t="n">
        <v>84.28400000000001</v>
      </c>
      <c r="H417" s="15" t="n">
        <v>20.167</v>
      </c>
      <c r="I417" s="15" t="n">
        <v>0.907</v>
      </c>
      <c r="J417" s="15" t="n">
        <v>4.102</v>
      </c>
      <c r="K417" s="15" t="n">
        <v>20.451</v>
      </c>
      <c r="L417" s="15" t="n">
        <v>15.974</v>
      </c>
      <c r="M417" s="15" t="n">
        <v>2.847</v>
      </c>
      <c r="N417" s="15" t="n">
        <v>3.773</v>
      </c>
      <c r="O417" s="15" t="n">
        <v>17.817</v>
      </c>
      <c r="P417" s="15" t="n">
        <v>52.284</v>
      </c>
      <c r="Q417" s="15" t="n">
        <v>50.559</v>
      </c>
      <c r="R417" s="15" t="n">
        <v>9.555999999999999</v>
      </c>
      <c r="S417" s="15" t="n">
        <v>9.481999999999999</v>
      </c>
      <c r="T417" s="15" t="n">
        <v>9.513</v>
      </c>
      <c r="U417" s="15" t="n">
        <v>7.191</v>
      </c>
      <c r="V417" s="15" t="n">
        <v>24.995</v>
      </c>
      <c r="W417" s="15" t="n">
        <v>25.392</v>
      </c>
      <c r="X417" s="15" t="n">
        <v>24.709</v>
      </c>
      <c r="Y417" s="15" t="n">
        <v>36.058</v>
      </c>
      <c r="Z417" s="15" t="n">
        <v>33.627</v>
      </c>
      <c r="AA417" s="15" t="n">
        <v>73.53700000000001</v>
      </c>
      <c r="AB417" s="16" t="n">
        <v>2454.4</v>
      </c>
      <c r="AC417" s="17">
        <f>IF(AND(ISNUMBER(H417),ISNUMBER(I417)),H417+I417,IF(ISNUMBER(K417),K417,IF(ISNUMBER(H417),H417,"")))</f>
        <v/>
      </c>
      <c r="AD417" s="18">
        <f>IF(OR(NOT(ISNUMBER(J417)),NOT(ISNUMBER(H417)),H417&lt;=0),기준표!$B$8,MIN(MAX(J417/H417,기준표!$B$6),기준표!$B$7))</f>
        <v/>
      </c>
      <c r="AE417" s="17">
        <f>IF(ISNUMBER(AC417),AC417*(1-AD417),"")</f>
        <v/>
      </c>
      <c r="AF417" s="17">
        <f>IF(AND(NOT(ISNUMBER(T417)),NOT(ISNUMBER(V417))),"",IF(ISNUMBER(T417),T417,0)+IF(ISNUMBER(V417),V417,0))</f>
        <v/>
      </c>
      <c r="AG417" s="17">
        <f>IF(E417="금융","",IF(AND(ISNUMBER(P417),ISNUMBER(AF417),ISNUMBER(R417)),P417+AF417-R417,""))</f>
        <v/>
      </c>
      <c r="AH417" s="17">
        <f>IF(E417="금융","",IF(NOT(ISNUMBER(AG417)),"",IF(ISNUMBER(AA417),(AG417+AA417)/2,AG417)))</f>
        <v/>
      </c>
      <c r="AI417" s="19">
        <f>IF(AND(ISNUMBER(AE417),ISNUMBER(AH417),AH417&gt;0),AE417/AH417,"")</f>
        <v/>
      </c>
      <c r="AJ417" s="17">
        <f>IF(E417="금융","",IF(AND(ISNUMBER(P417),ISNUMBER(AF417)),P417+AF417,""))</f>
        <v/>
      </c>
      <c r="AK417" s="19">
        <f>IF(OR(NOT(ISNUMBER(AE417)),NOT(ISNUMBER(AJ417)),AJ417&lt;=0),"",IF(AND(ISNUMBER(G417),AJ417&lt;0.1*G417),"",AE417/AJ417))</f>
        <v/>
      </c>
      <c r="AL417" s="17">
        <f>IF(NOT(ISNUMBER(P417)),"",IF(ISNUMBER(Q417),(P417+Q417)/2,P417))</f>
        <v/>
      </c>
      <c r="AM417" s="19">
        <f>IF(AND(ISNUMBER(L417),ISNUMBER(AL417),AL417&gt;0),L417/AL417,"")</f>
        <v/>
      </c>
      <c r="AN417" s="19">
        <f>IF(AND(ISNUMBER(AM417),ISNUMBER({ROIC})),AM417-{ROIC},"")</f>
        <v/>
      </c>
      <c r="AO417" s="17">
        <f>IF(AND(ISNUMBER(AC417),ISNUMBER(M417)),AC417+M417,"")</f>
        <v/>
      </c>
      <c r="AP417" s="20">
        <f>IF(AND(ISNUMBER(AF417),ISNUMBER(R417),ISNUMBER(AO417),AO417&gt;0),(AF417-R417)/AO417,"")</f>
        <v/>
      </c>
      <c r="AQ417" s="20">
        <f>IF(AND(ISNUMBER(AC417),ISNUMBER(I417),I417&lt;&gt;0,AC417&gt;0),AC417/I417,"")</f>
        <v/>
      </c>
      <c r="AR417" s="17">
        <f>IF(AND(ISNUMBER(W417),ISNUMBER(Y417)),W417-IF(ISNUMBER(R417),R417,0)-(Y417-IF(ISNUMBER(T417),T417,0)),"")</f>
        <v/>
      </c>
      <c r="AS417" s="17">
        <f>IF(AND(ISNUMBER(X417),ISNUMBER(Z417)),X417-IF(ISNUMBER(S417),S417,0)-(Z417-IF(ISNUMBER(U417),U417,0)),"")</f>
        <v/>
      </c>
      <c r="AT417" s="17">
        <f>IF(AND(ISNUMBER(AR417),ISNUMBER(AS417)),AR417-AS417,"")</f>
        <v/>
      </c>
      <c r="AU417" s="17">
        <f>IF(E417="금융","",IF(AND(ISNUMBER(L417),ISNUMBER(M417),ISNUMBER(N417),ISNUMBER(AT417)),L417+M417-N417-AT417,IF(AND(ISNUMBER(O417),ISNUMBER(N417)),O417-N417,"")))</f>
        <v/>
      </c>
      <c r="AV417" s="8">
        <f>IF(E417="금융","금융업 - 정의되지 않음",IF(AND(ISNUMBER(L417),ISNUMBER(M417),ISNUMBER(N417),ISNUMBER(AT417)),"순이익+감가상각-설비투자-운전자본증감",IF(AND(ISNUMBER(O417),ISNUMBER(N417)),"영업현금흐름-설비투자","산출불가")))</f>
        <v/>
      </c>
      <c r="AW417" s="19">
        <f>IF(AND(ISNUMBER(AU417),ISNUMBER(G417),G417&lt;&gt;0),AU417/G417,"")</f>
        <v/>
      </c>
      <c r="AX417" s="19">
        <f>IF(AND(ISNUMBER(AC417),ISNUMBER(G417),G417&lt;&gt;0),AC417/G417,"")</f>
        <v/>
      </c>
    </row>
    <row r="418">
      <c r="A418" s="8" t="inlineStr">
        <is>
          <t>PG</t>
        </is>
      </c>
      <c r="B418" s="8" t="inlineStr">
        <is>
          <t>PROCTER &amp; GAMBLE Co</t>
        </is>
      </c>
      <c r="C418" s="8" t="n">
        <v>2026</v>
      </c>
      <c r="D418" s="8" t="inlineStr">
        <is>
          <t>2026-06-30</t>
        </is>
      </c>
      <c r="E418" s="8" t="inlineStr">
        <is>
          <t>일반</t>
        </is>
      </c>
      <c r="F418" s="8" t="inlineStr">
        <is>
          <t>0000080424-26-000103</t>
        </is>
      </c>
      <c r="G418" s="15" t="n">
        <v>87.032</v>
      </c>
      <c r="H418" s="15" t="n">
        <v>20.377</v>
      </c>
      <c r="I418" s="15" t="n">
        <v>0.877</v>
      </c>
      <c r="J418" s="15" t="n">
        <v>4.233</v>
      </c>
      <c r="K418" s="15" t="n">
        <v>19.748</v>
      </c>
      <c r="L418" s="15" t="n">
        <v>16.046</v>
      </c>
      <c r="M418" s="15" t="n">
        <v>3.16</v>
      </c>
      <c r="N418" s="15" t="n">
        <v>4.409</v>
      </c>
      <c r="O418" s="15" t="n">
        <v>19.556</v>
      </c>
      <c r="P418" s="15" t="n">
        <v>54.311</v>
      </c>
      <c r="Q418" s="15" t="n">
        <v>52.284</v>
      </c>
      <c r="R418" s="15" t="n">
        <v>9.942</v>
      </c>
      <c r="S418" s="15" t="n">
        <v>9.555999999999999</v>
      </c>
      <c r="T418" s="15" t="n">
        <v>11.296</v>
      </c>
      <c r="U418" s="15" t="n">
        <v>9.513</v>
      </c>
      <c r="V418" s="15" t="n">
        <v>22.842</v>
      </c>
      <c r="W418" s="15" t="n">
        <v>26.208</v>
      </c>
      <c r="X418" s="15" t="n">
        <v>25.392</v>
      </c>
      <c r="Y418" s="15" t="n">
        <v>38.694</v>
      </c>
      <c r="Z418" s="15" t="n">
        <v>36.058</v>
      </c>
      <c r="AA418" s="15" t="n">
        <v>77.236</v>
      </c>
      <c r="AB418" s="16" t="n">
        <v>2422.5</v>
      </c>
      <c r="AC418" s="17">
        <f>IF(AND(ISNUMBER(H418),ISNUMBER(I418)),H418+I418,IF(ISNUMBER(K418),K418,IF(ISNUMBER(H418),H418,"")))</f>
        <v/>
      </c>
      <c r="AD418" s="18">
        <f>IF(OR(NOT(ISNUMBER(J418)),NOT(ISNUMBER(H418)),H418&lt;=0),기준표!$B$8,MIN(MAX(J418/H418,기준표!$B$6),기준표!$B$7))</f>
        <v/>
      </c>
      <c r="AE418" s="17">
        <f>IF(ISNUMBER(AC418),AC418*(1-AD418),"")</f>
        <v/>
      </c>
      <c r="AF418" s="17">
        <f>IF(AND(NOT(ISNUMBER(T418)),NOT(ISNUMBER(V418))),"",IF(ISNUMBER(T418),T418,0)+IF(ISNUMBER(V418),V418,0))</f>
        <v/>
      </c>
      <c r="AG418" s="17">
        <f>IF(E418="금융","",IF(AND(ISNUMBER(P418),ISNUMBER(AF418),ISNUMBER(R418)),P418+AF418-R418,""))</f>
        <v/>
      </c>
      <c r="AH418" s="17">
        <f>IF(E418="금융","",IF(NOT(ISNUMBER(AG418)),"",IF(ISNUMBER(AA418),(AG418+AA418)/2,AG418)))</f>
        <v/>
      </c>
      <c r="AI418" s="19">
        <f>IF(AND(ISNUMBER(AE418),ISNUMBER(AH418),AH418&gt;0),AE418/AH418,"")</f>
        <v/>
      </c>
      <c r="AJ418" s="17">
        <f>IF(E418="금융","",IF(AND(ISNUMBER(P418),ISNUMBER(AF418)),P418+AF418,""))</f>
        <v/>
      </c>
      <c r="AK418" s="19">
        <f>IF(OR(NOT(ISNUMBER(AE418)),NOT(ISNUMBER(AJ418)),AJ418&lt;=0),"",IF(AND(ISNUMBER(G418),AJ418&lt;0.1*G418),"",AE418/AJ418))</f>
        <v/>
      </c>
      <c r="AL418" s="17">
        <f>IF(NOT(ISNUMBER(P418)),"",IF(ISNUMBER(Q418),(P418+Q418)/2,P418))</f>
        <v/>
      </c>
      <c r="AM418" s="19">
        <f>IF(AND(ISNUMBER(L418),ISNUMBER(AL418),AL418&gt;0),L418/AL418,"")</f>
        <v/>
      </c>
      <c r="AN418" s="19">
        <f>IF(AND(ISNUMBER(AM418),ISNUMBER({ROIC})),AM418-{ROIC},"")</f>
        <v/>
      </c>
      <c r="AO418" s="17">
        <f>IF(AND(ISNUMBER(AC418),ISNUMBER(M418)),AC418+M418,"")</f>
        <v/>
      </c>
      <c r="AP418" s="20">
        <f>IF(AND(ISNUMBER(AF418),ISNUMBER(R418),ISNUMBER(AO418),AO418&gt;0),(AF418-R418)/AO418,"")</f>
        <v/>
      </c>
      <c r="AQ418" s="20">
        <f>IF(AND(ISNUMBER(AC418),ISNUMBER(I418),I418&lt;&gt;0,AC418&gt;0),AC418/I418,"")</f>
        <v/>
      </c>
      <c r="AR418" s="17">
        <f>IF(AND(ISNUMBER(W418),ISNUMBER(Y418)),W418-IF(ISNUMBER(R418),R418,0)-(Y418-IF(ISNUMBER(T418),T418,0)),"")</f>
        <v/>
      </c>
      <c r="AS418" s="17">
        <f>IF(AND(ISNUMBER(X418),ISNUMBER(Z418)),X418-IF(ISNUMBER(S418),S418,0)-(Z418-IF(ISNUMBER(U418),U418,0)),"")</f>
        <v/>
      </c>
      <c r="AT418" s="17">
        <f>IF(AND(ISNUMBER(AR418),ISNUMBER(AS418)),AR418-AS418,"")</f>
        <v/>
      </c>
      <c r="AU418" s="17">
        <f>IF(E418="금융","",IF(AND(ISNUMBER(L418),ISNUMBER(M418),ISNUMBER(N418),ISNUMBER(AT418)),L418+M418-N418-AT418,IF(AND(ISNUMBER(O418),ISNUMBER(N418)),O418-N418,"")))</f>
        <v/>
      </c>
      <c r="AV418" s="8">
        <f>IF(E418="금융","금융업 - 정의되지 않음",IF(AND(ISNUMBER(L418),ISNUMBER(M418),ISNUMBER(N418),ISNUMBER(AT418)),"순이익+감가상각-설비투자-운전자본증감",IF(AND(ISNUMBER(O418),ISNUMBER(N418)),"영업현금흐름-설비투자","산출불가")))</f>
        <v/>
      </c>
      <c r="AW418" s="19">
        <f>IF(AND(ISNUMBER(AU418),ISNUMBER(G418),G418&lt;&gt;0),AU418/G418,"")</f>
        <v/>
      </c>
      <c r="AX418" s="19">
        <f>IF(AND(ISNUMBER(AC418),ISNUMBER(G418),G418&lt;&gt;0),AC418/G418,"")</f>
        <v/>
      </c>
    </row>
    <row r="419">
      <c r="A419" s="8" t="inlineStr">
        <is>
          <t>MRK</t>
        </is>
      </c>
      <c r="B419" s="8" t="inlineStr">
        <is>
          <t>Merck &amp; Co., Inc.</t>
        </is>
      </c>
      <c r="C419" s="8" t="n">
        <v>2014</v>
      </c>
      <c r="D419" s="8" t="inlineStr">
        <is>
          <t>2014-12-31</t>
        </is>
      </c>
      <c r="E419" s="8" t="inlineStr">
        <is>
          <t>일반</t>
        </is>
      </c>
      <c r="F419" s="8" t="inlineStr">
        <is>
          <t>0000310158-17-000010</t>
        </is>
      </c>
      <c r="G419" s="15" t="n"/>
      <c r="H419" s="15" t="n">
        <v>17.283</v>
      </c>
      <c r="I419" s="15" t="n"/>
      <c r="J419" s="15" t="n">
        <v>5.349</v>
      </c>
      <c r="K419" s="15" t="n"/>
      <c r="L419" s="15" t="n">
        <v>11.92</v>
      </c>
      <c r="M419" s="15" t="n">
        <v>2.5</v>
      </c>
      <c r="N419" s="15" t="n"/>
      <c r="O419" s="15" t="n">
        <v>7.989</v>
      </c>
      <c r="P419" s="15" t="n">
        <v>48.647</v>
      </c>
      <c r="Q419" s="15" t="n"/>
      <c r="R419" s="15" t="n">
        <v>15.719</v>
      </c>
      <c r="S419" s="15" t="n"/>
      <c r="T419" s="15" t="n">
        <v>2.704</v>
      </c>
      <c r="U419" s="15" t="n"/>
      <c r="V419" s="15" t="n">
        <v>18.699</v>
      </c>
      <c r="W419" s="15" t="n">
        <v>32.605</v>
      </c>
      <c r="X419" s="15" t="n"/>
      <c r="Y419" s="15" t="n">
        <v>18.397</v>
      </c>
      <c r="Z419" s="15" t="n"/>
      <c r="AA419" s="15" t="n"/>
      <c r="AB419" s="16" t="n">
        <v>2928</v>
      </c>
      <c r="AC419" s="17">
        <f>IF(AND(ISNUMBER(H419),ISNUMBER(I419)),H419+I419,IF(ISNUMBER(K419),K419,IF(ISNUMBER(H419),H419,"")))</f>
        <v/>
      </c>
      <c r="AD419" s="18">
        <f>IF(OR(NOT(ISNUMBER(J419)),NOT(ISNUMBER(H419)),H419&lt;=0),기준표!$B$8,MIN(MAX(J419/H419,기준표!$B$6),기준표!$B$7))</f>
        <v/>
      </c>
      <c r="AE419" s="17">
        <f>IF(ISNUMBER(AC419),AC419*(1-AD419),"")</f>
        <v/>
      </c>
      <c r="AF419" s="17">
        <f>IF(AND(NOT(ISNUMBER(T419)),NOT(ISNUMBER(V419))),"",IF(ISNUMBER(T419),T419,0)+IF(ISNUMBER(V419),V419,0))</f>
        <v/>
      </c>
      <c r="AG419" s="17">
        <f>IF(E419="금융","",IF(AND(ISNUMBER(P419),ISNUMBER(AF419),ISNUMBER(R419)),P419+AF419-R419,""))</f>
        <v/>
      </c>
      <c r="AH419" s="17">
        <f>IF(E419="금융","",IF(NOT(ISNUMBER(AG419)),"",IF(ISNUMBER(AA419),(AG419+AA419)/2,AG419)))</f>
        <v/>
      </c>
      <c r="AI419" s="19">
        <f>IF(AND(ISNUMBER(AE419),ISNUMBER(AH419),AH419&gt;0),AE419/AH419,"")</f>
        <v/>
      </c>
      <c r="AJ419" s="17">
        <f>IF(E419="금융","",IF(AND(ISNUMBER(P419),ISNUMBER(AF419)),P419+AF419,""))</f>
        <v/>
      </c>
      <c r="AK419" s="19">
        <f>IF(OR(NOT(ISNUMBER(AE419)),NOT(ISNUMBER(AJ419)),AJ419&lt;=0),"",IF(AND(ISNUMBER(G419),AJ419&lt;0.1*G419),"",AE419/AJ419))</f>
        <v/>
      </c>
      <c r="AL419" s="17">
        <f>IF(NOT(ISNUMBER(P419)),"",IF(ISNUMBER(Q419),(P419+Q419)/2,P419))</f>
        <v/>
      </c>
      <c r="AM419" s="19">
        <f>IF(AND(ISNUMBER(L419),ISNUMBER(AL419),AL419&gt;0),L419/AL419,"")</f>
        <v/>
      </c>
      <c r="AN419" s="19">
        <f>IF(AND(ISNUMBER(AM419),ISNUMBER({ROIC})),AM419-{ROIC},"")</f>
        <v/>
      </c>
      <c r="AO419" s="17">
        <f>IF(AND(ISNUMBER(AC419),ISNUMBER(M419)),AC419+M419,"")</f>
        <v/>
      </c>
      <c r="AP419" s="20">
        <f>IF(AND(ISNUMBER(AF419),ISNUMBER(R419),ISNUMBER(AO419),AO419&gt;0),(AF419-R419)/AO419,"")</f>
        <v/>
      </c>
      <c r="AQ419" s="20">
        <f>IF(AND(ISNUMBER(AC419),ISNUMBER(I419),I419&lt;&gt;0,AC419&gt;0),AC419/I419,"")</f>
        <v/>
      </c>
      <c r="AR419" s="17">
        <f>IF(AND(ISNUMBER(W419),ISNUMBER(Y419)),W419-IF(ISNUMBER(R419),R419,0)-(Y419-IF(ISNUMBER(T419),T419,0)),"")</f>
        <v/>
      </c>
      <c r="AS419" s="17">
        <f>IF(AND(ISNUMBER(X419),ISNUMBER(Z419)),X419-IF(ISNUMBER(S419),S419,0)-(Z419-IF(ISNUMBER(U419),U419,0)),"")</f>
        <v/>
      </c>
      <c r="AT419" s="17">
        <f>IF(AND(ISNUMBER(AR419),ISNUMBER(AS419)),AR419-AS419,"")</f>
        <v/>
      </c>
      <c r="AU419" s="17">
        <f>IF(E419="금융","",IF(AND(ISNUMBER(L419),ISNUMBER(M419),ISNUMBER(N419),ISNUMBER(AT419)),L419+M419-N419-AT419,IF(AND(ISNUMBER(O419),ISNUMBER(N419)),O419-N419,"")))</f>
        <v/>
      </c>
      <c r="AV419" s="8">
        <f>IF(E419="금융","금융업 - 정의되지 않음",IF(AND(ISNUMBER(L419),ISNUMBER(M419),ISNUMBER(N419),ISNUMBER(AT419)),"순이익+감가상각-설비투자-운전자본증감",IF(AND(ISNUMBER(O419),ISNUMBER(N419)),"영업현금흐름-설비투자","산출불가")))</f>
        <v/>
      </c>
      <c r="AW419" s="19">
        <f>IF(AND(ISNUMBER(AU419),ISNUMBER(G419),G419&lt;&gt;0),AU419/G419,"")</f>
        <v/>
      </c>
      <c r="AX419" s="19">
        <f>IF(AND(ISNUMBER(AC419),ISNUMBER(G419),G419&lt;&gt;0),AC419/G419,"")</f>
        <v/>
      </c>
    </row>
    <row r="420">
      <c r="A420" s="8" t="inlineStr">
        <is>
          <t>MRK</t>
        </is>
      </c>
      <c r="B420" s="8" t="inlineStr">
        <is>
          <t>Merck &amp; Co., Inc.</t>
        </is>
      </c>
      <c r="C420" s="8" t="n">
        <v>2015</v>
      </c>
      <c r="D420" s="8" t="inlineStr">
        <is>
          <t>2015-12-31</t>
        </is>
      </c>
      <c r="E420" s="8" t="inlineStr">
        <is>
          <t>일반</t>
        </is>
      </c>
      <c r="F420" s="8" t="inlineStr">
        <is>
          <t>0000310158-18-000005</t>
        </is>
      </c>
      <c r="G420" s="15" t="n"/>
      <c r="H420" s="15" t="n">
        <v>5.401</v>
      </c>
      <c r="I420" s="15" t="n"/>
      <c r="J420" s="15" t="n">
        <v>0.9419999999999999</v>
      </c>
      <c r="K420" s="15" t="n"/>
      <c r="L420" s="15" t="n">
        <v>4.442</v>
      </c>
      <c r="M420" s="15" t="n">
        <v>1.6</v>
      </c>
      <c r="N420" s="15" t="n"/>
      <c r="O420" s="15" t="n">
        <v>12.538</v>
      </c>
      <c r="P420" s="15" t="n">
        <v>44.676</v>
      </c>
      <c r="Q420" s="15" t="n">
        <v>48.647</v>
      </c>
      <c r="R420" s="15" t="n">
        <v>13.427</v>
      </c>
      <c r="S420" s="15" t="n">
        <v>15.719</v>
      </c>
      <c r="T420" s="15" t="n">
        <v>2.583</v>
      </c>
      <c r="U420" s="15" t="n">
        <v>2.704</v>
      </c>
      <c r="V420" s="15" t="n">
        <v>23.829</v>
      </c>
      <c r="W420" s="15" t="n">
        <v>29.751</v>
      </c>
      <c r="X420" s="15" t="n">
        <v>32.605</v>
      </c>
      <c r="Y420" s="15" t="n">
        <v>19.201</v>
      </c>
      <c r="Z420" s="15" t="n">
        <v>18.397</v>
      </c>
      <c r="AA420" s="15" t="n">
        <v>54.331</v>
      </c>
      <c r="AB420" s="16" t="n">
        <v>2841</v>
      </c>
      <c r="AC420" s="17">
        <f>IF(AND(ISNUMBER(H420),ISNUMBER(I420)),H420+I420,IF(ISNUMBER(K420),K420,IF(ISNUMBER(H420),H420,"")))</f>
        <v/>
      </c>
      <c r="AD420" s="18">
        <f>IF(OR(NOT(ISNUMBER(J420)),NOT(ISNUMBER(H420)),H420&lt;=0),기준표!$B$8,MIN(MAX(J420/H420,기준표!$B$6),기준표!$B$7))</f>
        <v/>
      </c>
      <c r="AE420" s="17">
        <f>IF(ISNUMBER(AC420),AC420*(1-AD420),"")</f>
        <v/>
      </c>
      <c r="AF420" s="17">
        <f>IF(AND(NOT(ISNUMBER(T420)),NOT(ISNUMBER(V420))),"",IF(ISNUMBER(T420),T420,0)+IF(ISNUMBER(V420),V420,0))</f>
        <v/>
      </c>
      <c r="AG420" s="17">
        <f>IF(E420="금융","",IF(AND(ISNUMBER(P420),ISNUMBER(AF420),ISNUMBER(R420)),P420+AF420-R420,""))</f>
        <v/>
      </c>
      <c r="AH420" s="17">
        <f>IF(E420="금융","",IF(NOT(ISNUMBER(AG420)),"",IF(ISNUMBER(AA420),(AG420+AA420)/2,AG420)))</f>
        <v/>
      </c>
      <c r="AI420" s="19">
        <f>IF(AND(ISNUMBER(AE420),ISNUMBER(AH420),AH420&gt;0),AE420/AH420,"")</f>
        <v/>
      </c>
      <c r="AJ420" s="17">
        <f>IF(E420="금융","",IF(AND(ISNUMBER(P420),ISNUMBER(AF420)),P420+AF420,""))</f>
        <v/>
      </c>
      <c r="AK420" s="19">
        <f>IF(OR(NOT(ISNUMBER(AE420)),NOT(ISNUMBER(AJ420)),AJ420&lt;=0),"",IF(AND(ISNUMBER(G420),AJ420&lt;0.1*G420),"",AE420/AJ420))</f>
        <v/>
      </c>
      <c r="AL420" s="17">
        <f>IF(NOT(ISNUMBER(P420)),"",IF(ISNUMBER(Q420),(P420+Q420)/2,P420))</f>
        <v/>
      </c>
      <c r="AM420" s="19">
        <f>IF(AND(ISNUMBER(L420),ISNUMBER(AL420),AL420&gt;0),L420/AL420,"")</f>
        <v/>
      </c>
      <c r="AN420" s="19">
        <f>IF(AND(ISNUMBER(AM420),ISNUMBER({ROIC})),AM420-{ROIC},"")</f>
        <v/>
      </c>
      <c r="AO420" s="17">
        <f>IF(AND(ISNUMBER(AC420),ISNUMBER(M420)),AC420+M420,"")</f>
        <v/>
      </c>
      <c r="AP420" s="20">
        <f>IF(AND(ISNUMBER(AF420),ISNUMBER(R420),ISNUMBER(AO420),AO420&gt;0),(AF420-R420)/AO420,"")</f>
        <v/>
      </c>
      <c r="AQ420" s="20">
        <f>IF(AND(ISNUMBER(AC420),ISNUMBER(I420),I420&lt;&gt;0,AC420&gt;0),AC420/I420,"")</f>
        <v/>
      </c>
      <c r="AR420" s="17">
        <f>IF(AND(ISNUMBER(W420),ISNUMBER(Y420)),W420-IF(ISNUMBER(R420),R420,0)-(Y420-IF(ISNUMBER(T420),T420,0)),"")</f>
        <v/>
      </c>
      <c r="AS420" s="17">
        <f>IF(AND(ISNUMBER(X420),ISNUMBER(Z420)),X420-IF(ISNUMBER(S420),S420,0)-(Z420-IF(ISNUMBER(U420),U420,0)),"")</f>
        <v/>
      </c>
      <c r="AT420" s="17">
        <f>IF(AND(ISNUMBER(AR420),ISNUMBER(AS420)),AR420-AS420,"")</f>
        <v/>
      </c>
      <c r="AU420" s="17">
        <f>IF(E420="금융","",IF(AND(ISNUMBER(L420),ISNUMBER(M420),ISNUMBER(N420),ISNUMBER(AT420)),L420+M420-N420-AT420,IF(AND(ISNUMBER(O420),ISNUMBER(N420)),O420-N420,"")))</f>
        <v/>
      </c>
      <c r="AV420" s="8">
        <f>IF(E420="금융","금융업 - 정의되지 않음",IF(AND(ISNUMBER(L420),ISNUMBER(M420),ISNUMBER(N420),ISNUMBER(AT420)),"순이익+감가상각-설비투자-운전자본증감",IF(AND(ISNUMBER(O420),ISNUMBER(N420)),"영업현금흐름-설비투자","산출불가")))</f>
        <v/>
      </c>
      <c r="AW420" s="19">
        <f>IF(AND(ISNUMBER(AU420),ISNUMBER(G420),G420&lt;&gt;0),AU420/G420,"")</f>
        <v/>
      </c>
      <c r="AX420" s="19">
        <f>IF(AND(ISNUMBER(AC420),ISNUMBER(G420),G420&lt;&gt;0),AC420/G420,"")</f>
        <v/>
      </c>
    </row>
    <row r="421">
      <c r="A421" s="8" t="inlineStr">
        <is>
          <t>MRK</t>
        </is>
      </c>
      <c r="B421" s="8" t="inlineStr">
        <is>
          <t>Merck &amp; Co., Inc.</t>
        </is>
      </c>
      <c r="C421" s="8" t="n">
        <v>2016</v>
      </c>
      <c r="D421" s="8" t="inlineStr">
        <is>
          <t>2016-12-31</t>
        </is>
      </c>
      <c r="E421" s="8" t="inlineStr">
        <is>
          <t>일반</t>
        </is>
      </c>
      <c r="F421" s="8" t="inlineStr">
        <is>
          <t>0000310158-19-000014</t>
        </is>
      </c>
      <c r="G421" s="15" t="n">
        <v>39.807</v>
      </c>
      <c r="H421" s="15" t="n">
        <v>4.659</v>
      </c>
      <c r="I421" s="15" t="n"/>
      <c r="J421" s="15" t="n">
        <v>0.718</v>
      </c>
      <c r="K421" s="15" t="n"/>
      <c r="L421" s="15" t="n">
        <v>3.92</v>
      </c>
      <c r="M421" s="15" t="n">
        <v>1.6</v>
      </c>
      <c r="N421" s="15" t="n"/>
      <c r="O421" s="15" t="n">
        <v>10.376</v>
      </c>
      <c r="P421" s="15" t="n">
        <v>40.088</v>
      </c>
      <c r="Q421" s="15" t="n">
        <v>44.676</v>
      </c>
      <c r="R421" s="15" t="n">
        <v>14.341</v>
      </c>
      <c r="S421" s="15" t="n">
        <v>13.427</v>
      </c>
      <c r="T421" s="15" t="n">
        <v>0.5679999999999999</v>
      </c>
      <c r="U421" s="15" t="n">
        <v>2.583</v>
      </c>
      <c r="V421" s="15" t="n">
        <v>24.274</v>
      </c>
      <c r="W421" s="15" t="n">
        <v>30.614</v>
      </c>
      <c r="X421" s="15" t="n">
        <v>29.751</v>
      </c>
      <c r="Y421" s="15" t="n">
        <v>17.204</v>
      </c>
      <c r="Z421" s="15" t="n">
        <v>19.201</v>
      </c>
      <c r="AA421" s="15" t="n">
        <v>57.661</v>
      </c>
      <c r="AB421" s="16" t="n">
        <v>2787</v>
      </c>
      <c r="AC421" s="17">
        <f>IF(AND(ISNUMBER(H421),ISNUMBER(I421)),H421+I421,IF(ISNUMBER(K421),K421,IF(ISNUMBER(H421),H421,"")))</f>
        <v/>
      </c>
      <c r="AD421" s="18">
        <f>IF(OR(NOT(ISNUMBER(J421)),NOT(ISNUMBER(H421)),H421&lt;=0),기준표!$B$8,MIN(MAX(J421/H421,기준표!$B$6),기준표!$B$7))</f>
        <v/>
      </c>
      <c r="AE421" s="17">
        <f>IF(ISNUMBER(AC421),AC421*(1-AD421),"")</f>
        <v/>
      </c>
      <c r="AF421" s="17">
        <f>IF(AND(NOT(ISNUMBER(T421)),NOT(ISNUMBER(V421))),"",IF(ISNUMBER(T421),T421,0)+IF(ISNUMBER(V421),V421,0))</f>
        <v/>
      </c>
      <c r="AG421" s="17">
        <f>IF(E421="금융","",IF(AND(ISNUMBER(P421),ISNUMBER(AF421),ISNUMBER(R421)),P421+AF421-R421,""))</f>
        <v/>
      </c>
      <c r="AH421" s="17">
        <f>IF(E421="금융","",IF(NOT(ISNUMBER(AG421)),"",IF(ISNUMBER(AA421),(AG421+AA421)/2,AG421)))</f>
        <v/>
      </c>
      <c r="AI421" s="19">
        <f>IF(AND(ISNUMBER(AE421),ISNUMBER(AH421),AH421&gt;0),AE421/AH421,"")</f>
        <v/>
      </c>
      <c r="AJ421" s="17">
        <f>IF(E421="금융","",IF(AND(ISNUMBER(P421),ISNUMBER(AF421)),P421+AF421,""))</f>
        <v/>
      </c>
      <c r="AK421" s="19">
        <f>IF(OR(NOT(ISNUMBER(AE421)),NOT(ISNUMBER(AJ421)),AJ421&lt;=0),"",IF(AND(ISNUMBER(G421),AJ421&lt;0.1*G421),"",AE421/AJ421))</f>
        <v/>
      </c>
      <c r="AL421" s="17">
        <f>IF(NOT(ISNUMBER(P421)),"",IF(ISNUMBER(Q421),(P421+Q421)/2,P421))</f>
        <v/>
      </c>
      <c r="AM421" s="19">
        <f>IF(AND(ISNUMBER(L421),ISNUMBER(AL421),AL421&gt;0),L421/AL421,"")</f>
        <v/>
      </c>
      <c r="AN421" s="19">
        <f>IF(AND(ISNUMBER(AM421),ISNUMBER({ROIC})),AM421-{ROIC},"")</f>
        <v/>
      </c>
      <c r="AO421" s="17">
        <f>IF(AND(ISNUMBER(AC421),ISNUMBER(M421)),AC421+M421,"")</f>
        <v/>
      </c>
      <c r="AP421" s="20">
        <f>IF(AND(ISNUMBER(AF421),ISNUMBER(R421),ISNUMBER(AO421),AO421&gt;0),(AF421-R421)/AO421,"")</f>
        <v/>
      </c>
      <c r="AQ421" s="20">
        <f>IF(AND(ISNUMBER(AC421),ISNUMBER(I421),I421&lt;&gt;0,AC421&gt;0),AC421/I421,"")</f>
        <v/>
      </c>
      <c r="AR421" s="17">
        <f>IF(AND(ISNUMBER(W421),ISNUMBER(Y421)),W421-IF(ISNUMBER(R421),R421,0)-(Y421-IF(ISNUMBER(T421),T421,0)),"")</f>
        <v/>
      </c>
      <c r="AS421" s="17">
        <f>IF(AND(ISNUMBER(X421),ISNUMBER(Z421)),X421-IF(ISNUMBER(S421),S421,0)-(Z421-IF(ISNUMBER(U421),U421,0)),"")</f>
        <v/>
      </c>
      <c r="AT421" s="17">
        <f>IF(AND(ISNUMBER(AR421),ISNUMBER(AS421)),AR421-AS421,"")</f>
        <v/>
      </c>
      <c r="AU421" s="17">
        <f>IF(E421="금융","",IF(AND(ISNUMBER(L421),ISNUMBER(M421),ISNUMBER(N421),ISNUMBER(AT421)),L421+M421-N421-AT421,IF(AND(ISNUMBER(O421),ISNUMBER(N421)),O421-N421,"")))</f>
        <v/>
      </c>
      <c r="AV421" s="8">
        <f>IF(E421="금융","금융업 - 정의되지 않음",IF(AND(ISNUMBER(L421),ISNUMBER(M421),ISNUMBER(N421),ISNUMBER(AT421)),"순이익+감가상각-설비투자-운전자본증감",IF(AND(ISNUMBER(O421),ISNUMBER(N421)),"영업현금흐름-설비투자","산출불가")))</f>
        <v/>
      </c>
      <c r="AW421" s="19">
        <f>IF(AND(ISNUMBER(AU421),ISNUMBER(G421),G421&lt;&gt;0),AU421/G421,"")</f>
        <v/>
      </c>
      <c r="AX421" s="19">
        <f>IF(AND(ISNUMBER(AC421),ISNUMBER(G421),G421&lt;&gt;0),AC421/G421,"")</f>
        <v/>
      </c>
    </row>
    <row r="422">
      <c r="A422" s="8" t="inlineStr">
        <is>
          <t>MRK</t>
        </is>
      </c>
      <c r="B422" s="8" t="inlineStr">
        <is>
          <t>Merck &amp; Co., Inc.</t>
        </is>
      </c>
      <c r="C422" s="8" t="n">
        <v>2017</v>
      </c>
      <c r="D422" s="8" t="inlineStr">
        <is>
          <t>2017-12-31</t>
        </is>
      </c>
      <c r="E422" s="8" t="inlineStr">
        <is>
          <t>일반</t>
        </is>
      </c>
      <c r="F422" s="8" t="inlineStr">
        <is>
          <t>0000310158-20-000005</t>
        </is>
      </c>
      <c r="G422" s="15" t="n">
        <v>40.122</v>
      </c>
      <c r="H422" s="15" t="n">
        <v>6.521</v>
      </c>
      <c r="I422" s="15" t="n"/>
      <c r="J422" s="15" t="n">
        <v>4.103</v>
      </c>
      <c r="K422" s="15" t="n"/>
      <c r="L422" s="15" t="n">
        <v>2.394</v>
      </c>
      <c r="M422" s="15" t="n">
        <v>1.5</v>
      </c>
      <c r="N422" s="15" t="n"/>
      <c r="O422" s="15" t="n">
        <v>6.451</v>
      </c>
      <c r="P422" s="15" t="n">
        <v>34.336</v>
      </c>
      <c r="Q422" s="15" t="n">
        <v>40.088</v>
      </c>
      <c r="R422" s="15" t="n">
        <v>8.497999999999999</v>
      </c>
      <c r="S422" s="15" t="n">
        <v>14.341</v>
      </c>
      <c r="T422" s="15" t="n">
        <v>3.057</v>
      </c>
      <c r="U422" s="15" t="n">
        <v>0.5679999999999999</v>
      </c>
      <c r="V422" s="15" t="n">
        <v>21.353</v>
      </c>
      <c r="W422" s="15" t="n">
        <v>24.766</v>
      </c>
      <c r="X422" s="15" t="n">
        <v>30.614</v>
      </c>
      <c r="Y422" s="15" t="n">
        <v>18.614</v>
      </c>
      <c r="Z422" s="15" t="n">
        <v>17.204</v>
      </c>
      <c r="AA422" s="15" t="n">
        <v>50.589</v>
      </c>
      <c r="AB422" s="16" t="n">
        <v>2748</v>
      </c>
      <c r="AC422" s="17">
        <f>IF(AND(ISNUMBER(H422),ISNUMBER(I422)),H422+I422,IF(ISNUMBER(K422),K422,IF(ISNUMBER(H422),H422,"")))</f>
        <v/>
      </c>
      <c r="AD422" s="18">
        <f>IF(OR(NOT(ISNUMBER(J422)),NOT(ISNUMBER(H422)),H422&lt;=0),기준표!$B$8,MIN(MAX(J422/H422,기준표!$B$6),기준표!$B$7))</f>
        <v/>
      </c>
      <c r="AE422" s="17">
        <f>IF(ISNUMBER(AC422),AC422*(1-AD422),"")</f>
        <v/>
      </c>
      <c r="AF422" s="17">
        <f>IF(AND(NOT(ISNUMBER(T422)),NOT(ISNUMBER(V422))),"",IF(ISNUMBER(T422),T422,0)+IF(ISNUMBER(V422),V422,0))</f>
        <v/>
      </c>
      <c r="AG422" s="17">
        <f>IF(E422="금융","",IF(AND(ISNUMBER(P422),ISNUMBER(AF422),ISNUMBER(R422)),P422+AF422-R422,""))</f>
        <v/>
      </c>
      <c r="AH422" s="17">
        <f>IF(E422="금융","",IF(NOT(ISNUMBER(AG422)),"",IF(ISNUMBER(AA422),(AG422+AA422)/2,AG422)))</f>
        <v/>
      </c>
      <c r="AI422" s="19">
        <f>IF(AND(ISNUMBER(AE422),ISNUMBER(AH422),AH422&gt;0),AE422/AH422,"")</f>
        <v/>
      </c>
      <c r="AJ422" s="17">
        <f>IF(E422="금융","",IF(AND(ISNUMBER(P422),ISNUMBER(AF422)),P422+AF422,""))</f>
        <v/>
      </c>
      <c r="AK422" s="19">
        <f>IF(OR(NOT(ISNUMBER(AE422)),NOT(ISNUMBER(AJ422)),AJ422&lt;=0),"",IF(AND(ISNUMBER(G422),AJ422&lt;0.1*G422),"",AE422/AJ422))</f>
        <v/>
      </c>
      <c r="AL422" s="17">
        <f>IF(NOT(ISNUMBER(P422)),"",IF(ISNUMBER(Q422),(P422+Q422)/2,P422))</f>
        <v/>
      </c>
      <c r="AM422" s="19">
        <f>IF(AND(ISNUMBER(L422),ISNUMBER(AL422),AL422&gt;0),L422/AL422,"")</f>
        <v/>
      </c>
      <c r="AN422" s="19">
        <f>IF(AND(ISNUMBER(AM422),ISNUMBER({ROIC})),AM422-{ROIC},"")</f>
        <v/>
      </c>
      <c r="AO422" s="17">
        <f>IF(AND(ISNUMBER(AC422),ISNUMBER(M422)),AC422+M422,"")</f>
        <v/>
      </c>
      <c r="AP422" s="20">
        <f>IF(AND(ISNUMBER(AF422),ISNUMBER(R422),ISNUMBER(AO422),AO422&gt;0),(AF422-R422)/AO422,"")</f>
        <v/>
      </c>
      <c r="AQ422" s="20">
        <f>IF(AND(ISNUMBER(AC422),ISNUMBER(I422),I422&lt;&gt;0,AC422&gt;0),AC422/I422,"")</f>
        <v/>
      </c>
      <c r="AR422" s="17">
        <f>IF(AND(ISNUMBER(W422),ISNUMBER(Y422)),W422-IF(ISNUMBER(R422),R422,0)-(Y422-IF(ISNUMBER(T422),T422,0)),"")</f>
        <v/>
      </c>
      <c r="AS422" s="17">
        <f>IF(AND(ISNUMBER(X422),ISNUMBER(Z422)),X422-IF(ISNUMBER(S422),S422,0)-(Z422-IF(ISNUMBER(U422),U422,0)),"")</f>
        <v/>
      </c>
      <c r="AT422" s="17">
        <f>IF(AND(ISNUMBER(AR422),ISNUMBER(AS422)),AR422-AS422,"")</f>
        <v/>
      </c>
      <c r="AU422" s="17">
        <f>IF(E422="금융","",IF(AND(ISNUMBER(L422),ISNUMBER(M422),ISNUMBER(N422),ISNUMBER(AT422)),L422+M422-N422-AT422,IF(AND(ISNUMBER(O422),ISNUMBER(N422)),O422-N422,"")))</f>
        <v/>
      </c>
      <c r="AV422" s="8">
        <f>IF(E422="금융","금융업 - 정의되지 않음",IF(AND(ISNUMBER(L422),ISNUMBER(M422),ISNUMBER(N422),ISNUMBER(AT422)),"순이익+감가상각-설비투자-운전자본증감",IF(AND(ISNUMBER(O422),ISNUMBER(N422)),"영업현금흐름-설비투자","산출불가")))</f>
        <v/>
      </c>
      <c r="AW422" s="19">
        <f>IF(AND(ISNUMBER(AU422),ISNUMBER(G422),G422&lt;&gt;0),AU422/G422,"")</f>
        <v/>
      </c>
      <c r="AX422" s="19">
        <f>IF(AND(ISNUMBER(AC422),ISNUMBER(G422),G422&lt;&gt;0),AC422/G422,"")</f>
        <v/>
      </c>
    </row>
    <row r="423">
      <c r="A423" s="8" t="inlineStr">
        <is>
          <t>MRK</t>
        </is>
      </c>
      <c r="B423" s="8" t="inlineStr">
        <is>
          <t>Merck &amp; Co., Inc.</t>
        </is>
      </c>
      <c r="C423" s="8" t="n">
        <v>2018</v>
      </c>
      <c r="D423" s="8" t="inlineStr">
        <is>
          <t>2018-12-31</t>
        </is>
      </c>
      <c r="E423" s="8" t="inlineStr">
        <is>
          <t>일반</t>
        </is>
      </c>
      <c r="F423" s="8" t="inlineStr">
        <is>
          <t>0000310158-21-000004</t>
        </is>
      </c>
      <c r="G423" s="15" t="n">
        <v>42.294</v>
      </c>
      <c r="H423" s="15" t="n">
        <v>8.701000000000001</v>
      </c>
      <c r="I423" s="15" t="n"/>
      <c r="J423" s="15" t="n">
        <v>2.508</v>
      </c>
      <c r="K423" s="15" t="n"/>
      <c r="L423" s="15" t="n">
        <v>6.22</v>
      </c>
      <c r="M423" s="15" t="n">
        <v>1.416</v>
      </c>
      <c r="N423" s="15" t="n"/>
      <c r="O423" s="15" t="n">
        <v>10.922</v>
      </c>
      <c r="P423" s="15" t="n">
        <v>26.701</v>
      </c>
      <c r="Q423" s="15" t="n">
        <v>34.336</v>
      </c>
      <c r="R423" s="15" t="n">
        <v>8.864000000000001</v>
      </c>
      <c r="S423" s="15" t="n">
        <v>8.497999999999999</v>
      </c>
      <c r="T423" s="15" t="n">
        <v>5.308</v>
      </c>
      <c r="U423" s="15" t="n">
        <v>3.057</v>
      </c>
      <c r="V423" s="15" t="n">
        <v>19.806</v>
      </c>
      <c r="W423" s="15" t="n">
        <v>25.875</v>
      </c>
      <c r="X423" s="15" t="n">
        <v>24.766</v>
      </c>
      <c r="Y423" s="15" t="n">
        <v>22.206</v>
      </c>
      <c r="Z423" s="15" t="n">
        <v>18.614</v>
      </c>
      <c r="AA423" s="15" t="n">
        <v>50.248</v>
      </c>
      <c r="AB423" s="16" t="n">
        <v>2679</v>
      </c>
      <c r="AC423" s="17">
        <f>IF(AND(ISNUMBER(H423),ISNUMBER(I423)),H423+I423,IF(ISNUMBER(K423),K423,IF(ISNUMBER(H423),H423,"")))</f>
        <v/>
      </c>
      <c r="AD423" s="18">
        <f>IF(OR(NOT(ISNUMBER(J423)),NOT(ISNUMBER(H423)),H423&lt;=0),기준표!$B$8,MIN(MAX(J423/H423,기준표!$B$6),기준표!$B$7))</f>
        <v/>
      </c>
      <c r="AE423" s="17">
        <f>IF(ISNUMBER(AC423),AC423*(1-AD423),"")</f>
        <v/>
      </c>
      <c r="AF423" s="17">
        <f>IF(AND(NOT(ISNUMBER(T423)),NOT(ISNUMBER(V423))),"",IF(ISNUMBER(T423),T423,0)+IF(ISNUMBER(V423),V423,0))</f>
        <v/>
      </c>
      <c r="AG423" s="17">
        <f>IF(E423="금융","",IF(AND(ISNUMBER(P423),ISNUMBER(AF423),ISNUMBER(R423)),P423+AF423-R423,""))</f>
        <v/>
      </c>
      <c r="AH423" s="17">
        <f>IF(E423="금융","",IF(NOT(ISNUMBER(AG423)),"",IF(ISNUMBER(AA423),(AG423+AA423)/2,AG423)))</f>
        <v/>
      </c>
      <c r="AI423" s="19">
        <f>IF(AND(ISNUMBER(AE423),ISNUMBER(AH423),AH423&gt;0),AE423/AH423,"")</f>
        <v/>
      </c>
      <c r="AJ423" s="17">
        <f>IF(E423="금융","",IF(AND(ISNUMBER(P423),ISNUMBER(AF423)),P423+AF423,""))</f>
        <v/>
      </c>
      <c r="AK423" s="19">
        <f>IF(OR(NOT(ISNUMBER(AE423)),NOT(ISNUMBER(AJ423)),AJ423&lt;=0),"",IF(AND(ISNUMBER(G423),AJ423&lt;0.1*G423),"",AE423/AJ423))</f>
        <v/>
      </c>
      <c r="AL423" s="17">
        <f>IF(NOT(ISNUMBER(P423)),"",IF(ISNUMBER(Q423),(P423+Q423)/2,P423))</f>
        <v/>
      </c>
      <c r="AM423" s="19">
        <f>IF(AND(ISNUMBER(L423),ISNUMBER(AL423),AL423&gt;0),L423/AL423,"")</f>
        <v/>
      </c>
      <c r="AN423" s="19">
        <f>IF(AND(ISNUMBER(AM423),ISNUMBER({ROIC})),AM423-{ROIC},"")</f>
        <v/>
      </c>
      <c r="AO423" s="17">
        <f>IF(AND(ISNUMBER(AC423),ISNUMBER(M423)),AC423+M423,"")</f>
        <v/>
      </c>
      <c r="AP423" s="20">
        <f>IF(AND(ISNUMBER(AF423),ISNUMBER(R423),ISNUMBER(AO423),AO423&gt;0),(AF423-R423)/AO423,"")</f>
        <v/>
      </c>
      <c r="AQ423" s="20">
        <f>IF(AND(ISNUMBER(AC423),ISNUMBER(I423),I423&lt;&gt;0,AC423&gt;0),AC423/I423,"")</f>
        <v/>
      </c>
      <c r="AR423" s="17">
        <f>IF(AND(ISNUMBER(W423),ISNUMBER(Y423)),W423-IF(ISNUMBER(R423),R423,0)-(Y423-IF(ISNUMBER(T423),T423,0)),"")</f>
        <v/>
      </c>
      <c r="AS423" s="17">
        <f>IF(AND(ISNUMBER(X423),ISNUMBER(Z423)),X423-IF(ISNUMBER(S423),S423,0)-(Z423-IF(ISNUMBER(U423),U423,0)),"")</f>
        <v/>
      </c>
      <c r="AT423" s="17">
        <f>IF(AND(ISNUMBER(AR423),ISNUMBER(AS423)),AR423-AS423,"")</f>
        <v/>
      </c>
      <c r="AU423" s="17">
        <f>IF(E423="금융","",IF(AND(ISNUMBER(L423),ISNUMBER(M423),ISNUMBER(N423),ISNUMBER(AT423)),L423+M423-N423-AT423,IF(AND(ISNUMBER(O423),ISNUMBER(N423)),O423-N423,"")))</f>
        <v/>
      </c>
      <c r="AV423" s="8">
        <f>IF(E423="금융","금융업 - 정의되지 않음",IF(AND(ISNUMBER(L423),ISNUMBER(M423),ISNUMBER(N423),ISNUMBER(AT423)),"순이익+감가상각-설비투자-운전자본증감",IF(AND(ISNUMBER(O423),ISNUMBER(N423)),"영업현금흐름-설비투자","산출불가")))</f>
        <v/>
      </c>
      <c r="AW423" s="19">
        <f>IF(AND(ISNUMBER(AU423),ISNUMBER(G423),G423&lt;&gt;0),AU423/G423,"")</f>
        <v/>
      </c>
      <c r="AX423" s="19">
        <f>IF(AND(ISNUMBER(AC423),ISNUMBER(G423),G423&lt;&gt;0),AC423/G423,"")</f>
        <v/>
      </c>
    </row>
    <row r="424">
      <c r="A424" s="8" t="inlineStr">
        <is>
          <t>MRK</t>
        </is>
      </c>
      <c r="B424" s="8" t="inlineStr">
        <is>
          <t>Merck &amp; Co., Inc.</t>
        </is>
      </c>
      <c r="C424" s="8" t="n">
        <v>2019</v>
      </c>
      <c r="D424" s="8" t="inlineStr">
        <is>
          <t>2019-12-31</t>
        </is>
      </c>
      <c r="E424" s="8" t="inlineStr">
        <is>
          <t>일반</t>
        </is>
      </c>
      <c r="F424" s="8" t="inlineStr">
        <is>
          <t>0000310158-22-000003</t>
        </is>
      </c>
      <c r="G424" s="15" t="n">
        <v>39.121</v>
      </c>
      <c r="H424" s="15" t="n">
        <v>7.171</v>
      </c>
      <c r="I424" s="15" t="n"/>
      <c r="J424" s="15" t="n">
        <v>1.565</v>
      </c>
      <c r="K424" s="15" t="n"/>
      <c r="L424" s="15" t="n">
        <v>9.843</v>
      </c>
      <c r="M424" s="15" t="n">
        <v>1.615</v>
      </c>
      <c r="N424" s="15" t="n"/>
      <c r="O424" s="15" t="n">
        <v>13.44</v>
      </c>
      <c r="P424" s="15" t="n">
        <v>25.907</v>
      </c>
      <c r="Q424" s="15" t="n">
        <v>26.701</v>
      </c>
      <c r="R424" s="15" t="n">
        <v>10.45</v>
      </c>
      <c r="S424" s="15" t="n">
        <v>8.864000000000001</v>
      </c>
      <c r="T424" s="15" t="n">
        <v>3.61</v>
      </c>
      <c r="U424" s="15" t="n">
        <v>5.308</v>
      </c>
      <c r="V424" s="15" t="n">
        <v>22.736</v>
      </c>
      <c r="W424" s="15" t="n">
        <v>27.483</v>
      </c>
      <c r="X424" s="15" t="n">
        <v>25.875</v>
      </c>
      <c r="Y424" s="15" t="n">
        <v>22.22</v>
      </c>
      <c r="Z424" s="15" t="n">
        <v>22.206</v>
      </c>
      <c r="AA424" s="15" t="n">
        <v>42.951</v>
      </c>
      <c r="AB424" s="16" t="n">
        <v>2580</v>
      </c>
      <c r="AC424" s="17">
        <f>IF(AND(ISNUMBER(H424),ISNUMBER(I424)),H424+I424,IF(ISNUMBER(K424),K424,IF(ISNUMBER(H424),H424,"")))</f>
        <v/>
      </c>
      <c r="AD424" s="18">
        <f>IF(OR(NOT(ISNUMBER(J424)),NOT(ISNUMBER(H424)),H424&lt;=0),기준표!$B$8,MIN(MAX(J424/H424,기준표!$B$6),기준표!$B$7))</f>
        <v/>
      </c>
      <c r="AE424" s="17">
        <f>IF(ISNUMBER(AC424),AC424*(1-AD424),"")</f>
        <v/>
      </c>
      <c r="AF424" s="17">
        <f>IF(AND(NOT(ISNUMBER(T424)),NOT(ISNUMBER(V424))),"",IF(ISNUMBER(T424),T424,0)+IF(ISNUMBER(V424),V424,0))</f>
        <v/>
      </c>
      <c r="AG424" s="17">
        <f>IF(E424="금융","",IF(AND(ISNUMBER(P424),ISNUMBER(AF424),ISNUMBER(R424)),P424+AF424-R424,""))</f>
        <v/>
      </c>
      <c r="AH424" s="17">
        <f>IF(E424="금융","",IF(NOT(ISNUMBER(AG424)),"",IF(ISNUMBER(AA424),(AG424+AA424)/2,AG424)))</f>
        <v/>
      </c>
      <c r="AI424" s="19">
        <f>IF(AND(ISNUMBER(AE424),ISNUMBER(AH424),AH424&gt;0),AE424/AH424,"")</f>
        <v/>
      </c>
      <c r="AJ424" s="17">
        <f>IF(E424="금융","",IF(AND(ISNUMBER(P424),ISNUMBER(AF424)),P424+AF424,""))</f>
        <v/>
      </c>
      <c r="AK424" s="19">
        <f>IF(OR(NOT(ISNUMBER(AE424)),NOT(ISNUMBER(AJ424)),AJ424&lt;=0),"",IF(AND(ISNUMBER(G424),AJ424&lt;0.1*G424),"",AE424/AJ424))</f>
        <v/>
      </c>
      <c r="AL424" s="17">
        <f>IF(NOT(ISNUMBER(P424)),"",IF(ISNUMBER(Q424),(P424+Q424)/2,P424))</f>
        <v/>
      </c>
      <c r="AM424" s="19">
        <f>IF(AND(ISNUMBER(L424),ISNUMBER(AL424),AL424&gt;0),L424/AL424,"")</f>
        <v/>
      </c>
      <c r="AN424" s="19">
        <f>IF(AND(ISNUMBER(AM424),ISNUMBER({ROIC})),AM424-{ROIC},"")</f>
        <v/>
      </c>
      <c r="AO424" s="17">
        <f>IF(AND(ISNUMBER(AC424),ISNUMBER(M424)),AC424+M424,"")</f>
        <v/>
      </c>
      <c r="AP424" s="20">
        <f>IF(AND(ISNUMBER(AF424),ISNUMBER(R424),ISNUMBER(AO424),AO424&gt;0),(AF424-R424)/AO424,"")</f>
        <v/>
      </c>
      <c r="AQ424" s="20">
        <f>IF(AND(ISNUMBER(AC424),ISNUMBER(I424),I424&lt;&gt;0,AC424&gt;0),AC424/I424,"")</f>
        <v/>
      </c>
      <c r="AR424" s="17">
        <f>IF(AND(ISNUMBER(W424),ISNUMBER(Y424)),W424-IF(ISNUMBER(R424),R424,0)-(Y424-IF(ISNUMBER(T424),T424,0)),"")</f>
        <v/>
      </c>
      <c r="AS424" s="17">
        <f>IF(AND(ISNUMBER(X424),ISNUMBER(Z424)),X424-IF(ISNUMBER(S424),S424,0)-(Z424-IF(ISNUMBER(U424),U424,0)),"")</f>
        <v/>
      </c>
      <c r="AT424" s="17">
        <f>IF(AND(ISNUMBER(AR424),ISNUMBER(AS424)),AR424-AS424,"")</f>
        <v/>
      </c>
      <c r="AU424" s="17">
        <f>IF(E424="금융","",IF(AND(ISNUMBER(L424),ISNUMBER(M424),ISNUMBER(N424),ISNUMBER(AT424)),L424+M424-N424-AT424,IF(AND(ISNUMBER(O424),ISNUMBER(N424)),O424-N424,"")))</f>
        <v/>
      </c>
      <c r="AV424" s="8">
        <f>IF(E424="금융","금융업 - 정의되지 않음",IF(AND(ISNUMBER(L424),ISNUMBER(M424),ISNUMBER(N424),ISNUMBER(AT424)),"순이익+감가상각-설비투자-운전자본증감",IF(AND(ISNUMBER(O424),ISNUMBER(N424)),"영업현금흐름-설비투자","산출불가")))</f>
        <v/>
      </c>
      <c r="AW424" s="19">
        <f>IF(AND(ISNUMBER(AU424),ISNUMBER(G424),G424&lt;&gt;0),AU424/G424,"")</f>
        <v/>
      </c>
      <c r="AX424" s="19">
        <f>IF(AND(ISNUMBER(AC424),ISNUMBER(G424),G424&lt;&gt;0),AC424/G424,"")</f>
        <v/>
      </c>
    </row>
    <row r="425">
      <c r="A425" s="8" t="inlineStr">
        <is>
          <t>MRK</t>
        </is>
      </c>
      <c r="B425" s="8" t="inlineStr">
        <is>
          <t>Merck &amp; Co., Inc.</t>
        </is>
      </c>
      <c r="C425" s="8" t="n">
        <v>2020</v>
      </c>
      <c r="D425" s="8" t="inlineStr">
        <is>
          <t>2020-12-31</t>
        </is>
      </c>
      <c r="E425" s="8" t="inlineStr">
        <is>
          <t>일반</t>
        </is>
      </c>
      <c r="F425" s="8" t="inlineStr">
        <is>
          <t>0001628280-23-005061</t>
        </is>
      </c>
      <c r="G425" s="15" t="n">
        <v>41.518</v>
      </c>
      <c r="H425" s="15" t="n">
        <v>5.863</v>
      </c>
      <c r="I425" s="15" t="n"/>
      <c r="J425" s="15" t="n">
        <v>1.34</v>
      </c>
      <c r="K425" s="15" t="n"/>
      <c r="L425" s="15" t="n">
        <v>7.067</v>
      </c>
      <c r="M425" s="15" t="n">
        <v>1.669</v>
      </c>
      <c r="N425" s="15" t="n"/>
      <c r="O425" s="15" t="n">
        <v>10.253</v>
      </c>
      <c r="P425" s="15" t="n">
        <v>25.317</v>
      </c>
      <c r="Q425" s="15" t="n">
        <v>25.907</v>
      </c>
      <c r="R425" s="15" t="n">
        <v>8.050000000000001</v>
      </c>
      <c r="S425" s="15" t="n">
        <v>10.45</v>
      </c>
      <c r="T425" s="15" t="n">
        <v>6.431</v>
      </c>
      <c r="U425" s="15" t="n">
        <v>3.61</v>
      </c>
      <c r="V425" s="15" t="n">
        <v>25.36</v>
      </c>
      <c r="W425" s="15" t="n">
        <v>27.764</v>
      </c>
      <c r="X425" s="15" t="n">
        <v>27.483</v>
      </c>
      <c r="Y425" s="15" t="n">
        <v>27.327</v>
      </c>
      <c r="Z425" s="15" t="n">
        <v>22.22</v>
      </c>
      <c r="AA425" s="15" t="n">
        <v>41.803</v>
      </c>
      <c r="AB425" s="16" t="n">
        <v>2541</v>
      </c>
      <c r="AC425" s="17">
        <f>IF(AND(ISNUMBER(H425),ISNUMBER(I425)),H425+I425,IF(ISNUMBER(K425),K425,IF(ISNUMBER(H425),H425,"")))</f>
        <v/>
      </c>
      <c r="AD425" s="18">
        <f>IF(OR(NOT(ISNUMBER(J425)),NOT(ISNUMBER(H425)),H425&lt;=0),기준표!$B$8,MIN(MAX(J425/H425,기준표!$B$6),기준표!$B$7))</f>
        <v/>
      </c>
      <c r="AE425" s="17">
        <f>IF(ISNUMBER(AC425),AC425*(1-AD425),"")</f>
        <v/>
      </c>
      <c r="AF425" s="17">
        <f>IF(AND(NOT(ISNUMBER(T425)),NOT(ISNUMBER(V425))),"",IF(ISNUMBER(T425),T425,0)+IF(ISNUMBER(V425),V425,0))</f>
        <v/>
      </c>
      <c r="AG425" s="17">
        <f>IF(E425="금융","",IF(AND(ISNUMBER(P425),ISNUMBER(AF425),ISNUMBER(R425)),P425+AF425-R425,""))</f>
        <v/>
      </c>
      <c r="AH425" s="17">
        <f>IF(E425="금융","",IF(NOT(ISNUMBER(AG425)),"",IF(ISNUMBER(AA425),(AG425+AA425)/2,AG425)))</f>
        <v/>
      </c>
      <c r="AI425" s="19">
        <f>IF(AND(ISNUMBER(AE425),ISNUMBER(AH425),AH425&gt;0),AE425/AH425,"")</f>
        <v/>
      </c>
      <c r="AJ425" s="17">
        <f>IF(E425="금융","",IF(AND(ISNUMBER(P425),ISNUMBER(AF425)),P425+AF425,""))</f>
        <v/>
      </c>
      <c r="AK425" s="19">
        <f>IF(OR(NOT(ISNUMBER(AE425)),NOT(ISNUMBER(AJ425)),AJ425&lt;=0),"",IF(AND(ISNUMBER(G425),AJ425&lt;0.1*G425),"",AE425/AJ425))</f>
        <v/>
      </c>
      <c r="AL425" s="17">
        <f>IF(NOT(ISNUMBER(P425)),"",IF(ISNUMBER(Q425),(P425+Q425)/2,P425))</f>
        <v/>
      </c>
      <c r="AM425" s="19">
        <f>IF(AND(ISNUMBER(L425),ISNUMBER(AL425),AL425&gt;0),L425/AL425,"")</f>
        <v/>
      </c>
      <c r="AN425" s="19">
        <f>IF(AND(ISNUMBER(AM425),ISNUMBER({ROIC})),AM425-{ROIC},"")</f>
        <v/>
      </c>
      <c r="AO425" s="17">
        <f>IF(AND(ISNUMBER(AC425),ISNUMBER(M425)),AC425+M425,"")</f>
        <v/>
      </c>
      <c r="AP425" s="20">
        <f>IF(AND(ISNUMBER(AF425),ISNUMBER(R425),ISNUMBER(AO425),AO425&gt;0),(AF425-R425)/AO425,"")</f>
        <v/>
      </c>
      <c r="AQ425" s="20">
        <f>IF(AND(ISNUMBER(AC425),ISNUMBER(I425),I425&lt;&gt;0,AC425&gt;0),AC425/I425,"")</f>
        <v/>
      </c>
      <c r="AR425" s="17">
        <f>IF(AND(ISNUMBER(W425),ISNUMBER(Y425)),W425-IF(ISNUMBER(R425),R425,0)-(Y425-IF(ISNUMBER(T425),T425,0)),"")</f>
        <v/>
      </c>
      <c r="AS425" s="17">
        <f>IF(AND(ISNUMBER(X425),ISNUMBER(Z425)),X425-IF(ISNUMBER(S425),S425,0)-(Z425-IF(ISNUMBER(U425),U425,0)),"")</f>
        <v/>
      </c>
      <c r="AT425" s="17">
        <f>IF(AND(ISNUMBER(AR425),ISNUMBER(AS425)),AR425-AS425,"")</f>
        <v/>
      </c>
      <c r="AU425" s="17">
        <f>IF(E425="금융","",IF(AND(ISNUMBER(L425),ISNUMBER(M425),ISNUMBER(N425),ISNUMBER(AT425)),L425+M425-N425-AT425,IF(AND(ISNUMBER(O425),ISNUMBER(N425)),O425-N425,"")))</f>
        <v/>
      </c>
      <c r="AV425" s="8">
        <f>IF(E425="금융","금융업 - 정의되지 않음",IF(AND(ISNUMBER(L425),ISNUMBER(M425),ISNUMBER(N425),ISNUMBER(AT425)),"순이익+감가상각-설비투자-운전자본증감",IF(AND(ISNUMBER(O425),ISNUMBER(N425)),"영업현금흐름-설비투자","산출불가")))</f>
        <v/>
      </c>
      <c r="AW425" s="19">
        <f>IF(AND(ISNUMBER(AU425),ISNUMBER(G425),G425&lt;&gt;0),AU425/G425,"")</f>
        <v/>
      </c>
      <c r="AX425" s="19">
        <f>IF(AND(ISNUMBER(AC425),ISNUMBER(G425),G425&lt;&gt;0),AC425/G425,"")</f>
        <v/>
      </c>
    </row>
    <row r="426">
      <c r="A426" s="8" t="inlineStr">
        <is>
          <t>MRK</t>
        </is>
      </c>
      <c r="B426" s="8" t="inlineStr">
        <is>
          <t>Merck &amp; Co., Inc.</t>
        </is>
      </c>
      <c r="C426" s="8" t="n">
        <v>2021</v>
      </c>
      <c r="D426" s="8" t="inlineStr">
        <is>
          <t>2021-12-31</t>
        </is>
      </c>
      <c r="E426" s="8" t="inlineStr">
        <is>
          <t>일반</t>
        </is>
      </c>
      <c r="F426" s="8" t="inlineStr">
        <is>
          <t>0001628280-24-006850</t>
        </is>
      </c>
      <c r="G426" s="15" t="n">
        <v>48.704</v>
      </c>
      <c r="H426" s="15" t="n">
        <v>13.879</v>
      </c>
      <c r="I426" s="15" t="n"/>
      <c r="J426" s="15" t="n">
        <v>1.521</v>
      </c>
      <c r="K426" s="15" t="n"/>
      <c r="L426" s="15" t="n">
        <v>13.049</v>
      </c>
      <c r="M426" s="15" t="n">
        <v>1.578</v>
      </c>
      <c r="N426" s="15" t="n">
        <v>4.448</v>
      </c>
      <c r="O426" s="15" t="n"/>
      <c r="P426" s="15" t="n">
        <v>38.184</v>
      </c>
      <c r="Q426" s="15" t="n">
        <v>25.317</v>
      </c>
      <c r="R426" s="15" t="n">
        <v>8.096</v>
      </c>
      <c r="S426" s="15" t="n">
        <v>8.050000000000001</v>
      </c>
      <c r="T426" s="15" t="n">
        <v>2.412</v>
      </c>
      <c r="U426" s="15" t="n">
        <v>6.431</v>
      </c>
      <c r="V426" s="15" t="n">
        <v>30.69</v>
      </c>
      <c r="W426" s="15" t="n">
        <v>30.266</v>
      </c>
      <c r="X426" s="15" t="n">
        <v>27.764</v>
      </c>
      <c r="Y426" s="15" t="n">
        <v>23.872</v>
      </c>
      <c r="Z426" s="15" t="n">
        <v>27.327</v>
      </c>
      <c r="AA426" s="15" t="n">
        <v>49.058</v>
      </c>
      <c r="AB426" s="16" t="n">
        <v>2538</v>
      </c>
      <c r="AC426" s="17">
        <f>IF(AND(ISNUMBER(H426),ISNUMBER(I426)),H426+I426,IF(ISNUMBER(K426),K426,IF(ISNUMBER(H426),H426,"")))</f>
        <v/>
      </c>
      <c r="AD426" s="18">
        <f>IF(OR(NOT(ISNUMBER(J426)),NOT(ISNUMBER(H426)),H426&lt;=0),기준표!$B$8,MIN(MAX(J426/H426,기준표!$B$6),기준표!$B$7))</f>
        <v/>
      </c>
      <c r="AE426" s="17">
        <f>IF(ISNUMBER(AC426),AC426*(1-AD426),"")</f>
        <v/>
      </c>
      <c r="AF426" s="17">
        <f>IF(AND(NOT(ISNUMBER(T426)),NOT(ISNUMBER(V426))),"",IF(ISNUMBER(T426),T426,0)+IF(ISNUMBER(V426),V426,0))</f>
        <v/>
      </c>
      <c r="AG426" s="17">
        <f>IF(E426="금융","",IF(AND(ISNUMBER(P426),ISNUMBER(AF426),ISNUMBER(R426)),P426+AF426-R426,""))</f>
        <v/>
      </c>
      <c r="AH426" s="17">
        <f>IF(E426="금융","",IF(NOT(ISNUMBER(AG426)),"",IF(ISNUMBER(AA426),(AG426+AA426)/2,AG426)))</f>
        <v/>
      </c>
      <c r="AI426" s="19">
        <f>IF(AND(ISNUMBER(AE426),ISNUMBER(AH426),AH426&gt;0),AE426/AH426,"")</f>
        <v/>
      </c>
      <c r="AJ426" s="17">
        <f>IF(E426="금융","",IF(AND(ISNUMBER(P426),ISNUMBER(AF426)),P426+AF426,""))</f>
        <v/>
      </c>
      <c r="AK426" s="19">
        <f>IF(OR(NOT(ISNUMBER(AE426)),NOT(ISNUMBER(AJ426)),AJ426&lt;=0),"",IF(AND(ISNUMBER(G426),AJ426&lt;0.1*G426),"",AE426/AJ426))</f>
        <v/>
      </c>
      <c r="AL426" s="17">
        <f>IF(NOT(ISNUMBER(P426)),"",IF(ISNUMBER(Q426),(P426+Q426)/2,P426))</f>
        <v/>
      </c>
      <c r="AM426" s="19">
        <f>IF(AND(ISNUMBER(L426),ISNUMBER(AL426),AL426&gt;0),L426/AL426,"")</f>
        <v/>
      </c>
      <c r="AN426" s="19">
        <f>IF(AND(ISNUMBER(AM426),ISNUMBER({ROIC})),AM426-{ROIC},"")</f>
        <v/>
      </c>
      <c r="AO426" s="17">
        <f>IF(AND(ISNUMBER(AC426),ISNUMBER(M426)),AC426+M426,"")</f>
        <v/>
      </c>
      <c r="AP426" s="20">
        <f>IF(AND(ISNUMBER(AF426),ISNUMBER(R426),ISNUMBER(AO426),AO426&gt;0),(AF426-R426)/AO426,"")</f>
        <v/>
      </c>
      <c r="AQ426" s="20">
        <f>IF(AND(ISNUMBER(AC426),ISNUMBER(I426),I426&lt;&gt;0,AC426&gt;0),AC426/I426,"")</f>
        <v/>
      </c>
      <c r="AR426" s="17">
        <f>IF(AND(ISNUMBER(W426),ISNUMBER(Y426)),W426-IF(ISNUMBER(R426),R426,0)-(Y426-IF(ISNUMBER(T426),T426,0)),"")</f>
        <v/>
      </c>
      <c r="AS426" s="17">
        <f>IF(AND(ISNUMBER(X426),ISNUMBER(Z426)),X426-IF(ISNUMBER(S426),S426,0)-(Z426-IF(ISNUMBER(U426),U426,0)),"")</f>
        <v/>
      </c>
      <c r="AT426" s="17">
        <f>IF(AND(ISNUMBER(AR426),ISNUMBER(AS426)),AR426-AS426,"")</f>
        <v/>
      </c>
      <c r="AU426" s="17">
        <f>IF(E426="금융","",IF(AND(ISNUMBER(L426),ISNUMBER(M426),ISNUMBER(N426),ISNUMBER(AT426)),L426+M426-N426-AT426,IF(AND(ISNUMBER(O426),ISNUMBER(N426)),O426-N426,"")))</f>
        <v/>
      </c>
      <c r="AV426" s="8">
        <f>IF(E426="금융","금융업 - 정의되지 않음",IF(AND(ISNUMBER(L426),ISNUMBER(M426),ISNUMBER(N426),ISNUMBER(AT426)),"순이익+감가상각-설비투자-운전자본증감",IF(AND(ISNUMBER(O426),ISNUMBER(N426)),"영업현금흐름-설비투자","산출불가")))</f>
        <v/>
      </c>
      <c r="AW426" s="19">
        <f>IF(AND(ISNUMBER(AU426),ISNUMBER(G426),G426&lt;&gt;0),AU426/G426,"")</f>
        <v/>
      </c>
      <c r="AX426" s="19">
        <f>IF(AND(ISNUMBER(AC426),ISNUMBER(G426),G426&lt;&gt;0),AC426/G426,"")</f>
        <v/>
      </c>
    </row>
    <row r="427">
      <c r="A427" s="8" t="inlineStr">
        <is>
          <t>MRK</t>
        </is>
      </c>
      <c r="B427" s="8" t="inlineStr">
        <is>
          <t>Merck &amp; Co., Inc.</t>
        </is>
      </c>
      <c r="C427" s="8" t="n">
        <v>2022</v>
      </c>
      <c r="D427" s="8" t="inlineStr">
        <is>
          <t>2022-12-31</t>
        </is>
      </c>
      <c r="E427" s="8" t="inlineStr">
        <is>
          <t>일반</t>
        </is>
      </c>
      <c r="F427" s="8" t="inlineStr">
        <is>
          <t>0001628280-25-007732</t>
        </is>
      </c>
      <c r="G427" s="15" t="n">
        <v>59.283</v>
      </c>
      <c r="H427" s="15" t="n">
        <v>16.444</v>
      </c>
      <c r="I427" s="15" t="n">
        <v>0.962</v>
      </c>
      <c r="J427" s="15" t="n">
        <v>1.918</v>
      </c>
      <c r="K427" s="15" t="n"/>
      <c r="L427" s="15" t="n">
        <v>14.519</v>
      </c>
      <c r="M427" s="15" t="n">
        <v>1.824</v>
      </c>
      <c r="N427" s="15" t="n">
        <v>4.388</v>
      </c>
      <c r="O427" s="15" t="n">
        <v>19.095</v>
      </c>
      <c r="P427" s="15" t="n">
        <v>45.991</v>
      </c>
      <c r="Q427" s="15" t="n">
        <v>38.184</v>
      </c>
      <c r="R427" s="15" t="n">
        <v>13.192</v>
      </c>
      <c r="S427" s="15" t="n">
        <v>8.096</v>
      </c>
      <c r="T427" s="15" t="n">
        <v>1.946</v>
      </c>
      <c r="U427" s="15" t="n">
        <v>2.412</v>
      </c>
      <c r="V427" s="15" t="n">
        <v>28.745</v>
      </c>
      <c r="W427" s="15" t="n">
        <v>35.722</v>
      </c>
      <c r="X427" s="15" t="n">
        <v>30.266</v>
      </c>
      <c r="Y427" s="15" t="n">
        <v>24.239</v>
      </c>
      <c r="Z427" s="15" t="n">
        <v>23.872</v>
      </c>
      <c r="AA427" s="15" t="n">
        <v>63.19</v>
      </c>
      <c r="AB427" s="16" t="n">
        <v>2542</v>
      </c>
      <c r="AC427" s="17">
        <f>IF(AND(ISNUMBER(H427),ISNUMBER(I427)),H427+I427,IF(ISNUMBER(K427),K427,IF(ISNUMBER(H427),H427,"")))</f>
        <v/>
      </c>
      <c r="AD427" s="18">
        <f>IF(OR(NOT(ISNUMBER(J427)),NOT(ISNUMBER(H427)),H427&lt;=0),기준표!$B$8,MIN(MAX(J427/H427,기준표!$B$6),기준표!$B$7))</f>
        <v/>
      </c>
      <c r="AE427" s="17">
        <f>IF(ISNUMBER(AC427),AC427*(1-AD427),"")</f>
        <v/>
      </c>
      <c r="AF427" s="17">
        <f>IF(AND(NOT(ISNUMBER(T427)),NOT(ISNUMBER(V427))),"",IF(ISNUMBER(T427),T427,0)+IF(ISNUMBER(V427),V427,0))</f>
        <v/>
      </c>
      <c r="AG427" s="17">
        <f>IF(E427="금융","",IF(AND(ISNUMBER(P427),ISNUMBER(AF427),ISNUMBER(R427)),P427+AF427-R427,""))</f>
        <v/>
      </c>
      <c r="AH427" s="17">
        <f>IF(E427="금융","",IF(NOT(ISNUMBER(AG427)),"",IF(ISNUMBER(AA427),(AG427+AA427)/2,AG427)))</f>
        <v/>
      </c>
      <c r="AI427" s="19">
        <f>IF(AND(ISNUMBER(AE427),ISNUMBER(AH427),AH427&gt;0),AE427/AH427,"")</f>
        <v/>
      </c>
      <c r="AJ427" s="17">
        <f>IF(E427="금융","",IF(AND(ISNUMBER(P427),ISNUMBER(AF427)),P427+AF427,""))</f>
        <v/>
      </c>
      <c r="AK427" s="19">
        <f>IF(OR(NOT(ISNUMBER(AE427)),NOT(ISNUMBER(AJ427)),AJ427&lt;=0),"",IF(AND(ISNUMBER(G427),AJ427&lt;0.1*G427),"",AE427/AJ427))</f>
        <v/>
      </c>
      <c r="AL427" s="17">
        <f>IF(NOT(ISNUMBER(P427)),"",IF(ISNUMBER(Q427),(P427+Q427)/2,P427))</f>
        <v/>
      </c>
      <c r="AM427" s="19">
        <f>IF(AND(ISNUMBER(L427),ISNUMBER(AL427),AL427&gt;0),L427/AL427,"")</f>
        <v/>
      </c>
      <c r="AN427" s="19">
        <f>IF(AND(ISNUMBER(AM427),ISNUMBER({ROIC})),AM427-{ROIC},"")</f>
        <v/>
      </c>
      <c r="AO427" s="17">
        <f>IF(AND(ISNUMBER(AC427),ISNUMBER(M427)),AC427+M427,"")</f>
        <v/>
      </c>
      <c r="AP427" s="20">
        <f>IF(AND(ISNUMBER(AF427),ISNUMBER(R427),ISNUMBER(AO427),AO427&gt;0),(AF427-R427)/AO427,"")</f>
        <v/>
      </c>
      <c r="AQ427" s="20">
        <f>IF(AND(ISNUMBER(AC427),ISNUMBER(I427),I427&lt;&gt;0,AC427&gt;0),AC427/I427,"")</f>
        <v/>
      </c>
      <c r="AR427" s="17">
        <f>IF(AND(ISNUMBER(W427),ISNUMBER(Y427)),W427-IF(ISNUMBER(R427),R427,0)-(Y427-IF(ISNUMBER(T427),T427,0)),"")</f>
        <v/>
      </c>
      <c r="AS427" s="17">
        <f>IF(AND(ISNUMBER(X427),ISNUMBER(Z427)),X427-IF(ISNUMBER(S427),S427,0)-(Z427-IF(ISNUMBER(U427),U427,0)),"")</f>
        <v/>
      </c>
      <c r="AT427" s="17">
        <f>IF(AND(ISNUMBER(AR427),ISNUMBER(AS427)),AR427-AS427,"")</f>
        <v/>
      </c>
      <c r="AU427" s="17">
        <f>IF(E427="금융","",IF(AND(ISNUMBER(L427),ISNUMBER(M427),ISNUMBER(N427),ISNUMBER(AT427)),L427+M427-N427-AT427,IF(AND(ISNUMBER(O427),ISNUMBER(N427)),O427-N427,"")))</f>
        <v/>
      </c>
      <c r="AV427" s="8">
        <f>IF(E427="금융","금융업 - 정의되지 않음",IF(AND(ISNUMBER(L427),ISNUMBER(M427),ISNUMBER(N427),ISNUMBER(AT427)),"순이익+감가상각-설비투자-운전자본증감",IF(AND(ISNUMBER(O427),ISNUMBER(N427)),"영업현금흐름-설비투자","산출불가")))</f>
        <v/>
      </c>
      <c r="AW427" s="19">
        <f>IF(AND(ISNUMBER(AU427),ISNUMBER(G427),G427&lt;&gt;0),AU427/G427,"")</f>
        <v/>
      </c>
      <c r="AX427" s="19">
        <f>IF(AND(ISNUMBER(AC427),ISNUMBER(G427),G427&lt;&gt;0),AC427/G427,"")</f>
        <v/>
      </c>
    </row>
    <row r="428">
      <c r="A428" s="8" t="inlineStr">
        <is>
          <t>MRK</t>
        </is>
      </c>
      <c r="B428" s="8" t="inlineStr">
        <is>
          <t>Merck &amp; Co., Inc.</t>
        </is>
      </c>
      <c r="C428" s="8" t="n">
        <v>2023</v>
      </c>
      <c r="D428" s="8" t="inlineStr">
        <is>
          <t>2023-12-31</t>
        </is>
      </c>
      <c r="E428" s="8" t="inlineStr">
        <is>
          <t>일반</t>
        </is>
      </c>
      <c r="F428" s="8" t="inlineStr">
        <is>
          <t>0000310158-26-000063</t>
        </is>
      </c>
      <c r="G428" s="15" t="n">
        <v>60.115</v>
      </c>
      <c r="H428" s="15" t="n">
        <v>1.889</v>
      </c>
      <c r="I428" s="15" t="n">
        <v>1.146</v>
      </c>
      <c r="J428" s="15" t="n">
        <v>1.512</v>
      </c>
      <c r="K428" s="15" t="n"/>
      <c r="L428" s="15" t="n">
        <v>0.365</v>
      </c>
      <c r="M428" s="15" t="n">
        <v>1.828</v>
      </c>
      <c r="N428" s="15" t="n">
        <v>3.863</v>
      </c>
      <c r="O428" s="15" t="n">
        <v>13.006</v>
      </c>
      <c r="P428" s="15" t="n">
        <v>37.581</v>
      </c>
      <c r="Q428" s="15" t="n">
        <v>45.991</v>
      </c>
      <c r="R428" s="15" t="n">
        <v>7.093</v>
      </c>
      <c r="S428" s="15" t="n">
        <v>13.192</v>
      </c>
      <c r="T428" s="15" t="n">
        <v>1.372</v>
      </c>
      <c r="U428" s="15" t="n">
        <v>1.946</v>
      </c>
      <c r="V428" s="15" t="n">
        <v>33.683</v>
      </c>
      <c r="W428" s="15" t="n">
        <v>32.168</v>
      </c>
      <c r="X428" s="15" t="n">
        <v>35.722</v>
      </c>
      <c r="Y428" s="15" t="n">
        <v>25.694</v>
      </c>
      <c r="Z428" s="15" t="n">
        <v>24.239</v>
      </c>
      <c r="AA428" s="15" t="n">
        <v>63.49</v>
      </c>
      <c r="AB428" s="16" t="n">
        <v>2547</v>
      </c>
      <c r="AC428" s="17">
        <f>IF(AND(ISNUMBER(H428),ISNUMBER(I428)),H428+I428,IF(ISNUMBER(K428),K428,IF(ISNUMBER(H428),H428,"")))</f>
        <v/>
      </c>
      <c r="AD428" s="18">
        <f>IF(OR(NOT(ISNUMBER(J428)),NOT(ISNUMBER(H428)),H428&lt;=0),기준표!$B$8,MIN(MAX(J428/H428,기준표!$B$6),기준표!$B$7))</f>
        <v/>
      </c>
      <c r="AE428" s="17">
        <f>IF(ISNUMBER(AC428),AC428*(1-AD428),"")</f>
        <v/>
      </c>
      <c r="AF428" s="17">
        <f>IF(AND(NOT(ISNUMBER(T428)),NOT(ISNUMBER(V428))),"",IF(ISNUMBER(T428),T428,0)+IF(ISNUMBER(V428),V428,0))</f>
        <v/>
      </c>
      <c r="AG428" s="17">
        <f>IF(E428="금융","",IF(AND(ISNUMBER(P428),ISNUMBER(AF428),ISNUMBER(R428)),P428+AF428-R428,""))</f>
        <v/>
      </c>
      <c r="AH428" s="17">
        <f>IF(E428="금융","",IF(NOT(ISNUMBER(AG428)),"",IF(ISNUMBER(AA428),(AG428+AA428)/2,AG428)))</f>
        <v/>
      </c>
      <c r="AI428" s="19">
        <f>IF(AND(ISNUMBER(AE428),ISNUMBER(AH428),AH428&gt;0),AE428/AH428,"")</f>
        <v/>
      </c>
      <c r="AJ428" s="17">
        <f>IF(E428="금융","",IF(AND(ISNUMBER(P428),ISNUMBER(AF428)),P428+AF428,""))</f>
        <v/>
      </c>
      <c r="AK428" s="19">
        <f>IF(OR(NOT(ISNUMBER(AE428)),NOT(ISNUMBER(AJ428)),AJ428&lt;=0),"",IF(AND(ISNUMBER(G428),AJ428&lt;0.1*G428),"",AE428/AJ428))</f>
        <v/>
      </c>
      <c r="AL428" s="17">
        <f>IF(NOT(ISNUMBER(P428)),"",IF(ISNUMBER(Q428),(P428+Q428)/2,P428))</f>
        <v/>
      </c>
      <c r="AM428" s="19">
        <f>IF(AND(ISNUMBER(L428),ISNUMBER(AL428),AL428&gt;0),L428/AL428,"")</f>
        <v/>
      </c>
      <c r="AN428" s="19">
        <f>IF(AND(ISNUMBER(AM428),ISNUMBER({ROIC})),AM428-{ROIC},"")</f>
        <v/>
      </c>
      <c r="AO428" s="17">
        <f>IF(AND(ISNUMBER(AC428),ISNUMBER(M428)),AC428+M428,"")</f>
        <v/>
      </c>
      <c r="AP428" s="20">
        <f>IF(AND(ISNUMBER(AF428),ISNUMBER(R428),ISNUMBER(AO428),AO428&gt;0),(AF428-R428)/AO428,"")</f>
        <v/>
      </c>
      <c r="AQ428" s="20">
        <f>IF(AND(ISNUMBER(AC428),ISNUMBER(I428),I428&lt;&gt;0,AC428&gt;0),AC428/I428,"")</f>
        <v/>
      </c>
      <c r="AR428" s="17">
        <f>IF(AND(ISNUMBER(W428),ISNUMBER(Y428)),W428-IF(ISNUMBER(R428),R428,0)-(Y428-IF(ISNUMBER(T428),T428,0)),"")</f>
        <v/>
      </c>
      <c r="AS428" s="17">
        <f>IF(AND(ISNUMBER(X428),ISNUMBER(Z428)),X428-IF(ISNUMBER(S428),S428,0)-(Z428-IF(ISNUMBER(U428),U428,0)),"")</f>
        <v/>
      </c>
      <c r="AT428" s="17">
        <f>IF(AND(ISNUMBER(AR428),ISNUMBER(AS428)),AR428-AS428,"")</f>
        <v/>
      </c>
      <c r="AU428" s="17">
        <f>IF(E428="금융","",IF(AND(ISNUMBER(L428),ISNUMBER(M428),ISNUMBER(N428),ISNUMBER(AT428)),L428+M428-N428-AT428,IF(AND(ISNUMBER(O428),ISNUMBER(N428)),O428-N428,"")))</f>
        <v/>
      </c>
      <c r="AV428" s="8">
        <f>IF(E428="금융","금융업 - 정의되지 않음",IF(AND(ISNUMBER(L428),ISNUMBER(M428),ISNUMBER(N428),ISNUMBER(AT428)),"순이익+감가상각-설비투자-운전자본증감",IF(AND(ISNUMBER(O428),ISNUMBER(N428)),"영업현금흐름-설비투자","산출불가")))</f>
        <v/>
      </c>
      <c r="AW428" s="19">
        <f>IF(AND(ISNUMBER(AU428),ISNUMBER(G428),G428&lt;&gt;0),AU428/G428,"")</f>
        <v/>
      </c>
      <c r="AX428" s="19">
        <f>IF(AND(ISNUMBER(AC428),ISNUMBER(G428),G428&lt;&gt;0),AC428/G428,"")</f>
        <v/>
      </c>
    </row>
    <row r="429">
      <c r="A429" s="8" t="inlineStr">
        <is>
          <t>MRK</t>
        </is>
      </c>
      <c r="B429" s="8" t="inlineStr">
        <is>
          <t>Merck &amp; Co., Inc.</t>
        </is>
      </c>
      <c r="C429" s="8" t="n">
        <v>2024</v>
      </c>
      <c r="D429" s="8" t="inlineStr">
        <is>
          <t>2024-12-31</t>
        </is>
      </c>
      <c r="E429" s="8" t="inlineStr">
        <is>
          <t>일반</t>
        </is>
      </c>
      <c r="F429" s="8" t="inlineStr">
        <is>
          <t>0000310158-26-000063</t>
        </is>
      </c>
      <c r="G429" s="15" t="n">
        <v>64.16800000000001</v>
      </c>
      <c r="H429" s="15" t="n">
        <v>19.936</v>
      </c>
      <c r="I429" s="15" t="n">
        <v>1.271</v>
      </c>
      <c r="J429" s="15" t="n">
        <v>2.803</v>
      </c>
      <c r="K429" s="15" t="n"/>
      <c r="L429" s="15" t="n">
        <v>17.117</v>
      </c>
      <c r="M429" s="15" t="n">
        <v>2.104</v>
      </c>
      <c r="N429" s="15" t="n">
        <v>3.372</v>
      </c>
      <c r="O429" s="15" t="n">
        <v>21.468</v>
      </c>
      <c r="P429" s="15" t="n">
        <v>46.313</v>
      </c>
      <c r="Q429" s="15" t="n">
        <v>37.581</v>
      </c>
      <c r="R429" s="15" t="n">
        <v>13.689</v>
      </c>
      <c r="S429" s="15" t="n">
        <v>7.093</v>
      </c>
      <c r="T429" s="15" t="n">
        <v>2.649</v>
      </c>
      <c r="U429" s="15" t="n">
        <v>1.372</v>
      </c>
      <c r="V429" s="15" t="n">
        <v>34.462</v>
      </c>
      <c r="W429" s="15" t="n">
        <v>38.782</v>
      </c>
      <c r="X429" s="15" t="n">
        <v>32.168</v>
      </c>
      <c r="Y429" s="15" t="n">
        <v>28.42</v>
      </c>
      <c r="Z429" s="15" t="n">
        <v>25.694</v>
      </c>
      <c r="AA429" s="15" t="n">
        <v>65.54300000000001</v>
      </c>
      <c r="AB429" s="16" t="n">
        <v>2541</v>
      </c>
      <c r="AC429" s="17">
        <f>IF(AND(ISNUMBER(H429),ISNUMBER(I429)),H429+I429,IF(ISNUMBER(K429),K429,IF(ISNUMBER(H429),H429,"")))</f>
        <v/>
      </c>
      <c r="AD429" s="18">
        <f>IF(OR(NOT(ISNUMBER(J429)),NOT(ISNUMBER(H429)),H429&lt;=0),기준표!$B$8,MIN(MAX(J429/H429,기준표!$B$6),기준표!$B$7))</f>
        <v/>
      </c>
      <c r="AE429" s="17">
        <f>IF(ISNUMBER(AC429),AC429*(1-AD429),"")</f>
        <v/>
      </c>
      <c r="AF429" s="17">
        <f>IF(AND(NOT(ISNUMBER(T429)),NOT(ISNUMBER(V429))),"",IF(ISNUMBER(T429),T429,0)+IF(ISNUMBER(V429),V429,0))</f>
        <v/>
      </c>
      <c r="AG429" s="17">
        <f>IF(E429="금융","",IF(AND(ISNUMBER(P429),ISNUMBER(AF429),ISNUMBER(R429)),P429+AF429-R429,""))</f>
        <v/>
      </c>
      <c r="AH429" s="17">
        <f>IF(E429="금융","",IF(NOT(ISNUMBER(AG429)),"",IF(ISNUMBER(AA429),(AG429+AA429)/2,AG429)))</f>
        <v/>
      </c>
      <c r="AI429" s="19">
        <f>IF(AND(ISNUMBER(AE429),ISNUMBER(AH429),AH429&gt;0),AE429/AH429,"")</f>
        <v/>
      </c>
      <c r="AJ429" s="17">
        <f>IF(E429="금융","",IF(AND(ISNUMBER(P429),ISNUMBER(AF429)),P429+AF429,""))</f>
        <v/>
      </c>
      <c r="AK429" s="19">
        <f>IF(OR(NOT(ISNUMBER(AE429)),NOT(ISNUMBER(AJ429)),AJ429&lt;=0),"",IF(AND(ISNUMBER(G429),AJ429&lt;0.1*G429),"",AE429/AJ429))</f>
        <v/>
      </c>
      <c r="AL429" s="17">
        <f>IF(NOT(ISNUMBER(P429)),"",IF(ISNUMBER(Q429),(P429+Q429)/2,P429))</f>
        <v/>
      </c>
      <c r="AM429" s="19">
        <f>IF(AND(ISNUMBER(L429),ISNUMBER(AL429),AL429&gt;0),L429/AL429,"")</f>
        <v/>
      </c>
      <c r="AN429" s="19">
        <f>IF(AND(ISNUMBER(AM429),ISNUMBER({ROIC})),AM429-{ROIC},"")</f>
        <v/>
      </c>
      <c r="AO429" s="17">
        <f>IF(AND(ISNUMBER(AC429),ISNUMBER(M429)),AC429+M429,"")</f>
        <v/>
      </c>
      <c r="AP429" s="20">
        <f>IF(AND(ISNUMBER(AF429),ISNUMBER(R429),ISNUMBER(AO429),AO429&gt;0),(AF429-R429)/AO429,"")</f>
        <v/>
      </c>
      <c r="AQ429" s="20">
        <f>IF(AND(ISNUMBER(AC429),ISNUMBER(I429),I429&lt;&gt;0,AC429&gt;0),AC429/I429,"")</f>
        <v/>
      </c>
      <c r="AR429" s="17">
        <f>IF(AND(ISNUMBER(W429),ISNUMBER(Y429)),W429-IF(ISNUMBER(R429),R429,0)-(Y429-IF(ISNUMBER(T429),T429,0)),"")</f>
        <v/>
      </c>
      <c r="AS429" s="17">
        <f>IF(AND(ISNUMBER(X429),ISNUMBER(Z429)),X429-IF(ISNUMBER(S429),S429,0)-(Z429-IF(ISNUMBER(U429),U429,0)),"")</f>
        <v/>
      </c>
      <c r="AT429" s="17">
        <f>IF(AND(ISNUMBER(AR429),ISNUMBER(AS429)),AR429-AS429,"")</f>
        <v/>
      </c>
      <c r="AU429" s="17">
        <f>IF(E429="금융","",IF(AND(ISNUMBER(L429),ISNUMBER(M429),ISNUMBER(N429),ISNUMBER(AT429)),L429+M429-N429-AT429,IF(AND(ISNUMBER(O429),ISNUMBER(N429)),O429-N429,"")))</f>
        <v/>
      </c>
      <c r="AV429" s="8">
        <f>IF(E429="금융","금융업 - 정의되지 않음",IF(AND(ISNUMBER(L429),ISNUMBER(M429),ISNUMBER(N429),ISNUMBER(AT429)),"순이익+감가상각-설비투자-운전자본증감",IF(AND(ISNUMBER(O429),ISNUMBER(N429)),"영업현금흐름-설비투자","산출불가")))</f>
        <v/>
      </c>
      <c r="AW429" s="19">
        <f>IF(AND(ISNUMBER(AU429),ISNUMBER(G429),G429&lt;&gt;0),AU429/G429,"")</f>
        <v/>
      </c>
      <c r="AX429" s="19">
        <f>IF(AND(ISNUMBER(AC429),ISNUMBER(G429),G429&lt;&gt;0),AC429/G429,"")</f>
        <v/>
      </c>
    </row>
    <row r="430">
      <c r="A430" s="8" t="inlineStr">
        <is>
          <t>MRK</t>
        </is>
      </c>
      <c r="B430" s="8" t="inlineStr">
        <is>
          <t>Merck &amp; Co., Inc.</t>
        </is>
      </c>
      <c r="C430" s="8" t="n">
        <v>2025</v>
      </c>
      <c r="D430" s="8" t="inlineStr">
        <is>
          <t>2025-12-31</t>
        </is>
      </c>
      <c r="E430" s="8" t="inlineStr">
        <is>
          <t>일반</t>
        </is>
      </c>
      <c r="F430" s="8" t="inlineStr">
        <is>
          <t>0000310158-26-000063</t>
        </is>
      </c>
      <c r="G430" s="15" t="n">
        <v>65.011</v>
      </c>
      <c r="H430" s="15" t="n">
        <v>21.067</v>
      </c>
      <c r="I430" s="15" t="n">
        <v>1.357</v>
      </c>
      <c r="J430" s="15" t="n">
        <v>2.804</v>
      </c>
      <c r="K430" s="15" t="n"/>
      <c r="L430" s="15" t="n">
        <v>18.254</v>
      </c>
      <c r="M430" s="15" t="n">
        <v>3.045</v>
      </c>
      <c r="N430" s="15" t="n">
        <v>4.112</v>
      </c>
      <c r="O430" s="15" t="n">
        <v>16.472</v>
      </c>
      <c r="P430" s="15" t="n">
        <v>52.606</v>
      </c>
      <c r="Q430" s="15" t="n">
        <v>46.313</v>
      </c>
      <c r="R430" s="15" t="n">
        <v>14.565</v>
      </c>
      <c r="S430" s="15" t="n">
        <v>13.689</v>
      </c>
      <c r="T430" s="15" t="n">
        <v>2.589</v>
      </c>
      <c r="U430" s="15" t="n">
        <v>2.649</v>
      </c>
      <c r="V430" s="15" t="n">
        <v>46.75</v>
      </c>
      <c r="W430" s="15" t="n">
        <v>43.516</v>
      </c>
      <c r="X430" s="15" t="n">
        <v>38.782</v>
      </c>
      <c r="Y430" s="15" t="n">
        <v>28.327</v>
      </c>
      <c r="Z430" s="15" t="n">
        <v>28.42</v>
      </c>
      <c r="AA430" s="15" t="n">
        <v>69.735</v>
      </c>
      <c r="AB430" s="16" t="n">
        <v>2507</v>
      </c>
      <c r="AC430" s="17">
        <f>IF(AND(ISNUMBER(H430),ISNUMBER(I430)),H430+I430,IF(ISNUMBER(K430),K430,IF(ISNUMBER(H430),H430,"")))</f>
        <v/>
      </c>
      <c r="AD430" s="18">
        <f>IF(OR(NOT(ISNUMBER(J430)),NOT(ISNUMBER(H430)),H430&lt;=0),기준표!$B$8,MIN(MAX(J430/H430,기준표!$B$6),기준표!$B$7))</f>
        <v/>
      </c>
      <c r="AE430" s="17">
        <f>IF(ISNUMBER(AC430),AC430*(1-AD430),"")</f>
        <v/>
      </c>
      <c r="AF430" s="17">
        <f>IF(AND(NOT(ISNUMBER(T430)),NOT(ISNUMBER(V430))),"",IF(ISNUMBER(T430),T430,0)+IF(ISNUMBER(V430),V430,0))</f>
        <v/>
      </c>
      <c r="AG430" s="17">
        <f>IF(E430="금융","",IF(AND(ISNUMBER(P430),ISNUMBER(AF430),ISNUMBER(R430)),P430+AF430-R430,""))</f>
        <v/>
      </c>
      <c r="AH430" s="17">
        <f>IF(E430="금융","",IF(NOT(ISNUMBER(AG430)),"",IF(ISNUMBER(AA430),(AG430+AA430)/2,AG430)))</f>
        <v/>
      </c>
      <c r="AI430" s="19">
        <f>IF(AND(ISNUMBER(AE430),ISNUMBER(AH430),AH430&gt;0),AE430/AH430,"")</f>
        <v/>
      </c>
      <c r="AJ430" s="17">
        <f>IF(E430="금융","",IF(AND(ISNUMBER(P430),ISNUMBER(AF430)),P430+AF430,""))</f>
        <v/>
      </c>
      <c r="AK430" s="19">
        <f>IF(OR(NOT(ISNUMBER(AE430)),NOT(ISNUMBER(AJ430)),AJ430&lt;=0),"",IF(AND(ISNUMBER(G430),AJ430&lt;0.1*G430),"",AE430/AJ430))</f>
        <v/>
      </c>
      <c r="AL430" s="17">
        <f>IF(NOT(ISNUMBER(P430)),"",IF(ISNUMBER(Q430),(P430+Q430)/2,P430))</f>
        <v/>
      </c>
      <c r="AM430" s="19">
        <f>IF(AND(ISNUMBER(L430),ISNUMBER(AL430),AL430&gt;0),L430/AL430,"")</f>
        <v/>
      </c>
      <c r="AN430" s="19">
        <f>IF(AND(ISNUMBER(AM430),ISNUMBER({ROIC})),AM430-{ROIC},"")</f>
        <v/>
      </c>
      <c r="AO430" s="17">
        <f>IF(AND(ISNUMBER(AC430),ISNUMBER(M430)),AC430+M430,"")</f>
        <v/>
      </c>
      <c r="AP430" s="20">
        <f>IF(AND(ISNUMBER(AF430),ISNUMBER(R430),ISNUMBER(AO430),AO430&gt;0),(AF430-R430)/AO430,"")</f>
        <v/>
      </c>
      <c r="AQ430" s="20">
        <f>IF(AND(ISNUMBER(AC430),ISNUMBER(I430),I430&lt;&gt;0,AC430&gt;0),AC430/I430,"")</f>
        <v/>
      </c>
      <c r="AR430" s="17">
        <f>IF(AND(ISNUMBER(W430),ISNUMBER(Y430)),W430-IF(ISNUMBER(R430),R430,0)-(Y430-IF(ISNUMBER(T430),T430,0)),"")</f>
        <v/>
      </c>
      <c r="AS430" s="17">
        <f>IF(AND(ISNUMBER(X430),ISNUMBER(Z430)),X430-IF(ISNUMBER(S430),S430,0)-(Z430-IF(ISNUMBER(U430),U430,0)),"")</f>
        <v/>
      </c>
      <c r="AT430" s="17">
        <f>IF(AND(ISNUMBER(AR430),ISNUMBER(AS430)),AR430-AS430,"")</f>
        <v/>
      </c>
      <c r="AU430" s="17">
        <f>IF(E430="금융","",IF(AND(ISNUMBER(L430),ISNUMBER(M430),ISNUMBER(N430),ISNUMBER(AT430)),L430+M430-N430-AT430,IF(AND(ISNUMBER(O430),ISNUMBER(N430)),O430-N430,"")))</f>
        <v/>
      </c>
      <c r="AV430" s="8">
        <f>IF(E430="금융","금융업 - 정의되지 않음",IF(AND(ISNUMBER(L430),ISNUMBER(M430),ISNUMBER(N430),ISNUMBER(AT430)),"순이익+감가상각-설비투자-운전자본증감",IF(AND(ISNUMBER(O430),ISNUMBER(N430)),"영업현금흐름-설비투자","산출불가")))</f>
        <v/>
      </c>
      <c r="AW430" s="19">
        <f>IF(AND(ISNUMBER(AU430),ISNUMBER(G430),G430&lt;&gt;0),AU430/G430,"")</f>
        <v/>
      </c>
      <c r="AX430" s="19">
        <f>IF(AND(ISNUMBER(AC430),ISNUMBER(G430),G430&lt;&gt;0),AC430/G430,"")</f>
        <v/>
      </c>
    </row>
    <row r="431">
      <c r="A431" s="8" t="inlineStr">
        <is>
          <t>NFLX</t>
        </is>
      </c>
      <c r="B431" s="8" t="inlineStr">
        <is>
          <t>NETFLIX INC</t>
        </is>
      </c>
      <c r="C431" s="8" t="n">
        <v>2014</v>
      </c>
      <c r="D431" s="8" t="inlineStr">
        <is>
          <t>2014-12-31</t>
        </is>
      </c>
      <c r="E431" s="8" t="inlineStr">
        <is>
          <t>일반</t>
        </is>
      </c>
      <c r="F431" s="8" t="inlineStr">
        <is>
          <t>0001628280-17-000496</t>
        </is>
      </c>
      <c r="G431" s="15" t="n">
        <v>5.504656</v>
      </c>
      <c r="H431" s="15" t="n"/>
      <c r="I431" s="15" t="n"/>
      <c r="J431" s="15" t="n">
        <v>0.08257</v>
      </c>
      <c r="K431" s="15" t="n">
        <v>0.402648</v>
      </c>
      <c r="L431" s="15" t="n">
        <v>0.266799</v>
      </c>
      <c r="M431" s="15" t="n">
        <v>0.054028</v>
      </c>
      <c r="N431" s="15" t="n">
        <v>0.069726</v>
      </c>
      <c r="O431" s="15" t="n">
        <v>0.016483</v>
      </c>
      <c r="P431" s="15" t="n">
        <v>1.857708</v>
      </c>
      <c r="Q431" s="15" t="n"/>
      <c r="R431" s="15" t="n">
        <v>1.113608</v>
      </c>
      <c r="S431" s="15" t="n"/>
      <c r="T431" s="15" t="n"/>
      <c r="U431" s="15" t="n"/>
      <c r="V431" s="15" t="n">
        <v>0.885849</v>
      </c>
      <c r="W431" s="15" t="n">
        <v>3.927053</v>
      </c>
      <c r="X431" s="15" t="n"/>
      <c r="Y431" s="15" t="n">
        <v>2.663154</v>
      </c>
      <c r="Z431" s="15" t="n"/>
      <c r="AA431" s="15" t="n"/>
      <c r="AB431" s="16" t="n">
        <v>4229.10887</v>
      </c>
      <c r="AC431" s="17">
        <f>IF(AND(ISNUMBER(H431),ISNUMBER(I431)),H431+I431,IF(ISNUMBER(K431),K431,IF(ISNUMBER(H431),H431,"")))</f>
        <v/>
      </c>
      <c r="AD431" s="18">
        <f>IF(OR(NOT(ISNUMBER(J431)),NOT(ISNUMBER(H431)),H431&lt;=0),기준표!$B$8,MIN(MAX(J431/H431,기준표!$B$6),기준표!$B$7))</f>
        <v/>
      </c>
      <c r="AE431" s="17">
        <f>IF(ISNUMBER(AC431),AC431*(1-AD431),"")</f>
        <v/>
      </c>
      <c r="AF431" s="17">
        <f>IF(AND(NOT(ISNUMBER(T431)),NOT(ISNUMBER(V431))),"",IF(ISNUMBER(T431),T431,0)+IF(ISNUMBER(V431),V431,0))</f>
        <v/>
      </c>
      <c r="AG431" s="17">
        <f>IF(E431="금융","",IF(AND(ISNUMBER(P431),ISNUMBER(AF431),ISNUMBER(R431)),P431+AF431-R431,""))</f>
        <v/>
      </c>
      <c r="AH431" s="17">
        <f>IF(E431="금융","",IF(NOT(ISNUMBER(AG431)),"",IF(ISNUMBER(AA431),(AG431+AA431)/2,AG431)))</f>
        <v/>
      </c>
      <c r="AI431" s="19">
        <f>IF(AND(ISNUMBER(AE431),ISNUMBER(AH431),AH431&gt;0),AE431/AH431,"")</f>
        <v/>
      </c>
      <c r="AJ431" s="17">
        <f>IF(E431="금융","",IF(AND(ISNUMBER(P431),ISNUMBER(AF431)),P431+AF431,""))</f>
        <v/>
      </c>
      <c r="AK431" s="19">
        <f>IF(OR(NOT(ISNUMBER(AE431)),NOT(ISNUMBER(AJ431)),AJ431&lt;=0),"",IF(AND(ISNUMBER(G431),AJ431&lt;0.1*G431),"",AE431/AJ431))</f>
        <v/>
      </c>
      <c r="AL431" s="17">
        <f>IF(NOT(ISNUMBER(P431)),"",IF(ISNUMBER(Q431),(P431+Q431)/2,P431))</f>
        <v/>
      </c>
      <c r="AM431" s="19">
        <f>IF(AND(ISNUMBER(L431),ISNUMBER(AL431),AL431&gt;0),L431/AL431,"")</f>
        <v/>
      </c>
      <c r="AN431" s="19">
        <f>IF(AND(ISNUMBER(AM431),ISNUMBER({ROIC})),AM431-{ROIC},"")</f>
        <v/>
      </c>
      <c r="AO431" s="17">
        <f>IF(AND(ISNUMBER(AC431),ISNUMBER(M431)),AC431+M431,"")</f>
        <v/>
      </c>
      <c r="AP431" s="20">
        <f>IF(AND(ISNUMBER(AF431),ISNUMBER(R431),ISNUMBER(AO431),AO431&gt;0),(AF431-R431)/AO431,"")</f>
        <v/>
      </c>
      <c r="AQ431" s="20">
        <f>IF(AND(ISNUMBER(AC431),ISNUMBER(I431),I431&lt;&gt;0,AC431&gt;0),AC431/I431,"")</f>
        <v/>
      </c>
      <c r="AR431" s="17">
        <f>IF(AND(ISNUMBER(W431),ISNUMBER(Y431)),W431-IF(ISNUMBER(R431),R431,0)-(Y431-IF(ISNUMBER(T431),T431,0)),"")</f>
        <v/>
      </c>
      <c r="AS431" s="17">
        <f>IF(AND(ISNUMBER(X431),ISNUMBER(Z431)),X431-IF(ISNUMBER(S431),S431,0)-(Z431-IF(ISNUMBER(U431),U431,0)),"")</f>
        <v/>
      </c>
      <c r="AT431" s="17">
        <f>IF(AND(ISNUMBER(AR431),ISNUMBER(AS431)),AR431-AS431,"")</f>
        <v/>
      </c>
      <c r="AU431" s="17">
        <f>IF(E431="금융","",IF(AND(ISNUMBER(L431),ISNUMBER(M431),ISNUMBER(N431),ISNUMBER(AT431)),L431+M431-N431-AT431,IF(AND(ISNUMBER(O431),ISNUMBER(N431)),O431-N431,"")))</f>
        <v/>
      </c>
      <c r="AV431" s="8">
        <f>IF(E431="금융","금융업 - 정의되지 않음",IF(AND(ISNUMBER(L431),ISNUMBER(M431),ISNUMBER(N431),ISNUMBER(AT431)),"순이익+감가상각-설비투자-운전자본증감",IF(AND(ISNUMBER(O431),ISNUMBER(N431)),"영업현금흐름-설비투자","산출불가")))</f>
        <v/>
      </c>
      <c r="AW431" s="19">
        <f>IF(AND(ISNUMBER(AU431),ISNUMBER(G431),G431&lt;&gt;0),AU431/G431,"")</f>
        <v/>
      </c>
      <c r="AX431" s="19">
        <f>IF(AND(ISNUMBER(AC431),ISNUMBER(G431),G431&lt;&gt;0),AC431/G431,"")</f>
        <v/>
      </c>
    </row>
    <row r="432">
      <c r="A432" s="8" t="inlineStr">
        <is>
          <t>NFLX</t>
        </is>
      </c>
      <c r="B432" s="8" t="inlineStr">
        <is>
          <t>NETFLIX INC</t>
        </is>
      </c>
      <c r="C432" s="8" t="n">
        <v>2015</v>
      </c>
      <c r="D432" s="8" t="inlineStr">
        <is>
          <t>2015-12-31</t>
        </is>
      </c>
      <c r="E432" s="8" t="inlineStr">
        <is>
          <t>일반</t>
        </is>
      </c>
      <c r="F432" s="8" t="inlineStr">
        <is>
          <t>0001065280-18-000069</t>
        </is>
      </c>
      <c r="G432" s="15" t="n">
        <v>6.779511</v>
      </c>
      <c r="H432" s="15" t="n"/>
      <c r="I432" s="15" t="n"/>
      <c r="J432" s="15" t="n">
        <v>0.019244</v>
      </c>
      <c r="K432" s="15" t="n">
        <v>0.305826</v>
      </c>
      <c r="L432" s="15" t="n">
        <v>0.122641</v>
      </c>
      <c r="M432" s="15" t="n">
        <v>0.062283</v>
      </c>
      <c r="N432" s="15" t="n">
        <v>0.091248</v>
      </c>
      <c r="O432" s="15" t="n">
        <v>-0.749439</v>
      </c>
      <c r="P432" s="15" t="n">
        <v>2.223426</v>
      </c>
      <c r="Q432" s="15" t="n">
        <v>1.857708</v>
      </c>
      <c r="R432" s="15" t="n">
        <v>1.80933</v>
      </c>
      <c r="S432" s="15" t="n">
        <v>1.113608</v>
      </c>
      <c r="T432" s="15" t="n"/>
      <c r="U432" s="15" t="n"/>
      <c r="V432" s="15" t="n">
        <v>2.371362</v>
      </c>
      <c r="W432" s="15" t="n">
        <v>5.43184</v>
      </c>
      <c r="X432" s="15" t="n">
        <v>3.927053</v>
      </c>
      <c r="Y432" s="15" t="n">
        <v>3.529624</v>
      </c>
      <c r="Z432" s="15" t="n">
        <v>2.663154</v>
      </c>
      <c r="AA432" s="15" t="n">
        <v>1.629949</v>
      </c>
      <c r="AB432" s="16" t="n">
        <v>4279.4044</v>
      </c>
      <c r="AC432" s="17">
        <f>IF(AND(ISNUMBER(H432),ISNUMBER(I432)),H432+I432,IF(ISNUMBER(K432),K432,IF(ISNUMBER(H432),H432,"")))</f>
        <v/>
      </c>
      <c r="AD432" s="18">
        <f>IF(OR(NOT(ISNUMBER(J432)),NOT(ISNUMBER(H432)),H432&lt;=0),기준표!$B$8,MIN(MAX(J432/H432,기준표!$B$6),기준표!$B$7))</f>
        <v/>
      </c>
      <c r="AE432" s="17">
        <f>IF(ISNUMBER(AC432),AC432*(1-AD432),"")</f>
        <v/>
      </c>
      <c r="AF432" s="17">
        <f>IF(AND(NOT(ISNUMBER(T432)),NOT(ISNUMBER(V432))),"",IF(ISNUMBER(T432),T432,0)+IF(ISNUMBER(V432),V432,0))</f>
        <v/>
      </c>
      <c r="AG432" s="17">
        <f>IF(E432="금융","",IF(AND(ISNUMBER(P432),ISNUMBER(AF432),ISNUMBER(R432)),P432+AF432-R432,""))</f>
        <v/>
      </c>
      <c r="AH432" s="17">
        <f>IF(E432="금융","",IF(NOT(ISNUMBER(AG432)),"",IF(ISNUMBER(AA432),(AG432+AA432)/2,AG432)))</f>
        <v/>
      </c>
      <c r="AI432" s="19">
        <f>IF(AND(ISNUMBER(AE432),ISNUMBER(AH432),AH432&gt;0),AE432/AH432,"")</f>
        <v/>
      </c>
      <c r="AJ432" s="17">
        <f>IF(E432="금융","",IF(AND(ISNUMBER(P432),ISNUMBER(AF432)),P432+AF432,""))</f>
        <v/>
      </c>
      <c r="AK432" s="19">
        <f>IF(OR(NOT(ISNUMBER(AE432)),NOT(ISNUMBER(AJ432)),AJ432&lt;=0),"",IF(AND(ISNUMBER(G432),AJ432&lt;0.1*G432),"",AE432/AJ432))</f>
        <v/>
      </c>
      <c r="AL432" s="17">
        <f>IF(NOT(ISNUMBER(P432)),"",IF(ISNUMBER(Q432),(P432+Q432)/2,P432))</f>
        <v/>
      </c>
      <c r="AM432" s="19">
        <f>IF(AND(ISNUMBER(L432),ISNUMBER(AL432),AL432&gt;0),L432/AL432,"")</f>
        <v/>
      </c>
      <c r="AN432" s="19">
        <f>IF(AND(ISNUMBER(AM432),ISNUMBER({ROIC})),AM432-{ROIC},"")</f>
        <v/>
      </c>
      <c r="AO432" s="17">
        <f>IF(AND(ISNUMBER(AC432),ISNUMBER(M432)),AC432+M432,"")</f>
        <v/>
      </c>
      <c r="AP432" s="20">
        <f>IF(AND(ISNUMBER(AF432),ISNUMBER(R432),ISNUMBER(AO432),AO432&gt;0),(AF432-R432)/AO432,"")</f>
        <v/>
      </c>
      <c r="AQ432" s="20">
        <f>IF(AND(ISNUMBER(AC432),ISNUMBER(I432),I432&lt;&gt;0,AC432&gt;0),AC432/I432,"")</f>
        <v/>
      </c>
      <c r="AR432" s="17">
        <f>IF(AND(ISNUMBER(W432),ISNUMBER(Y432)),W432-IF(ISNUMBER(R432),R432,0)-(Y432-IF(ISNUMBER(T432),T432,0)),"")</f>
        <v/>
      </c>
      <c r="AS432" s="17">
        <f>IF(AND(ISNUMBER(X432),ISNUMBER(Z432)),X432-IF(ISNUMBER(S432),S432,0)-(Z432-IF(ISNUMBER(U432),U432,0)),"")</f>
        <v/>
      </c>
      <c r="AT432" s="17">
        <f>IF(AND(ISNUMBER(AR432),ISNUMBER(AS432)),AR432-AS432,"")</f>
        <v/>
      </c>
      <c r="AU432" s="17">
        <f>IF(E432="금융","",IF(AND(ISNUMBER(L432),ISNUMBER(M432),ISNUMBER(N432),ISNUMBER(AT432)),L432+M432-N432-AT432,IF(AND(ISNUMBER(O432),ISNUMBER(N432)),O432-N432,"")))</f>
        <v/>
      </c>
      <c r="AV432" s="8">
        <f>IF(E432="금융","금융업 - 정의되지 않음",IF(AND(ISNUMBER(L432),ISNUMBER(M432),ISNUMBER(N432),ISNUMBER(AT432)),"순이익+감가상각-설비투자-운전자본증감",IF(AND(ISNUMBER(O432),ISNUMBER(N432)),"영업현금흐름-설비투자","산출불가")))</f>
        <v/>
      </c>
      <c r="AW432" s="19">
        <f>IF(AND(ISNUMBER(AU432),ISNUMBER(G432),G432&lt;&gt;0),AU432/G432,"")</f>
        <v/>
      </c>
      <c r="AX432" s="19">
        <f>IF(AND(ISNUMBER(AC432),ISNUMBER(G432),G432&lt;&gt;0),AC432/G432,"")</f>
        <v/>
      </c>
    </row>
    <row r="433">
      <c r="A433" s="8" t="inlineStr">
        <is>
          <t>NFLX</t>
        </is>
      </c>
      <c r="B433" s="8" t="inlineStr">
        <is>
          <t>NETFLIX INC</t>
        </is>
      </c>
      <c r="C433" s="8" t="n">
        <v>2016</v>
      </c>
      <c r="D433" s="8" t="inlineStr">
        <is>
          <t>2016-12-31</t>
        </is>
      </c>
      <c r="E433" s="8" t="inlineStr">
        <is>
          <t>일반</t>
        </is>
      </c>
      <c r="F433" s="8" t="inlineStr">
        <is>
          <t>0001065280-19-000043</t>
        </is>
      </c>
      <c r="G433" s="15" t="n">
        <v>8.830669</v>
      </c>
      <c r="H433" s="15" t="n"/>
      <c r="I433" s="15" t="n"/>
      <c r="J433" s="15" t="n">
        <v>0.07382900000000001</v>
      </c>
      <c r="K433" s="15" t="n">
        <v>0.379793</v>
      </c>
      <c r="L433" s="15" t="n">
        <v>0.186678</v>
      </c>
      <c r="M433" s="15" t="n">
        <v>0.057528</v>
      </c>
      <c r="N433" s="15" t="n">
        <v>0.107653</v>
      </c>
      <c r="O433" s="15" t="n">
        <v>-1.473984</v>
      </c>
      <c r="P433" s="15" t="n">
        <v>2.6798</v>
      </c>
      <c r="Q433" s="15" t="n">
        <v>2.223426</v>
      </c>
      <c r="R433" s="15" t="n">
        <v>1.467576</v>
      </c>
      <c r="S433" s="15" t="n">
        <v>1.80933</v>
      </c>
      <c r="T433" s="15" t="n"/>
      <c r="U433" s="15" t="n"/>
      <c r="V433" s="15" t="n">
        <v>3.364311</v>
      </c>
      <c r="W433" s="15" t="n">
        <v>5.720291</v>
      </c>
      <c r="X433" s="15" t="n">
        <v>5.43184</v>
      </c>
      <c r="Y433" s="15" t="n">
        <v>4.586657</v>
      </c>
      <c r="Z433" s="15" t="n">
        <v>3.529624</v>
      </c>
      <c r="AA433" s="15" t="n">
        <v>2.785458</v>
      </c>
      <c r="AB433" s="16" t="n">
        <v>4300.54212</v>
      </c>
      <c r="AC433" s="17">
        <f>IF(AND(ISNUMBER(H433),ISNUMBER(I433)),H433+I433,IF(ISNUMBER(K433),K433,IF(ISNUMBER(H433),H433,"")))</f>
        <v/>
      </c>
      <c r="AD433" s="18">
        <f>IF(OR(NOT(ISNUMBER(J433)),NOT(ISNUMBER(H433)),H433&lt;=0),기준표!$B$8,MIN(MAX(J433/H433,기준표!$B$6),기준표!$B$7))</f>
        <v/>
      </c>
      <c r="AE433" s="17">
        <f>IF(ISNUMBER(AC433),AC433*(1-AD433),"")</f>
        <v/>
      </c>
      <c r="AF433" s="17">
        <f>IF(AND(NOT(ISNUMBER(T433)),NOT(ISNUMBER(V433))),"",IF(ISNUMBER(T433),T433,0)+IF(ISNUMBER(V433),V433,0))</f>
        <v/>
      </c>
      <c r="AG433" s="17">
        <f>IF(E433="금융","",IF(AND(ISNUMBER(P433),ISNUMBER(AF433),ISNUMBER(R433)),P433+AF433-R433,""))</f>
        <v/>
      </c>
      <c r="AH433" s="17">
        <f>IF(E433="금융","",IF(NOT(ISNUMBER(AG433)),"",IF(ISNUMBER(AA433),(AG433+AA433)/2,AG433)))</f>
        <v/>
      </c>
      <c r="AI433" s="19">
        <f>IF(AND(ISNUMBER(AE433),ISNUMBER(AH433),AH433&gt;0),AE433/AH433,"")</f>
        <v/>
      </c>
      <c r="AJ433" s="17">
        <f>IF(E433="금융","",IF(AND(ISNUMBER(P433),ISNUMBER(AF433)),P433+AF433,""))</f>
        <v/>
      </c>
      <c r="AK433" s="19">
        <f>IF(OR(NOT(ISNUMBER(AE433)),NOT(ISNUMBER(AJ433)),AJ433&lt;=0),"",IF(AND(ISNUMBER(G433),AJ433&lt;0.1*G433),"",AE433/AJ433))</f>
        <v/>
      </c>
      <c r="AL433" s="17">
        <f>IF(NOT(ISNUMBER(P433)),"",IF(ISNUMBER(Q433),(P433+Q433)/2,P433))</f>
        <v/>
      </c>
      <c r="AM433" s="19">
        <f>IF(AND(ISNUMBER(L433),ISNUMBER(AL433),AL433&gt;0),L433/AL433,"")</f>
        <v/>
      </c>
      <c r="AN433" s="19">
        <f>IF(AND(ISNUMBER(AM433),ISNUMBER({ROIC})),AM433-{ROIC},"")</f>
        <v/>
      </c>
      <c r="AO433" s="17">
        <f>IF(AND(ISNUMBER(AC433),ISNUMBER(M433)),AC433+M433,"")</f>
        <v/>
      </c>
      <c r="AP433" s="20">
        <f>IF(AND(ISNUMBER(AF433),ISNUMBER(R433),ISNUMBER(AO433),AO433&gt;0),(AF433-R433)/AO433,"")</f>
        <v/>
      </c>
      <c r="AQ433" s="20">
        <f>IF(AND(ISNUMBER(AC433),ISNUMBER(I433),I433&lt;&gt;0,AC433&gt;0),AC433/I433,"")</f>
        <v/>
      </c>
      <c r="AR433" s="17">
        <f>IF(AND(ISNUMBER(W433),ISNUMBER(Y433)),W433-IF(ISNUMBER(R433),R433,0)-(Y433-IF(ISNUMBER(T433),T433,0)),"")</f>
        <v/>
      </c>
      <c r="AS433" s="17">
        <f>IF(AND(ISNUMBER(X433),ISNUMBER(Z433)),X433-IF(ISNUMBER(S433),S433,0)-(Z433-IF(ISNUMBER(U433),U433,0)),"")</f>
        <v/>
      </c>
      <c r="AT433" s="17">
        <f>IF(AND(ISNUMBER(AR433),ISNUMBER(AS433)),AR433-AS433,"")</f>
        <v/>
      </c>
      <c r="AU433" s="17">
        <f>IF(E433="금융","",IF(AND(ISNUMBER(L433),ISNUMBER(M433),ISNUMBER(N433),ISNUMBER(AT433)),L433+M433-N433-AT433,IF(AND(ISNUMBER(O433),ISNUMBER(N433)),O433-N433,"")))</f>
        <v/>
      </c>
      <c r="AV433" s="8">
        <f>IF(E433="금융","금융업 - 정의되지 않음",IF(AND(ISNUMBER(L433),ISNUMBER(M433),ISNUMBER(N433),ISNUMBER(AT433)),"순이익+감가상각-설비투자-운전자본증감",IF(AND(ISNUMBER(O433),ISNUMBER(N433)),"영업현금흐름-설비투자","산출불가")))</f>
        <v/>
      </c>
      <c r="AW433" s="19">
        <f>IF(AND(ISNUMBER(AU433),ISNUMBER(G433),G433&lt;&gt;0),AU433/G433,"")</f>
        <v/>
      </c>
      <c r="AX433" s="19">
        <f>IF(AND(ISNUMBER(AC433),ISNUMBER(G433),G433&lt;&gt;0),AC433/G433,"")</f>
        <v/>
      </c>
    </row>
    <row r="434">
      <c r="A434" s="8" t="inlineStr">
        <is>
          <t>NFLX</t>
        </is>
      </c>
      <c r="B434" s="8" t="inlineStr">
        <is>
          <t>NETFLIX INC</t>
        </is>
      </c>
      <c r="C434" s="8" t="n">
        <v>2017</v>
      </c>
      <c r="D434" s="8" t="inlineStr">
        <is>
          <t>2017-12-31</t>
        </is>
      </c>
      <c r="E434" s="8" t="inlineStr">
        <is>
          <t>일반</t>
        </is>
      </c>
      <c r="F434" s="8" t="inlineStr">
        <is>
          <t>0001065280-20-000040</t>
        </is>
      </c>
      <c r="G434" s="15" t="n">
        <v>11.692713</v>
      </c>
      <c r="H434" s="15" t="n"/>
      <c r="I434" s="15" t="n"/>
      <c r="J434" s="15" t="n">
        <v>-0.07360800000000001</v>
      </c>
      <c r="K434" s="15" t="n">
        <v>0.838679</v>
      </c>
      <c r="L434" s="15" t="n">
        <v>0.558929</v>
      </c>
      <c r="M434" s="15" t="n">
        <v>0.071911</v>
      </c>
      <c r="N434" s="15" t="n">
        <v>0.173302</v>
      </c>
      <c r="O434" s="15" t="n">
        <v>-1.785948</v>
      </c>
      <c r="P434" s="15" t="n">
        <v>3.581956</v>
      </c>
      <c r="Q434" s="15" t="n">
        <v>2.6798</v>
      </c>
      <c r="R434" s="15" t="n">
        <v>2.822795</v>
      </c>
      <c r="S434" s="15" t="n">
        <v>1.467576</v>
      </c>
      <c r="T434" s="15" t="n"/>
      <c r="U434" s="15" t="n"/>
      <c r="V434" s="15" t="n">
        <v>6.499432</v>
      </c>
      <c r="W434" s="15" t="n">
        <v>7.669974</v>
      </c>
      <c r="X434" s="15" t="n">
        <v>5.720291</v>
      </c>
      <c r="Y434" s="15" t="n">
        <v>5.466312</v>
      </c>
      <c r="Z434" s="15" t="n">
        <v>4.586657</v>
      </c>
      <c r="AA434" s="15" t="n">
        <v>4.576535</v>
      </c>
      <c r="AB434" s="16" t="n">
        <v>4333.92686</v>
      </c>
      <c r="AC434" s="17">
        <f>IF(AND(ISNUMBER(H434),ISNUMBER(I434)),H434+I434,IF(ISNUMBER(K434),K434,IF(ISNUMBER(H434),H434,"")))</f>
        <v/>
      </c>
      <c r="AD434" s="18">
        <f>IF(OR(NOT(ISNUMBER(J434)),NOT(ISNUMBER(H434)),H434&lt;=0),기준표!$B$8,MIN(MAX(J434/H434,기준표!$B$6),기준표!$B$7))</f>
        <v/>
      </c>
      <c r="AE434" s="17">
        <f>IF(ISNUMBER(AC434),AC434*(1-AD434),"")</f>
        <v/>
      </c>
      <c r="AF434" s="17">
        <f>IF(AND(NOT(ISNUMBER(T434)),NOT(ISNUMBER(V434))),"",IF(ISNUMBER(T434),T434,0)+IF(ISNUMBER(V434),V434,0))</f>
        <v/>
      </c>
      <c r="AG434" s="17">
        <f>IF(E434="금융","",IF(AND(ISNUMBER(P434),ISNUMBER(AF434),ISNUMBER(R434)),P434+AF434-R434,""))</f>
        <v/>
      </c>
      <c r="AH434" s="17">
        <f>IF(E434="금융","",IF(NOT(ISNUMBER(AG434)),"",IF(ISNUMBER(AA434),(AG434+AA434)/2,AG434)))</f>
        <v/>
      </c>
      <c r="AI434" s="19">
        <f>IF(AND(ISNUMBER(AE434),ISNUMBER(AH434),AH434&gt;0),AE434/AH434,"")</f>
        <v/>
      </c>
      <c r="AJ434" s="17">
        <f>IF(E434="금융","",IF(AND(ISNUMBER(P434),ISNUMBER(AF434)),P434+AF434,""))</f>
        <v/>
      </c>
      <c r="AK434" s="19">
        <f>IF(OR(NOT(ISNUMBER(AE434)),NOT(ISNUMBER(AJ434)),AJ434&lt;=0),"",IF(AND(ISNUMBER(G434),AJ434&lt;0.1*G434),"",AE434/AJ434))</f>
        <v/>
      </c>
      <c r="AL434" s="17">
        <f>IF(NOT(ISNUMBER(P434)),"",IF(ISNUMBER(Q434),(P434+Q434)/2,P434))</f>
        <v/>
      </c>
      <c r="AM434" s="19">
        <f>IF(AND(ISNUMBER(L434),ISNUMBER(AL434),AL434&gt;0),L434/AL434,"")</f>
        <v/>
      </c>
      <c r="AN434" s="19">
        <f>IF(AND(ISNUMBER(AM434),ISNUMBER({ROIC})),AM434-{ROIC},"")</f>
        <v/>
      </c>
      <c r="AO434" s="17">
        <f>IF(AND(ISNUMBER(AC434),ISNUMBER(M434)),AC434+M434,"")</f>
        <v/>
      </c>
      <c r="AP434" s="20">
        <f>IF(AND(ISNUMBER(AF434),ISNUMBER(R434),ISNUMBER(AO434),AO434&gt;0),(AF434-R434)/AO434,"")</f>
        <v/>
      </c>
      <c r="AQ434" s="20">
        <f>IF(AND(ISNUMBER(AC434),ISNUMBER(I434),I434&lt;&gt;0,AC434&gt;0),AC434/I434,"")</f>
        <v/>
      </c>
      <c r="AR434" s="17">
        <f>IF(AND(ISNUMBER(W434),ISNUMBER(Y434)),W434-IF(ISNUMBER(R434),R434,0)-(Y434-IF(ISNUMBER(T434),T434,0)),"")</f>
        <v/>
      </c>
      <c r="AS434" s="17">
        <f>IF(AND(ISNUMBER(X434),ISNUMBER(Z434)),X434-IF(ISNUMBER(S434),S434,0)-(Z434-IF(ISNUMBER(U434),U434,0)),"")</f>
        <v/>
      </c>
      <c r="AT434" s="17">
        <f>IF(AND(ISNUMBER(AR434),ISNUMBER(AS434)),AR434-AS434,"")</f>
        <v/>
      </c>
      <c r="AU434" s="17">
        <f>IF(E434="금융","",IF(AND(ISNUMBER(L434),ISNUMBER(M434),ISNUMBER(N434),ISNUMBER(AT434)),L434+M434-N434-AT434,IF(AND(ISNUMBER(O434),ISNUMBER(N434)),O434-N434,"")))</f>
        <v/>
      </c>
      <c r="AV434" s="8">
        <f>IF(E434="금융","금융업 - 정의되지 않음",IF(AND(ISNUMBER(L434),ISNUMBER(M434),ISNUMBER(N434),ISNUMBER(AT434)),"순이익+감가상각-설비투자-운전자본증감",IF(AND(ISNUMBER(O434),ISNUMBER(N434)),"영업현금흐름-설비투자","산출불가")))</f>
        <v/>
      </c>
      <c r="AW434" s="19">
        <f>IF(AND(ISNUMBER(AU434),ISNUMBER(G434),G434&lt;&gt;0),AU434/G434,"")</f>
        <v/>
      </c>
      <c r="AX434" s="19">
        <f>IF(AND(ISNUMBER(AC434),ISNUMBER(G434),G434&lt;&gt;0),AC434/G434,"")</f>
        <v/>
      </c>
    </row>
    <row r="435">
      <c r="A435" s="8" t="inlineStr">
        <is>
          <t>NFLX</t>
        </is>
      </c>
      <c r="B435" s="8" t="inlineStr">
        <is>
          <t>NETFLIX INC</t>
        </is>
      </c>
      <c r="C435" s="8" t="n">
        <v>2018</v>
      </c>
      <c r="D435" s="8" t="inlineStr">
        <is>
          <t>2018-12-31</t>
        </is>
      </c>
      <c r="E435" s="8" t="inlineStr">
        <is>
          <t>일반</t>
        </is>
      </c>
      <c r="F435" s="8" t="inlineStr">
        <is>
          <t>0001065280-21-000040</t>
        </is>
      </c>
      <c r="G435" s="15" t="n">
        <v>15.794341</v>
      </c>
      <c r="H435" s="15" t="n"/>
      <c r="I435" s="15" t="n"/>
      <c r="J435" s="15" t="n">
        <v>0.015216</v>
      </c>
      <c r="K435" s="15" t="n">
        <v>1.605226</v>
      </c>
      <c r="L435" s="15" t="n">
        <v>1.211242</v>
      </c>
      <c r="M435" s="15" t="n">
        <v>0.08315699999999999</v>
      </c>
      <c r="N435" s="15" t="n">
        <v>0.173946</v>
      </c>
      <c r="O435" s="15" t="n">
        <v>-2.680479</v>
      </c>
      <c r="P435" s="15" t="n">
        <v>5.238765</v>
      </c>
      <c r="Q435" s="15" t="n">
        <v>3.581956</v>
      </c>
      <c r="R435" s="15" t="n">
        <v>3.794483</v>
      </c>
      <c r="S435" s="15" t="n">
        <v>2.822795</v>
      </c>
      <c r="T435" s="15" t="n"/>
      <c r="U435" s="15" t="n"/>
      <c r="V435" s="15" t="n">
        <v>10.360058</v>
      </c>
      <c r="W435" s="15" t="n">
        <v>9.694134999999999</v>
      </c>
      <c r="X435" s="15" t="n">
        <v>7.669974</v>
      </c>
      <c r="Y435" s="15" t="n">
        <v>6.48732</v>
      </c>
      <c r="Z435" s="15" t="n">
        <v>5.466312</v>
      </c>
      <c r="AA435" s="15" t="n">
        <v>7.258593</v>
      </c>
      <c r="AB435" s="16" t="n">
        <v>4365.98597</v>
      </c>
      <c r="AC435" s="17">
        <f>IF(AND(ISNUMBER(H435),ISNUMBER(I435)),H435+I435,IF(ISNUMBER(K435),K435,IF(ISNUMBER(H435),H435,"")))</f>
        <v/>
      </c>
      <c r="AD435" s="18">
        <f>IF(OR(NOT(ISNUMBER(J435)),NOT(ISNUMBER(H435)),H435&lt;=0),기준표!$B$8,MIN(MAX(J435/H435,기준표!$B$6),기준표!$B$7))</f>
        <v/>
      </c>
      <c r="AE435" s="17">
        <f>IF(ISNUMBER(AC435),AC435*(1-AD435),"")</f>
        <v/>
      </c>
      <c r="AF435" s="17">
        <f>IF(AND(NOT(ISNUMBER(T435)),NOT(ISNUMBER(V435))),"",IF(ISNUMBER(T435),T435,0)+IF(ISNUMBER(V435),V435,0))</f>
        <v/>
      </c>
      <c r="AG435" s="17">
        <f>IF(E435="금융","",IF(AND(ISNUMBER(P435),ISNUMBER(AF435),ISNUMBER(R435)),P435+AF435-R435,""))</f>
        <v/>
      </c>
      <c r="AH435" s="17">
        <f>IF(E435="금융","",IF(NOT(ISNUMBER(AG435)),"",IF(ISNUMBER(AA435),(AG435+AA435)/2,AG435)))</f>
        <v/>
      </c>
      <c r="AI435" s="19">
        <f>IF(AND(ISNUMBER(AE435),ISNUMBER(AH435),AH435&gt;0),AE435/AH435,"")</f>
        <v/>
      </c>
      <c r="AJ435" s="17">
        <f>IF(E435="금융","",IF(AND(ISNUMBER(P435),ISNUMBER(AF435)),P435+AF435,""))</f>
        <v/>
      </c>
      <c r="AK435" s="19">
        <f>IF(OR(NOT(ISNUMBER(AE435)),NOT(ISNUMBER(AJ435)),AJ435&lt;=0),"",IF(AND(ISNUMBER(G435),AJ435&lt;0.1*G435),"",AE435/AJ435))</f>
        <v/>
      </c>
      <c r="AL435" s="17">
        <f>IF(NOT(ISNUMBER(P435)),"",IF(ISNUMBER(Q435),(P435+Q435)/2,P435))</f>
        <v/>
      </c>
      <c r="AM435" s="19">
        <f>IF(AND(ISNUMBER(L435),ISNUMBER(AL435),AL435&gt;0),L435/AL435,"")</f>
        <v/>
      </c>
      <c r="AN435" s="19">
        <f>IF(AND(ISNUMBER(AM435),ISNUMBER({ROIC})),AM435-{ROIC},"")</f>
        <v/>
      </c>
      <c r="AO435" s="17">
        <f>IF(AND(ISNUMBER(AC435),ISNUMBER(M435)),AC435+M435,"")</f>
        <v/>
      </c>
      <c r="AP435" s="20">
        <f>IF(AND(ISNUMBER(AF435),ISNUMBER(R435),ISNUMBER(AO435),AO435&gt;0),(AF435-R435)/AO435,"")</f>
        <v/>
      </c>
      <c r="AQ435" s="20">
        <f>IF(AND(ISNUMBER(AC435),ISNUMBER(I435),I435&lt;&gt;0,AC435&gt;0),AC435/I435,"")</f>
        <v/>
      </c>
      <c r="AR435" s="17">
        <f>IF(AND(ISNUMBER(W435),ISNUMBER(Y435)),W435-IF(ISNUMBER(R435),R435,0)-(Y435-IF(ISNUMBER(T435),T435,0)),"")</f>
        <v/>
      </c>
      <c r="AS435" s="17">
        <f>IF(AND(ISNUMBER(X435),ISNUMBER(Z435)),X435-IF(ISNUMBER(S435),S435,0)-(Z435-IF(ISNUMBER(U435),U435,0)),"")</f>
        <v/>
      </c>
      <c r="AT435" s="17">
        <f>IF(AND(ISNUMBER(AR435),ISNUMBER(AS435)),AR435-AS435,"")</f>
        <v/>
      </c>
      <c r="AU435" s="17">
        <f>IF(E435="금융","",IF(AND(ISNUMBER(L435),ISNUMBER(M435),ISNUMBER(N435),ISNUMBER(AT435)),L435+M435-N435-AT435,IF(AND(ISNUMBER(O435),ISNUMBER(N435)),O435-N435,"")))</f>
        <v/>
      </c>
      <c r="AV435" s="8">
        <f>IF(E435="금융","금융업 - 정의되지 않음",IF(AND(ISNUMBER(L435),ISNUMBER(M435),ISNUMBER(N435),ISNUMBER(AT435)),"순이익+감가상각-설비투자-운전자본증감",IF(AND(ISNUMBER(O435),ISNUMBER(N435)),"영업현금흐름-설비투자","산출불가")))</f>
        <v/>
      </c>
      <c r="AW435" s="19">
        <f>IF(AND(ISNUMBER(AU435),ISNUMBER(G435),G435&lt;&gt;0),AU435/G435,"")</f>
        <v/>
      </c>
      <c r="AX435" s="19">
        <f>IF(AND(ISNUMBER(AC435),ISNUMBER(G435),G435&lt;&gt;0),AC435/G435,"")</f>
        <v/>
      </c>
    </row>
    <row r="436">
      <c r="A436" s="8" t="inlineStr">
        <is>
          <t>NFLX</t>
        </is>
      </c>
      <c r="B436" s="8" t="inlineStr">
        <is>
          <t>NETFLIX INC</t>
        </is>
      </c>
      <c r="C436" s="8" t="n">
        <v>2019</v>
      </c>
      <c r="D436" s="8" t="inlineStr">
        <is>
          <t>2019-12-31</t>
        </is>
      </c>
      <c r="E436" s="8" t="inlineStr">
        <is>
          <t>일반</t>
        </is>
      </c>
      <c r="F436" s="8" t="inlineStr">
        <is>
          <t>0001065280-22-000036</t>
        </is>
      </c>
      <c r="G436" s="15" t="n">
        <v>20.156447</v>
      </c>
      <c r="H436" s="15" t="n">
        <v>2.062231</v>
      </c>
      <c r="I436" s="15" t="n"/>
      <c r="J436" s="15" t="n">
        <v>0.195315</v>
      </c>
      <c r="K436" s="15" t="n">
        <v>2.604254</v>
      </c>
      <c r="L436" s="15" t="n">
        <v>1.866916</v>
      </c>
      <c r="M436" s="15" t="n">
        <v>0.103579</v>
      </c>
      <c r="N436" s="15" t="n">
        <v>0.253035</v>
      </c>
      <c r="O436" s="15" t="n">
        <v>-2.887322</v>
      </c>
      <c r="P436" s="15" t="n">
        <v>7.582157</v>
      </c>
      <c r="Q436" s="15" t="n">
        <v>5.238765</v>
      </c>
      <c r="R436" s="15" t="n">
        <v>5.018437</v>
      </c>
      <c r="S436" s="15" t="n">
        <v>3.794483</v>
      </c>
      <c r="T436" s="15" t="n">
        <v>0</v>
      </c>
      <c r="U436" s="15" t="n"/>
      <c r="V436" s="15" t="n">
        <v>14.75926</v>
      </c>
      <c r="W436" s="15" t="n">
        <v>6.178504</v>
      </c>
      <c r="X436" s="15" t="n">
        <v>9.694134999999999</v>
      </c>
      <c r="Y436" s="15" t="n">
        <v>6.855696</v>
      </c>
      <c r="Z436" s="15" t="n">
        <v>6.48732</v>
      </c>
      <c r="AA436" s="15" t="n">
        <v>11.80434</v>
      </c>
      <c r="AB436" s="16" t="n">
        <v>4388.06649</v>
      </c>
      <c r="AC436" s="17">
        <f>IF(AND(ISNUMBER(H436),ISNUMBER(I436)),H436+I436,IF(ISNUMBER(K436),K436,IF(ISNUMBER(H436),H436,"")))</f>
        <v/>
      </c>
      <c r="AD436" s="18">
        <f>IF(OR(NOT(ISNUMBER(J436)),NOT(ISNUMBER(H436)),H436&lt;=0),기준표!$B$8,MIN(MAX(J436/H436,기준표!$B$6),기준표!$B$7))</f>
        <v/>
      </c>
      <c r="AE436" s="17">
        <f>IF(ISNUMBER(AC436),AC436*(1-AD436),"")</f>
        <v/>
      </c>
      <c r="AF436" s="17">
        <f>IF(AND(NOT(ISNUMBER(T436)),NOT(ISNUMBER(V436))),"",IF(ISNUMBER(T436),T436,0)+IF(ISNUMBER(V436),V436,0))</f>
        <v/>
      </c>
      <c r="AG436" s="17">
        <f>IF(E436="금융","",IF(AND(ISNUMBER(P436),ISNUMBER(AF436),ISNUMBER(R436)),P436+AF436-R436,""))</f>
        <v/>
      </c>
      <c r="AH436" s="17">
        <f>IF(E436="금융","",IF(NOT(ISNUMBER(AG436)),"",IF(ISNUMBER(AA436),(AG436+AA436)/2,AG436)))</f>
        <v/>
      </c>
      <c r="AI436" s="19">
        <f>IF(AND(ISNUMBER(AE436),ISNUMBER(AH436),AH436&gt;0),AE436/AH436,"")</f>
        <v/>
      </c>
      <c r="AJ436" s="17">
        <f>IF(E436="금융","",IF(AND(ISNUMBER(P436),ISNUMBER(AF436)),P436+AF436,""))</f>
        <v/>
      </c>
      <c r="AK436" s="19">
        <f>IF(OR(NOT(ISNUMBER(AE436)),NOT(ISNUMBER(AJ436)),AJ436&lt;=0),"",IF(AND(ISNUMBER(G436),AJ436&lt;0.1*G436),"",AE436/AJ436))</f>
        <v/>
      </c>
      <c r="AL436" s="17">
        <f>IF(NOT(ISNUMBER(P436)),"",IF(ISNUMBER(Q436),(P436+Q436)/2,P436))</f>
        <v/>
      </c>
      <c r="AM436" s="19">
        <f>IF(AND(ISNUMBER(L436),ISNUMBER(AL436),AL436&gt;0),L436/AL436,"")</f>
        <v/>
      </c>
      <c r="AN436" s="19">
        <f>IF(AND(ISNUMBER(AM436),ISNUMBER({ROIC})),AM436-{ROIC},"")</f>
        <v/>
      </c>
      <c r="AO436" s="17">
        <f>IF(AND(ISNUMBER(AC436),ISNUMBER(M436)),AC436+M436,"")</f>
        <v/>
      </c>
      <c r="AP436" s="20">
        <f>IF(AND(ISNUMBER(AF436),ISNUMBER(R436),ISNUMBER(AO436),AO436&gt;0),(AF436-R436)/AO436,"")</f>
        <v/>
      </c>
      <c r="AQ436" s="20">
        <f>IF(AND(ISNUMBER(AC436),ISNUMBER(I436),I436&lt;&gt;0,AC436&gt;0),AC436/I436,"")</f>
        <v/>
      </c>
      <c r="AR436" s="17">
        <f>IF(AND(ISNUMBER(W436),ISNUMBER(Y436)),W436-IF(ISNUMBER(R436),R436,0)-(Y436-IF(ISNUMBER(T436),T436,0)),"")</f>
        <v/>
      </c>
      <c r="AS436" s="17">
        <f>IF(AND(ISNUMBER(X436),ISNUMBER(Z436)),X436-IF(ISNUMBER(S436),S436,0)-(Z436-IF(ISNUMBER(U436),U436,0)),"")</f>
        <v/>
      </c>
      <c r="AT436" s="17">
        <f>IF(AND(ISNUMBER(AR436),ISNUMBER(AS436)),AR436-AS436,"")</f>
        <v/>
      </c>
      <c r="AU436" s="17">
        <f>IF(E436="금융","",IF(AND(ISNUMBER(L436),ISNUMBER(M436),ISNUMBER(N436),ISNUMBER(AT436)),L436+M436-N436-AT436,IF(AND(ISNUMBER(O436),ISNUMBER(N436)),O436-N436,"")))</f>
        <v/>
      </c>
      <c r="AV436" s="8">
        <f>IF(E436="금융","금융업 - 정의되지 않음",IF(AND(ISNUMBER(L436),ISNUMBER(M436),ISNUMBER(N436),ISNUMBER(AT436)),"순이익+감가상각-설비투자-운전자본증감",IF(AND(ISNUMBER(O436),ISNUMBER(N436)),"영업현금흐름-설비투자","산출불가")))</f>
        <v/>
      </c>
      <c r="AW436" s="19">
        <f>IF(AND(ISNUMBER(AU436),ISNUMBER(G436),G436&lt;&gt;0),AU436/G436,"")</f>
        <v/>
      </c>
      <c r="AX436" s="19">
        <f>IF(AND(ISNUMBER(AC436),ISNUMBER(G436),G436&lt;&gt;0),AC436/G436,"")</f>
        <v/>
      </c>
    </row>
    <row r="437">
      <c r="A437" s="8" t="inlineStr">
        <is>
          <t>NFLX</t>
        </is>
      </c>
      <c r="B437" s="8" t="inlineStr">
        <is>
          <t>NETFLIX INC</t>
        </is>
      </c>
      <c r="C437" s="8" t="n">
        <v>2020</v>
      </c>
      <c r="D437" s="8" t="inlineStr">
        <is>
          <t>2020-12-31</t>
        </is>
      </c>
      <c r="E437" s="8" t="inlineStr">
        <is>
          <t>일반</t>
        </is>
      </c>
      <c r="F437" s="8" t="inlineStr">
        <is>
          <t>0001065280-23-000035</t>
        </is>
      </c>
      <c r="G437" s="15" t="n">
        <v>24.996056</v>
      </c>
      <c r="H437" s="15" t="n">
        <v>3.199349</v>
      </c>
      <c r="I437" s="15" t="n"/>
      <c r="J437" s="15" t="n">
        <v>0.437954</v>
      </c>
      <c r="K437" s="15" t="n">
        <v>4.585289</v>
      </c>
      <c r="L437" s="15" t="n">
        <v>2.761395</v>
      </c>
      <c r="M437" s="15" t="n">
        <v>0.11571</v>
      </c>
      <c r="N437" s="15" t="n">
        <v>0.497923</v>
      </c>
      <c r="O437" s="15" t="n">
        <v>2.427077</v>
      </c>
      <c r="P437" s="15" t="n">
        <v>11.06524</v>
      </c>
      <c r="Q437" s="15" t="n">
        <v>7.582157</v>
      </c>
      <c r="R437" s="15" t="n">
        <v>8.205550000000001</v>
      </c>
      <c r="S437" s="15" t="n">
        <v>5.018437</v>
      </c>
      <c r="T437" s="15" t="n">
        <v>0.499878</v>
      </c>
      <c r="U437" s="15" t="n">
        <v>0</v>
      </c>
      <c r="V437" s="15" t="n">
        <v>15.809095</v>
      </c>
      <c r="W437" s="15" t="n">
        <v>9.76158</v>
      </c>
      <c r="X437" s="15" t="n">
        <v>6.178504</v>
      </c>
      <c r="Y437" s="15" t="n">
        <v>7.805785</v>
      </c>
      <c r="Z437" s="15" t="n">
        <v>6.855696</v>
      </c>
      <c r="AA437" s="15" t="n">
        <v>17.32298</v>
      </c>
      <c r="AB437" s="16" t="n">
        <v>4428.95261</v>
      </c>
      <c r="AC437" s="17">
        <f>IF(AND(ISNUMBER(H437),ISNUMBER(I437)),H437+I437,IF(ISNUMBER(K437),K437,IF(ISNUMBER(H437),H437,"")))</f>
        <v/>
      </c>
      <c r="AD437" s="18">
        <f>IF(OR(NOT(ISNUMBER(J437)),NOT(ISNUMBER(H437)),H437&lt;=0),기준표!$B$8,MIN(MAX(J437/H437,기준표!$B$6),기준표!$B$7))</f>
        <v/>
      </c>
      <c r="AE437" s="17">
        <f>IF(ISNUMBER(AC437),AC437*(1-AD437),"")</f>
        <v/>
      </c>
      <c r="AF437" s="17">
        <f>IF(AND(NOT(ISNUMBER(T437)),NOT(ISNUMBER(V437))),"",IF(ISNUMBER(T437),T437,0)+IF(ISNUMBER(V437),V437,0))</f>
        <v/>
      </c>
      <c r="AG437" s="17">
        <f>IF(E437="금융","",IF(AND(ISNUMBER(P437),ISNUMBER(AF437),ISNUMBER(R437)),P437+AF437-R437,""))</f>
        <v/>
      </c>
      <c r="AH437" s="17">
        <f>IF(E437="금융","",IF(NOT(ISNUMBER(AG437)),"",IF(ISNUMBER(AA437),(AG437+AA437)/2,AG437)))</f>
        <v/>
      </c>
      <c r="AI437" s="19">
        <f>IF(AND(ISNUMBER(AE437),ISNUMBER(AH437),AH437&gt;0),AE437/AH437,"")</f>
        <v/>
      </c>
      <c r="AJ437" s="17">
        <f>IF(E437="금융","",IF(AND(ISNUMBER(P437),ISNUMBER(AF437)),P437+AF437,""))</f>
        <v/>
      </c>
      <c r="AK437" s="19">
        <f>IF(OR(NOT(ISNUMBER(AE437)),NOT(ISNUMBER(AJ437)),AJ437&lt;=0),"",IF(AND(ISNUMBER(G437),AJ437&lt;0.1*G437),"",AE437/AJ437))</f>
        <v/>
      </c>
      <c r="AL437" s="17">
        <f>IF(NOT(ISNUMBER(P437)),"",IF(ISNUMBER(Q437),(P437+Q437)/2,P437))</f>
        <v/>
      </c>
      <c r="AM437" s="19">
        <f>IF(AND(ISNUMBER(L437),ISNUMBER(AL437),AL437&gt;0),L437/AL437,"")</f>
        <v/>
      </c>
      <c r="AN437" s="19">
        <f>IF(AND(ISNUMBER(AM437),ISNUMBER({ROIC})),AM437-{ROIC},"")</f>
        <v/>
      </c>
      <c r="AO437" s="17">
        <f>IF(AND(ISNUMBER(AC437),ISNUMBER(M437)),AC437+M437,"")</f>
        <v/>
      </c>
      <c r="AP437" s="20">
        <f>IF(AND(ISNUMBER(AF437),ISNUMBER(R437),ISNUMBER(AO437),AO437&gt;0),(AF437-R437)/AO437,"")</f>
        <v/>
      </c>
      <c r="AQ437" s="20">
        <f>IF(AND(ISNUMBER(AC437),ISNUMBER(I437),I437&lt;&gt;0,AC437&gt;0),AC437/I437,"")</f>
        <v/>
      </c>
      <c r="AR437" s="17">
        <f>IF(AND(ISNUMBER(W437),ISNUMBER(Y437)),W437-IF(ISNUMBER(R437),R437,0)-(Y437-IF(ISNUMBER(T437),T437,0)),"")</f>
        <v/>
      </c>
      <c r="AS437" s="17">
        <f>IF(AND(ISNUMBER(X437),ISNUMBER(Z437)),X437-IF(ISNUMBER(S437),S437,0)-(Z437-IF(ISNUMBER(U437),U437,0)),"")</f>
        <v/>
      </c>
      <c r="AT437" s="17">
        <f>IF(AND(ISNUMBER(AR437),ISNUMBER(AS437)),AR437-AS437,"")</f>
        <v/>
      </c>
      <c r="AU437" s="17">
        <f>IF(E437="금융","",IF(AND(ISNUMBER(L437),ISNUMBER(M437),ISNUMBER(N437),ISNUMBER(AT437)),L437+M437-N437-AT437,IF(AND(ISNUMBER(O437),ISNUMBER(N437)),O437-N437,"")))</f>
        <v/>
      </c>
      <c r="AV437" s="8">
        <f>IF(E437="금융","금융업 - 정의되지 않음",IF(AND(ISNUMBER(L437),ISNUMBER(M437),ISNUMBER(N437),ISNUMBER(AT437)),"순이익+감가상각-설비투자-운전자본증감",IF(AND(ISNUMBER(O437),ISNUMBER(N437)),"영업현금흐름-설비투자","산출불가")))</f>
        <v/>
      </c>
      <c r="AW437" s="19">
        <f>IF(AND(ISNUMBER(AU437),ISNUMBER(G437),G437&lt;&gt;0),AU437/G437,"")</f>
        <v/>
      </c>
      <c r="AX437" s="19">
        <f>IF(AND(ISNUMBER(AC437),ISNUMBER(G437),G437&lt;&gt;0),AC437/G437,"")</f>
        <v/>
      </c>
    </row>
    <row r="438">
      <c r="A438" s="8" t="inlineStr">
        <is>
          <t>NFLX</t>
        </is>
      </c>
      <c r="B438" s="8" t="inlineStr">
        <is>
          <t>NETFLIX INC</t>
        </is>
      </c>
      <c r="C438" s="8" t="n">
        <v>2021</v>
      </c>
      <c r="D438" s="8" t="inlineStr">
        <is>
          <t>2021-12-31</t>
        </is>
      </c>
      <c r="E438" s="8" t="inlineStr">
        <is>
          <t>일반</t>
        </is>
      </c>
      <c r="F438" s="8" t="inlineStr">
        <is>
          <t>0001065280-24-000030</t>
        </is>
      </c>
      <c r="G438" s="15" t="n">
        <v>29.697844</v>
      </c>
      <c r="H438" s="15" t="n">
        <v>5.840103</v>
      </c>
      <c r="I438" s="15" t="n"/>
      <c r="J438" s="15" t="n">
        <v>0.723875</v>
      </c>
      <c r="K438" s="15" t="n">
        <v>6.194509</v>
      </c>
      <c r="L438" s="15" t="n">
        <v>5.116228</v>
      </c>
      <c r="M438" s="15" t="n">
        <v>0.208412</v>
      </c>
      <c r="N438" s="15" t="n">
        <v>0.524585</v>
      </c>
      <c r="O438" s="15" t="n">
        <v>0.39261</v>
      </c>
      <c r="P438" s="15" t="n">
        <v>15.849248</v>
      </c>
      <c r="Q438" s="15" t="n">
        <v>11.06524</v>
      </c>
      <c r="R438" s="15" t="n">
        <v>6.027804</v>
      </c>
      <c r="S438" s="15" t="n">
        <v>8.205550000000001</v>
      </c>
      <c r="T438" s="15" t="n">
        <v>0.699823</v>
      </c>
      <c r="U438" s="15" t="n">
        <v>0.499878</v>
      </c>
      <c r="V438" s="15" t="n">
        <v>14.693072</v>
      </c>
      <c r="W438" s="15" t="n">
        <v>8.069825</v>
      </c>
      <c r="X438" s="15" t="n">
        <v>9.76158</v>
      </c>
      <c r="Y438" s="15" t="n">
        <v>8.488966</v>
      </c>
      <c r="Z438" s="15" t="n">
        <v>7.805785</v>
      </c>
      <c r="AA438" s="15" t="n">
        <v>19.168663</v>
      </c>
      <c r="AB438" s="16" t="n">
        <v>4439.63107</v>
      </c>
      <c r="AC438" s="17">
        <f>IF(AND(ISNUMBER(H438),ISNUMBER(I438)),H438+I438,IF(ISNUMBER(K438),K438,IF(ISNUMBER(H438),H438,"")))</f>
        <v/>
      </c>
      <c r="AD438" s="18">
        <f>IF(OR(NOT(ISNUMBER(J438)),NOT(ISNUMBER(H438)),H438&lt;=0),기준표!$B$8,MIN(MAX(J438/H438,기준표!$B$6),기준표!$B$7))</f>
        <v/>
      </c>
      <c r="AE438" s="17">
        <f>IF(ISNUMBER(AC438),AC438*(1-AD438),"")</f>
        <v/>
      </c>
      <c r="AF438" s="17">
        <f>IF(AND(NOT(ISNUMBER(T438)),NOT(ISNUMBER(V438))),"",IF(ISNUMBER(T438),T438,0)+IF(ISNUMBER(V438),V438,0))</f>
        <v/>
      </c>
      <c r="AG438" s="17">
        <f>IF(E438="금융","",IF(AND(ISNUMBER(P438),ISNUMBER(AF438),ISNUMBER(R438)),P438+AF438-R438,""))</f>
        <v/>
      </c>
      <c r="AH438" s="17">
        <f>IF(E438="금융","",IF(NOT(ISNUMBER(AG438)),"",IF(ISNUMBER(AA438),(AG438+AA438)/2,AG438)))</f>
        <v/>
      </c>
      <c r="AI438" s="19">
        <f>IF(AND(ISNUMBER(AE438),ISNUMBER(AH438),AH438&gt;0),AE438/AH438,"")</f>
        <v/>
      </c>
      <c r="AJ438" s="17">
        <f>IF(E438="금융","",IF(AND(ISNUMBER(P438),ISNUMBER(AF438)),P438+AF438,""))</f>
        <v/>
      </c>
      <c r="AK438" s="19">
        <f>IF(OR(NOT(ISNUMBER(AE438)),NOT(ISNUMBER(AJ438)),AJ438&lt;=0),"",IF(AND(ISNUMBER(G438),AJ438&lt;0.1*G438),"",AE438/AJ438))</f>
        <v/>
      </c>
      <c r="AL438" s="17">
        <f>IF(NOT(ISNUMBER(P438)),"",IF(ISNUMBER(Q438),(P438+Q438)/2,P438))</f>
        <v/>
      </c>
      <c r="AM438" s="19">
        <f>IF(AND(ISNUMBER(L438),ISNUMBER(AL438),AL438&gt;0),L438/AL438,"")</f>
        <v/>
      </c>
      <c r="AN438" s="19">
        <f>IF(AND(ISNUMBER(AM438),ISNUMBER({ROIC})),AM438-{ROIC},"")</f>
        <v/>
      </c>
      <c r="AO438" s="17">
        <f>IF(AND(ISNUMBER(AC438),ISNUMBER(M438)),AC438+M438,"")</f>
        <v/>
      </c>
      <c r="AP438" s="20">
        <f>IF(AND(ISNUMBER(AF438),ISNUMBER(R438),ISNUMBER(AO438),AO438&gt;0),(AF438-R438)/AO438,"")</f>
        <v/>
      </c>
      <c r="AQ438" s="20">
        <f>IF(AND(ISNUMBER(AC438),ISNUMBER(I438),I438&lt;&gt;0,AC438&gt;0),AC438/I438,"")</f>
        <v/>
      </c>
      <c r="AR438" s="17">
        <f>IF(AND(ISNUMBER(W438),ISNUMBER(Y438)),W438-IF(ISNUMBER(R438),R438,0)-(Y438-IF(ISNUMBER(T438),T438,0)),"")</f>
        <v/>
      </c>
      <c r="AS438" s="17">
        <f>IF(AND(ISNUMBER(X438),ISNUMBER(Z438)),X438-IF(ISNUMBER(S438),S438,0)-(Z438-IF(ISNUMBER(U438),U438,0)),"")</f>
        <v/>
      </c>
      <c r="AT438" s="17">
        <f>IF(AND(ISNUMBER(AR438),ISNUMBER(AS438)),AR438-AS438,"")</f>
        <v/>
      </c>
      <c r="AU438" s="17">
        <f>IF(E438="금융","",IF(AND(ISNUMBER(L438),ISNUMBER(M438),ISNUMBER(N438),ISNUMBER(AT438)),L438+M438-N438-AT438,IF(AND(ISNUMBER(O438),ISNUMBER(N438)),O438-N438,"")))</f>
        <v/>
      </c>
      <c r="AV438" s="8">
        <f>IF(E438="금융","금융업 - 정의되지 않음",IF(AND(ISNUMBER(L438),ISNUMBER(M438),ISNUMBER(N438),ISNUMBER(AT438)),"순이익+감가상각-설비투자-운전자본증감",IF(AND(ISNUMBER(O438),ISNUMBER(N438)),"영업현금흐름-설비투자","산출불가")))</f>
        <v/>
      </c>
      <c r="AW438" s="19">
        <f>IF(AND(ISNUMBER(AU438),ISNUMBER(G438),G438&lt;&gt;0),AU438/G438,"")</f>
        <v/>
      </c>
      <c r="AX438" s="19">
        <f>IF(AND(ISNUMBER(AC438),ISNUMBER(G438),G438&lt;&gt;0),AC438/G438,"")</f>
        <v/>
      </c>
    </row>
    <row r="439">
      <c r="A439" s="8" t="inlineStr">
        <is>
          <t>NFLX</t>
        </is>
      </c>
      <c r="B439" s="8" t="inlineStr">
        <is>
          <t>NETFLIX INC</t>
        </is>
      </c>
      <c r="C439" s="8" t="n">
        <v>2022</v>
      </c>
      <c r="D439" s="8" t="inlineStr">
        <is>
          <t>2022-12-31</t>
        </is>
      </c>
      <c r="E439" s="8" t="inlineStr">
        <is>
          <t>일반</t>
        </is>
      </c>
      <c r="F439" s="8" t="inlineStr">
        <is>
          <t>0001065280-25-000044</t>
        </is>
      </c>
      <c r="G439" s="15" t="n">
        <v>31.61555</v>
      </c>
      <c r="H439" s="15" t="n">
        <v>5.263929</v>
      </c>
      <c r="I439" s="15" t="n">
        <v>0.706212</v>
      </c>
      <c r="J439" s="15" t="n">
        <v>0.7720050000000001</v>
      </c>
      <c r="K439" s="15" t="n">
        <v>5.632831</v>
      </c>
      <c r="L439" s="15" t="n">
        <v>4.491924</v>
      </c>
      <c r="M439" s="15" t="n">
        <v>0.336682</v>
      </c>
      <c r="N439" s="15" t="n">
        <v>0.407729</v>
      </c>
      <c r="O439" s="15" t="n">
        <v>2.026257</v>
      </c>
      <c r="P439" s="15" t="n">
        <v>20.777401</v>
      </c>
      <c r="Q439" s="15" t="n">
        <v>15.849248</v>
      </c>
      <c r="R439" s="15" t="n">
        <v>6.058452</v>
      </c>
      <c r="S439" s="15" t="n">
        <v>6.027804</v>
      </c>
      <c r="T439" s="15" t="n">
        <v>0</v>
      </c>
      <c r="U439" s="15" t="n">
        <v>0.699823</v>
      </c>
      <c r="V439" s="15" t="n">
        <v>14.353076</v>
      </c>
      <c r="W439" s="15" t="n">
        <v>9.266473</v>
      </c>
      <c r="X439" s="15" t="n">
        <v>8.069825</v>
      </c>
      <c r="Y439" s="15" t="n">
        <v>7.930974</v>
      </c>
      <c r="Z439" s="15" t="n">
        <v>8.488966</v>
      </c>
      <c r="AA439" s="15" t="n">
        <v>25.214339</v>
      </c>
      <c r="AB439" s="16" t="n">
        <v>4453.46776</v>
      </c>
      <c r="AC439" s="17">
        <f>IF(AND(ISNUMBER(H439),ISNUMBER(I439)),H439+I439,IF(ISNUMBER(K439),K439,IF(ISNUMBER(H439),H439,"")))</f>
        <v/>
      </c>
      <c r="AD439" s="18">
        <f>IF(OR(NOT(ISNUMBER(J439)),NOT(ISNUMBER(H439)),H439&lt;=0),기준표!$B$8,MIN(MAX(J439/H439,기준표!$B$6),기준표!$B$7))</f>
        <v/>
      </c>
      <c r="AE439" s="17">
        <f>IF(ISNUMBER(AC439),AC439*(1-AD439),"")</f>
        <v/>
      </c>
      <c r="AF439" s="17">
        <f>IF(AND(NOT(ISNUMBER(T439)),NOT(ISNUMBER(V439))),"",IF(ISNUMBER(T439),T439,0)+IF(ISNUMBER(V439),V439,0))</f>
        <v/>
      </c>
      <c r="AG439" s="17">
        <f>IF(E439="금융","",IF(AND(ISNUMBER(P439),ISNUMBER(AF439),ISNUMBER(R439)),P439+AF439-R439,""))</f>
        <v/>
      </c>
      <c r="AH439" s="17">
        <f>IF(E439="금융","",IF(NOT(ISNUMBER(AG439)),"",IF(ISNUMBER(AA439),(AG439+AA439)/2,AG439)))</f>
        <v/>
      </c>
      <c r="AI439" s="19">
        <f>IF(AND(ISNUMBER(AE439),ISNUMBER(AH439),AH439&gt;0),AE439/AH439,"")</f>
        <v/>
      </c>
      <c r="AJ439" s="17">
        <f>IF(E439="금융","",IF(AND(ISNUMBER(P439),ISNUMBER(AF439)),P439+AF439,""))</f>
        <v/>
      </c>
      <c r="AK439" s="19">
        <f>IF(OR(NOT(ISNUMBER(AE439)),NOT(ISNUMBER(AJ439)),AJ439&lt;=0),"",IF(AND(ISNUMBER(G439),AJ439&lt;0.1*G439),"",AE439/AJ439))</f>
        <v/>
      </c>
      <c r="AL439" s="17">
        <f>IF(NOT(ISNUMBER(P439)),"",IF(ISNUMBER(Q439),(P439+Q439)/2,P439))</f>
        <v/>
      </c>
      <c r="AM439" s="19">
        <f>IF(AND(ISNUMBER(L439),ISNUMBER(AL439),AL439&gt;0),L439/AL439,"")</f>
        <v/>
      </c>
      <c r="AN439" s="19">
        <f>IF(AND(ISNUMBER(AM439),ISNUMBER({ROIC})),AM439-{ROIC},"")</f>
        <v/>
      </c>
      <c r="AO439" s="17">
        <f>IF(AND(ISNUMBER(AC439),ISNUMBER(M439)),AC439+M439,"")</f>
        <v/>
      </c>
      <c r="AP439" s="20">
        <f>IF(AND(ISNUMBER(AF439),ISNUMBER(R439),ISNUMBER(AO439),AO439&gt;0),(AF439-R439)/AO439,"")</f>
        <v/>
      </c>
      <c r="AQ439" s="20">
        <f>IF(AND(ISNUMBER(AC439),ISNUMBER(I439),I439&lt;&gt;0,AC439&gt;0),AC439/I439,"")</f>
        <v/>
      </c>
      <c r="AR439" s="17">
        <f>IF(AND(ISNUMBER(W439),ISNUMBER(Y439)),W439-IF(ISNUMBER(R439),R439,0)-(Y439-IF(ISNUMBER(T439),T439,0)),"")</f>
        <v/>
      </c>
      <c r="AS439" s="17">
        <f>IF(AND(ISNUMBER(X439),ISNUMBER(Z439)),X439-IF(ISNUMBER(S439),S439,0)-(Z439-IF(ISNUMBER(U439),U439,0)),"")</f>
        <v/>
      </c>
      <c r="AT439" s="17">
        <f>IF(AND(ISNUMBER(AR439),ISNUMBER(AS439)),AR439-AS439,"")</f>
        <v/>
      </c>
      <c r="AU439" s="17">
        <f>IF(E439="금융","",IF(AND(ISNUMBER(L439),ISNUMBER(M439),ISNUMBER(N439),ISNUMBER(AT439)),L439+M439-N439-AT439,IF(AND(ISNUMBER(O439),ISNUMBER(N439)),O439-N439,"")))</f>
        <v/>
      </c>
      <c r="AV439" s="8">
        <f>IF(E439="금융","금융업 - 정의되지 않음",IF(AND(ISNUMBER(L439),ISNUMBER(M439),ISNUMBER(N439),ISNUMBER(AT439)),"순이익+감가상각-설비투자-운전자본증감",IF(AND(ISNUMBER(O439),ISNUMBER(N439)),"영업현금흐름-설비투자","산출불가")))</f>
        <v/>
      </c>
      <c r="AW439" s="19">
        <f>IF(AND(ISNUMBER(AU439),ISNUMBER(G439),G439&lt;&gt;0),AU439/G439,"")</f>
        <v/>
      </c>
      <c r="AX439" s="19">
        <f>IF(AND(ISNUMBER(AC439),ISNUMBER(G439),G439&lt;&gt;0),AC439/G439,"")</f>
        <v/>
      </c>
    </row>
    <row r="440">
      <c r="A440" s="8" t="inlineStr">
        <is>
          <t>NFLX</t>
        </is>
      </c>
      <c r="B440" s="8" t="inlineStr">
        <is>
          <t>NETFLIX INC</t>
        </is>
      </c>
      <c r="C440" s="8" t="n">
        <v>2023</v>
      </c>
      <c r="D440" s="8" t="inlineStr">
        <is>
          <t>2023-12-31</t>
        </is>
      </c>
      <c r="E440" s="8" t="inlineStr">
        <is>
          <t>일반</t>
        </is>
      </c>
      <c r="F440" s="8" t="inlineStr">
        <is>
          <t>0001065280-26-000034</t>
        </is>
      </c>
      <c r="G440" s="15" t="n">
        <v>33.723297</v>
      </c>
      <c r="H440" s="15" t="n">
        <v>6.205405</v>
      </c>
      <c r="I440" s="15" t="n">
        <v>0.6998259999999999</v>
      </c>
      <c r="J440" s="15" t="n">
        <v>0.797415</v>
      </c>
      <c r="K440" s="15" t="n">
        <v>6.954003</v>
      </c>
      <c r="L440" s="15" t="n">
        <v>5.40799</v>
      </c>
      <c r="M440" s="15" t="n">
        <v>0.356947</v>
      </c>
      <c r="N440" s="15" t="n">
        <v>0.348552</v>
      </c>
      <c r="O440" s="15" t="n">
        <v>7.274301</v>
      </c>
      <c r="P440" s="15" t="n">
        <v>20.588313</v>
      </c>
      <c r="Q440" s="15" t="n">
        <v>20.777401</v>
      </c>
      <c r="R440" s="15" t="n">
        <v>7.137886</v>
      </c>
      <c r="S440" s="15" t="n">
        <v>6.058452</v>
      </c>
      <c r="T440" s="15" t="n">
        <v>0.399844</v>
      </c>
      <c r="U440" s="15" t="n">
        <v>0</v>
      </c>
      <c r="V440" s="15" t="n">
        <v>14.143417</v>
      </c>
      <c r="W440" s="15" t="n">
        <v>9.918132999999999</v>
      </c>
      <c r="X440" s="15" t="n">
        <v>9.266473</v>
      </c>
      <c r="Y440" s="15" t="n">
        <v>8.860655</v>
      </c>
      <c r="Z440" s="15" t="n">
        <v>7.930974</v>
      </c>
      <c r="AA440" s="15" t="n">
        <v>29.072025</v>
      </c>
      <c r="AB440" s="16" t="n">
        <v>4327.59584</v>
      </c>
      <c r="AC440" s="17">
        <f>IF(AND(ISNUMBER(H440),ISNUMBER(I440)),H440+I440,IF(ISNUMBER(K440),K440,IF(ISNUMBER(H440),H440,"")))</f>
        <v/>
      </c>
      <c r="AD440" s="18">
        <f>IF(OR(NOT(ISNUMBER(J440)),NOT(ISNUMBER(H440)),H440&lt;=0),기준표!$B$8,MIN(MAX(J440/H440,기준표!$B$6),기준표!$B$7))</f>
        <v/>
      </c>
      <c r="AE440" s="17">
        <f>IF(ISNUMBER(AC440),AC440*(1-AD440),"")</f>
        <v/>
      </c>
      <c r="AF440" s="17">
        <f>IF(AND(NOT(ISNUMBER(T440)),NOT(ISNUMBER(V440))),"",IF(ISNUMBER(T440),T440,0)+IF(ISNUMBER(V440),V440,0))</f>
        <v/>
      </c>
      <c r="AG440" s="17">
        <f>IF(E440="금융","",IF(AND(ISNUMBER(P440),ISNUMBER(AF440),ISNUMBER(R440)),P440+AF440-R440,""))</f>
        <v/>
      </c>
      <c r="AH440" s="17">
        <f>IF(E440="금융","",IF(NOT(ISNUMBER(AG440)),"",IF(ISNUMBER(AA440),(AG440+AA440)/2,AG440)))</f>
        <v/>
      </c>
      <c r="AI440" s="19">
        <f>IF(AND(ISNUMBER(AE440),ISNUMBER(AH440),AH440&gt;0),AE440/AH440,"")</f>
        <v/>
      </c>
      <c r="AJ440" s="17">
        <f>IF(E440="금융","",IF(AND(ISNUMBER(P440),ISNUMBER(AF440)),P440+AF440,""))</f>
        <v/>
      </c>
      <c r="AK440" s="19">
        <f>IF(OR(NOT(ISNUMBER(AE440)),NOT(ISNUMBER(AJ440)),AJ440&lt;=0),"",IF(AND(ISNUMBER(G440),AJ440&lt;0.1*G440),"",AE440/AJ440))</f>
        <v/>
      </c>
      <c r="AL440" s="17">
        <f>IF(NOT(ISNUMBER(P440)),"",IF(ISNUMBER(Q440),(P440+Q440)/2,P440))</f>
        <v/>
      </c>
      <c r="AM440" s="19">
        <f>IF(AND(ISNUMBER(L440),ISNUMBER(AL440),AL440&gt;0),L440/AL440,"")</f>
        <v/>
      </c>
      <c r="AN440" s="19">
        <f>IF(AND(ISNUMBER(AM440),ISNUMBER({ROIC})),AM440-{ROIC},"")</f>
        <v/>
      </c>
      <c r="AO440" s="17">
        <f>IF(AND(ISNUMBER(AC440),ISNUMBER(M440)),AC440+M440,"")</f>
        <v/>
      </c>
      <c r="AP440" s="20">
        <f>IF(AND(ISNUMBER(AF440),ISNUMBER(R440),ISNUMBER(AO440),AO440&gt;0),(AF440-R440)/AO440,"")</f>
        <v/>
      </c>
      <c r="AQ440" s="20">
        <f>IF(AND(ISNUMBER(AC440),ISNUMBER(I440),I440&lt;&gt;0,AC440&gt;0),AC440/I440,"")</f>
        <v/>
      </c>
      <c r="AR440" s="17">
        <f>IF(AND(ISNUMBER(W440),ISNUMBER(Y440)),W440-IF(ISNUMBER(R440),R440,0)-(Y440-IF(ISNUMBER(T440),T440,0)),"")</f>
        <v/>
      </c>
      <c r="AS440" s="17">
        <f>IF(AND(ISNUMBER(X440),ISNUMBER(Z440)),X440-IF(ISNUMBER(S440),S440,0)-(Z440-IF(ISNUMBER(U440),U440,0)),"")</f>
        <v/>
      </c>
      <c r="AT440" s="17">
        <f>IF(AND(ISNUMBER(AR440),ISNUMBER(AS440)),AR440-AS440,"")</f>
        <v/>
      </c>
      <c r="AU440" s="17">
        <f>IF(E440="금융","",IF(AND(ISNUMBER(L440),ISNUMBER(M440),ISNUMBER(N440),ISNUMBER(AT440)),L440+M440-N440-AT440,IF(AND(ISNUMBER(O440),ISNUMBER(N440)),O440-N440,"")))</f>
        <v/>
      </c>
      <c r="AV440" s="8">
        <f>IF(E440="금융","금융업 - 정의되지 않음",IF(AND(ISNUMBER(L440),ISNUMBER(M440),ISNUMBER(N440),ISNUMBER(AT440)),"순이익+감가상각-설비투자-운전자본증감",IF(AND(ISNUMBER(O440),ISNUMBER(N440)),"영업현금흐름-설비투자","산출불가")))</f>
        <v/>
      </c>
      <c r="AW440" s="19">
        <f>IF(AND(ISNUMBER(AU440),ISNUMBER(G440),G440&lt;&gt;0),AU440/G440,"")</f>
        <v/>
      </c>
      <c r="AX440" s="19">
        <f>IF(AND(ISNUMBER(AC440),ISNUMBER(G440),G440&lt;&gt;0),AC440/G440,"")</f>
        <v/>
      </c>
    </row>
    <row r="441">
      <c r="A441" s="8" t="inlineStr">
        <is>
          <t>NFLX</t>
        </is>
      </c>
      <c r="B441" s="8" t="inlineStr">
        <is>
          <t>NETFLIX INC</t>
        </is>
      </c>
      <c r="C441" s="8" t="n">
        <v>2024</v>
      </c>
      <c r="D441" s="8" t="inlineStr">
        <is>
          <t>2024-12-31</t>
        </is>
      </c>
      <c r="E441" s="8" t="inlineStr">
        <is>
          <t>일반</t>
        </is>
      </c>
      <c r="F441" s="8" t="inlineStr">
        <is>
          <t>0001065280-26-000034</t>
        </is>
      </c>
      <c r="G441" s="15" t="n">
        <v>39.000966</v>
      </c>
      <c r="H441" s="15" t="n">
        <v>9.965657</v>
      </c>
      <c r="I441" s="15" t="n">
        <v>0.718733</v>
      </c>
      <c r="J441" s="15" t="n">
        <v>1.254026</v>
      </c>
      <c r="K441" s="15" t="n">
        <v>10.417614</v>
      </c>
      <c r="L441" s="15" t="n">
        <v>8.711631000000001</v>
      </c>
      <c r="M441" s="15" t="n">
        <v>0.328914</v>
      </c>
      <c r="N441" s="15" t="n">
        <v>0.439538</v>
      </c>
      <c r="O441" s="15" t="n">
        <v>7.361364</v>
      </c>
      <c r="P441" s="15" t="n">
        <v>24.743567</v>
      </c>
      <c r="Q441" s="15" t="n">
        <v>20.588313</v>
      </c>
      <c r="R441" s="15" t="n">
        <v>9.583739</v>
      </c>
      <c r="S441" s="15" t="n">
        <v>7.137886</v>
      </c>
      <c r="T441" s="15" t="n">
        <v>1.784453</v>
      </c>
      <c r="U441" s="15" t="n">
        <v>0.399844</v>
      </c>
      <c r="V441" s="15" t="n">
        <v>13.798351</v>
      </c>
      <c r="W441" s="15" t="n">
        <v>13.100379</v>
      </c>
      <c r="X441" s="15" t="n">
        <v>9.918132999999999</v>
      </c>
      <c r="Y441" s="15" t="n">
        <v>10.7554</v>
      </c>
      <c r="Z441" s="15" t="n">
        <v>8.860655</v>
      </c>
      <c r="AA441" s="15" t="n">
        <v>27.993688</v>
      </c>
      <c r="AB441" s="16" t="n">
        <v>4277.571</v>
      </c>
      <c r="AC441" s="17">
        <f>IF(AND(ISNUMBER(H441),ISNUMBER(I441)),H441+I441,IF(ISNUMBER(K441),K441,IF(ISNUMBER(H441),H441,"")))</f>
        <v/>
      </c>
      <c r="AD441" s="18">
        <f>IF(OR(NOT(ISNUMBER(J441)),NOT(ISNUMBER(H441)),H441&lt;=0),기준표!$B$8,MIN(MAX(J441/H441,기준표!$B$6),기준표!$B$7))</f>
        <v/>
      </c>
      <c r="AE441" s="17">
        <f>IF(ISNUMBER(AC441),AC441*(1-AD441),"")</f>
        <v/>
      </c>
      <c r="AF441" s="17">
        <f>IF(AND(NOT(ISNUMBER(T441)),NOT(ISNUMBER(V441))),"",IF(ISNUMBER(T441),T441,0)+IF(ISNUMBER(V441),V441,0))</f>
        <v/>
      </c>
      <c r="AG441" s="17">
        <f>IF(E441="금융","",IF(AND(ISNUMBER(P441),ISNUMBER(AF441),ISNUMBER(R441)),P441+AF441-R441,""))</f>
        <v/>
      </c>
      <c r="AH441" s="17">
        <f>IF(E441="금융","",IF(NOT(ISNUMBER(AG441)),"",IF(ISNUMBER(AA441),(AG441+AA441)/2,AG441)))</f>
        <v/>
      </c>
      <c r="AI441" s="19">
        <f>IF(AND(ISNUMBER(AE441),ISNUMBER(AH441),AH441&gt;0),AE441/AH441,"")</f>
        <v/>
      </c>
      <c r="AJ441" s="17">
        <f>IF(E441="금융","",IF(AND(ISNUMBER(P441),ISNUMBER(AF441)),P441+AF441,""))</f>
        <v/>
      </c>
      <c r="AK441" s="19">
        <f>IF(OR(NOT(ISNUMBER(AE441)),NOT(ISNUMBER(AJ441)),AJ441&lt;=0),"",IF(AND(ISNUMBER(G441),AJ441&lt;0.1*G441),"",AE441/AJ441))</f>
        <v/>
      </c>
      <c r="AL441" s="17">
        <f>IF(NOT(ISNUMBER(P441)),"",IF(ISNUMBER(Q441),(P441+Q441)/2,P441))</f>
        <v/>
      </c>
      <c r="AM441" s="19">
        <f>IF(AND(ISNUMBER(L441),ISNUMBER(AL441),AL441&gt;0),L441/AL441,"")</f>
        <v/>
      </c>
      <c r="AN441" s="19">
        <f>IF(AND(ISNUMBER(AM441),ISNUMBER({ROIC})),AM441-{ROIC},"")</f>
        <v/>
      </c>
      <c r="AO441" s="17">
        <f>IF(AND(ISNUMBER(AC441),ISNUMBER(M441)),AC441+M441,"")</f>
        <v/>
      </c>
      <c r="AP441" s="20">
        <f>IF(AND(ISNUMBER(AF441),ISNUMBER(R441),ISNUMBER(AO441),AO441&gt;0),(AF441-R441)/AO441,"")</f>
        <v/>
      </c>
      <c r="AQ441" s="20">
        <f>IF(AND(ISNUMBER(AC441),ISNUMBER(I441),I441&lt;&gt;0,AC441&gt;0),AC441/I441,"")</f>
        <v/>
      </c>
      <c r="AR441" s="17">
        <f>IF(AND(ISNUMBER(W441),ISNUMBER(Y441)),W441-IF(ISNUMBER(R441),R441,0)-(Y441-IF(ISNUMBER(T441),T441,0)),"")</f>
        <v/>
      </c>
      <c r="AS441" s="17">
        <f>IF(AND(ISNUMBER(X441),ISNUMBER(Z441)),X441-IF(ISNUMBER(S441),S441,0)-(Z441-IF(ISNUMBER(U441),U441,0)),"")</f>
        <v/>
      </c>
      <c r="AT441" s="17">
        <f>IF(AND(ISNUMBER(AR441),ISNUMBER(AS441)),AR441-AS441,"")</f>
        <v/>
      </c>
      <c r="AU441" s="17">
        <f>IF(E441="금융","",IF(AND(ISNUMBER(L441),ISNUMBER(M441),ISNUMBER(N441),ISNUMBER(AT441)),L441+M441-N441-AT441,IF(AND(ISNUMBER(O441),ISNUMBER(N441)),O441-N441,"")))</f>
        <v/>
      </c>
      <c r="AV441" s="8">
        <f>IF(E441="금융","금융업 - 정의되지 않음",IF(AND(ISNUMBER(L441),ISNUMBER(M441),ISNUMBER(N441),ISNUMBER(AT441)),"순이익+감가상각-설비투자-운전자본증감",IF(AND(ISNUMBER(O441),ISNUMBER(N441)),"영업현금흐름-설비투자","산출불가")))</f>
        <v/>
      </c>
      <c r="AW441" s="19">
        <f>IF(AND(ISNUMBER(AU441),ISNUMBER(G441),G441&lt;&gt;0),AU441/G441,"")</f>
        <v/>
      </c>
      <c r="AX441" s="19">
        <f>IF(AND(ISNUMBER(AC441),ISNUMBER(G441),G441&lt;&gt;0),AC441/G441,"")</f>
        <v/>
      </c>
    </row>
    <row r="442">
      <c r="A442" s="8" t="inlineStr">
        <is>
          <t>NFLX</t>
        </is>
      </c>
      <c r="B442" s="8" t="inlineStr">
        <is>
          <t>NETFLIX INC</t>
        </is>
      </c>
      <c r="C442" s="8" t="n">
        <v>2025</v>
      </c>
      <c r="D442" s="8" t="inlineStr">
        <is>
          <t>2025-12-31</t>
        </is>
      </c>
      <c r="E442" s="8" t="inlineStr">
        <is>
          <t>일반</t>
        </is>
      </c>
      <c r="F442" s="8" t="inlineStr">
        <is>
          <t>0001065280-26-000034</t>
        </is>
      </c>
      <c r="G442" s="15" t="n">
        <v>45.183036</v>
      </c>
      <c r="H442" s="15" t="n">
        <v>12.722552</v>
      </c>
      <c r="I442" s="15" t="n">
        <v>0.77651</v>
      </c>
      <c r="J442" s="15" t="n">
        <v>1.741351</v>
      </c>
      <c r="K442" s="15" t="n">
        <v>13.326603</v>
      </c>
      <c r="L442" s="15" t="n">
        <v>10.981201</v>
      </c>
      <c r="M442" s="15" t="n">
        <v>0.333389</v>
      </c>
      <c r="N442" s="15" t="n">
        <v>0.6882200000000001</v>
      </c>
      <c r="O442" s="15" t="n">
        <v>10.149273</v>
      </c>
      <c r="P442" s="15" t="n">
        <v>26.615488</v>
      </c>
      <c r="Q442" s="15" t="n">
        <v>24.743567</v>
      </c>
      <c r="R442" s="15" t="n">
        <v>9.062359000000001</v>
      </c>
      <c r="S442" s="15" t="n">
        <v>9.583739</v>
      </c>
      <c r="T442" s="15" t="n">
        <v>0.998865</v>
      </c>
      <c r="U442" s="15" t="n">
        <v>1.784453</v>
      </c>
      <c r="V442" s="15" t="n">
        <v>13.463971</v>
      </c>
      <c r="W442" s="15" t="n">
        <v>13.020191</v>
      </c>
      <c r="X442" s="15" t="n">
        <v>13.100379</v>
      </c>
      <c r="Y442" s="15" t="n">
        <v>10.98093</v>
      </c>
      <c r="Z442" s="15" t="n">
        <v>10.7554</v>
      </c>
      <c r="AA442" s="15" t="n">
        <v>30.742632</v>
      </c>
      <c r="AB442" s="16" t="n">
        <v>4222.16215</v>
      </c>
      <c r="AC442" s="17">
        <f>IF(AND(ISNUMBER(H442),ISNUMBER(I442)),H442+I442,IF(ISNUMBER(K442),K442,IF(ISNUMBER(H442),H442,"")))</f>
        <v/>
      </c>
      <c r="AD442" s="18">
        <f>IF(OR(NOT(ISNUMBER(J442)),NOT(ISNUMBER(H442)),H442&lt;=0),기준표!$B$8,MIN(MAX(J442/H442,기준표!$B$6),기준표!$B$7))</f>
        <v/>
      </c>
      <c r="AE442" s="17">
        <f>IF(ISNUMBER(AC442),AC442*(1-AD442),"")</f>
        <v/>
      </c>
      <c r="AF442" s="17">
        <f>IF(AND(NOT(ISNUMBER(T442)),NOT(ISNUMBER(V442))),"",IF(ISNUMBER(T442),T442,0)+IF(ISNUMBER(V442),V442,0))</f>
        <v/>
      </c>
      <c r="AG442" s="17">
        <f>IF(E442="금융","",IF(AND(ISNUMBER(P442),ISNUMBER(AF442),ISNUMBER(R442)),P442+AF442-R442,""))</f>
        <v/>
      </c>
      <c r="AH442" s="17">
        <f>IF(E442="금융","",IF(NOT(ISNUMBER(AG442)),"",IF(ISNUMBER(AA442),(AG442+AA442)/2,AG442)))</f>
        <v/>
      </c>
      <c r="AI442" s="19">
        <f>IF(AND(ISNUMBER(AE442),ISNUMBER(AH442),AH442&gt;0),AE442/AH442,"")</f>
        <v/>
      </c>
      <c r="AJ442" s="17">
        <f>IF(E442="금융","",IF(AND(ISNUMBER(P442),ISNUMBER(AF442)),P442+AF442,""))</f>
        <v/>
      </c>
      <c r="AK442" s="19">
        <f>IF(OR(NOT(ISNUMBER(AE442)),NOT(ISNUMBER(AJ442)),AJ442&lt;=0),"",IF(AND(ISNUMBER(G442),AJ442&lt;0.1*G442),"",AE442/AJ442))</f>
        <v/>
      </c>
      <c r="AL442" s="17">
        <f>IF(NOT(ISNUMBER(P442)),"",IF(ISNUMBER(Q442),(P442+Q442)/2,P442))</f>
        <v/>
      </c>
      <c r="AM442" s="19">
        <f>IF(AND(ISNUMBER(L442),ISNUMBER(AL442),AL442&gt;0),L442/AL442,"")</f>
        <v/>
      </c>
      <c r="AN442" s="19">
        <f>IF(AND(ISNUMBER(AM442),ISNUMBER({ROIC})),AM442-{ROIC},"")</f>
        <v/>
      </c>
      <c r="AO442" s="17">
        <f>IF(AND(ISNUMBER(AC442),ISNUMBER(M442)),AC442+M442,"")</f>
        <v/>
      </c>
      <c r="AP442" s="20">
        <f>IF(AND(ISNUMBER(AF442),ISNUMBER(R442),ISNUMBER(AO442),AO442&gt;0),(AF442-R442)/AO442,"")</f>
        <v/>
      </c>
      <c r="AQ442" s="20">
        <f>IF(AND(ISNUMBER(AC442),ISNUMBER(I442),I442&lt;&gt;0,AC442&gt;0),AC442/I442,"")</f>
        <v/>
      </c>
      <c r="AR442" s="17">
        <f>IF(AND(ISNUMBER(W442),ISNUMBER(Y442)),W442-IF(ISNUMBER(R442),R442,0)-(Y442-IF(ISNUMBER(T442),T442,0)),"")</f>
        <v/>
      </c>
      <c r="AS442" s="17">
        <f>IF(AND(ISNUMBER(X442),ISNUMBER(Z442)),X442-IF(ISNUMBER(S442),S442,0)-(Z442-IF(ISNUMBER(U442),U442,0)),"")</f>
        <v/>
      </c>
      <c r="AT442" s="17">
        <f>IF(AND(ISNUMBER(AR442),ISNUMBER(AS442)),AR442-AS442,"")</f>
        <v/>
      </c>
      <c r="AU442" s="17">
        <f>IF(E442="금융","",IF(AND(ISNUMBER(L442),ISNUMBER(M442),ISNUMBER(N442),ISNUMBER(AT442)),L442+M442-N442-AT442,IF(AND(ISNUMBER(O442),ISNUMBER(N442)),O442-N442,"")))</f>
        <v/>
      </c>
      <c r="AV442" s="8">
        <f>IF(E442="금융","금융업 - 정의되지 않음",IF(AND(ISNUMBER(L442),ISNUMBER(M442),ISNUMBER(N442),ISNUMBER(AT442)),"순이익+감가상각-설비투자-운전자본증감",IF(AND(ISNUMBER(O442),ISNUMBER(N442)),"영업현금흐름-설비투자","산출불가")))</f>
        <v/>
      </c>
      <c r="AW442" s="19">
        <f>IF(AND(ISNUMBER(AU442),ISNUMBER(G442),G442&lt;&gt;0),AU442/G442,"")</f>
        <v/>
      </c>
      <c r="AX442" s="19">
        <f>IF(AND(ISNUMBER(AC442),ISNUMBER(G442),G442&lt;&gt;0),AC442/G442,"")</f>
        <v/>
      </c>
    </row>
    <row r="443">
      <c r="A443" s="8" t="inlineStr">
        <is>
          <t>GS</t>
        </is>
      </c>
      <c r="B443" s="8" t="inlineStr">
        <is>
          <t>GOLDMAN SACHS GROUP INC</t>
        </is>
      </c>
      <c r="C443" s="8" t="n">
        <v>2014</v>
      </c>
      <c r="D443" s="8" t="inlineStr">
        <is>
          <t>2014-12-31</t>
        </is>
      </c>
      <c r="E443" s="8" t="inlineStr">
        <is>
          <t>금융</t>
        </is>
      </c>
      <c r="F443" s="8" t="inlineStr">
        <is>
          <t>0001193125-17-056804</t>
        </is>
      </c>
      <c r="G443" s="15" t="n">
        <v>34.528</v>
      </c>
      <c r="H443" s="15" t="n">
        <v>12.357</v>
      </c>
      <c r="I443" s="15" t="n">
        <v>5.557</v>
      </c>
      <c r="J443" s="15" t="n">
        <v>3.88</v>
      </c>
      <c r="K443" s="15" t="n"/>
      <c r="L443" s="15" t="n">
        <v>8.477</v>
      </c>
      <c r="M443" s="15" t="n">
        <v>1.337</v>
      </c>
      <c r="N443" s="15" t="n">
        <v>0.678</v>
      </c>
      <c r="O443" s="15" t="n"/>
      <c r="P443" s="15" t="n">
        <v>82.797</v>
      </c>
      <c r="Q443" s="15" t="n"/>
      <c r="R443" s="15" t="n">
        <v>75.02500000000001</v>
      </c>
      <c r="S443" s="15" t="n"/>
      <c r="T443" s="15" t="n">
        <v>4.376</v>
      </c>
      <c r="U443" s="15" t="n"/>
      <c r="V443" s="15" t="n">
        <v>174.551</v>
      </c>
      <c r="W443" s="15" t="n"/>
      <c r="X443" s="15" t="n"/>
      <c r="Y443" s="15" t="n"/>
      <c r="Z443" s="15" t="n"/>
      <c r="AA443" s="15" t="n"/>
      <c r="AB443" s="16" t="n">
        <v>430.259102</v>
      </c>
      <c r="AC443" s="17">
        <f>IF(AND(ISNUMBER(H443),ISNUMBER(I443)),H443+I443,IF(ISNUMBER(K443),K443,IF(ISNUMBER(H443),H443,"")))</f>
        <v/>
      </c>
      <c r="AD443" s="18">
        <f>IF(OR(NOT(ISNUMBER(J443)),NOT(ISNUMBER(H443)),H443&lt;=0),기준표!$B$8,MIN(MAX(J443/H443,기준표!$B$6),기준표!$B$7))</f>
        <v/>
      </c>
      <c r="AE443" s="17">
        <f>IF(ISNUMBER(AC443),AC443*(1-AD443),"")</f>
        <v/>
      </c>
      <c r="AF443" s="17">
        <f>IF(AND(NOT(ISNUMBER(T443)),NOT(ISNUMBER(V443))),"",IF(ISNUMBER(T443),T443,0)+IF(ISNUMBER(V443),V443,0))</f>
        <v/>
      </c>
      <c r="AG443" s="17">
        <f>IF(E443="금융","",IF(AND(ISNUMBER(P443),ISNUMBER(AF443),ISNUMBER(R443)),P443+AF443-R443,""))</f>
        <v/>
      </c>
      <c r="AH443" s="17">
        <f>IF(E443="금융","",IF(NOT(ISNUMBER(AG443)),"",IF(ISNUMBER(AA443),(AG443+AA443)/2,AG443)))</f>
        <v/>
      </c>
      <c r="AI443" s="19">
        <f>IF(AND(ISNUMBER(AE443),ISNUMBER(AH443),AH443&gt;0),AE443/AH443,"")</f>
        <v/>
      </c>
      <c r="AJ443" s="17">
        <f>IF(E443="금융","",IF(AND(ISNUMBER(P443),ISNUMBER(AF443)),P443+AF443,""))</f>
        <v/>
      </c>
      <c r="AK443" s="19">
        <f>IF(OR(NOT(ISNUMBER(AE443)),NOT(ISNUMBER(AJ443)),AJ443&lt;=0),"",IF(AND(ISNUMBER(G443),AJ443&lt;0.1*G443),"",AE443/AJ443))</f>
        <v/>
      </c>
      <c r="AL443" s="17">
        <f>IF(NOT(ISNUMBER(P443)),"",IF(ISNUMBER(Q443),(P443+Q443)/2,P443))</f>
        <v/>
      </c>
      <c r="AM443" s="19">
        <f>IF(AND(ISNUMBER(L443),ISNUMBER(AL443),AL443&gt;0),L443/AL443,"")</f>
        <v/>
      </c>
      <c r="AN443" s="19">
        <f>IF(AND(ISNUMBER(AM443),ISNUMBER({ROIC})),AM443-{ROIC},"")</f>
        <v/>
      </c>
      <c r="AO443" s="17">
        <f>IF(AND(ISNUMBER(AC443),ISNUMBER(M443)),AC443+M443,"")</f>
        <v/>
      </c>
      <c r="AP443" s="20">
        <f>IF(AND(ISNUMBER(AF443),ISNUMBER(R443),ISNUMBER(AO443),AO443&gt;0),(AF443-R443)/AO443,"")</f>
        <v/>
      </c>
      <c r="AQ443" s="20">
        <f>IF(AND(ISNUMBER(AC443),ISNUMBER(I443),I443&lt;&gt;0,AC443&gt;0),AC443/I443,"")</f>
        <v/>
      </c>
      <c r="AR443" s="17">
        <f>IF(AND(ISNUMBER(W443),ISNUMBER(Y443)),W443-IF(ISNUMBER(R443),R443,0)-(Y443-IF(ISNUMBER(T443),T443,0)),"")</f>
        <v/>
      </c>
      <c r="AS443" s="17">
        <f>IF(AND(ISNUMBER(X443),ISNUMBER(Z443)),X443-IF(ISNUMBER(S443),S443,0)-(Z443-IF(ISNUMBER(U443),U443,0)),"")</f>
        <v/>
      </c>
      <c r="AT443" s="17">
        <f>IF(AND(ISNUMBER(AR443),ISNUMBER(AS443)),AR443-AS443,"")</f>
        <v/>
      </c>
      <c r="AU443" s="17">
        <f>IF(E443="금융","",IF(AND(ISNUMBER(L443),ISNUMBER(M443),ISNUMBER(N443),ISNUMBER(AT443)),L443+M443-N443-AT443,IF(AND(ISNUMBER(O443),ISNUMBER(N443)),O443-N443,"")))</f>
        <v/>
      </c>
      <c r="AV443" s="8">
        <f>IF(E443="금융","금융업 - 정의되지 않음",IF(AND(ISNUMBER(L443),ISNUMBER(M443),ISNUMBER(N443),ISNUMBER(AT443)),"순이익+감가상각-설비투자-운전자본증감",IF(AND(ISNUMBER(O443),ISNUMBER(N443)),"영업현금흐름-설비투자","산출불가")))</f>
        <v/>
      </c>
      <c r="AW443" s="19">
        <f>IF(AND(ISNUMBER(AU443),ISNUMBER(G443),G443&lt;&gt;0),AU443/G443,"")</f>
        <v/>
      </c>
      <c r="AX443" s="19">
        <f>IF(AND(ISNUMBER(AC443),ISNUMBER(G443),G443&lt;&gt;0),AC443/G443,"")</f>
        <v/>
      </c>
    </row>
    <row r="444">
      <c r="A444" s="8" t="inlineStr">
        <is>
          <t>GS</t>
        </is>
      </c>
      <c r="B444" s="8" t="inlineStr">
        <is>
          <t>GOLDMAN SACHS GROUP INC</t>
        </is>
      </c>
      <c r="C444" s="8" t="n">
        <v>2015</v>
      </c>
      <c r="D444" s="8" t="inlineStr">
        <is>
          <t>2015-12-31</t>
        </is>
      </c>
      <c r="E444" s="8" t="inlineStr">
        <is>
          <t>금융</t>
        </is>
      </c>
      <c r="F444" s="8" t="inlineStr">
        <is>
          <t>0001193125-18-056383</t>
        </is>
      </c>
      <c r="G444" s="15" t="n">
        <v>33.82</v>
      </c>
      <c r="H444" s="15" t="n">
        <v>8.778</v>
      </c>
      <c r="I444" s="15" t="n">
        <v>5.388</v>
      </c>
      <c r="J444" s="15" t="n">
        <v>2.695</v>
      </c>
      <c r="K444" s="15" t="n"/>
      <c r="L444" s="15" t="n">
        <v>6.083</v>
      </c>
      <c r="M444" s="15" t="n">
        <v>0.991</v>
      </c>
      <c r="N444" s="15" t="n">
        <v>1.833</v>
      </c>
      <c r="O444" s="15" t="n"/>
      <c r="P444" s="15" t="n">
        <v>86.72799999999999</v>
      </c>
      <c r="Q444" s="15" t="n">
        <v>82.797</v>
      </c>
      <c r="R444" s="15" t="n">
        <v>93.43899999999999</v>
      </c>
      <c r="S444" s="15" t="n">
        <v>75.02500000000001</v>
      </c>
      <c r="T444" s="15" t="n">
        <v>4.25</v>
      </c>
      <c r="U444" s="15" t="n">
        <v>4.376</v>
      </c>
      <c r="V444" s="15" t="n">
        <v>185.942</v>
      </c>
      <c r="W444" s="15" t="n"/>
      <c r="X444" s="15" t="n"/>
      <c r="Y444" s="15" t="n"/>
      <c r="Z444" s="15" t="n"/>
      <c r="AA444" s="15" t="n"/>
      <c r="AB444" s="16" t="n">
        <v>419.480736</v>
      </c>
      <c r="AC444" s="17">
        <f>IF(AND(ISNUMBER(H444),ISNUMBER(I444)),H444+I444,IF(ISNUMBER(K444),K444,IF(ISNUMBER(H444),H444,"")))</f>
        <v/>
      </c>
      <c r="AD444" s="18">
        <f>IF(OR(NOT(ISNUMBER(J444)),NOT(ISNUMBER(H444)),H444&lt;=0),기준표!$B$8,MIN(MAX(J444/H444,기준표!$B$6),기준표!$B$7))</f>
        <v/>
      </c>
      <c r="AE444" s="17">
        <f>IF(ISNUMBER(AC444),AC444*(1-AD444),"")</f>
        <v/>
      </c>
      <c r="AF444" s="17">
        <f>IF(AND(NOT(ISNUMBER(T444)),NOT(ISNUMBER(V444))),"",IF(ISNUMBER(T444),T444,0)+IF(ISNUMBER(V444),V444,0))</f>
        <v/>
      </c>
      <c r="AG444" s="17">
        <f>IF(E444="금융","",IF(AND(ISNUMBER(P444),ISNUMBER(AF444),ISNUMBER(R444)),P444+AF444-R444,""))</f>
        <v/>
      </c>
      <c r="AH444" s="17">
        <f>IF(E444="금융","",IF(NOT(ISNUMBER(AG444)),"",IF(ISNUMBER(AA444),(AG444+AA444)/2,AG444)))</f>
        <v/>
      </c>
      <c r="AI444" s="19">
        <f>IF(AND(ISNUMBER(AE444),ISNUMBER(AH444),AH444&gt;0),AE444/AH444,"")</f>
        <v/>
      </c>
      <c r="AJ444" s="17">
        <f>IF(E444="금융","",IF(AND(ISNUMBER(P444),ISNUMBER(AF444)),P444+AF444,""))</f>
        <v/>
      </c>
      <c r="AK444" s="19">
        <f>IF(OR(NOT(ISNUMBER(AE444)),NOT(ISNUMBER(AJ444)),AJ444&lt;=0),"",IF(AND(ISNUMBER(G444),AJ444&lt;0.1*G444),"",AE444/AJ444))</f>
        <v/>
      </c>
      <c r="AL444" s="17">
        <f>IF(NOT(ISNUMBER(P444)),"",IF(ISNUMBER(Q444),(P444+Q444)/2,P444))</f>
        <v/>
      </c>
      <c r="AM444" s="19">
        <f>IF(AND(ISNUMBER(L444),ISNUMBER(AL444),AL444&gt;0),L444/AL444,"")</f>
        <v/>
      </c>
      <c r="AN444" s="19">
        <f>IF(AND(ISNUMBER(AM444),ISNUMBER({ROIC})),AM444-{ROIC},"")</f>
        <v/>
      </c>
      <c r="AO444" s="17">
        <f>IF(AND(ISNUMBER(AC444),ISNUMBER(M444)),AC444+M444,"")</f>
        <v/>
      </c>
      <c r="AP444" s="20">
        <f>IF(AND(ISNUMBER(AF444),ISNUMBER(R444),ISNUMBER(AO444),AO444&gt;0),(AF444-R444)/AO444,"")</f>
        <v/>
      </c>
      <c r="AQ444" s="20">
        <f>IF(AND(ISNUMBER(AC444),ISNUMBER(I444),I444&lt;&gt;0,AC444&gt;0),AC444/I444,"")</f>
        <v/>
      </c>
      <c r="AR444" s="17">
        <f>IF(AND(ISNUMBER(W444),ISNUMBER(Y444)),W444-IF(ISNUMBER(R444),R444,0)-(Y444-IF(ISNUMBER(T444),T444,0)),"")</f>
        <v/>
      </c>
      <c r="AS444" s="17">
        <f>IF(AND(ISNUMBER(X444),ISNUMBER(Z444)),X444-IF(ISNUMBER(S444),S444,0)-(Z444-IF(ISNUMBER(U444),U444,0)),"")</f>
        <v/>
      </c>
      <c r="AT444" s="17">
        <f>IF(AND(ISNUMBER(AR444),ISNUMBER(AS444)),AR444-AS444,"")</f>
        <v/>
      </c>
      <c r="AU444" s="17">
        <f>IF(E444="금융","",IF(AND(ISNUMBER(L444),ISNUMBER(M444),ISNUMBER(N444),ISNUMBER(AT444)),L444+M444-N444-AT444,IF(AND(ISNUMBER(O444),ISNUMBER(N444)),O444-N444,"")))</f>
        <v/>
      </c>
      <c r="AV444" s="8">
        <f>IF(E444="금융","금융업 - 정의되지 않음",IF(AND(ISNUMBER(L444),ISNUMBER(M444),ISNUMBER(N444),ISNUMBER(AT444)),"순이익+감가상각-설비투자-운전자본증감",IF(AND(ISNUMBER(O444),ISNUMBER(N444)),"영업현금흐름-설비투자","산출불가")))</f>
        <v/>
      </c>
      <c r="AW444" s="19">
        <f>IF(AND(ISNUMBER(AU444),ISNUMBER(G444),G444&lt;&gt;0),AU444/G444,"")</f>
        <v/>
      </c>
      <c r="AX444" s="19">
        <f>IF(AND(ISNUMBER(AC444),ISNUMBER(G444),G444&lt;&gt;0),AC444/G444,"")</f>
        <v/>
      </c>
    </row>
    <row r="445">
      <c r="A445" s="8" t="inlineStr">
        <is>
          <t>GS</t>
        </is>
      </c>
      <c r="B445" s="8" t="inlineStr">
        <is>
          <t>GOLDMAN SACHS GROUP INC</t>
        </is>
      </c>
      <c r="C445" s="8" t="n">
        <v>2016</v>
      </c>
      <c r="D445" s="8" t="inlineStr">
        <is>
          <t>2016-12-31</t>
        </is>
      </c>
      <c r="E445" s="8" t="inlineStr">
        <is>
          <t>금융</t>
        </is>
      </c>
      <c r="F445" s="8" t="inlineStr">
        <is>
          <t>0001193125-19-050198</t>
        </is>
      </c>
      <c r="G445" s="15" t="n">
        <v>30.79</v>
      </c>
      <c r="H445" s="15" t="n">
        <v>10.304</v>
      </c>
      <c r="I445" s="15" t="n">
        <v>7.104</v>
      </c>
      <c r="J445" s="15" t="n">
        <v>2.906</v>
      </c>
      <c r="K445" s="15" t="n"/>
      <c r="L445" s="15" t="n">
        <v>7.398</v>
      </c>
      <c r="M445" s="15" t="n">
        <v>0.998</v>
      </c>
      <c r="N445" s="15" t="n">
        <v>2.865</v>
      </c>
      <c r="O445" s="15" t="n">
        <v>6.494</v>
      </c>
      <c r="P445" s="15" t="n">
        <v>86.893</v>
      </c>
      <c r="Q445" s="15" t="n">
        <v>86.72799999999999</v>
      </c>
      <c r="R445" s="15" t="n">
        <v>121.711</v>
      </c>
      <c r="S445" s="15" t="n">
        <v>93.43899999999999</v>
      </c>
      <c r="T445" s="15" t="n">
        <v>4.037</v>
      </c>
      <c r="U445" s="15" t="n">
        <v>4.25</v>
      </c>
      <c r="V445" s="15" t="n">
        <v>197.491</v>
      </c>
      <c r="W445" s="15" t="n"/>
      <c r="X445" s="15" t="n"/>
      <c r="Y445" s="15" t="n"/>
      <c r="Z445" s="15" t="n"/>
      <c r="AA445" s="15" t="n"/>
      <c r="AB445" s="16" t="n">
        <v>392.63223</v>
      </c>
      <c r="AC445" s="17">
        <f>IF(AND(ISNUMBER(H445),ISNUMBER(I445)),H445+I445,IF(ISNUMBER(K445),K445,IF(ISNUMBER(H445),H445,"")))</f>
        <v/>
      </c>
      <c r="AD445" s="18">
        <f>IF(OR(NOT(ISNUMBER(J445)),NOT(ISNUMBER(H445)),H445&lt;=0),기준표!$B$8,MIN(MAX(J445/H445,기준표!$B$6),기준표!$B$7))</f>
        <v/>
      </c>
      <c r="AE445" s="17">
        <f>IF(ISNUMBER(AC445),AC445*(1-AD445),"")</f>
        <v/>
      </c>
      <c r="AF445" s="17">
        <f>IF(AND(NOT(ISNUMBER(T445)),NOT(ISNUMBER(V445))),"",IF(ISNUMBER(T445),T445,0)+IF(ISNUMBER(V445),V445,0))</f>
        <v/>
      </c>
      <c r="AG445" s="17">
        <f>IF(E445="금융","",IF(AND(ISNUMBER(P445),ISNUMBER(AF445),ISNUMBER(R445)),P445+AF445-R445,""))</f>
        <v/>
      </c>
      <c r="AH445" s="17">
        <f>IF(E445="금융","",IF(NOT(ISNUMBER(AG445)),"",IF(ISNUMBER(AA445),(AG445+AA445)/2,AG445)))</f>
        <v/>
      </c>
      <c r="AI445" s="19">
        <f>IF(AND(ISNUMBER(AE445),ISNUMBER(AH445),AH445&gt;0),AE445/AH445,"")</f>
        <v/>
      </c>
      <c r="AJ445" s="17">
        <f>IF(E445="금융","",IF(AND(ISNUMBER(P445),ISNUMBER(AF445)),P445+AF445,""))</f>
        <v/>
      </c>
      <c r="AK445" s="19">
        <f>IF(OR(NOT(ISNUMBER(AE445)),NOT(ISNUMBER(AJ445)),AJ445&lt;=0),"",IF(AND(ISNUMBER(G445),AJ445&lt;0.1*G445),"",AE445/AJ445))</f>
        <v/>
      </c>
      <c r="AL445" s="17">
        <f>IF(NOT(ISNUMBER(P445)),"",IF(ISNUMBER(Q445),(P445+Q445)/2,P445))</f>
        <v/>
      </c>
      <c r="AM445" s="19">
        <f>IF(AND(ISNUMBER(L445),ISNUMBER(AL445),AL445&gt;0),L445/AL445,"")</f>
        <v/>
      </c>
      <c r="AN445" s="19">
        <f>IF(AND(ISNUMBER(AM445),ISNUMBER({ROIC})),AM445-{ROIC},"")</f>
        <v/>
      </c>
      <c r="AO445" s="17">
        <f>IF(AND(ISNUMBER(AC445),ISNUMBER(M445)),AC445+M445,"")</f>
        <v/>
      </c>
      <c r="AP445" s="20">
        <f>IF(AND(ISNUMBER(AF445),ISNUMBER(R445),ISNUMBER(AO445),AO445&gt;0),(AF445-R445)/AO445,"")</f>
        <v/>
      </c>
      <c r="AQ445" s="20">
        <f>IF(AND(ISNUMBER(AC445),ISNUMBER(I445),I445&lt;&gt;0,AC445&gt;0),AC445/I445,"")</f>
        <v/>
      </c>
      <c r="AR445" s="17">
        <f>IF(AND(ISNUMBER(W445),ISNUMBER(Y445)),W445-IF(ISNUMBER(R445),R445,0)-(Y445-IF(ISNUMBER(T445),T445,0)),"")</f>
        <v/>
      </c>
      <c r="AS445" s="17">
        <f>IF(AND(ISNUMBER(X445),ISNUMBER(Z445)),X445-IF(ISNUMBER(S445),S445,0)-(Z445-IF(ISNUMBER(U445),U445,0)),"")</f>
        <v/>
      </c>
      <c r="AT445" s="17">
        <f>IF(AND(ISNUMBER(AR445),ISNUMBER(AS445)),AR445-AS445,"")</f>
        <v/>
      </c>
      <c r="AU445" s="17">
        <f>IF(E445="금융","",IF(AND(ISNUMBER(L445),ISNUMBER(M445),ISNUMBER(N445),ISNUMBER(AT445)),L445+M445-N445-AT445,IF(AND(ISNUMBER(O445),ISNUMBER(N445)),O445-N445,"")))</f>
        <v/>
      </c>
      <c r="AV445" s="8">
        <f>IF(E445="금융","금융업 - 정의되지 않음",IF(AND(ISNUMBER(L445),ISNUMBER(M445),ISNUMBER(N445),ISNUMBER(AT445)),"순이익+감가상각-설비투자-운전자본증감",IF(AND(ISNUMBER(O445),ISNUMBER(N445)),"영업현금흐름-설비투자","산출불가")))</f>
        <v/>
      </c>
      <c r="AW445" s="19">
        <f>IF(AND(ISNUMBER(AU445),ISNUMBER(G445),G445&lt;&gt;0),AU445/G445,"")</f>
        <v/>
      </c>
      <c r="AX445" s="19">
        <f>IF(AND(ISNUMBER(AC445),ISNUMBER(G445),G445&lt;&gt;0),AC445/G445,"")</f>
        <v/>
      </c>
    </row>
    <row r="446">
      <c r="A446" s="8" t="inlineStr">
        <is>
          <t>GS</t>
        </is>
      </c>
      <c r="B446" s="8" t="inlineStr">
        <is>
          <t>GOLDMAN SACHS GROUP INC</t>
        </is>
      </c>
      <c r="C446" s="8" t="n">
        <v>2017</v>
      </c>
      <c r="D446" s="8" t="inlineStr">
        <is>
          <t>2017-12-31</t>
        </is>
      </c>
      <c r="E446" s="8" t="inlineStr">
        <is>
          <t>금융</t>
        </is>
      </c>
      <c r="F446" s="8" t="inlineStr">
        <is>
          <t>0001193125-20-043853</t>
        </is>
      </c>
      <c r="G446" s="15" t="n">
        <v>32.73</v>
      </c>
      <c r="H446" s="15" t="n">
        <v>11.132</v>
      </c>
      <c r="I446" s="15" t="n">
        <v>10.181</v>
      </c>
      <c r="J446" s="15" t="n">
        <v>6.846</v>
      </c>
      <c r="K446" s="15" t="n"/>
      <c r="L446" s="15" t="n">
        <v>4.286</v>
      </c>
      <c r="M446" s="15" t="n">
        <v>1.152</v>
      </c>
      <c r="N446" s="15" t="n">
        <v>3.184</v>
      </c>
      <c r="O446" s="15" t="n">
        <v>-20.489</v>
      </c>
      <c r="P446" s="15" t="n">
        <v>82.24299999999999</v>
      </c>
      <c r="Q446" s="15" t="n">
        <v>86.893</v>
      </c>
      <c r="R446" s="15" t="n">
        <v>110.051</v>
      </c>
      <c r="S446" s="15" t="n">
        <v>121.711</v>
      </c>
      <c r="T446" s="15" t="n">
        <v>3.859</v>
      </c>
      <c r="U446" s="15" t="n">
        <v>4.037</v>
      </c>
      <c r="V446" s="15" t="n">
        <v>227.579</v>
      </c>
      <c r="W446" s="15" t="n"/>
      <c r="X446" s="15" t="n"/>
      <c r="Y446" s="15" t="n"/>
      <c r="Z446" s="15" t="n"/>
      <c r="AA446" s="15" t="n"/>
      <c r="AB446" s="16" t="n">
        <v>374.808805</v>
      </c>
      <c r="AC446" s="17">
        <f>IF(AND(ISNUMBER(H446),ISNUMBER(I446)),H446+I446,IF(ISNUMBER(K446),K446,IF(ISNUMBER(H446),H446,"")))</f>
        <v/>
      </c>
      <c r="AD446" s="18">
        <f>IF(OR(NOT(ISNUMBER(J446)),NOT(ISNUMBER(H446)),H446&lt;=0),기준표!$B$8,MIN(MAX(J446/H446,기준표!$B$6),기준표!$B$7))</f>
        <v/>
      </c>
      <c r="AE446" s="17">
        <f>IF(ISNUMBER(AC446),AC446*(1-AD446),"")</f>
        <v/>
      </c>
      <c r="AF446" s="17">
        <f>IF(AND(NOT(ISNUMBER(T446)),NOT(ISNUMBER(V446))),"",IF(ISNUMBER(T446),T446,0)+IF(ISNUMBER(V446),V446,0))</f>
        <v/>
      </c>
      <c r="AG446" s="17">
        <f>IF(E446="금융","",IF(AND(ISNUMBER(P446),ISNUMBER(AF446),ISNUMBER(R446)),P446+AF446-R446,""))</f>
        <v/>
      </c>
      <c r="AH446" s="17">
        <f>IF(E446="금융","",IF(NOT(ISNUMBER(AG446)),"",IF(ISNUMBER(AA446),(AG446+AA446)/2,AG446)))</f>
        <v/>
      </c>
      <c r="AI446" s="19">
        <f>IF(AND(ISNUMBER(AE446),ISNUMBER(AH446),AH446&gt;0),AE446/AH446,"")</f>
        <v/>
      </c>
      <c r="AJ446" s="17">
        <f>IF(E446="금융","",IF(AND(ISNUMBER(P446),ISNUMBER(AF446)),P446+AF446,""))</f>
        <v/>
      </c>
      <c r="AK446" s="19">
        <f>IF(OR(NOT(ISNUMBER(AE446)),NOT(ISNUMBER(AJ446)),AJ446&lt;=0),"",IF(AND(ISNUMBER(G446),AJ446&lt;0.1*G446),"",AE446/AJ446))</f>
        <v/>
      </c>
      <c r="AL446" s="17">
        <f>IF(NOT(ISNUMBER(P446)),"",IF(ISNUMBER(Q446),(P446+Q446)/2,P446))</f>
        <v/>
      </c>
      <c r="AM446" s="19">
        <f>IF(AND(ISNUMBER(L446),ISNUMBER(AL446),AL446&gt;0),L446/AL446,"")</f>
        <v/>
      </c>
      <c r="AN446" s="19">
        <f>IF(AND(ISNUMBER(AM446),ISNUMBER({ROIC})),AM446-{ROIC},"")</f>
        <v/>
      </c>
      <c r="AO446" s="17">
        <f>IF(AND(ISNUMBER(AC446),ISNUMBER(M446)),AC446+M446,"")</f>
        <v/>
      </c>
      <c r="AP446" s="20">
        <f>IF(AND(ISNUMBER(AF446),ISNUMBER(R446),ISNUMBER(AO446),AO446&gt;0),(AF446-R446)/AO446,"")</f>
        <v/>
      </c>
      <c r="AQ446" s="20">
        <f>IF(AND(ISNUMBER(AC446),ISNUMBER(I446),I446&lt;&gt;0,AC446&gt;0),AC446/I446,"")</f>
        <v/>
      </c>
      <c r="AR446" s="17">
        <f>IF(AND(ISNUMBER(W446),ISNUMBER(Y446)),W446-IF(ISNUMBER(R446),R446,0)-(Y446-IF(ISNUMBER(T446),T446,0)),"")</f>
        <v/>
      </c>
      <c r="AS446" s="17">
        <f>IF(AND(ISNUMBER(X446),ISNUMBER(Z446)),X446-IF(ISNUMBER(S446),S446,0)-(Z446-IF(ISNUMBER(U446),U446,0)),"")</f>
        <v/>
      </c>
      <c r="AT446" s="17">
        <f>IF(AND(ISNUMBER(AR446),ISNUMBER(AS446)),AR446-AS446,"")</f>
        <v/>
      </c>
      <c r="AU446" s="17">
        <f>IF(E446="금융","",IF(AND(ISNUMBER(L446),ISNUMBER(M446),ISNUMBER(N446),ISNUMBER(AT446)),L446+M446-N446-AT446,IF(AND(ISNUMBER(O446),ISNUMBER(N446)),O446-N446,"")))</f>
        <v/>
      </c>
      <c r="AV446" s="8">
        <f>IF(E446="금융","금융업 - 정의되지 않음",IF(AND(ISNUMBER(L446),ISNUMBER(M446),ISNUMBER(N446),ISNUMBER(AT446)),"순이익+감가상각-설비투자-운전자본증감",IF(AND(ISNUMBER(O446),ISNUMBER(N446)),"영업현금흐름-설비투자","산출불가")))</f>
        <v/>
      </c>
      <c r="AW446" s="19">
        <f>IF(AND(ISNUMBER(AU446),ISNUMBER(G446),G446&lt;&gt;0),AU446/G446,"")</f>
        <v/>
      </c>
      <c r="AX446" s="19">
        <f>IF(AND(ISNUMBER(AC446),ISNUMBER(G446),G446&lt;&gt;0),AC446/G446,"")</f>
        <v/>
      </c>
    </row>
    <row r="447">
      <c r="A447" s="8" t="inlineStr">
        <is>
          <t>GS</t>
        </is>
      </c>
      <c r="B447" s="8" t="inlineStr">
        <is>
          <t>GOLDMAN SACHS GROUP INC</t>
        </is>
      </c>
      <c r="C447" s="8" t="n">
        <v>2018</v>
      </c>
      <c r="D447" s="8" t="inlineStr">
        <is>
          <t>2018-12-31</t>
        </is>
      </c>
      <c r="E447" s="8" t="inlineStr">
        <is>
          <t>금융</t>
        </is>
      </c>
      <c r="F447" s="8" t="inlineStr">
        <is>
          <t>0001193125-21-049380</t>
        </is>
      </c>
      <c r="G447" s="15" t="n">
        <v>36.616</v>
      </c>
      <c r="H447" s="15" t="n">
        <v>12.481</v>
      </c>
      <c r="I447" s="15" t="n">
        <v>15.912</v>
      </c>
      <c r="J447" s="15" t="n">
        <v>2.022</v>
      </c>
      <c r="K447" s="15" t="n"/>
      <c r="L447" s="15" t="n">
        <v>10.459</v>
      </c>
      <c r="M447" s="15" t="n">
        <v>1.328</v>
      </c>
      <c r="N447" s="15" t="n">
        <v>7.982</v>
      </c>
      <c r="O447" s="15" t="n">
        <v>16.564</v>
      </c>
      <c r="P447" s="15" t="n">
        <v>90.185</v>
      </c>
      <c r="Q447" s="15" t="n">
        <v>82.24299999999999</v>
      </c>
      <c r="R447" s="15" t="n">
        <v>130.547</v>
      </c>
      <c r="S447" s="15" t="n">
        <v>110.051</v>
      </c>
      <c r="T447" s="15" t="n">
        <v>2.118</v>
      </c>
      <c r="U447" s="15" t="n">
        <v>3.859</v>
      </c>
      <c r="V447" s="15" t="n">
        <v>236.027</v>
      </c>
      <c r="W447" s="15" t="n"/>
      <c r="X447" s="15" t="n"/>
      <c r="Y447" s="15" t="n"/>
      <c r="Z447" s="15" t="n"/>
      <c r="AA447" s="15" t="n"/>
      <c r="AB447" s="16" t="n">
        <v>367.741973</v>
      </c>
      <c r="AC447" s="17">
        <f>IF(AND(ISNUMBER(H447),ISNUMBER(I447)),H447+I447,IF(ISNUMBER(K447),K447,IF(ISNUMBER(H447),H447,"")))</f>
        <v/>
      </c>
      <c r="AD447" s="18">
        <f>IF(OR(NOT(ISNUMBER(J447)),NOT(ISNUMBER(H447)),H447&lt;=0),기준표!$B$8,MIN(MAX(J447/H447,기준표!$B$6),기준표!$B$7))</f>
        <v/>
      </c>
      <c r="AE447" s="17">
        <f>IF(ISNUMBER(AC447),AC447*(1-AD447),"")</f>
        <v/>
      </c>
      <c r="AF447" s="17">
        <f>IF(AND(NOT(ISNUMBER(T447)),NOT(ISNUMBER(V447))),"",IF(ISNUMBER(T447),T447,0)+IF(ISNUMBER(V447),V447,0))</f>
        <v/>
      </c>
      <c r="AG447" s="17">
        <f>IF(E447="금융","",IF(AND(ISNUMBER(P447),ISNUMBER(AF447),ISNUMBER(R447)),P447+AF447-R447,""))</f>
        <v/>
      </c>
      <c r="AH447" s="17">
        <f>IF(E447="금융","",IF(NOT(ISNUMBER(AG447)),"",IF(ISNUMBER(AA447),(AG447+AA447)/2,AG447)))</f>
        <v/>
      </c>
      <c r="AI447" s="19">
        <f>IF(AND(ISNUMBER(AE447),ISNUMBER(AH447),AH447&gt;0),AE447/AH447,"")</f>
        <v/>
      </c>
      <c r="AJ447" s="17">
        <f>IF(E447="금융","",IF(AND(ISNUMBER(P447),ISNUMBER(AF447)),P447+AF447,""))</f>
        <v/>
      </c>
      <c r="AK447" s="19">
        <f>IF(OR(NOT(ISNUMBER(AE447)),NOT(ISNUMBER(AJ447)),AJ447&lt;=0),"",IF(AND(ISNUMBER(G447),AJ447&lt;0.1*G447),"",AE447/AJ447))</f>
        <v/>
      </c>
      <c r="AL447" s="17">
        <f>IF(NOT(ISNUMBER(P447)),"",IF(ISNUMBER(Q447),(P447+Q447)/2,P447))</f>
        <v/>
      </c>
      <c r="AM447" s="19">
        <f>IF(AND(ISNUMBER(L447),ISNUMBER(AL447),AL447&gt;0),L447/AL447,"")</f>
        <v/>
      </c>
      <c r="AN447" s="19">
        <f>IF(AND(ISNUMBER(AM447),ISNUMBER({ROIC})),AM447-{ROIC},"")</f>
        <v/>
      </c>
      <c r="AO447" s="17">
        <f>IF(AND(ISNUMBER(AC447),ISNUMBER(M447)),AC447+M447,"")</f>
        <v/>
      </c>
      <c r="AP447" s="20">
        <f>IF(AND(ISNUMBER(AF447),ISNUMBER(R447),ISNUMBER(AO447),AO447&gt;0),(AF447-R447)/AO447,"")</f>
        <v/>
      </c>
      <c r="AQ447" s="20">
        <f>IF(AND(ISNUMBER(AC447),ISNUMBER(I447),I447&lt;&gt;0,AC447&gt;0),AC447/I447,"")</f>
        <v/>
      </c>
      <c r="AR447" s="17">
        <f>IF(AND(ISNUMBER(W447),ISNUMBER(Y447)),W447-IF(ISNUMBER(R447),R447,0)-(Y447-IF(ISNUMBER(T447),T447,0)),"")</f>
        <v/>
      </c>
      <c r="AS447" s="17">
        <f>IF(AND(ISNUMBER(X447),ISNUMBER(Z447)),X447-IF(ISNUMBER(S447),S447,0)-(Z447-IF(ISNUMBER(U447),U447,0)),"")</f>
        <v/>
      </c>
      <c r="AT447" s="17">
        <f>IF(AND(ISNUMBER(AR447),ISNUMBER(AS447)),AR447-AS447,"")</f>
        <v/>
      </c>
      <c r="AU447" s="17">
        <f>IF(E447="금융","",IF(AND(ISNUMBER(L447),ISNUMBER(M447),ISNUMBER(N447),ISNUMBER(AT447)),L447+M447-N447-AT447,IF(AND(ISNUMBER(O447),ISNUMBER(N447)),O447-N447,"")))</f>
        <v/>
      </c>
      <c r="AV447" s="8">
        <f>IF(E447="금융","금융업 - 정의되지 않음",IF(AND(ISNUMBER(L447),ISNUMBER(M447),ISNUMBER(N447),ISNUMBER(AT447)),"순이익+감가상각-설비투자-운전자본증감",IF(AND(ISNUMBER(O447),ISNUMBER(N447)),"영업현금흐름-설비투자","산출불가")))</f>
        <v/>
      </c>
      <c r="AW447" s="19">
        <f>IF(AND(ISNUMBER(AU447),ISNUMBER(G447),G447&lt;&gt;0),AU447/G447,"")</f>
        <v/>
      </c>
      <c r="AX447" s="19">
        <f>IF(AND(ISNUMBER(AC447),ISNUMBER(G447),G447&lt;&gt;0),AC447/G447,"")</f>
        <v/>
      </c>
    </row>
    <row r="448">
      <c r="A448" s="8" t="inlineStr">
        <is>
          <t>GS</t>
        </is>
      </c>
      <c r="B448" s="8" t="inlineStr">
        <is>
          <t>GOLDMAN SACHS GROUP INC</t>
        </is>
      </c>
      <c r="C448" s="8" t="n">
        <v>2019</v>
      </c>
      <c r="D448" s="8" t="inlineStr">
        <is>
          <t>2019-12-31</t>
        </is>
      </c>
      <c r="E448" s="8" t="inlineStr">
        <is>
          <t>금융</t>
        </is>
      </c>
      <c r="F448" s="8" t="inlineStr">
        <is>
          <t>0001193125-22-052682</t>
        </is>
      </c>
      <c r="G448" s="15" t="n">
        <v>36.546</v>
      </c>
      <c r="H448" s="15" t="n">
        <v>10.583</v>
      </c>
      <c r="I448" s="15" t="n">
        <v>17.376</v>
      </c>
      <c r="J448" s="15" t="n">
        <v>2.117</v>
      </c>
      <c r="K448" s="15" t="n"/>
      <c r="L448" s="15" t="n">
        <v>8.465999999999999</v>
      </c>
      <c r="M448" s="15" t="n">
        <v>1.704</v>
      </c>
      <c r="N448" s="15" t="n">
        <v>8.443</v>
      </c>
      <c r="O448" s="15" t="n">
        <v>23.868</v>
      </c>
      <c r="P448" s="15" t="n">
        <v>90.265</v>
      </c>
      <c r="Q448" s="15" t="n">
        <v>90.185</v>
      </c>
      <c r="R448" s="15" t="n">
        <v>133.546</v>
      </c>
      <c r="S448" s="15" t="n">
        <v>130.547</v>
      </c>
      <c r="T448" s="15" t="n">
        <v>1.837</v>
      </c>
      <c r="U448" s="15" t="n">
        <v>2.118</v>
      </c>
      <c r="V448" s="15" t="n"/>
      <c r="W448" s="15" t="n"/>
      <c r="X448" s="15" t="n"/>
      <c r="Y448" s="15" t="n"/>
      <c r="Z448" s="15" t="n"/>
      <c r="AA448" s="15" t="n"/>
      <c r="AB448" s="16" t="n">
        <v>347.343184</v>
      </c>
      <c r="AC448" s="17">
        <f>IF(AND(ISNUMBER(H448),ISNUMBER(I448)),H448+I448,IF(ISNUMBER(K448),K448,IF(ISNUMBER(H448),H448,"")))</f>
        <v/>
      </c>
      <c r="AD448" s="18">
        <f>IF(OR(NOT(ISNUMBER(J448)),NOT(ISNUMBER(H448)),H448&lt;=0),기준표!$B$8,MIN(MAX(J448/H448,기준표!$B$6),기준표!$B$7))</f>
        <v/>
      </c>
      <c r="AE448" s="17">
        <f>IF(ISNUMBER(AC448),AC448*(1-AD448),"")</f>
        <v/>
      </c>
      <c r="AF448" s="17">
        <f>IF(AND(NOT(ISNUMBER(T448)),NOT(ISNUMBER(V448))),"",IF(ISNUMBER(T448),T448,0)+IF(ISNUMBER(V448),V448,0))</f>
        <v/>
      </c>
      <c r="AG448" s="17">
        <f>IF(E448="금융","",IF(AND(ISNUMBER(P448),ISNUMBER(AF448),ISNUMBER(R448)),P448+AF448-R448,""))</f>
        <v/>
      </c>
      <c r="AH448" s="17">
        <f>IF(E448="금융","",IF(NOT(ISNUMBER(AG448)),"",IF(ISNUMBER(AA448),(AG448+AA448)/2,AG448)))</f>
        <v/>
      </c>
      <c r="AI448" s="19">
        <f>IF(AND(ISNUMBER(AE448),ISNUMBER(AH448),AH448&gt;0),AE448/AH448,"")</f>
        <v/>
      </c>
      <c r="AJ448" s="17">
        <f>IF(E448="금융","",IF(AND(ISNUMBER(P448),ISNUMBER(AF448)),P448+AF448,""))</f>
        <v/>
      </c>
      <c r="AK448" s="19">
        <f>IF(OR(NOT(ISNUMBER(AE448)),NOT(ISNUMBER(AJ448)),AJ448&lt;=0),"",IF(AND(ISNUMBER(G448),AJ448&lt;0.1*G448),"",AE448/AJ448))</f>
        <v/>
      </c>
      <c r="AL448" s="17">
        <f>IF(NOT(ISNUMBER(P448)),"",IF(ISNUMBER(Q448),(P448+Q448)/2,P448))</f>
        <v/>
      </c>
      <c r="AM448" s="19">
        <f>IF(AND(ISNUMBER(L448),ISNUMBER(AL448),AL448&gt;0),L448/AL448,"")</f>
        <v/>
      </c>
      <c r="AN448" s="19">
        <f>IF(AND(ISNUMBER(AM448),ISNUMBER({ROIC})),AM448-{ROIC},"")</f>
        <v/>
      </c>
      <c r="AO448" s="17">
        <f>IF(AND(ISNUMBER(AC448),ISNUMBER(M448)),AC448+M448,"")</f>
        <v/>
      </c>
      <c r="AP448" s="20">
        <f>IF(AND(ISNUMBER(AF448),ISNUMBER(R448),ISNUMBER(AO448),AO448&gt;0),(AF448-R448)/AO448,"")</f>
        <v/>
      </c>
      <c r="AQ448" s="20">
        <f>IF(AND(ISNUMBER(AC448),ISNUMBER(I448),I448&lt;&gt;0,AC448&gt;0),AC448/I448,"")</f>
        <v/>
      </c>
      <c r="AR448" s="17">
        <f>IF(AND(ISNUMBER(W448),ISNUMBER(Y448)),W448-IF(ISNUMBER(R448),R448,0)-(Y448-IF(ISNUMBER(T448),T448,0)),"")</f>
        <v/>
      </c>
      <c r="AS448" s="17">
        <f>IF(AND(ISNUMBER(X448),ISNUMBER(Z448)),X448-IF(ISNUMBER(S448),S448,0)-(Z448-IF(ISNUMBER(U448),U448,0)),"")</f>
        <v/>
      </c>
      <c r="AT448" s="17">
        <f>IF(AND(ISNUMBER(AR448),ISNUMBER(AS448)),AR448-AS448,"")</f>
        <v/>
      </c>
      <c r="AU448" s="17">
        <f>IF(E448="금융","",IF(AND(ISNUMBER(L448),ISNUMBER(M448),ISNUMBER(N448),ISNUMBER(AT448)),L448+M448-N448-AT448,IF(AND(ISNUMBER(O448),ISNUMBER(N448)),O448-N448,"")))</f>
        <v/>
      </c>
      <c r="AV448" s="8">
        <f>IF(E448="금융","금융업 - 정의되지 않음",IF(AND(ISNUMBER(L448),ISNUMBER(M448),ISNUMBER(N448),ISNUMBER(AT448)),"순이익+감가상각-설비투자-운전자본증감",IF(AND(ISNUMBER(O448),ISNUMBER(N448)),"영업현금흐름-설비투자","산출불가")))</f>
        <v/>
      </c>
      <c r="AW448" s="19">
        <f>IF(AND(ISNUMBER(AU448),ISNUMBER(G448),G448&lt;&gt;0),AU448/G448,"")</f>
        <v/>
      </c>
      <c r="AX448" s="19">
        <f>IF(AND(ISNUMBER(AC448),ISNUMBER(G448),G448&lt;&gt;0),AC448/G448,"")</f>
        <v/>
      </c>
    </row>
    <row r="449">
      <c r="A449" s="8" t="inlineStr">
        <is>
          <t>GS</t>
        </is>
      </c>
      <c r="B449" s="8" t="inlineStr">
        <is>
          <t>GOLDMAN SACHS GROUP INC</t>
        </is>
      </c>
      <c r="C449" s="8" t="n">
        <v>2020</v>
      </c>
      <c r="D449" s="8" t="inlineStr">
        <is>
          <t>2020-12-31</t>
        </is>
      </c>
      <c r="E449" s="8" t="inlineStr">
        <is>
          <t>금융</t>
        </is>
      </c>
      <c r="F449" s="8" t="inlineStr">
        <is>
          <t>0000886982-23-000003</t>
        </is>
      </c>
      <c r="G449" s="15" t="n">
        <v>44.56</v>
      </c>
      <c r="H449" s="15" t="n">
        <v>12.479</v>
      </c>
      <c r="I449" s="15" t="n">
        <v>8.938000000000001</v>
      </c>
      <c r="J449" s="15" t="n">
        <v>3.02</v>
      </c>
      <c r="K449" s="15" t="n"/>
      <c r="L449" s="15" t="n">
        <v>9.459</v>
      </c>
      <c r="M449" s="15" t="n">
        <v>1.902</v>
      </c>
      <c r="N449" s="15" t="n">
        <v>6.309</v>
      </c>
      <c r="O449" s="15" t="n">
        <v>-18.535</v>
      </c>
      <c r="P449" s="15" t="n">
        <v>95.932</v>
      </c>
      <c r="Q449" s="15" t="n">
        <v>90.265</v>
      </c>
      <c r="R449" s="15" t="n">
        <v>155.842</v>
      </c>
      <c r="S449" s="15" t="n">
        <v>133.546</v>
      </c>
      <c r="T449" s="15" t="n">
        <v>2.048</v>
      </c>
      <c r="U449" s="15" t="n">
        <v>1.837</v>
      </c>
      <c r="V449" s="15" t="n"/>
      <c r="W449" s="15" t="n"/>
      <c r="X449" s="15" t="n"/>
      <c r="Y449" s="15" t="n"/>
      <c r="Z449" s="15" t="n"/>
      <c r="AA449" s="15" t="n"/>
      <c r="AB449" s="16" t="n">
        <v>344.088725</v>
      </c>
      <c r="AC449" s="17">
        <f>IF(AND(ISNUMBER(H449),ISNUMBER(I449)),H449+I449,IF(ISNUMBER(K449),K449,IF(ISNUMBER(H449),H449,"")))</f>
        <v/>
      </c>
      <c r="AD449" s="18">
        <f>IF(OR(NOT(ISNUMBER(J449)),NOT(ISNUMBER(H449)),H449&lt;=0),기준표!$B$8,MIN(MAX(J449/H449,기준표!$B$6),기준표!$B$7))</f>
        <v/>
      </c>
      <c r="AE449" s="17">
        <f>IF(ISNUMBER(AC449),AC449*(1-AD449),"")</f>
        <v/>
      </c>
      <c r="AF449" s="17">
        <f>IF(AND(NOT(ISNUMBER(T449)),NOT(ISNUMBER(V449))),"",IF(ISNUMBER(T449),T449,0)+IF(ISNUMBER(V449),V449,0))</f>
        <v/>
      </c>
      <c r="AG449" s="17">
        <f>IF(E449="금융","",IF(AND(ISNUMBER(P449),ISNUMBER(AF449),ISNUMBER(R449)),P449+AF449-R449,""))</f>
        <v/>
      </c>
      <c r="AH449" s="17">
        <f>IF(E449="금융","",IF(NOT(ISNUMBER(AG449)),"",IF(ISNUMBER(AA449),(AG449+AA449)/2,AG449)))</f>
        <v/>
      </c>
      <c r="AI449" s="19">
        <f>IF(AND(ISNUMBER(AE449),ISNUMBER(AH449),AH449&gt;0),AE449/AH449,"")</f>
        <v/>
      </c>
      <c r="AJ449" s="17">
        <f>IF(E449="금융","",IF(AND(ISNUMBER(P449),ISNUMBER(AF449)),P449+AF449,""))</f>
        <v/>
      </c>
      <c r="AK449" s="19">
        <f>IF(OR(NOT(ISNUMBER(AE449)),NOT(ISNUMBER(AJ449)),AJ449&lt;=0),"",IF(AND(ISNUMBER(G449),AJ449&lt;0.1*G449),"",AE449/AJ449))</f>
        <v/>
      </c>
      <c r="AL449" s="17">
        <f>IF(NOT(ISNUMBER(P449)),"",IF(ISNUMBER(Q449),(P449+Q449)/2,P449))</f>
        <v/>
      </c>
      <c r="AM449" s="19">
        <f>IF(AND(ISNUMBER(L449),ISNUMBER(AL449),AL449&gt;0),L449/AL449,"")</f>
        <v/>
      </c>
      <c r="AN449" s="19">
        <f>IF(AND(ISNUMBER(AM449),ISNUMBER({ROIC})),AM449-{ROIC},"")</f>
        <v/>
      </c>
      <c r="AO449" s="17">
        <f>IF(AND(ISNUMBER(AC449),ISNUMBER(M449)),AC449+M449,"")</f>
        <v/>
      </c>
      <c r="AP449" s="20">
        <f>IF(AND(ISNUMBER(AF449),ISNUMBER(R449),ISNUMBER(AO449),AO449&gt;0),(AF449-R449)/AO449,"")</f>
        <v/>
      </c>
      <c r="AQ449" s="20">
        <f>IF(AND(ISNUMBER(AC449),ISNUMBER(I449),I449&lt;&gt;0,AC449&gt;0),AC449/I449,"")</f>
        <v/>
      </c>
      <c r="AR449" s="17">
        <f>IF(AND(ISNUMBER(W449),ISNUMBER(Y449)),W449-IF(ISNUMBER(R449),R449,0)-(Y449-IF(ISNUMBER(T449),T449,0)),"")</f>
        <v/>
      </c>
      <c r="AS449" s="17">
        <f>IF(AND(ISNUMBER(X449),ISNUMBER(Z449)),X449-IF(ISNUMBER(S449),S449,0)-(Z449-IF(ISNUMBER(U449),U449,0)),"")</f>
        <v/>
      </c>
      <c r="AT449" s="17">
        <f>IF(AND(ISNUMBER(AR449),ISNUMBER(AS449)),AR449-AS449,"")</f>
        <v/>
      </c>
      <c r="AU449" s="17">
        <f>IF(E449="금융","",IF(AND(ISNUMBER(L449),ISNUMBER(M449),ISNUMBER(N449),ISNUMBER(AT449)),L449+M449-N449-AT449,IF(AND(ISNUMBER(O449),ISNUMBER(N449)),O449-N449,"")))</f>
        <v/>
      </c>
      <c r="AV449" s="8">
        <f>IF(E449="금융","금융업 - 정의되지 않음",IF(AND(ISNUMBER(L449),ISNUMBER(M449),ISNUMBER(N449),ISNUMBER(AT449)),"순이익+감가상각-설비투자-운전자본증감",IF(AND(ISNUMBER(O449),ISNUMBER(N449)),"영업현금흐름-설비투자","산출불가")))</f>
        <v/>
      </c>
      <c r="AW449" s="19">
        <f>IF(AND(ISNUMBER(AU449),ISNUMBER(G449),G449&lt;&gt;0),AU449/G449,"")</f>
        <v/>
      </c>
      <c r="AX449" s="19">
        <f>IF(AND(ISNUMBER(AC449),ISNUMBER(G449),G449&lt;&gt;0),AC449/G449,"")</f>
        <v/>
      </c>
    </row>
    <row r="450">
      <c r="A450" s="8" t="inlineStr">
        <is>
          <t>GS</t>
        </is>
      </c>
      <c r="B450" s="8" t="inlineStr">
        <is>
          <t>GOLDMAN SACHS GROUP INC</t>
        </is>
      </c>
      <c r="C450" s="8" t="n">
        <v>2021</v>
      </c>
      <c r="D450" s="8" t="inlineStr">
        <is>
          <t>2021-12-31</t>
        </is>
      </c>
      <c r="E450" s="8" t="inlineStr">
        <is>
          <t>금융</t>
        </is>
      </c>
      <c r="F450" s="8" t="inlineStr">
        <is>
          <t>0000886982-24-000006</t>
        </is>
      </c>
      <c r="G450" s="15" t="n">
        <v>59.339</v>
      </c>
      <c r="H450" s="15" t="n">
        <v>27.044</v>
      </c>
      <c r="I450" s="15" t="n">
        <v>5.65</v>
      </c>
      <c r="J450" s="15" t="n">
        <v>5.409</v>
      </c>
      <c r="K450" s="15" t="n"/>
      <c r="L450" s="15" t="n">
        <v>21.635</v>
      </c>
      <c r="M450" s="15" t="n">
        <v>2.015</v>
      </c>
      <c r="N450" s="15" t="n">
        <v>4.667</v>
      </c>
      <c r="O450" s="15" t="n">
        <v>6.298</v>
      </c>
      <c r="P450" s="15" t="n">
        <v>109.926</v>
      </c>
      <c r="Q450" s="15" t="n">
        <v>95.932</v>
      </c>
      <c r="R450" s="15" t="n">
        <v>261.036</v>
      </c>
      <c r="S450" s="15" t="n">
        <v>155.842</v>
      </c>
      <c r="T450" s="15" t="n">
        <v>2.034</v>
      </c>
      <c r="U450" s="15" t="n">
        <v>2.048</v>
      </c>
      <c r="V450" s="15" t="n"/>
      <c r="W450" s="15" t="n"/>
      <c r="X450" s="15" t="n"/>
      <c r="Y450" s="15" t="n"/>
      <c r="Z450" s="15" t="n"/>
      <c r="AA450" s="15" t="n"/>
      <c r="AB450" s="16" t="n">
        <v>333.573254</v>
      </c>
      <c r="AC450" s="17">
        <f>IF(AND(ISNUMBER(H450),ISNUMBER(I450)),H450+I450,IF(ISNUMBER(K450),K450,IF(ISNUMBER(H450),H450,"")))</f>
        <v/>
      </c>
      <c r="AD450" s="18">
        <f>IF(OR(NOT(ISNUMBER(J450)),NOT(ISNUMBER(H450)),H450&lt;=0),기준표!$B$8,MIN(MAX(J450/H450,기준표!$B$6),기준표!$B$7))</f>
        <v/>
      </c>
      <c r="AE450" s="17">
        <f>IF(ISNUMBER(AC450),AC450*(1-AD450),"")</f>
        <v/>
      </c>
      <c r="AF450" s="17">
        <f>IF(AND(NOT(ISNUMBER(T450)),NOT(ISNUMBER(V450))),"",IF(ISNUMBER(T450),T450,0)+IF(ISNUMBER(V450),V450,0))</f>
        <v/>
      </c>
      <c r="AG450" s="17">
        <f>IF(E450="금융","",IF(AND(ISNUMBER(P450),ISNUMBER(AF450),ISNUMBER(R450)),P450+AF450-R450,""))</f>
        <v/>
      </c>
      <c r="AH450" s="17">
        <f>IF(E450="금융","",IF(NOT(ISNUMBER(AG450)),"",IF(ISNUMBER(AA450),(AG450+AA450)/2,AG450)))</f>
        <v/>
      </c>
      <c r="AI450" s="19">
        <f>IF(AND(ISNUMBER(AE450),ISNUMBER(AH450),AH450&gt;0),AE450/AH450,"")</f>
        <v/>
      </c>
      <c r="AJ450" s="17">
        <f>IF(E450="금융","",IF(AND(ISNUMBER(P450),ISNUMBER(AF450)),P450+AF450,""))</f>
        <v/>
      </c>
      <c r="AK450" s="19">
        <f>IF(OR(NOT(ISNUMBER(AE450)),NOT(ISNUMBER(AJ450)),AJ450&lt;=0),"",IF(AND(ISNUMBER(G450),AJ450&lt;0.1*G450),"",AE450/AJ450))</f>
        <v/>
      </c>
      <c r="AL450" s="17">
        <f>IF(NOT(ISNUMBER(P450)),"",IF(ISNUMBER(Q450),(P450+Q450)/2,P450))</f>
        <v/>
      </c>
      <c r="AM450" s="19">
        <f>IF(AND(ISNUMBER(L450),ISNUMBER(AL450),AL450&gt;0),L450/AL450,"")</f>
        <v/>
      </c>
      <c r="AN450" s="19">
        <f>IF(AND(ISNUMBER(AM450),ISNUMBER({ROIC})),AM450-{ROIC},"")</f>
        <v/>
      </c>
      <c r="AO450" s="17">
        <f>IF(AND(ISNUMBER(AC450),ISNUMBER(M450)),AC450+M450,"")</f>
        <v/>
      </c>
      <c r="AP450" s="20">
        <f>IF(AND(ISNUMBER(AF450),ISNUMBER(R450),ISNUMBER(AO450),AO450&gt;0),(AF450-R450)/AO450,"")</f>
        <v/>
      </c>
      <c r="AQ450" s="20">
        <f>IF(AND(ISNUMBER(AC450),ISNUMBER(I450),I450&lt;&gt;0,AC450&gt;0),AC450/I450,"")</f>
        <v/>
      </c>
      <c r="AR450" s="17">
        <f>IF(AND(ISNUMBER(W450),ISNUMBER(Y450)),W450-IF(ISNUMBER(R450),R450,0)-(Y450-IF(ISNUMBER(T450),T450,0)),"")</f>
        <v/>
      </c>
      <c r="AS450" s="17">
        <f>IF(AND(ISNUMBER(X450),ISNUMBER(Z450)),X450-IF(ISNUMBER(S450),S450,0)-(Z450-IF(ISNUMBER(U450),U450,0)),"")</f>
        <v/>
      </c>
      <c r="AT450" s="17">
        <f>IF(AND(ISNUMBER(AR450),ISNUMBER(AS450)),AR450-AS450,"")</f>
        <v/>
      </c>
      <c r="AU450" s="17">
        <f>IF(E450="금융","",IF(AND(ISNUMBER(L450),ISNUMBER(M450),ISNUMBER(N450),ISNUMBER(AT450)),L450+M450-N450-AT450,IF(AND(ISNUMBER(O450),ISNUMBER(N450)),O450-N450,"")))</f>
        <v/>
      </c>
      <c r="AV450" s="8">
        <f>IF(E450="금융","금융업 - 정의되지 않음",IF(AND(ISNUMBER(L450),ISNUMBER(M450),ISNUMBER(N450),ISNUMBER(AT450)),"순이익+감가상각-설비투자-운전자본증감",IF(AND(ISNUMBER(O450),ISNUMBER(N450)),"영업현금흐름-설비투자","산출불가")))</f>
        <v/>
      </c>
      <c r="AW450" s="19">
        <f>IF(AND(ISNUMBER(AU450),ISNUMBER(G450),G450&lt;&gt;0),AU450/G450,"")</f>
        <v/>
      </c>
      <c r="AX450" s="19">
        <f>IF(AND(ISNUMBER(AC450),ISNUMBER(G450),G450&lt;&gt;0),AC450/G450,"")</f>
        <v/>
      </c>
    </row>
    <row r="451">
      <c r="A451" s="8" t="inlineStr">
        <is>
          <t>GS</t>
        </is>
      </c>
      <c r="B451" s="8" t="inlineStr">
        <is>
          <t>GOLDMAN SACHS GROUP INC</t>
        </is>
      </c>
      <c r="C451" s="8" t="n">
        <v>2022</v>
      </c>
      <c r="D451" s="8" t="inlineStr">
        <is>
          <t>2022-12-31</t>
        </is>
      </c>
      <c r="E451" s="8" t="inlineStr">
        <is>
          <t>금융</t>
        </is>
      </c>
      <c r="F451" s="8" t="inlineStr">
        <is>
          <t>0000886982-25-000005</t>
        </is>
      </c>
      <c r="G451" s="15" t="n">
        <v>47.365</v>
      </c>
      <c r="H451" s="15" t="n">
        <v>13.486</v>
      </c>
      <c r="I451" s="15" t="n">
        <v>21.346</v>
      </c>
      <c r="J451" s="15" t="n">
        <v>2.225</v>
      </c>
      <c r="K451" s="15" t="n"/>
      <c r="L451" s="15" t="n">
        <v>11.261</v>
      </c>
      <c r="M451" s="15" t="n">
        <v>2.455</v>
      </c>
      <c r="N451" s="15" t="n">
        <v>3.748</v>
      </c>
      <c r="O451" s="15" t="n">
        <v>8.708</v>
      </c>
      <c r="P451" s="15" t="n">
        <v>117.189</v>
      </c>
      <c r="Q451" s="15" t="n">
        <v>109.926</v>
      </c>
      <c r="R451" s="15" t="n">
        <v>241.825</v>
      </c>
      <c r="S451" s="15" t="n">
        <v>261.036</v>
      </c>
      <c r="T451" s="15" t="n">
        <v>2.225</v>
      </c>
      <c r="U451" s="15" t="n">
        <v>2.034</v>
      </c>
      <c r="V451" s="15" t="n"/>
      <c r="W451" s="15" t="n"/>
      <c r="X451" s="15" t="n"/>
      <c r="Y451" s="15" t="n"/>
      <c r="Z451" s="15" t="n"/>
      <c r="AA451" s="15" t="n"/>
      <c r="AB451" s="16" t="n">
        <v>334.918639</v>
      </c>
      <c r="AC451" s="17">
        <f>IF(AND(ISNUMBER(H451),ISNUMBER(I451)),H451+I451,IF(ISNUMBER(K451),K451,IF(ISNUMBER(H451),H451,"")))</f>
        <v/>
      </c>
      <c r="AD451" s="18">
        <f>IF(OR(NOT(ISNUMBER(J451)),NOT(ISNUMBER(H451)),H451&lt;=0),기준표!$B$8,MIN(MAX(J451/H451,기준표!$B$6),기준표!$B$7))</f>
        <v/>
      </c>
      <c r="AE451" s="17">
        <f>IF(ISNUMBER(AC451),AC451*(1-AD451),"")</f>
        <v/>
      </c>
      <c r="AF451" s="17">
        <f>IF(AND(NOT(ISNUMBER(T451)),NOT(ISNUMBER(V451))),"",IF(ISNUMBER(T451),T451,0)+IF(ISNUMBER(V451),V451,0))</f>
        <v/>
      </c>
      <c r="AG451" s="17">
        <f>IF(E451="금융","",IF(AND(ISNUMBER(P451),ISNUMBER(AF451),ISNUMBER(R451)),P451+AF451-R451,""))</f>
        <v/>
      </c>
      <c r="AH451" s="17">
        <f>IF(E451="금융","",IF(NOT(ISNUMBER(AG451)),"",IF(ISNUMBER(AA451),(AG451+AA451)/2,AG451)))</f>
        <v/>
      </c>
      <c r="AI451" s="19">
        <f>IF(AND(ISNUMBER(AE451),ISNUMBER(AH451),AH451&gt;0),AE451/AH451,"")</f>
        <v/>
      </c>
      <c r="AJ451" s="17">
        <f>IF(E451="금융","",IF(AND(ISNUMBER(P451),ISNUMBER(AF451)),P451+AF451,""))</f>
        <v/>
      </c>
      <c r="AK451" s="19">
        <f>IF(OR(NOT(ISNUMBER(AE451)),NOT(ISNUMBER(AJ451)),AJ451&lt;=0),"",IF(AND(ISNUMBER(G451),AJ451&lt;0.1*G451),"",AE451/AJ451))</f>
        <v/>
      </c>
      <c r="AL451" s="17">
        <f>IF(NOT(ISNUMBER(P451)),"",IF(ISNUMBER(Q451),(P451+Q451)/2,P451))</f>
        <v/>
      </c>
      <c r="AM451" s="19">
        <f>IF(AND(ISNUMBER(L451),ISNUMBER(AL451),AL451&gt;0),L451/AL451,"")</f>
        <v/>
      </c>
      <c r="AN451" s="19">
        <f>IF(AND(ISNUMBER(AM451),ISNUMBER({ROIC})),AM451-{ROIC},"")</f>
        <v/>
      </c>
      <c r="AO451" s="17">
        <f>IF(AND(ISNUMBER(AC451),ISNUMBER(M451)),AC451+M451,"")</f>
        <v/>
      </c>
      <c r="AP451" s="20">
        <f>IF(AND(ISNUMBER(AF451),ISNUMBER(R451),ISNUMBER(AO451),AO451&gt;0),(AF451-R451)/AO451,"")</f>
        <v/>
      </c>
      <c r="AQ451" s="20">
        <f>IF(AND(ISNUMBER(AC451),ISNUMBER(I451),I451&lt;&gt;0,AC451&gt;0),AC451/I451,"")</f>
        <v/>
      </c>
      <c r="AR451" s="17">
        <f>IF(AND(ISNUMBER(W451),ISNUMBER(Y451)),W451-IF(ISNUMBER(R451),R451,0)-(Y451-IF(ISNUMBER(T451),T451,0)),"")</f>
        <v/>
      </c>
      <c r="AS451" s="17">
        <f>IF(AND(ISNUMBER(X451),ISNUMBER(Z451)),X451-IF(ISNUMBER(S451),S451,0)-(Z451-IF(ISNUMBER(U451),U451,0)),"")</f>
        <v/>
      </c>
      <c r="AT451" s="17">
        <f>IF(AND(ISNUMBER(AR451),ISNUMBER(AS451)),AR451-AS451,"")</f>
        <v/>
      </c>
      <c r="AU451" s="17">
        <f>IF(E451="금융","",IF(AND(ISNUMBER(L451),ISNUMBER(M451),ISNUMBER(N451),ISNUMBER(AT451)),L451+M451-N451-AT451,IF(AND(ISNUMBER(O451),ISNUMBER(N451)),O451-N451,"")))</f>
        <v/>
      </c>
      <c r="AV451" s="8">
        <f>IF(E451="금융","금융업 - 정의되지 않음",IF(AND(ISNUMBER(L451),ISNUMBER(M451),ISNUMBER(N451),ISNUMBER(AT451)),"순이익+감가상각-설비투자-운전자본증감",IF(AND(ISNUMBER(O451),ISNUMBER(N451)),"영업현금흐름-설비투자","산출불가")))</f>
        <v/>
      </c>
      <c r="AW451" s="19">
        <f>IF(AND(ISNUMBER(AU451),ISNUMBER(G451),G451&lt;&gt;0),AU451/G451,"")</f>
        <v/>
      </c>
      <c r="AX451" s="19">
        <f>IF(AND(ISNUMBER(AC451),ISNUMBER(G451),G451&lt;&gt;0),AC451/G451,"")</f>
        <v/>
      </c>
    </row>
    <row r="452">
      <c r="A452" s="8" t="inlineStr">
        <is>
          <t>GS</t>
        </is>
      </c>
      <c r="B452" s="8" t="inlineStr">
        <is>
          <t>GOLDMAN SACHS GROUP INC</t>
        </is>
      </c>
      <c r="C452" s="8" t="n">
        <v>2023</v>
      </c>
      <c r="D452" s="8" t="inlineStr">
        <is>
          <t>2023-12-31</t>
        </is>
      </c>
      <c r="E452" s="8" t="inlineStr">
        <is>
          <t>금융</t>
        </is>
      </c>
      <c r="F452" s="8" t="inlineStr">
        <is>
          <t>0000886982-26-000091</t>
        </is>
      </c>
      <c r="G452" s="15" t="n">
        <v>46.254</v>
      </c>
      <c r="H452" s="15" t="n">
        <v>10.739</v>
      </c>
      <c r="I452" s="15" t="n">
        <v>62.164</v>
      </c>
      <c r="J452" s="15" t="n">
        <v>2.223</v>
      </c>
      <c r="K452" s="15" t="n"/>
      <c r="L452" s="15" t="n">
        <v>8.516</v>
      </c>
      <c r="M452" s="15" t="n">
        <v>4.856</v>
      </c>
      <c r="N452" s="15" t="n">
        <v>2.316</v>
      </c>
      <c r="O452" s="15" t="n">
        <v>-12.587</v>
      </c>
      <c r="P452" s="15" t="n">
        <v>116.905</v>
      </c>
      <c r="Q452" s="15" t="n">
        <v>117.189</v>
      </c>
      <c r="R452" s="15" t="n">
        <v>241.577</v>
      </c>
      <c r="S452" s="15" t="n">
        <v>241.825</v>
      </c>
      <c r="T452" s="15" t="n">
        <v>2.298</v>
      </c>
      <c r="U452" s="15" t="n">
        <v>2.225</v>
      </c>
      <c r="V452" s="15" t="n"/>
      <c r="W452" s="15" t="n"/>
      <c r="X452" s="15" t="n"/>
      <c r="Y452" s="15" t="n"/>
      <c r="Z452" s="15" t="n"/>
      <c r="AA452" s="15" t="n"/>
      <c r="AB452" s="16" t="n">
        <v>323.376354</v>
      </c>
      <c r="AC452" s="17">
        <f>IF(AND(ISNUMBER(H452),ISNUMBER(I452)),H452+I452,IF(ISNUMBER(K452),K452,IF(ISNUMBER(H452),H452,"")))</f>
        <v/>
      </c>
      <c r="AD452" s="18">
        <f>IF(OR(NOT(ISNUMBER(J452)),NOT(ISNUMBER(H452)),H452&lt;=0),기준표!$B$8,MIN(MAX(J452/H452,기준표!$B$6),기준표!$B$7))</f>
        <v/>
      </c>
      <c r="AE452" s="17">
        <f>IF(ISNUMBER(AC452),AC452*(1-AD452),"")</f>
        <v/>
      </c>
      <c r="AF452" s="17">
        <f>IF(AND(NOT(ISNUMBER(T452)),NOT(ISNUMBER(V452))),"",IF(ISNUMBER(T452),T452,0)+IF(ISNUMBER(V452),V452,0))</f>
        <v/>
      </c>
      <c r="AG452" s="17">
        <f>IF(E452="금융","",IF(AND(ISNUMBER(P452),ISNUMBER(AF452),ISNUMBER(R452)),P452+AF452-R452,""))</f>
        <v/>
      </c>
      <c r="AH452" s="17">
        <f>IF(E452="금융","",IF(NOT(ISNUMBER(AG452)),"",IF(ISNUMBER(AA452),(AG452+AA452)/2,AG452)))</f>
        <v/>
      </c>
      <c r="AI452" s="19">
        <f>IF(AND(ISNUMBER(AE452),ISNUMBER(AH452),AH452&gt;0),AE452/AH452,"")</f>
        <v/>
      </c>
      <c r="AJ452" s="17">
        <f>IF(E452="금융","",IF(AND(ISNUMBER(P452),ISNUMBER(AF452)),P452+AF452,""))</f>
        <v/>
      </c>
      <c r="AK452" s="19">
        <f>IF(OR(NOT(ISNUMBER(AE452)),NOT(ISNUMBER(AJ452)),AJ452&lt;=0),"",IF(AND(ISNUMBER(G452),AJ452&lt;0.1*G452),"",AE452/AJ452))</f>
        <v/>
      </c>
      <c r="AL452" s="17">
        <f>IF(NOT(ISNUMBER(P452)),"",IF(ISNUMBER(Q452),(P452+Q452)/2,P452))</f>
        <v/>
      </c>
      <c r="AM452" s="19">
        <f>IF(AND(ISNUMBER(L452),ISNUMBER(AL452),AL452&gt;0),L452/AL452,"")</f>
        <v/>
      </c>
      <c r="AN452" s="19">
        <f>IF(AND(ISNUMBER(AM452),ISNUMBER({ROIC})),AM452-{ROIC},"")</f>
        <v/>
      </c>
      <c r="AO452" s="17">
        <f>IF(AND(ISNUMBER(AC452),ISNUMBER(M452)),AC452+M452,"")</f>
        <v/>
      </c>
      <c r="AP452" s="20">
        <f>IF(AND(ISNUMBER(AF452),ISNUMBER(R452),ISNUMBER(AO452),AO452&gt;0),(AF452-R452)/AO452,"")</f>
        <v/>
      </c>
      <c r="AQ452" s="20">
        <f>IF(AND(ISNUMBER(AC452),ISNUMBER(I452),I452&lt;&gt;0,AC452&gt;0),AC452/I452,"")</f>
        <v/>
      </c>
      <c r="AR452" s="17">
        <f>IF(AND(ISNUMBER(W452),ISNUMBER(Y452)),W452-IF(ISNUMBER(R452),R452,0)-(Y452-IF(ISNUMBER(T452),T452,0)),"")</f>
        <v/>
      </c>
      <c r="AS452" s="17">
        <f>IF(AND(ISNUMBER(X452),ISNUMBER(Z452)),X452-IF(ISNUMBER(S452),S452,0)-(Z452-IF(ISNUMBER(U452),U452,0)),"")</f>
        <v/>
      </c>
      <c r="AT452" s="17">
        <f>IF(AND(ISNUMBER(AR452),ISNUMBER(AS452)),AR452-AS452,"")</f>
        <v/>
      </c>
      <c r="AU452" s="17">
        <f>IF(E452="금융","",IF(AND(ISNUMBER(L452),ISNUMBER(M452),ISNUMBER(N452),ISNUMBER(AT452)),L452+M452-N452-AT452,IF(AND(ISNUMBER(O452),ISNUMBER(N452)),O452-N452,"")))</f>
        <v/>
      </c>
      <c r="AV452" s="8">
        <f>IF(E452="금융","금융업 - 정의되지 않음",IF(AND(ISNUMBER(L452),ISNUMBER(M452),ISNUMBER(N452),ISNUMBER(AT452)),"순이익+감가상각-설비투자-운전자본증감",IF(AND(ISNUMBER(O452),ISNUMBER(N452)),"영업현금흐름-설비투자","산출불가")))</f>
        <v/>
      </c>
      <c r="AW452" s="19">
        <f>IF(AND(ISNUMBER(AU452),ISNUMBER(G452),G452&lt;&gt;0),AU452/G452,"")</f>
        <v/>
      </c>
      <c r="AX452" s="19">
        <f>IF(AND(ISNUMBER(AC452),ISNUMBER(G452),G452&lt;&gt;0),AC452/G452,"")</f>
        <v/>
      </c>
    </row>
    <row r="453">
      <c r="A453" s="8" t="inlineStr">
        <is>
          <t>GS</t>
        </is>
      </c>
      <c r="B453" s="8" t="inlineStr">
        <is>
          <t>GOLDMAN SACHS GROUP INC</t>
        </is>
      </c>
      <c r="C453" s="8" t="n">
        <v>2024</v>
      </c>
      <c r="D453" s="8" t="inlineStr">
        <is>
          <t>2024-12-31</t>
        </is>
      </c>
      <c r="E453" s="8" t="inlineStr">
        <is>
          <t>금융</t>
        </is>
      </c>
      <c r="F453" s="8" t="inlineStr">
        <is>
          <t>0000886982-26-000091</t>
        </is>
      </c>
      <c r="G453" s="15" t="n">
        <v>53.512</v>
      </c>
      <c r="H453" s="15" t="n">
        <v>18.397</v>
      </c>
      <c r="I453" s="15" t="n">
        <v>73.34099999999999</v>
      </c>
      <c r="J453" s="15" t="n">
        <v>4.121</v>
      </c>
      <c r="K453" s="15" t="n"/>
      <c r="L453" s="15" t="n">
        <v>14.276</v>
      </c>
      <c r="M453" s="15" t="n">
        <v>2.392</v>
      </c>
      <c r="N453" s="15" t="n">
        <v>2.091</v>
      </c>
      <c r="O453" s="15" t="n">
        <v>-13.212</v>
      </c>
      <c r="P453" s="15" t="n">
        <v>121.996</v>
      </c>
      <c r="Q453" s="15" t="n">
        <v>116.905</v>
      </c>
      <c r="R453" s="15" t="n">
        <v>182.092</v>
      </c>
      <c r="S453" s="15" t="n">
        <v>241.577</v>
      </c>
      <c r="T453" s="15" t="n">
        <v>2.058</v>
      </c>
      <c r="U453" s="15" t="n">
        <v>2.298</v>
      </c>
      <c r="V453" s="15" t="n"/>
      <c r="W453" s="15" t="n"/>
      <c r="X453" s="15" t="n"/>
      <c r="Y453" s="15" t="n"/>
      <c r="Z453" s="15" t="n"/>
      <c r="AA453" s="15" t="n"/>
      <c r="AB453" s="16" t="n">
        <v>310.653708</v>
      </c>
      <c r="AC453" s="17">
        <f>IF(AND(ISNUMBER(H453),ISNUMBER(I453)),H453+I453,IF(ISNUMBER(K453),K453,IF(ISNUMBER(H453),H453,"")))</f>
        <v/>
      </c>
      <c r="AD453" s="18">
        <f>IF(OR(NOT(ISNUMBER(J453)),NOT(ISNUMBER(H453)),H453&lt;=0),기준표!$B$8,MIN(MAX(J453/H453,기준표!$B$6),기준표!$B$7))</f>
        <v/>
      </c>
      <c r="AE453" s="17">
        <f>IF(ISNUMBER(AC453),AC453*(1-AD453),"")</f>
        <v/>
      </c>
      <c r="AF453" s="17">
        <f>IF(AND(NOT(ISNUMBER(T453)),NOT(ISNUMBER(V453))),"",IF(ISNUMBER(T453),T453,0)+IF(ISNUMBER(V453),V453,0))</f>
        <v/>
      </c>
      <c r="AG453" s="17">
        <f>IF(E453="금융","",IF(AND(ISNUMBER(P453),ISNUMBER(AF453),ISNUMBER(R453)),P453+AF453-R453,""))</f>
        <v/>
      </c>
      <c r="AH453" s="17">
        <f>IF(E453="금융","",IF(NOT(ISNUMBER(AG453)),"",IF(ISNUMBER(AA453),(AG453+AA453)/2,AG453)))</f>
        <v/>
      </c>
      <c r="AI453" s="19">
        <f>IF(AND(ISNUMBER(AE453),ISNUMBER(AH453),AH453&gt;0),AE453/AH453,"")</f>
        <v/>
      </c>
      <c r="AJ453" s="17">
        <f>IF(E453="금융","",IF(AND(ISNUMBER(P453),ISNUMBER(AF453)),P453+AF453,""))</f>
        <v/>
      </c>
      <c r="AK453" s="19">
        <f>IF(OR(NOT(ISNUMBER(AE453)),NOT(ISNUMBER(AJ453)),AJ453&lt;=0),"",IF(AND(ISNUMBER(G453),AJ453&lt;0.1*G453),"",AE453/AJ453))</f>
        <v/>
      </c>
      <c r="AL453" s="17">
        <f>IF(NOT(ISNUMBER(P453)),"",IF(ISNUMBER(Q453),(P453+Q453)/2,P453))</f>
        <v/>
      </c>
      <c r="AM453" s="19">
        <f>IF(AND(ISNUMBER(L453),ISNUMBER(AL453),AL453&gt;0),L453/AL453,"")</f>
        <v/>
      </c>
      <c r="AN453" s="19">
        <f>IF(AND(ISNUMBER(AM453),ISNUMBER({ROIC})),AM453-{ROIC},"")</f>
        <v/>
      </c>
      <c r="AO453" s="17">
        <f>IF(AND(ISNUMBER(AC453),ISNUMBER(M453)),AC453+M453,"")</f>
        <v/>
      </c>
      <c r="AP453" s="20">
        <f>IF(AND(ISNUMBER(AF453),ISNUMBER(R453),ISNUMBER(AO453),AO453&gt;0),(AF453-R453)/AO453,"")</f>
        <v/>
      </c>
      <c r="AQ453" s="20">
        <f>IF(AND(ISNUMBER(AC453),ISNUMBER(I453),I453&lt;&gt;0,AC453&gt;0),AC453/I453,"")</f>
        <v/>
      </c>
      <c r="AR453" s="17">
        <f>IF(AND(ISNUMBER(W453),ISNUMBER(Y453)),W453-IF(ISNUMBER(R453),R453,0)-(Y453-IF(ISNUMBER(T453),T453,0)),"")</f>
        <v/>
      </c>
      <c r="AS453" s="17">
        <f>IF(AND(ISNUMBER(X453),ISNUMBER(Z453)),X453-IF(ISNUMBER(S453),S453,0)-(Z453-IF(ISNUMBER(U453),U453,0)),"")</f>
        <v/>
      </c>
      <c r="AT453" s="17">
        <f>IF(AND(ISNUMBER(AR453),ISNUMBER(AS453)),AR453-AS453,"")</f>
        <v/>
      </c>
      <c r="AU453" s="17">
        <f>IF(E453="금융","",IF(AND(ISNUMBER(L453),ISNUMBER(M453),ISNUMBER(N453),ISNUMBER(AT453)),L453+M453-N453-AT453,IF(AND(ISNUMBER(O453),ISNUMBER(N453)),O453-N453,"")))</f>
        <v/>
      </c>
      <c r="AV453" s="8">
        <f>IF(E453="금융","금융업 - 정의되지 않음",IF(AND(ISNUMBER(L453),ISNUMBER(M453),ISNUMBER(N453),ISNUMBER(AT453)),"순이익+감가상각-설비투자-운전자본증감",IF(AND(ISNUMBER(O453),ISNUMBER(N453)),"영업현금흐름-설비투자","산출불가")))</f>
        <v/>
      </c>
      <c r="AW453" s="19">
        <f>IF(AND(ISNUMBER(AU453),ISNUMBER(G453),G453&lt;&gt;0),AU453/G453,"")</f>
        <v/>
      </c>
      <c r="AX453" s="19">
        <f>IF(AND(ISNUMBER(AC453),ISNUMBER(G453),G453&lt;&gt;0),AC453/G453,"")</f>
        <v/>
      </c>
    </row>
    <row r="454">
      <c r="A454" s="8" t="inlineStr">
        <is>
          <t>GS</t>
        </is>
      </c>
      <c r="B454" s="8" t="inlineStr">
        <is>
          <t>GOLDMAN SACHS GROUP INC</t>
        </is>
      </c>
      <c r="C454" s="8" t="n">
        <v>2025</v>
      </c>
      <c r="D454" s="8" t="inlineStr">
        <is>
          <t>2025-12-31</t>
        </is>
      </c>
      <c r="E454" s="8" t="inlineStr">
        <is>
          <t>금융</t>
        </is>
      </c>
      <c r="F454" s="8" t="inlineStr">
        <is>
          <t>0000886982-26-000091</t>
        </is>
      </c>
      <c r="G454" s="15" t="n">
        <v>58.283</v>
      </c>
      <c r="H454" s="15" t="n">
        <v>21.852</v>
      </c>
      <c r="I454" s="15" t="n">
        <v>66.81399999999999</v>
      </c>
      <c r="J454" s="15" t="n">
        <v>4.676</v>
      </c>
      <c r="K454" s="15" t="n"/>
      <c r="L454" s="15" t="n">
        <v>17.176</v>
      </c>
      <c r="M454" s="15" t="n">
        <v>2.182</v>
      </c>
      <c r="N454" s="15" t="n">
        <v>2.064</v>
      </c>
      <c r="O454" s="15" t="n">
        <v>-45.154</v>
      </c>
      <c r="P454" s="15" t="n">
        <v>124.972</v>
      </c>
      <c r="Q454" s="15" t="n">
        <v>121.996</v>
      </c>
      <c r="R454" s="15" t="n">
        <v>164.259</v>
      </c>
      <c r="S454" s="15" t="n">
        <v>182.092</v>
      </c>
      <c r="T454" s="15" t="n"/>
      <c r="U454" s="15" t="n">
        <v>2.058</v>
      </c>
      <c r="V454" s="15" t="n"/>
      <c r="W454" s="15" t="n"/>
      <c r="X454" s="15" t="n"/>
      <c r="Y454" s="15" t="n"/>
      <c r="Z454" s="15" t="n"/>
      <c r="AA454" s="15" t="n"/>
      <c r="AB454" s="16" t="n">
        <v>296.476742</v>
      </c>
      <c r="AC454" s="17">
        <f>IF(AND(ISNUMBER(H454),ISNUMBER(I454)),H454+I454,IF(ISNUMBER(K454),K454,IF(ISNUMBER(H454),H454,"")))</f>
        <v/>
      </c>
      <c r="AD454" s="18">
        <f>IF(OR(NOT(ISNUMBER(J454)),NOT(ISNUMBER(H454)),H454&lt;=0),기준표!$B$8,MIN(MAX(J454/H454,기준표!$B$6),기준표!$B$7))</f>
        <v/>
      </c>
      <c r="AE454" s="17">
        <f>IF(ISNUMBER(AC454),AC454*(1-AD454),"")</f>
        <v/>
      </c>
      <c r="AF454" s="17">
        <f>IF(AND(NOT(ISNUMBER(T454)),NOT(ISNUMBER(V454))),"",IF(ISNUMBER(T454),T454,0)+IF(ISNUMBER(V454),V454,0))</f>
        <v/>
      </c>
      <c r="AG454" s="17">
        <f>IF(E454="금융","",IF(AND(ISNUMBER(P454),ISNUMBER(AF454),ISNUMBER(R454)),P454+AF454-R454,""))</f>
        <v/>
      </c>
      <c r="AH454" s="17">
        <f>IF(E454="금융","",IF(NOT(ISNUMBER(AG454)),"",IF(ISNUMBER(AA454),(AG454+AA454)/2,AG454)))</f>
        <v/>
      </c>
      <c r="AI454" s="19">
        <f>IF(AND(ISNUMBER(AE454),ISNUMBER(AH454),AH454&gt;0),AE454/AH454,"")</f>
        <v/>
      </c>
      <c r="AJ454" s="17">
        <f>IF(E454="금융","",IF(AND(ISNUMBER(P454),ISNUMBER(AF454)),P454+AF454,""))</f>
        <v/>
      </c>
      <c r="AK454" s="19">
        <f>IF(OR(NOT(ISNUMBER(AE454)),NOT(ISNUMBER(AJ454)),AJ454&lt;=0),"",IF(AND(ISNUMBER(G454),AJ454&lt;0.1*G454),"",AE454/AJ454))</f>
        <v/>
      </c>
      <c r="AL454" s="17">
        <f>IF(NOT(ISNUMBER(P454)),"",IF(ISNUMBER(Q454),(P454+Q454)/2,P454))</f>
        <v/>
      </c>
      <c r="AM454" s="19">
        <f>IF(AND(ISNUMBER(L454),ISNUMBER(AL454),AL454&gt;0),L454/AL454,"")</f>
        <v/>
      </c>
      <c r="AN454" s="19">
        <f>IF(AND(ISNUMBER(AM454),ISNUMBER({ROIC})),AM454-{ROIC},"")</f>
        <v/>
      </c>
      <c r="AO454" s="17">
        <f>IF(AND(ISNUMBER(AC454),ISNUMBER(M454)),AC454+M454,"")</f>
        <v/>
      </c>
      <c r="AP454" s="20">
        <f>IF(AND(ISNUMBER(AF454),ISNUMBER(R454),ISNUMBER(AO454),AO454&gt;0),(AF454-R454)/AO454,"")</f>
        <v/>
      </c>
      <c r="AQ454" s="20">
        <f>IF(AND(ISNUMBER(AC454),ISNUMBER(I454),I454&lt;&gt;0,AC454&gt;0),AC454/I454,"")</f>
        <v/>
      </c>
      <c r="AR454" s="17">
        <f>IF(AND(ISNUMBER(W454),ISNUMBER(Y454)),W454-IF(ISNUMBER(R454),R454,0)-(Y454-IF(ISNUMBER(T454),T454,0)),"")</f>
        <v/>
      </c>
      <c r="AS454" s="17">
        <f>IF(AND(ISNUMBER(X454),ISNUMBER(Z454)),X454-IF(ISNUMBER(S454),S454,0)-(Z454-IF(ISNUMBER(U454),U454,0)),"")</f>
        <v/>
      </c>
      <c r="AT454" s="17">
        <f>IF(AND(ISNUMBER(AR454),ISNUMBER(AS454)),AR454-AS454,"")</f>
        <v/>
      </c>
      <c r="AU454" s="17">
        <f>IF(E454="금융","",IF(AND(ISNUMBER(L454),ISNUMBER(M454),ISNUMBER(N454),ISNUMBER(AT454)),L454+M454-N454-AT454,IF(AND(ISNUMBER(O454),ISNUMBER(N454)),O454-N454,"")))</f>
        <v/>
      </c>
      <c r="AV454" s="8">
        <f>IF(E454="금융","금융업 - 정의되지 않음",IF(AND(ISNUMBER(L454),ISNUMBER(M454),ISNUMBER(N454),ISNUMBER(AT454)),"순이익+감가상각-설비투자-운전자본증감",IF(AND(ISNUMBER(O454),ISNUMBER(N454)),"영업현금흐름-설비투자","산출불가")))</f>
        <v/>
      </c>
      <c r="AW454" s="19">
        <f>IF(AND(ISNUMBER(AU454),ISNUMBER(G454),G454&lt;&gt;0),AU454/G454,"")</f>
        <v/>
      </c>
      <c r="AX454" s="19">
        <f>IF(AND(ISNUMBER(AC454),ISNUMBER(G454),G454&lt;&gt;0),AC454/G454,"")</f>
        <v/>
      </c>
    </row>
    <row r="455">
      <c r="A455" s="8" t="inlineStr">
        <is>
          <t>RTX</t>
        </is>
      </c>
      <c r="B455" s="8" t="inlineStr">
        <is>
          <t>RTX Corp</t>
        </is>
      </c>
      <c r="C455" s="8" t="n">
        <v>2014</v>
      </c>
      <c r="D455" s="8" t="inlineStr">
        <is>
          <t>2014-12-31</t>
        </is>
      </c>
      <c r="E455" s="8" t="inlineStr">
        <is>
          <t>일반</t>
        </is>
      </c>
      <c r="F455" s="8" t="inlineStr">
        <is>
          <t>0000101829-17-000007</t>
        </is>
      </c>
      <c r="G455" s="15" t="n"/>
      <c r="H455" s="15" t="n">
        <v>8.712</v>
      </c>
      <c r="I455" s="15" t="n">
        <v>0.881</v>
      </c>
      <c r="J455" s="15" t="n">
        <v>2.244</v>
      </c>
      <c r="K455" s="15" t="n">
        <v>9.593</v>
      </c>
      <c r="L455" s="15" t="n">
        <v>6.22</v>
      </c>
      <c r="M455" s="15" t="n">
        <v>1.82</v>
      </c>
      <c r="N455" s="15" t="n"/>
      <c r="O455" s="15" t="n">
        <v>7.336</v>
      </c>
      <c r="P455" s="15" t="n">
        <v>31.213</v>
      </c>
      <c r="Q455" s="15" t="n"/>
      <c r="R455" s="15" t="n">
        <v>5.229</v>
      </c>
      <c r="S455" s="15" t="n"/>
      <c r="T455" s="15" t="n">
        <v>0.126</v>
      </c>
      <c r="U455" s="15" t="n"/>
      <c r="V455" s="15" t="n">
        <v>17.784</v>
      </c>
      <c r="W455" s="15" t="n">
        <v>31.483</v>
      </c>
      <c r="X455" s="15" t="n"/>
      <c r="Y455" s="15" t="n">
        <v>23.475</v>
      </c>
      <c r="Z455" s="15" t="n"/>
      <c r="AA455" s="15" t="n"/>
      <c r="AB455" s="16" t="n">
        <v>911.6</v>
      </c>
      <c r="AC455" s="17">
        <f>IF(AND(ISNUMBER(H455),ISNUMBER(I455)),H455+I455,IF(ISNUMBER(K455),K455,IF(ISNUMBER(H455),H455,"")))</f>
        <v/>
      </c>
      <c r="AD455" s="18">
        <f>IF(OR(NOT(ISNUMBER(J455)),NOT(ISNUMBER(H455)),H455&lt;=0),기준표!$B$8,MIN(MAX(J455/H455,기준표!$B$6),기준표!$B$7))</f>
        <v/>
      </c>
      <c r="AE455" s="17">
        <f>IF(ISNUMBER(AC455),AC455*(1-AD455),"")</f>
        <v/>
      </c>
      <c r="AF455" s="17">
        <f>IF(AND(NOT(ISNUMBER(T455)),NOT(ISNUMBER(V455))),"",IF(ISNUMBER(T455),T455,0)+IF(ISNUMBER(V455),V455,0))</f>
        <v/>
      </c>
      <c r="AG455" s="17">
        <f>IF(E455="금융","",IF(AND(ISNUMBER(P455),ISNUMBER(AF455),ISNUMBER(R455)),P455+AF455-R455,""))</f>
        <v/>
      </c>
      <c r="AH455" s="17">
        <f>IF(E455="금융","",IF(NOT(ISNUMBER(AG455)),"",IF(ISNUMBER(AA455),(AG455+AA455)/2,AG455)))</f>
        <v/>
      </c>
      <c r="AI455" s="19">
        <f>IF(AND(ISNUMBER(AE455),ISNUMBER(AH455),AH455&gt;0),AE455/AH455,"")</f>
        <v/>
      </c>
      <c r="AJ455" s="17">
        <f>IF(E455="금융","",IF(AND(ISNUMBER(P455),ISNUMBER(AF455)),P455+AF455,""))</f>
        <v/>
      </c>
      <c r="AK455" s="19">
        <f>IF(OR(NOT(ISNUMBER(AE455)),NOT(ISNUMBER(AJ455)),AJ455&lt;=0),"",IF(AND(ISNUMBER(G455),AJ455&lt;0.1*G455),"",AE455/AJ455))</f>
        <v/>
      </c>
      <c r="AL455" s="17">
        <f>IF(NOT(ISNUMBER(P455)),"",IF(ISNUMBER(Q455),(P455+Q455)/2,P455))</f>
        <v/>
      </c>
      <c r="AM455" s="19">
        <f>IF(AND(ISNUMBER(L455),ISNUMBER(AL455),AL455&gt;0),L455/AL455,"")</f>
        <v/>
      </c>
      <c r="AN455" s="19">
        <f>IF(AND(ISNUMBER(AM455),ISNUMBER({ROIC})),AM455-{ROIC},"")</f>
        <v/>
      </c>
      <c r="AO455" s="17">
        <f>IF(AND(ISNUMBER(AC455),ISNUMBER(M455)),AC455+M455,"")</f>
        <v/>
      </c>
      <c r="AP455" s="20">
        <f>IF(AND(ISNUMBER(AF455),ISNUMBER(R455),ISNUMBER(AO455),AO455&gt;0),(AF455-R455)/AO455,"")</f>
        <v/>
      </c>
      <c r="AQ455" s="20">
        <f>IF(AND(ISNUMBER(AC455),ISNUMBER(I455),I455&lt;&gt;0,AC455&gt;0),AC455/I455,"")</f>
        <v/>
      </c>
      <c r="AR455" s="17">
        <f>IF(AND(ISNUMBER(W455),ISNUMBER(Y455)),W455-IF(ISNUMBER(R455),R455,0)-(Y455-IF(ISNUMBER(T455),T455,0)),"")</f>
        <v/>
      </c>
      <c r="AS455" s="17">
        <f>IF(AND(ISNUMBER(X455),ISNUMBER(Z455)),X455-IF(ISNUMBER(S455),S455,0)-(Z455-IF(ISNUMBER(U455),U455,0)),"")</f>
        <v/>
      </c>
      <c r="AT455" s="17">
        <f>IF(AND(ISNUMBER(AR455),ISNUMBER(AS455)),AR455-AS455,"")</f>
        <v/>
      </c>
      <c r="AU455" s="17">
        <f>IF(E455="금융","",IF(AND(ISNUMBER(L455),ISNUMBER(M455),ISNUMBER(N455),ISNUMBER(AT455)),L455+M455-N455-AT455,IF(AND(ISNUMBER(O455),ISNUMBER(N455)),O455-N455,"")))</f>
        <v/>
      </c>
      <c r="AV455" s="8">
        <f>IF(E455="금융","금융업 - 정의되지 않음",IF(AND(ISNUMBER(L455),ISNUMBER(M455),ISNUMBER(N455),ISNUMBER(AT455)),"순이익+감가상각-설비투자-운전자본증감",IF(AND(ISNUMBER(O455),ISNUMBER(N455)),"영업현금흐름-설비투자","산출불가")))</f>
        <v/>
      </c>
      <c r="AW455" s="19">
        <f>IF(AND(ISNUMBER(AU455),ISNUMBER(G455),G455&lt;&gt;0),AU455/G455,"")</f>
        <v/>
      </c>
      <c r="AX455" s="19">
        <f>IF(AND(ISNUMBER(AC455),ISNUMBER(G455),G455&lt;&gt;0),AC455/G455,"")</f>
        <v/>
      </c>
    </row>
    <row r="456">
      <c r="A456" s="8" t="inlineStr">
        <is>
          <t>RTX</t>
        </is>
      </c>
      <c r="B456" s="8" t="inlineStr">
        <is>
          <t>RTX Corp</t>
        </is>
      </c>
      <c r="C456" s="8" t="n">
        <v>2015</v>
      </c>
      <c r="D456" s="8" t="inlineStr">
        <is>
          <t>2015-12-31</t>
        </is>
      </c>
      <c r="E456" s="8" t="inlineStr">
        <is>
          <t>일반</t>
        </is>
      </c>
      <c r="F456" s="8" t="inlineStr">
        <is>
          <t>0000101829-18-000005</t>
        </is>
      </c>
      <c r="G456" s="15" t="n"/>
      <c r="H456" s="15" t="n">
        <v>6.467</v>
      </c>
      <c r="I456" s="15" t="n">
        <v>0.824</v>
      </c>
      <c r="J456" s="15" t="n">
        <v>2.111</v>
      </c>
      <c r="K456" s="15" t="n">
        <v>7.291</v>
      </c>
      <c r="L456" s="15" t="n">
        <v>7.608</v>
      </c>
      <c r="M456" s="15" t="n">
        <v>1.863</v>
      </c>
      <c r="N456" s="15" t="n"/>
      <c r="O456" s="15" t="n"/>
      <c r="P456" s="15" t="n">
        <v>27.358</v>
      </c>
      <c r="Q456" s="15" t="n">
        <v>31.213</v>
      </c>
      <c r="R456" s="15" t="n">
        <v>7.075</v>
      </c>
      <c r="S456" s="15" t="n">
        <v>5.229</v>
      </c>
      <c r="T456" s="15" t="n">
        <v>0.926</v>
      </c>
      <c r="U456" s="15" t="n">
        <v>0.126</v>
      </c>
      <c r="V456" s="15" t="n">
        <v>19.32</v>
      </c>
      <c r="W456" s="15" t="n">
        <v>26.706</v>
      </c>
      <c r="X456" s="15" t="n">
        <v>31.483</v>
      </c>
      <c r="Y456" s="15" t="n">
        <v>22.618</v>
      </c>
      <c r="Z456" s="15" t="n">
        <v>23.475</v>
      </c>
      <c r="AA456" s="15" t="n">
        <v>43.894</v>
      </c>
      <c r="AB456" s="16" t="n">
        <v>883.2</v>
      </c>
      <c r="AC456" s="17">
        <f>IF(AND(ISNUMBER(H456),ISNUMBER(I456)),H456+I456,IF(ISNUMBER(K456),K456,IF(ISNUMBER(H456),H456,"")))</f>
        <v/>
      </c>
      <c r="AD456" s="18">
        <f>IF(OR(NOT(ISNUMBER(J456)),NOT(ISNUMBER(H456)),H456&lt;=0),기준표!$B$8,MIN(MAX(J456/H456,기준표!$B$6),기준표!$B$7))</f>
        <v/>
      </c>
      <c r="AE456" s="17">
        <f>IF(ISNUMBER(AC456),AC456*(1-AD456),"")</f>
        <v/>
      </c>
      <c r="AF456" s="17">
        <f>IF(AND(NOT(ISNUMBER(T456)),NOT(ISNUMBER(V456))),"",IF(ISNUMBER(T456),T456,0)+IF(ISNUMBER(V456),V456,0))</f>
        <v/>
      </c>
      <c r="AG456" s="17">
        <f>IF(E456="금융","",IF(AND(ISNUMBER(P456),ISNUMBER(AF456),ISNUMBER(R456)),P456+AF456-R456,""))</f>
        <v/>
      </c>
      <c r="AH456" s="17">
        <f>IF(E456="금융","",IF(NOT(ISNUMBER(AG456)),"",IF(ISNUMBER(AA456),(AG456+AA456)/2,AG456)))</f>
        <v/>
      </c>
      <c r="AI456" s="19">
        <f>IF(AND(ISNUMBER(AE456),ISNUMBER(AH456),AH456&gt;0),AE456/AH456,"")</f>
        <v/>
      </c>
      <c r="AJ456" s="17">
        <f>IF(E456="금융","",IF(AND(ISNUMBER(P456),ISNUMBER(AF456)),P456+AF456,""))</f>
        <v/>
      </c>
      <c r="AK456" s="19">
        <f>IF(OR(NOT(ISNUMBER(AE456)),NOT(ISNUMBER(AJ456)),AJ456&lt;=0),"",IF(AND(ISNUMBER(G456),AJ456&lt;0.1*G456),"",AE456/AJ456))</f>
        <v/>
      </c>
      <c r="AL456" s="17">
        <f>IF(NOT(ISNUMBER(P456)),"",IF(ISNUMBER(Q456),(P456+Q456)/2,P456))</f>
        <v/>
      </c>
      <c r="AM456" s="19">
        <f>IF(AND(ISNUMBER(L456),ISNUMBER(AL456),AL456&gt;0),L456/AL456,"")</f>
        <v/>
      </c>
      <c r="AN456" s="19">
        <f>IF(AND(ISNUMBER(AM456),ISNUMBER({ROIC})),AM456-{ROIC},"")</f>
        <v/>
      </c>
      <c r="AO456" s="17">
        <f>IF(AND(ISNUMBER(AC456),ISNUMBER(M456)),AC456+M456,"")</f>
        <v/>
      </c>
      <c r="AP456" s="20">
        <f>IF(AND(ISNUMBER(AF456),ISNUMBER(R456),ISNUMBER(AO456),AO456&gt;0),(AF456-R456)/AO456,"")</f>
        <v/>
      </c>
      <c r="AQ456" s="20">
        <f>IF(AND(ISNUMBER(AC456),ISNUMBER(I456),I456&lt;&gt;0,AC456&gt;0),AC456/I456,"")</f>
        <v/>
      </c>
      <c r="AR456" s="17">
        <f>IF(AND(ISNUMBER(W456),ISNUMBER(Y456)),W456-IF(ISNUMBER(R456),R456,0)-(Y456-IF(ISNUMBER(T456),T456,0)),"")</f>
        <v/>
      </c>
      <c r="AS456" s="17">
        <f>IF(AND(ISNUMBER(X456),ISNUMBER(Z456)),X456-IF(ISNUMBER(S456),S456,0)-(Z456-IF(ISNUMBER(U456),U456,0)),"")</f>
        <v/>
      </c>
      <c r="AT456" s="17">
        <f>IF(AND(ISNUMBER(AR456),ISNUMBER(AS456)),AR456-AS456,"")</f>
        <v/>
      </c>
      <c r="AU456" s="17">
        <f>IF(E456="금융","",IF(AND(ISNUMBER(L456),ISNUMBER(M456),ISNUMBER(N456),ISNUMBER(AT456)),L456+M456-N456-AT456,IF(AND(ISNUMBER(O456),ISNUMBER(N456)),O456-N456,"")))</f>
        <v/>
      </c>
      <c r="AV456" s="8">
        <f>IF(E456="금융","금융업 - 정의되지 않음",IF(AND(ISNUMBER(L456),ISNUMBER(M456),ISNUMBER(N456),ISNUMBER(AT456)),"순이익+감가상각-설비투자-운전자본증감",IF(AND(ISNUMBER(O456),ISNUMBER(N456)),"영업현금흐름-설비투자","산출불가")))</f>
        <v/>
      </c>
      <c r="AW456" s="19">
        <f>IF(AND(ISNUMBER(AU456),ISNUMBER(G456),G456&lt;&gt;0),AU456/G456,"")</f>
        <v/>
      </c>
      <c r="AX456" s="19">
        <f>IF(AND(ISNUMBER(AC456),ISNUMBER(G456),G456&lt;&gt;0),AC456/G456,"")</f>
        <v/>
      </c>
    </row>
    <row r="457">
      <c r="A457" s="8" t="inlineStr">
        <is>
          <t>RTX</t>
        </is>
      </c>
      <c r="B457" s="8" t="inlineStr">
        <is>
          <t>RTX Corp</t>
        </is>
      </c>
      <c r="C457" s="8" t="n">
        <v>2016</v>
      </c>
      <c r="D457" s="8" t="inlineStr">
        <is>
          <t>2016-12-31</t>
        </is>
      </c>
      <c r="E457" s="8" t="inlineStr">
        <is>
          <t>일반</t>
        </is>
      </c>
      <c r="F457" s="8" t="inlineStr">
        <is>
          <t>0000101829-19-000007</t>
        </is>
      </c>
      <c r="G457" s="15" t="n"/>
      <c r="H457" s="15" t="n">
        <v>7.133</v>
      </c>
      <c r="I457" s="15" t="n">
        <v>1.039</v>
      </c>
      <c r="J457" s="15" t="n">
        <v>1.697</v>
      </c>
      <c r="K457" s="15" t="n">
        <v>8.221</v>
      </c>
      <c r="L457" s="15" t="n">
        <v>5.055</v>
      </c>
      <c r="M457" s="15" t="n">
        <v>1.962</v>
      </c>
      <c r="N457" s="15" t="n"/>
      <c r="O457" s="15" t="n"/>
      <c r="P457" s="15" t="n">
        <v>27.579</v>
      </c>
      <c r="Q457" s="15" t="n">
        <v>27.358</v>
      </c>
      <c r="R457" s="15" t="n">
        <v>7.157</v>
      </c>
      <c r="S457" s="15" t="n">
        <v>7.075</v>
      </c>
      <c r="T457" s="15" t="n">
        <v>0.601</v>
      </c>
      <c r="U457" s="15" t="n">
        <v>0.926</v>
      </c>
      <c r="V457" s="15" t="n">
        <v>21.697</v>
      </c>
      <c r="W457" s="15" t="n">
        <v>28.55</v>
      </c>
      <c r="X457" s="15" t="n">
        <v>26.706</v>
      </c>
      <c r="Y457" s="15" t="n">
        <v>21.906</v>
      </c>
      <c r="Z457" s="15" t="n">
        <v>22.618</v>
      </c>
      <c r="AA457" s="15" t="n">
        <v>40.529</v>
      </c>
      <c r="AB457" s="16" t="n">
        <v>826.1</v>
      </c>
      <c r="AC457" s="17">
        <f>IF(AND(ISNUMBER(H457),ISNUMBER(I457)),H457+I457,IF(ISNUMBER(K457),K457,IF(ISNUMBER(H457),H457,"")))</f>
        <v/>
      </c>
      <c r="AD457" s="18">
        <f>IF(OR(NOT(ISNUMBER(J457)),NOT(ISNUMBER(H457)),H457&lt;=0),기준표!$B$8,MIN(MAX(J457/H457,기준표!$B$6),기준표!$B$7))</f>
        <v/>
      </c>
      <c r="AE457" s="17">
        <f>IF(ISNUMBER(AC457),AC457*(1-AD457),"")</f>
        <v/>
      </c>
      <c r="AF457" s="17">
        <f>IF(AND(NOT(ISNUMBER(T457)),NOT(ISNUMBER(V457))),"",IF(ISNUMBER(T457),T457,0)+IF(ISNUMBER(V457),V457,0))</f>
        <v/>
      </c>
      <c r="AG457" s="17">
        <f>IF(E457="금융","",IF(AND(ISNUMBER(P457),ISNUMBER(AF457),ISNUMBER(R457)),P457+AF457-R457,""))</f>
        <v/>
      </c>
      <c r="AH457" s="17">
        <f>IF(E457="금융","",IF(NOT(ISNUMBER(AG457)),"",IF(ISNUMBER(AA457),(AG457+AA457)/2,AG457)))</f>
        <v/>
      </c>
      <c r="AI457" s="19">
        <f>IF(AND(ISNUMBER(AE457),ISNUMBER(AH457),AH457&gt;0),AE457/AH457,"")</f>
        <v/>
      </c>
      <c r="AJ457" s="17">
        <f>IF(E457="금융","",IF(AND(ISNUMBER(P457),ISNUMBER(AF457)),P457+AF457,""))</f>
        <v/>
      </c>
      <c r="AK457" s="19">
        <f>IF(OR(NOT(ISNUMBER(AE457)),NOT(ISNUMBER(AJ457)),AJ457&lt;=0),"",IF(AND(ISNUMBER(G457),AJ457&lt;0.1*G457),"",AE457/AJ457))</f>
        <v/>
      </c>
      <c r="AL457" s="17">
        <f>IF(NOT(ISNUMBER(P457)),"",IF(ISNUMBER(Q457),(P457+Q457)/2,P457))</f>
        <v/>
      </c>
      <c r="AM457" s="19">
        <f>IF(AND(ISNUMBER(L457),ISNUMBER(AL457),AL457&gt;0),L457/AL457,"")</f>
        <v/>
      </c>
      <c r="AN457" s="19">
        <f>IF(AND(ISNUMBER(AM457),ISNUMBER({ROIC})),AM457-{ROIC},"")</f>
        <v/>
      </c>
      <c r="AO457" s="17">
        <f>IF(AND(ISNUMBER(AC457),ISNUMBER(M457)),AC457+M457,"")</f>
        <v/>
      </c>
      <c r="AP457" s="20">
        <f>IF(AND(ISNUMBER(AF457),ISNUMBER(R457),ISNUMBER(AO457),AO457&gt;0),(AF457-R457)/AO457,"")</f>
        <v/>
      </c>
      <c r="AQ457" s="20">
        <f>IF(AND(ISNUMBER(AC457),ISNUMBER(I457),I457&lt;&gt;0,AC457&gt;0),AC457/I457,"")</f>
        <v/>
      </c>
      <c r="AR457" s="17">
        <f>IF(AND(ISNUMBER(W457),ISNUMBER(Y457)),W457-IF(ISNUMBER(R457),R457,0)-(Y457-IF(ISNUMBER(T457),T457,0)),"")</f>
        <v/>
      </c>
      <c r="AS457" s="17">
        <f>IF(AND(ISNUMBER(X457),ISNUMBER(Z457)),X457-IF(ISNUMBER(S457),S457,0)-(Z457-IF(ISNUMBER(U457),U457,0)),"")</f>
        <v/>
      </c>
      <c r="AT457" s="17">
        <f>IF(AND(ISNUMBER(AR457),ISNUMBER(AS457)),AR457-AS457,"")</f>
        <v/>
      </c>
      <c r="AU457" s="17">
        <f>IF(E457="금융","",IF(AND(ISNUMBER(L457),ISNUMBER(M457),ISNUMBER(N457),ISNUMBER(AT457)),L457+M457-N457-AT457,IF(AND(ISNUMBER(O457),ISNUMBER(N457)),O457-N457,"")))</f>
        <v/>
      </c>
      <c r="AV457" s="8">
        <f>IF(E457="금융","금융업 - 정의되지 않음",IF(AND(ISNUMBER(L457),ISNUMBER(M457),ISNUMBER(N457),ISNUMBER(AT457)),"순이익+감가상각-설비투자-운전자본증감",IF(AND(ISNUMBER(O457),ISNUMBER(N457)),"영업현금흐름-설비투자","산출불가")))</f>
        <v/>
      </c>
      <c r="AW457" s="19">
        <f>IF(AND(ISNUMBER(AU457),ISNUMBER(G457),G457&lt;&gt;0),AU457/G457,"")</f>
        <v/>
      </c>
      <c r="AX457" s="19">
        <f>IF(AND(ISNUMBER(AC457),ISNUMBER(G457),G457&lt;&gt;0),AC457/G457,"")</f>
        <v/>
      </c>
    </row>
    <row r="458">
      <c r="A458" s="8" t="inlineStr">
        <is>
          <t>RTX</t>
        </is>
      </c>
      <c r="B458" s="8" t="inlineStr">
        <is>
          <t>RTX Corp</t>
        </is>
      </c>
      <c r="C458" s="8" t="n">
        <v>2017</v>
      </c>
      <c r="D458" s="8" t="inlineStr">
        <is>
          <t>2017-12-31</t>
        </is>
      </c>
      <c r="E458" s="8" t="inlineStr">
        <is>
          <t>일반</t>
        </is>
      </c>
      <c r="F458" s="8" t="inlineStr">
        <is>
          <t>0000101829-20-000013</t>
        </is>
      </c>
      <c r="G458" s="15" t="n"/>
      <c r="H458" s="15" t="n">
        <v>7.763</v>
      </c>
      <c r="I458" s="15" t="n">
        <v>0.909</v>
      </c>
      <c r="J458" s="15" t="n">
        <v>2.843</v>
      </c>
      <c r="K458" s="15" t="n">
        <v>8.138</v>
      </c>
      <c r="L458" s="15" t="n">
        <v>4.552</v>
      </c>
      <c r="M458" s="15" t="n">
        <v>2.14</v>
      </c>
      <c r="N458" s="15" t="n"/>
      <c r="O458" s="15" t="n"/>
      <c r="P458" s="15" t="n">
        <v>29.61</v>
      </c>
      <c r="Q458" s="15" t="n">
        <v>27.579</v>
      </c>
      <c r="R458" s="15" t="n">
        <v>8.984999999999999</v>
      </c>
      <c r="S458" s="15" t="n">
        <v>7.157</v>
      </c>
      <c r="T458" s="15" t="n">
        <v>0.392</v>
      </c>
      <c r="U458" s="15" t="n">
        <v>0.601</v>
      </c>
      <c r="V458" s="15" t="n">
        <v>24.989</v>
      </c>
      <c r="W458" s="15" t="n">
        <v>32.858</v>
      </c>
      <c r="X458" s="15" t="n">
        <v>28.55</v>
      </c>
      <c r="Y458" s="15" t="n">
        <v>24.391</v>
      </c>
      <c r="Z458" s="15" t="n">
        <v>21.906</v>
      </c>
      <c r="AA458" s="15" t="n">
        <v>42.72</v>
      </c>
      <c r="AB458" s="16" t="n">
        <v>799.1</v>
      </c>
      <c r="AC458" s="17">
        <f>IF(AND(ISNUMBER(H458),ISNUMBER(I458)),H458+I458,IF(ISNUMBER(K458),K458,IF(ISNUMBER(H458),H458,"")))</f>
        <v/>
      </c>
      <c r="AD458" s="18">
        <f>IF(OR(NOT(ISNUMBER(J458)),NOT(ISNUMBER(H458)),H458&lt;=0),기준표!$B$8,MIN(MAX(J458/H458,기준표!$B$6),기준표!$B$7))</f>
        <v/>
      </c>
      <c r="AE458" s="17">
        <f>IF(ISNUMBER(AC458),AC458*(1-AD458),"")</f>
        <v/>
      </c>
      <c r="AF458" s="17">
        <f>IF(AND(NOT(ISNUMBER(T458)),NOT(ISNUMBER(V458))),"",IF(ISNUMBER(T458),T458,0)+IF(ISNUMBER(V458),V458,0))</f>
        <v/>
      </c>
      <c r="AG458" s="17">
        <f>IF(E458="금융","",IF(AND(ISNUMBER(P458),ISNUMBER(AF458),ISNUMBER(R458)),P458+AF458-R458,""))</f>
        <v/>
      </c>
      <c r="AH458" s="17">
        <f>IF(E458="금융","",IF(NOT(ISNUMBER(AG458)),"",IF(ISNUMBER(AA458),(AG458+AA458)/2,AG458)))</f>
        <v/>
      </c>
      <c r="AI458" s="19">
        <f>IF(AND(ISNUMBER(AE458),ISNUMBER(AH458),AH458&gt;0),AE458/AH458,"")</f>
        <v/>
      </c>
      <c r="AJ458" s="17">
        <f>IF(E458="금융","",IF(AND(ISNUMBER(P458),ISNUMBER(AF458)),P458+AF458,""))</f>
        <v/>
      </c>
      <c r="AK458" s="19">
        <f>IF(OR(NOT(ISNUMBER(AE458)),NOT(ISNUMBER(AJ458)),AJ458&lt;=0),"",IF(AND(ISNUMBER(G458),AJ458&lt;0.1*G458),"",AE458/AJ458))</f>
        <v/>
      </c>
      <c r="AL458" s="17">
        <f>IF(NOT(ISNUMBER(P458)),"",IF(ISNUMBER(Q458),(P458+Q458)/2,P458))</f>
        <v/>
      </c>
      <c r="AM458" s="19">
        <f>IF(AND(ISNUMBER(L458),ISNUMBER(AL458),AL458&gt;0),L458/AL458,"")</f>
        <v/>
      </c>
      <c r="AN458" s="19">
        <f>IF(AND(ISNUMBER(AM458),ISNUMBER({ROIC})),AM458-{ROIC},"")</f>
        <v/>
      </c>
      <c r="AO458" s="17">
        <f>IF(AND(ISNUMBER(AC458),ISNUMBER(M458)),AC458+M458,"")</f>
        <v/>
      </c>
      <c r="AP458" s="20">
        <f>IF(AND(ISNUMBER(AF458),ISNUMBER(R458),ISNUMBER(AO458),AO458&gt;0),(AF458-R458)/AO458,"")</f>
        <v/>
      </c>
      <c r="AQ458" s="20">
        <f>IF(AND(ISNUMBER(AC458),ISNUMBER(I458),I458&lt;&gt;0,AC458&gt;0),AC458/I458,"")</f>
        <v/>
      </c>
      <c r="AR458" s="17">
        <f>IF(AND(ISNUMBER(W458),ISNUMBER(Y458)),W458-IF(ISNUMBER(R458),R458,0)-(Y458-IF(ISNUMBER(T458),T458,0)),"")</f>
        <v/>
      </c>
      <c r="AS458" s="17">
        <f>IF(AND(ISNUMBER(X458),ISNUMBER(Z458)),X458-IF(ISNUMBER(S458),S458,0)-(Z458-IF(ISNUMBER(U458),U458,0)),"")</f>
        <v/>
      </c>
      <c r="AT458" s="17">
        <f>IF(AND(ISNUMBER(AR458),ISNUMBER(AS458)),AR458-AS458,"")</f>
        <v/>
      </c>
      <c r="AU458" s="17">
        <f>IF(E458="금융","",IF(AND(ISNUMBER(L458),ISNUMBER(M458),ISNUMBER(N458),ISNUMBER(AT458)),L458+M458-N458-AT458,IF(AND(ISNUMBER(O458),ISNUMBER(N458)),O458-N458,"")))</f>
        <v/>
      </c>
      <c r="AV458" s="8">
        <f>IF(E458="금융","금융업 - 정의되지 않음",IF(AND(ISNUMBER(L458),ISNUMBER(M458),ISNUMBER(N458),ISNUMBER(AT458)),"순이익+감가상각-설비투자-운전자본증감",IF(AND(ISNUMBER(O458),ISNUMBER(N458)),"영업현금흐름-설비투자","산출불가")))</f>
        <v/>
      </c>
      <c r="AW458" s="19">
        <f>IF(AND(ISNUMBER(AU458),ISNUMBER(G458),G458&lt;&gt;0),AU458/G458,"")</f>
        <v/>
      </c>
      <c r="AX458" s="19">
        <f>IF(AND(ISNUMBER(AC458),ISNUMBER(G458),G458&lt;&gt;0),AC458/G458,"")</f>
        <v/>
      </c>
    </row>
    <row r="459">
      <c r="A459" s="8" t="inlineStr">
        <is>
          <t>RTX</t>
        </is>
      </c>
      <c r="B459" s="8" t="inlineStr">
        <is>
          <t>RTX Corp</t>
        </is>
      </c>
      <c r="C459" s="8" t="n">
        <v>2018</v>
      </c>
      <c r="D459" s="8" t="inlineStr">
        <is>
          <t>2018-12-31</t>
        </is>
      </c>
      <c r="E459" s="8" t="inlineStr">
        <is>
          <t>일반</t>
        </is>
      </c>
      <c r="F459" s="8" t="inlineStr">
        <is>
          <t>0000101829-21-000008</t>
        </is>
      </c>
      <c r="G459" s="15" t="n"/>
      <c r="H459" s="15" t="n">
        <v>2.504</v>
      </c>
      <c r="I459" s="15" t="n">
        <v>1.032</v>
      </c>
      <c r="J459" s="15" t="n">
        <v>1.098</v>
      </c>
      <c r="K459" s="15" t="n">
        <v>2.877</v>
      </c>
      <c r="L459" s="15" t="n">
        <v>5.269</v>
      </c>
      <c r="M459" s="15" t="n">
        <v>1.896</v>
      </c>
      <c r="N459" s="15" t="n"/>
      <c r="O459" s="15" t="n"/>
      <c r="P459" s="15" t="n">
        <v>38.446</v>
      </c>
      <c r="Q459" s="15" t="n">
        <v>29.61</v>
      </c>
      <c r="R459" s="15" t="n">
        <v>3.693</v>
      </c>
      <c r="S459" s="15" t="n">
        <v>8.984999999999999</v>
      </c>
      <c r="T459" s="15" t="n">
        <v>1.469</v>
      </c>
      <c r="U459" s="15" t="n">
        <v>0.392</v>
      </c>
      <c r="V459" s="15" t="n">
        <v>41.192</v>
      </c>
      <c r="W459" s="15" t="n">
        <v>35.503</v>
      </c>
      <c r="X459" s="15" t="n">
        <v>32.858</v>
      </c>
      <c r="Y459" s="15" t="n">
        <v>31.368</v>
      </c>
      <c r="Z459" s="15" t="n">
        <v>24.391</v>
      </c>
      <c r="AA459" s="15" t="n">
        <v>46.006</v>
      </c>
      <c r="AB459" s="16" t="n">
        <v>810.1</v>
      </c>
      <c r="AC459" s="17">
        <f>IF(AND(ISNUMBER(H459),ISNUMBER(I459)),H459+I459,IF(ISNUMBER(K459),K459,IF(ISNUMBER(H459),H459,"")))</f>
        <v/>
      </c>
      <c r="AD459" s="18">
        <f>IF(OR(NOT(ISNUMBER(J459)),NOT(ISNUMBER(H459)),H459&lt;=0),기준표!$B$8,MIN(MAX(J459/H459,기준표!$B$6),기준표!$B$7))</f>
        <v/>
      </c>
      <c r="AE459" s="17">
        <f>IF(ISNUMBER(AC459),AC459*(1-AD459),"")</f>
        <v/>
      </c>
      <c r="AF459" s="17">
        <f>IF(AND(NOT(ISNUMBER(T459)),NOT(ISNUMBER(V459))),"",IF(ISNUMBER(T459),T459,0)+IF(ISNUMBER(V459),V459,0))</f>
        <v/>
      </c>
      <c r="AG459" s="17">
        <f>IF(E459="금융","",IF(AND(ISNUMBER(P459),ISNUMBER(AF459),ISNUMBER(R459)),P459+AF459-R459,""))</f>
        <v/>
      </c>
      <c r="AH459" s="17">
        <f>IF(E459="금융","",IF(NOT(ISNUMBER(AG459)),"",IF(ISNUMBER(AA459),(AG459+AA459)/2,AG459)))</f>
        <v/>
      </c>
      <c r="AI459" s="19">
        <f>IF(AND(ISNUMBER(AE459),ISNUMBER(AH459),AH459&gt;0),AE459/AH459,"")</f>
        <v/>
      </c>
      <c r="AJ459" s="17">
        <f>IF(E459="금융","",IF(AND(ISNUMBER(P459),ISNUMBER(AF459)),P459+AF459,""))</f>
        <v/>
      </c>
      <c r="AK459" s="19">
        <f>IF(OR(NOT(ISNUMBER(AE459)),NOT(ISNUMBER(AJ459)),AJ459&lt;=0),"",IF(AND(ISNUMBER(G459),AJ459&lt;0.1*G459),"",AE459/AJ459))</f>
        <v/>
      </c>
      <c r="AL459" s="17">
        <f>IF(NOT(ISNUMBER(P459)),"",IF(ISNUMBER(Q459),(P459+Q459)/2,P459))</f>
        <v/>
      </c>
      <c r="AM459" s="19">
        <f>IF(AND(ISNUMBER(L459),ISNUMBER(AL459),AL459&gt;0),L459/AL459,"")</f>
        <v/>
      </c>
      <c r="AN459" s="19">
        <f>IF(AND(ISNUMBER(AM459),ISNUMBER({ROIC})),AM459-{ROIC},"")</f>
        <v/>
      </c>
      <c r="AO459" s="17">
        <f>IF(AND(ISNUMBER(AC459),ISNUMBER(M459)),AC459+M459,"")</f>
        <v/>
      </c>
      <c r="AP459" s="20">
        <f>IF(AND(ISNUMBER(AF459),ISNUMBER(R459),ISNUMBER(AO459),AO459&gt;0),(AF459-R459)/AO459,"")</f>
        <v/>
      </c>
      <c r="AQ459" s="20">
        <f>IF(AND(ISNUMBER(AC459),ISNUMBER(I459),I459&lt;&gt;0,AC459&gt;0),AC459/I459,"")</f>
        <v/>
      </c>
      <c r="AR459" s="17">
        <f>IF(AND(ISNUMBER(W459),ISNUMBER(Y459)),W459-IF(ISNUMBER(R459),R459,0)-(Y459-IF(ISNUMBER(T459),T459,0)),"")</f>
        <v/>
      </c>
      <c r="AS459" s="17">
        <f>IF(AND(ISNUMBER(X459),ISNUMBER(Z459)),X459-IF(ISNUMBER(S459),S459,0)-(Z459-IF(ISNUMBER(U459),U459,0)),"")</f>
        <v/>
      </c>
      <c r="AT459" s="17">
        <f>IF(AND(ISNUMBER(AR459),ISNUMBER(AS459)),AR459-AS459,"")</f>
        <v/>
      </c>
      <c r="AU459" s="17">
        <f>IF(E459="금융","",IF(AND(ISNUMBER(L459),ISNUMBER(M459),ISNUMBER(N459),ISNUMBER(AT459)),L459+M459-N459-AT459,IF(AND(ISNUMBER(O459),ISNUMBER(N459)),O459-N459,"")))</f>
        <v/>
      </c>
      <c r="AV459" s="8">
        <f>IF(E459="금융","금융업 - 정의되지 않음",IF(AND(ISNUMBER(L459),ISNUMBER(M459),ISNUMBER(N459),ISNUMBER(AT459)),"순이익+감가상각-설비투자-운전자본증감",IF(AND(ISNUMBER(O459),ISNUMBER(N459)),"영업현금흐름-설비투자","산출불가")))</f>
        <v/>
      </c>
      <c r="AW459" s="19">
        <f>IF(AND(ISNUMBER(AU459),ISNUMBER(G459),G459&lt;&gt;0),AU459/G459,"")</f>
        <v/>
      </c>
      <c r="AX459" s="19">
        <f>IF(AND(ISNUMBER(AC459),ISNUMBER(G459),G459&lt;&gt;0),AC459/G459,"")</f>
        <v/>
      </c>
    </row>
    <row r="460">
      <c r="A460" s="8" t="inlineStr">
        <is>
          <t>RTX</t>
        </is>
      </c>
      <c r="B460" s="8" t="inlineStr">
        <is>
          <t>RTX Corp</t>
        </is>
      </c>
      <c r="C460" s="8" t="n">
        <v>2019</v>
      </c>
      <c r="D460" s="8" t="inlineStr">
        <is>
          <t>2019-12-31</t>
        </is>
      </c>
      <c r="E460" s="8" t="inlineStr">
        <is>
          <t>일반</t>
        </is>
      </c>
      <c r="F460" s="8" t="inlineStr">
        <is>
          <t>0000101829-22-000005</t>
        </is>
      </c>
      <c r="G460" s="15" t="n"/>
      <c r="H460" s="15" t="n">
        <v>4.152</v>
      </c>
      <c r="I460" s="15" t="n">
        <v>1.591</v>
      </c>
      <c r="J460" s="15" t="n">
        <v>0.421</v>
      </c>
      <c r="K460" s="15" t="n">
        <v>4.914</v>
      </c>
      <c r="L460" s="15" t="n">
        <v>5.537</v>
      </c>
      <c r="M460" s="15" t="n">
        <v>2.708</v>
      </c>
      <c r="N460" s="15" t="n">
        <v>1.868</v>
      </c>
      <c r="O460" s="15" t="n"/>
      <c r="P460" s="15" t="n">
        <v>41.774</v>
      </c>
      <c r="Q460" s="15" t="n">
        <v>38.446</v>
      </c>
      <c r="R460" s="15" t="n">
        <v>4.937</v>
      </c>
      <c r="S460" s="15" t="n">
        <v>3.693</v>
      </c>
      <c r="T460" s="15" t="n">
        <v>2.293</v>
      </c>
      <c r="U460" s="15" t="n">
        <v>1.469</v>
      </c>
      <c r="V460" s="15" t="n">
        <v>37.701</v>
      </c>
      <c r="W460" s="15" t="n">
        <v>61.577</v>
      </c>
      <c r="X460" s="15" t="n">
        <v>35.503</v>
      </c>
      <c r="Y460" s="15" t="n">
        <v>46.594</v>
      </c>
      <c r="Z460" s="15" t="n">
        <v>31.368</v>
      </c>
      <c r="AA460" s="15" t="n">
        <v>77.414</v>
      </c>
      <c r="AB460" s="16" t="n">
        <v>863.9</v>
      </c>
      <c r="AC460" s="17">
        <f>IF(AND(ISNUMBER(H460),ISNUMBER(I460)),H460+I460,IF(ISNUMBER(K460),K460,IF(ISNUMBER(H460),H460,"")))</f>
        <v/>
      </c>
      <c r="AD460" s="18">
        <f>IF(OR(NOT(ISNUMBER(J460)),NOT(ISNUMBER(H460)),H460&lt;=0),기준표!$B$8,MIN(MAX(J460/H460,기준표!$B$6),기준표!$B$7))</f>
        <v/>
      </c>
      <c r="AE460" s="17">
        <f>IF(ISNUMBER(AC460),AC460*(1-AD460),"")</f>
        <v/>
      </c>
      <c r="AF460" s="17">
        <f>IF(AND(NOT(ISNUMBER(T460)),NOT(ISNUMBER(V460))),"",IF(ISNUMBER(T460),T460,0)+IF(ISNUMBER(V460),V460,0))</f>
        <v/>
      </c>
      <c r="AG460" s="17">
        <f>IF(E460="금융","",IF(AND(ISNUMBER(P460),ISNUMBER(AF460),ISNUMBER(R460)),P460+AF460-R460,""))</f>
        <v/>
      </c>
      <c r="AH460" s="17">
        <f>IF(E460="금융","",IF(NOT(ISNUMBER(AG460)),"",IF(ISNUMBER(AA460),(AG460+AA460)/2,AG460)))</f>
        <v/>
      </c>
      <c r="AI460" s="19">
        <f>IF(AND(ISNUMBER(AE460),ISNUMBER(AH460),AH460&gt;0),AE460/AH460,"")</f>
        <v/>
      </c>
      <c r="AJ460" s="17">
        <f>IF(E460="금융","",IF(AND(ISNUMBER(P460),ISNUMBER(AF460)),P460+AF460,""))</f>
        <v/>
      </c>
      <c r="AK460" s="19">
        <f>IF(OR(NOT(ISNUMBER(AE460)),NOT(ISNUMBER(AJ460)),AJ460&lt;=0),"",IF(AND(ISNUMBER(G460),AJ460&lt;0.1*G460),"",AE460/AJ460))</f>
        <v/>
      </c>
      <c r="AL460" s="17">
        <f>IF(NOT(ISNUMBER(P460)),"",IF(ISNUMBER(Q460),(P460+Q460)/2,P460))</f>
        <v/>
      </c>
      <c r="AM460" s="19">
        <f>IF(AND(ISNUMBER(L460),ISNUMBER(AL460),AL460&gt;0),L460/AL460,"")</f>
        <v/>
      </c>
      <c r="AN460" s="19">
        <f>IF(AND(ISNUMBER(AM460),ISNUMBER({ROIC})),AM460-{ROIC},"")</f>
        <v/>
      </c>
      <c r="AO460" s="17">
        <f>IF(AND(ISNUMBER(AC460),ISNUMBER(M460)),AC460+M460,"")</f>
        <v/>
      </c>
      <c r="AP460" s="20">
        <f>IF(AND(ISNUMBER(AF460),ISNUMBER(R460),ISNUMBER(AO460),AO460&gt;0),(AF460-R460)/AO460,"")</f>
        <v/>
      </c>
      <c r="AQ460" s="20">
        <f>IF(AND(ISNUMBER(AC460),ISNUMBER(I460),I460&lt;&gt;0,AC460&gt;0),AC460/I460,"")</f>
        <v/>
      </c>
      <c r="AR460" s="17">
        <f>IF(AND(ISNUMBER(W460),ISNUMBER(Y460)),W460-IF(ISNUMBER(R460),R460,0)-(Y460-IF(ISNUMBER(T460),T460,0)),"")</f>
        <v/>
      </c>
      <c r="AS460" s="17">
        <f>IF(AND(ISNUMBER(X460),ISNUMBER(Z460)),X460-IF(ISNUMBER(S460),S460,0)-(Z460-IF(ISNUMBER(U460),U460,0)),"")</f>
        <v/>
      </c>
      <c r="AT460" s="17">
        <f>IF(AND(ISNUMBER(AR460),ISNUMBER(AS460)),AR460-AS460,"")</f>
        <v/>
      </c>
      <c r="AU460" s="17">
        <f>IF(E460="금융","",IF(AND(ISNUMBER(L460),ISNUMBER(M460),ISNUMBER(N460),ISNUMBER(AT460)),L460+M460-N460-AT460,IF(AND(ISNUMBER(O460),ISNUMBER(N460)),O460-N460,"")))</f>
        <v/>
      </c>
      <c r="AV460" s="8">
        <f>IF(E460="금융","금융업 - 정의되지 않음",IF(AND(ISNUMBER(L460),ISNUMBER(M460),ISNUMBER(N460),ISNUMBER(AT460)),"순이익+감가상각-설비투자-운전자본증감",IF(AND(ISNUMBER(O460),ISNUMBER(N460)),"영업현금흐름-설비투자","산출불가")))</f>
        <v/>
      </c>
      <c r="AW460" s="19">
        <f>IF(AND(ISNUMBER(AU460),ISNUMBER(G460),G460&lt;&gt;0),AU460/G460,"")</f>
        <v/>
      </c>
      <c r="AX460" s="19">
        <f>IF(AND(ISNUMBER(AC460),ISNUMBER(G460),G460&lt;&gt;0),AC460/G460,"")</f>
        <v/>
      </c>
    </row>
    <row r="461">
      <c r="A461" s="8" t="inlineStr">
        <is>
          <t>RTX</t>
        </is>
      </c>
      <c r="B461" s="8" t="inlineStr">
        <is>
          <t>RTX Corp</t>
        </is>
      </c>
      <c r="C461" s="8" t="n">
        <v>2020</v>
      </c>
      <c r="D461" s="8" t="inlineStr">
        <is>
          <t>2020-12-31</t>
        </is>
      </c>
      <c r="E461" s="8" t="inlineStr">
        <is>
          <t>일반</t>
        </is>
      </c>
      <c r="F461" s="8" t="inlineStr">
        <is>
          <t>0000101829-23-000009</t>
        </is>
      </c>
      <c r="G461" s="15" t="n"/>
      <c r="H461" s="15" t="n">
        <v>-2.353</v>
      </c>
      <c r="I461" s="15" t="n">
        <v>1.366</v>
      </c>
      <c r="J461" s="15" t="n">
        <v>0.575</v>
      </c>
      <c r="K461" s="15" t="n">
        <v>-1.889</v>
      </c>
      <c r="L461" s="15" t="n">
        <v>-3.519</v>
      </c>
      <c r="M461" s="15" t="n">
        <v>4.156</v>
      </c>
      <c r="N461" s="15" t="n">
        <v>1.795</v>
      </c>
      <c r="O461" s="15" t="n"/>
      <c r="P461" s="15" t="n">
        <v>72.163</v>
      </c>
      <c r="Q461" s="15" t="n">
        <v>41.774</v>
      </c>
      <c r="R461" s="15" t="n">
        <v>9.683</v>
      </c>
      <c r="S461" s="15" t="n">
        <v>4.937</v>
      </c>
      <c r="T461" s="15" t="n">
        <v>0.247</v>
      </c>
      <c r="U461" s="15" t="n">
        <v>2.293</v>
      </c>
      <c r="V461" s="15" t="n">
        <v>31.026</v>
      </c>
      <c r="W461" s="15" t="n">
        <v>43.376</v>
      </c>
      <c r="X461" s="15" t="n">
        <v>61.577</v>
      </c>
      <c r="Y461" s="15" t="n">
        <v>35.848</v>
      </c>
      <c r="Z461" s="15" t="n">
        <v>46.594</v>
      </c>
      <c r="AA461" s="15" t="n">
        <v>76.831</v>
      </c>
      <c r="AB461" s="16" t="n">
        <v>1357.8</v>
      </c>
      <c r="AC461" s="17">
        <f>IF(AND(ISNUMBER(H461),ISNUMBER(I461)),H461+I461,IF(ISNUMBER(K461),K461,IF(ISNUMBER(H461),H461,"")))</f>
        <v/>
      </c>
      <c r="AD461" s="18">
        <f>IF(OR(NOT(ISNUMBER(J461)),NOT(ISNUMBER(H461)),H461&lt;=0),기준표!$B$8,MIN(MAX(J461/H461,기준표!$B$6),기준표!$B$7))</f>
        <v/>
      </c>
      <c r="AE461" s="17">
        <f>IF(ISNUMBER(AC461),AC461*(1-AD461),"")</f>
        <v/>
      </c>
      <c r="AF461" s="17">
        <f>IF(AND(NOT(ISNUMBER(T461)),NOT(ISNUMBER(V461))),"",IF(ISNUMBER(T461),T461,0)+IF(ISNUMBER(V461),V461,0))</f>
        <v/>
      </c>
      <c r="AG461" s="17">
        <f>IF(E461="금융","",IF(AND(ISNUMBER(P461),ISNUMBER(AF461),ISNUMBER(R461)),P461+AF461-R461,""))</f>
        <v/>
      </c>
      <c r="AH461" s="17">
        <f>IF(E461="금융","",IF(NOT(ISNUMBER(AG461)),"",IF(ISNUMBER(AA461),(AG461+AA461)/2,AG461)))</f>
        <v/>
      </c>
      <c r="AI461" s="19">
        <f>IF(AND(ISNUMBER(AE461),ISNUMBER(AH461),AH461&gt;0),AE461/AH461,"")</f>
        <v/>
      </c>
      <c r="AJ461" s="17">
        <f>IF(E461="금융","",IF(AND(ISNUMBER(P461),ISNUMBER(AF461)),P461+AF461,""))</f>
        <v/>
      </c>
      <c r="AK461" s="19">
        <f>IF(OR(NOT(ISNUMBER(AE461)),NOT(ISNUMBER(AJ461)),AJ461&lt;=0),"",IF(AND(ISNUMBER(G461),AJ461&lt;0.1*G461),"",AE461/AJ461))</f>
        <v/>
      </c>
      <c r="AL461" s="17">
        <f>IF(NOT(ISNUMBER(P461)),"",IF(ISNUMBER(Q461),(P461+Q461)/2,P461))</f>
        <v/>
      </c>
      <c r="AM461" s="19">
        <f>IF(AND(ISNUMBER(L461),ISNUMBER(AL461),AL461&gt;0),L461/AL461,"")</f>
        <v/>
      </c>
      <c r="AN461" s="19">
        <f>IF(AND(ISNUMBER(AM461),ISNUMBER({ROIC})),AM461-{ROIC},"")</f>
        <v/>
      </c>
      <c r="AO461" s="17">
        <f>IF(AND(ISNUMBER(AC461),ISNUMBER(M461)),AC461+M461,"")</f>
        <v/>
      </c>
      <c r="AP461" s="20">
        <f>IF(AND(ISNUMBER(AF461),ISNUMBER(R461),ISNUMBER(AO461),AO461&gt;0),(AF461-R461)/AO461,"")</f>
        <v/>
      </c>
      <c r="AQ461" s="20">
        <f>IF(AND(ISNUMBER(AC461),ISNUMBER(I461),I461&lt;&gt;0,AC461&gt;0),AC461/I461,"")</f>
        <v/>
      </c>
      <c r="AR461" s="17">
        <f>IF(AND(ISNUMBER(W461),ISNUMBER(Y461)),W461-IF(ISNUMBER(R461),R461,0)-(Y461-IF(ISNUMBER(T461),T461,0)),"")</f>
        <v/>
      </c>
      <c r="AS461" s="17">
        <f>IF(AND(ISNUMBER(X461),ISNUMBER(Z461)),X461-IF(ISNUMBER(S461),S461,0)-(Z461-IF(ISNUMBER(U461),U461,0)),"")</f>
        <v/>
      </c>
      <c r="AT461" s="17">
        <f>IF(AND(ISNUMBER(AR461),ISNUMBER(AS461)),AR461-AS461,"")</f>
        <v/>
      </c>
      <c r="AU461" s="17">
        <f>IF(E461="금융","",IF(AND(ISNUMBER(L461),ISNUMBER(M461),ISNUMBER(N461),ISNUMBER(AT461)),L461+M461-N461-AT461,IF(AND(ISNUMBER(O461),ISNUMBER(N461)),O461-N461,"")))</f>
        <v/>
      </c>
      <c r="AV461" s="8">
        <f>IF(E461="금융","금융업 - 정의되지 않음",IF(AND(ISNUMBER(L461),ISNUMBER(M461),ISNUMBER(N461),ISNUMBER(AT461)),"순이익+감가상각-설비투자-운전자본증감",IF(AND(ISNUMBER(O461),ISNUMBER(N461)),"영업현금흐름-설비투자","산출불가")))</f>
        <v/>
      </c>
      <c r="AW461" s="19">
        <f>IF(AND(ISNUMBER(AU461),ISNUMBER(G461),G461&lt;&gt;0),AU461/G461,"")</f>
        <v/>
      </c>
      <c r="AX461" s="19">
        <f>IF(AND(ISNUMBER(AC461),ISNUMBER(G461),G461&lt;&gt;0),AC461/G461,"")</f>
        <v/>
      </c>
    </row>
    <row r="462">
      <c r="A462" s="8" t="inlineStr">
        <is>
          <t>RTX</t>
        </is>
      </c>
      <c r="B462" s="8" t="inlineStr">
        <is>
          <t>RTX Corp</t>
        </is>
      </c>
      <c r="C462" s="8" t="n">
        <v>2021</v>
      </c>
      <c r="D462" s="8" t="inlineStr">
        <is>
          <t>2021-12-31</t>
        </is>
      </c>
      <c r="E462" s="8" t="inlineStr">
        <is>
          <t>일반</t>
        </is>
      </c>
      <c r="F462" s="8" t="inlineStr">
        <is>
          <t>0000101829-24-000008</t>
        </is>
      </c>
      <c r="G462" s="15" t="n">
        <v>64.38800000000001</v>
      </c>
      <c r="H462" s="15" t="n">
        <v>5.109</v>
      </c>
      <c r="I462" s="15" t="n">
        <v>1.322</v>
      </c>
      <c r="J462" s="15" t="n">
        <v>0.964</v>
      </c>
      <c r="K462" s="15" t="n">
        <v>5.136</v>
      </c>
      <c r="L462" s="15" t="n">
        <v>3.864</v>
      </c>
      <c r="M462" s="15" t="n">
        <v>4.557</v>
      </c>
      <c r="N462" s="15" t="n">
        <v>2.134</v>
      </c>
      <c r="O462" s="15" t="n"/>
      <c r="P462" s="15" t="n">
        <v>73.068</v>
      </c>
      <c r="Q462" s="15" t="n">
        <v>72.163</v>
      </c>
      <c r="R462" s="15" t="n">
        <v>8.797000000000001</v>
      </c>
      <c r="S462" s="15" t="n">
        <v>9.683</v>
      </c>
      <c r="T462" s="15" t="n">
        <v>0.134</v>
      </c>
      <c r="U462" s="15" t="n">
        <v>0.247</v>
      </c>
      <c r="V462" s="15" t="n">
        <v>31.327</v>
      </c>
      <c r="W462" s="15" t="n">
        <v>42.05</v>
      </c>
      <c r="X462" s="15" t="n">
        <v>43.376</v>
      </c>
      <c r="Y462" s="15" t="n">
        <v>35.449</v>
      </c>
      <c r="Z462" s="15" t="n">
        <v>35.848</v>
      </c>
      <c r="AA462" s="15" t="n">
        <v>93.753</v>
      </c>
      <c r="AB462" s="16" t="n">
        <v>1508.5</v>
      </c>
      <c r="AC462" s="17">
        <f>IF(AND(ISNUMBER(H462),ISNUMBER(I462)),H462+I462,IF(ISNUMBER(K462),K462,IF(ISNUMBER(H462),H462,"")))</f>
        <v/>
      </c>
      <c r="AD462" s="18">
        <f>IF(OR(NOT(ISNUMBER(J462)),NOT(ISNUMBER(H462)),H462&lt;=0),기준표!$B$8,MIN(MAX(J462/H462,기준표!$B$6),기준표!$B$7))</f>
        <v/>
      </c>
      <c r="AE462" s="17">
        <f>IF(ISNUMBER(AC462),AC462*(1-AD462),"")</f>
        <v/>
      </c>
      <c r="AF462" s="17">
        <f>IF(AND(NOT(ISNUMBER(T462)),NOT(ISNUMBER(V462))),"",IF(ISNUMBER(T462),T462,0)+IF(ISNUMBER(V462),V462,0))</f>
        <v/>
      </c>
      <c r="AG462" s="17">
        <f>IF(E462="금융","",IF(AND(ISNUMBER(P462),ISNUMBER(AF462),ISNUMBER(R462)),P462+AF462-R462,""))</f>
        <v/>
      </c>
      <c r="AH462" s="17">
        <f>IF(E462="금융","",IF(NOT(ISNUMBER(AG462)),"",IF(ISNUMBER(AA462),(AG462+AA462)/2,AG462)))</f>
        <v/>
      </c>
      <c r="AI462" s="19">
        <f>IF(AND(ISNUMBER(AE462),ISNUMBER(AH462),AH462&gt;0),AE462/AH462,"")</f>
        <v/>
      </c>
      <c r="AJ462" s="17">
        <f>IF(E462="금융","",IF(AND(ISNUMBER(P462),ISNUMBER(AF462)),P462+AF462,""))</f>
        <v/>
      </c>
      <c r="AK462" s="19">
        <f>IF(OR(NOT(ISNUMBER(AE462)),NOT(ISNUMBER(AJ462)),AJ462&lt;=0),"",IF(AND(ISNUMBER(G462),AJ462&lt;0.1*G462),"",AE462/AJ462))</f>
        <v/>
      </c>
      <c r="AL462" s="17">
        <f>IF(NOT(ISNUMBER(P462)),"",IF(ISNUMBER(Q462),(P462+Q462)/2,P462))</f>
        <v/>
      </c>
      <c r="AM462" s="19">
        <f>IF(AND(ISNUMBER(L462),ISNUMBER(AL462),AL462&gt;0),L462/AL462,"")</f>
        <v/>
      </c>
      <c r="AN462" s="19">
        <f>IF(AND(ISNUMBER(AM462),ISNUMBER({ROIC})),AM462-{ROIC},"")</f>
        <v/>
      </c>
      <c r="AO462" s="17">
        <f>IF(AND(ISNUMBER(AC462),ISNUMBER(M462)),AC462+M462,"")</f>
        <v/>
      </c>
      <c r="AP462" s="20">
        <f>IF(AND(ISNUMBER(AF462),ISNUMBER(R462),ISNUMBER(AO462),AO462&gt;0),(AF462-R462)/AO462,"")</f>
        <v/>
      </c>
      <c r="AQ462" s="20">
        <f>IF(AND(ISNUMBER(AC462),ISNUMBER(I462),I462&lt;&gt;0,AC462&gt;0),AC462/I462,"")</f>
        <v/>
      </c>
      <c r="AR462" s="17">
        <f>IF(AND(ISNUMBER(W462),ISNUMBER(Y462)),W462-IF(ISNUMBER(R462),R462,0)-(Y462-IF(ISNUMBER(T462),T462,0)),"")</f>
        <v/>
      </c>
      <c r="AS462" s="17">
        <f>IF(AND(ISNUMBER(X462),ISNUMBER(Z462)),X462-IF(ISNUMBER(S462),S462,0)-(Z462-IF(ISNUMBER(U462),U462,0)),"")</f>
        <v/>
      </c>
      <c r="AT462" s="17">
        <f>IF(AND(ISNUMBER(AR462),ISNUMBER(AS462)),AR462-AS462,"")</f>
        <v/>
      </c>
      <c r="AU462" s="17">
        <f>IF(E462="금융","",IF(AND(ISNUMBER(L462),ISNUMBER(M462),ISNUMBER(N462),ISNUMBER(AT462)),L462+M462-N462-AT462,IF(AND(ISNUMBER(O462),ISNUMBER(N462)),O462-N462,"")))</f>
        <v/>
      </c>
      <c r="AV462" s="8">
        <f>IF(E462="금융","금융업 - 정의되지 않음",IF(AND(ISNUMBER(L462),ISNUMBER(M462),ISNUMBER(N462),ISNUMBER(AT462)),"순이익+감가상각-설비투자-운전자본증감",IF(AND(ISNUMBER(O462),ISNUMBER(N462)),"영업현금흐름-설비투자","산출불가")))</f>
        <v/>
      </c>
      <c r="AW462" s="19">
        <f>IF(AND(ISNUMBER(AU462),ISNUMBER(G462),G462&lt;&gt;0),AU462/G462,"")</f>
        <v/>
      </c>
      <c r="AX462" s="19">
        <f>IF(AND(ISNUMBER(AC462),ISNUMBER(G462),G462&lt;&gt;0),AC462/G462,"")</f>
        <v/>
      </c>
    </row>
    <row r="463">
      <c r="A463" s="8" t="inlineStr">
        <is>
          <t>RTX</t>
        </is>
      </c>
      <c r="B463" s="8" t="inlineStr">
        <is>
          <t>RTX Corp</t>
        </is>
      </c>
      <c r="C463" s="8" t="n">
        <v>2022</v>
      </c>
      <c r="D463" s="8" t="inlineStr">
        <is>
          <t>2022-12-31</t>
        </is>
      </c>
      <c r="E463" s="8" t="inlineStr">
        <is>
          <t>일반</t>
        </is>
      </c>
      <c r="F463" s="8" t="inlineStr">
        <is>
          <t>0000101829-25-000005</t>
        </is>
      </c>
      <c r="G463" s="15" t="n">
        <v>67.074</v>
      </c>
      <c r="H463" s="15" t="n">
        <v>6.117</v>
      </c>
      <c r="I463" s="15" t="n">
        <v>1.276</v>
      </c>
      <c r="J463" s="15" t="n">
        <v>0.79</v>
      </c>
      <c r="K463" s="15" t="n">
        <v>5.504</v>
      </c>
      <c r="L463" s="15" t="n">
        <v>5.197</v>
      </c>
      <c r="M463" s="15" t="n">
        <v>4.108</v>
      </c>
      <c r="N463" s="15" t="n">
        <v>2.288</v>
      </c>
      <c r="O463" s="15" t="n">
        <v>7.168</v>
      </c>
      <c r="P463" s="15" t="n">
        <v>72.63200000000001</v>
      </c>
      <c r="Q463" s="15" t="n">
        <v>73.068</v>
      </c>
      <c r="R463" s="15" t="n">
        <v>6.994</v>
      </c>
      <c r="S463" s="15" t="n">
        <v>8.797000000000001</v>
      </c>
      <c r="T463" s="15" t="n">
        <v>0.625</v>
      </c>
      <c r="U463" s="15" t="n">
        <v>0.134</v>
      </c>
      <c r="V463" s="15" t="n">
        <v>30.694</v>
      </c>
      <c r="W463" s="15" t="n">
        <v>42.443</v>
      </c>
      <c r="X463" s="15" t="n">
        <v>42.05</v>
      </c>
      <c r="Y463" s="15" t="n">
        <v>39.114</v>
      </c>
      <c r="Z463" s="15" t="n">
        <v>35.449</v>
      </c>
      <c r="AA463" s="15" t="n">
        <v>95.732</v>
      </c>
      <c r="AB463" s="16" t="n">
        <v>1485.9</v>
      </c>
      <c r="AC463" s="17">
        <f>IF(AND(ISNUMBER(H463),ISNUMBER(I463)),H463+I463,IF(ISNUMBER(K463),K463,IF(ISNUMBER(H463),H463,"")))</f>
        <v/>
      </c>
      <c r="AD463" s="18">
        <f>IF(OR(NOT(ISNUMBER(J463)),NOT(ISNUMBER(H463)),H463&lt;=0),기준표!$B$8,MIN(MAX(J463/H463,기준표!$B$6),기준표!$B$7))</f>
        <v/>
      </c>
      <c r="AE463" s="17">
        <f>IF(ISNUMBER(AC463),AC463*(1-AD463),"")</f>
        <v/>
      </c>
      <c r="AF463" s="17">
        <f>IF(AND(NOT(ISNUMBER(T463)),NOT(ISNUMBER(V463))),"",IF(ISNUMBER(T463),T463,0)+IF(ISNUMBER(V463),V463,0))</f>
        <v/>
      </c>
      <c r="AG463" s="17">
        <f>IF(E463="금융","",IF(AND(ISNUMBER(P463),ISNUMBER(AF463),ISNUMBER(R463)),P463+AF463-R463,""))</f>
        <v/>
      </c>
      <c r="AH463" s="17">
        <f>IF(E463="금융","",IF(NOT(ISNUMBER(AG463)),"",IF(ISNUMBER(AA463),(AG463+AA463)/2,AG463)))</f>
        <v/>
      </c>
      <c r="AI463" s="19">
        <f>IF(AND(ISNUMBER(AE463),ISNUMBER(AH463),AH463&gt;0),AE463/AH463,"")</f>
        <v/>
      </c>
      <c r="AJ463" s="17">
        <f>IF(E463="금융","",IF(AND(ISNUMBER(P463),ISNUMBER(AF463)),P463+AF463,""))</f>
        <v/>
      </c>
      <c r="AK463" s="19">
        <f>IF(OR(NOT(ISNUMBER(AE463)),NOT(ISNUMBER(AJ463)),AJ463&lt;=0),"",IF(AND(ISNUMBER(G463),AJ463&lt;0.1*G463),"",AE463/AJ463))</f>
        <v/>
      </c>
      <c r="AL463" s="17">
        <f>IF(NOT(ISNUMBER(P463)),"",IF(ISNUMBER(Q463),(P463+Q463)/2,P463))</f>
        <v/>
      </c>
      <c r="AM463" s="19">
        <f>IF(AND(ISNUMBER(L463),ISNUMBER(AL463),AL463&gt;0),L463/AL463,"")</f>
        <v/>
      </c>
      <c r="AN463" s="19">
        <f>IF(AND(ISNUMBER(AM463),ISNUMBER({ROIC})),AM463-{ROIC},"")</f>
        <v/>
      </c>
      <c r="AO463" s="17">
        <f>IF(AND(ISNUMBER(AC463),ISNUMBER(M463)),AC463+M463,"")</f>
        <v/>
      </c>
      <c r="AP463" s="20">
        <f>IF(AND(ISNUMBER(AF463),ISNUMBER(R463),ISNUMBER(AO463),AO463&gt;0),(AF463-R463)/AO463,"")</f>
        <v/>
      </c>
      <c r="AQ463" s="20">
        <f>IF(AND(ISNUMBER(AC463),ISNUMBER(I463),I463&lt;&gt;0,AC463&gt;0),AC463/I463,"")</f>
        <v/>
      </c>
      <c r="AR463" s="17">
        <f>IF(AND(ISNUMBER(W463),ISNUMBER(Y463)),W463-IF(ISNUMBER(R463),R463,0)-(Y463-IF(ISNUMBER(T463),T463,0)),"")</f>
        <v/>
      </c>
      <c r="AS463" s="17">
        <f>IF(AND(ISNUMBER(X463),ISNUMBER(Z463)),X463-IF(ISNUMBER(S463),S463,0)-(Z463-IF(ISNUMBER(U463),U463,0)),"")</f>
        <v/>
      </c>
      <c r="AT463" s="17">
        <f>IF(AND(ISNUMBER(AR463),ISNUMBER(AS463)),AR463-AS463,"")</f>
        <v/>
      </c>
      <c r="AU463" s="17">
        <f>IF(E463="금융","",IF(AND(ISNUMBER(L463),ISNUMBER(M463),ISNUMBER(N463),ISNUMBER(AT463)),L463+M463-N463-AT463,IF(AND(ISNUMBER(O463),ISNUMBER(N463)),O463-N463,"")))</f>
        <v/>
      </c>
      <c r="AV463" s="8">
        <f>IF(E463="금융","금융업 - 정의되지 않음",IF(AND(ISNUMBER(L463),ISNUMBER(M463),ISNUMBER(N463),ISNUMBER(AT463)),"순이익+감가상각-설비투자-운전자본증감",IF(AND(ISNUMBER(O463),ISNUMBER(N463)),"영업현금흐름-설비투자","산출불가")))</f>
        <v/>
      </c>
      <c r="AW463" s="19">
        <f>IF(AND(ISNUMBER(AU463),ISNUMBER(G463),G463&lt;&gt;0),AU463/G463,"")</f>
        <v/>
      </c>
      <c r="AX463" s="19">
        <f>IF(AND(ISNUMBER(AC463),ISNUMBER(G463),G463&lt;&gt;0),AC463/G463,"")</f>
        <v/>
      </c>
    </row>
    <row r="464">
      <c r="A464" s="8" t="inlineStr">
        <is>
          <t>RTX</t>
        </is>
      </c>
      <c r="B464" s="8" t="inlineStr">
        <is>
          <t>RTX Corp</t>
        </is>
      </c>
      <c r="C464" s="8" t="n">
        <v>2023</v>
      </c>
      <c r="D464" s="8" t="inlineStr">
        <is>
          <t>2023-12-31</t>
        </is>
      </c>
      <c r="E464" s="8" t="inlineStr">
        <is>
          <t>일반</t>
        </is>
      </c>
      <c r="F464" s="8" t="inlineStr">
        <is>
          <t>0000101829-26-000006</t>
        </is>
      </c>
      <c r="G464" s="15" t="n">
        <v>68.92</v>
      </c>
      <c r="H464" s="15" t="n">
        <v>3.836</v>
      </c>
      <c r="I464" s="15" t="n">
        <v>1.505</v>
      </c>
      <c r="J464" s="15" t="n">
        <v>0.456</v>
      </c>
      <c r="K464" s="15" t="n">
        <v>3.561</v>
      </c>
      <c r="L464" s="15" t="n">
        <v>3.195</v>
      </c>
      <c r="M464" s="15" t="n">
        <v>4.211</v>
      </c>
      <c r="N464" s="15" t="n">
        <v>2.415</v>
      </c>
      <c r="O464" s="15" t="n">
        <v>7.883</v>
      </c>
      <c r="P464" s="15" t="n">
        <v>59.798</v>
      </c>
      <c r="Q464" s="15" t="n">
        <v>72.63200000000001</v>
      </c>
      <c r="R464" s="15" t="n">
        <v>7.332</v>
      </c>
      <c r="S464" s="15" t="n">
        <v>6.994</v>
      </c>
      <c r="T464" s="15" t="n">
        <v>0.189</v>
      </c>
      <c r="U464" s="15" t="n">
        <v>0.625</v>
      </c>
      <c r="V464" s="15" t="n">
        <v>42.355</v>
      </c>
      <c r="W464" s="15" t="n">
        <v>48.417</v>
      </c>
      <c r="X464" s="15" t="n">
        <v>42.443</v>
      </c>
      <c r="Y464" s="15" t="n">
        <v>46.761</v>
      </c>
      <c r="Z464" s="15" t="n">
        <v>39.114</v>
      </c>
      <c r="AA464" s="15" t="n">
        <v>96.95699999999999</v>
      </c>
      <c r="AB464" s="16" t="n">
        <v>1435.4</v>
      </c>
      <c r="AC464" s="17">
        <f>IF(AND(ISNUMBER(H464),ISNUMBER(I464)),H464+I464,IF(ISNUMBER(K464),K464,IF(ISNUMBER(H464),H464,"")))</f>
        <v/>
      </c>
      <c r="AD464" s="18">
        <f>IF(OR(NOT(ISNUMBER(J464)),NOT(ISNUMBER(H464)),H464&lt;=0),기준표!$B$8,MIN(MAX(J464/H464,기준표!$B$6),기준표!$B$7))</f>
        <v/>
      </c>
      <c r="AE464" s="17">
        <f>IF(ISNUMBER(AC464),AC464*(1-AD464),"")</f>
        <v/>
      </c>
      <c r="AF464" s="17">
        <f>IF(AND(NOT(ISNUMBER(T464)),NOT(ISNUMBER(V464))),"",IF(ISNUMBER(T464),T464,0)+IF(ISNUMBER(V464),V464,0))</f>
        <v/>
      </c>
      <c r="AG464" s="17">
        <f>IF(E464="금융","",IF(AND(ISNUMBER(P464),ISNUMBER(AF464),ISNUMBER(R464)),P464+AF464-R464,""))</f>
        <v/>
      </c>
      <c r="AH464" s="17">
        <f>IF(E464="금융","",IF(NOT(ISNUMBER(AG464)),"",IF(ISNUMBER(AA464),(AG464+AA464)/2,AG464)))</f>
        <v/>
      </c>
      <c r="AI464" s="19">
        <f>IF(AND(ISNUMBER(AE464),ISNUMBER(AH464),AH464&gt;0),AE464/AH464,"")</f>
        <v/>
      </c>
      <c r="AJ464" s="17">
        <f>IF(E464="금융","",IF(AND(ISNUMBER(P464),ISNUMBER(AF464)),P464+AF464,""))</f>
        <v/>
      </c>
      <c r="AK464" s="19">
        <f>IF(OR(NOT(ISNUMBER(AE464)),NOT(ISNUMBER(AJ464)),AJ464&lt;=0),"",IF(AND(ISNUMBER(G464),AJ464&lt;0.1*G464),"",AE464/AJ464))</f>
        <v/>
      </c>
      <c r="AL464" s="17">
        <f>IF(NOT(ISNUMBER(P464)),"",IF(ISNUMBER(Q464),(P464+Q464)/2,P464))</f>
        <v/>
      </c>
      <c r="AM464" s="19">
        <f>IF(AND(ISNUMBER(L464),ISNUMBER(AL464),AL464&gt;0),L464/AL464,"")</f>
        <v/>
      </c>
      <c r="AN464" s="19">
        <f>IF(AND(ISNUMBER(AM464),ISNUMBER({ROIC})),AM464-{ROIC},"")</f>
        <v/>
      </c>
      <c r="AO464" s="17">
        <f>IF(AND(ISNUMBER(AC464),ISNUMBER(M464)),AC464+M464,"")</f>
        <v/>
      </c>
      <c r="AP464" s="20">
        <f>IF(AND(ISNUMBER(AF464),ISNUMBER(R464),ISNUMBER(AO464),AO464&gt;0),(AF464-R464)/AO464,"")</f>
        <v/>
      </c>
      <c r="AQ464" s="20">
        <f>IF(AND(ISNUMBER(AC464),ISNUMBER(I464),I464&lt;&gt;0,AC464&gt;0),AC464/I464,"")</f>
        <v/>
      </c>
      <c r="AR464" s="17">
        <f>IF(AND(ISNUMBER(W464),ISNUMBER(Y464)),W464-IF(ISNUMBER(R464),R464,0)-(Y464-IF(ISNUMBER(T464),T464,0)),"")</f>
        <v/>
      </c>
      <c r="AS464" s="17">
        <f>IF(AND(ISNUMBER(X464),ISNUMBER(Z464)),X464-IF(ISNUMBER(S464),S464,0)-(Z464-IF(ISNUMBER(U464),U464,0)),"")</f>
        <v/>
      </c>
      <c r="AT464" s="17">
        <f>IF(AND(ISNUMBER(AR464),ISNUMBER(AS464)),AR464-AS464,"")</f>
        <v/>
      </c>
      <c r="AU464" s="17">
        <f>IF(E464="금융","",IF(AND(ISNUMBER(L464),ISNUMBER(M464),ISNUMBER(N464),ISNUMBER(AT464)),L464+M464-N464-AT464,IF(AND(ISNUMBER(O464),ISNUMBER(N464)),O464-N464,"")))</f>
        <v/>
      </c>
      <c r="AV464" s="8">
        <f>IF(E464="금융","금융업 - 정의되지 않음",IF(AND(ISNUMBER(L464),ISNUMBER(M464),ISNUMBER(N464),ISNUMBER(AT464)),"순이익+감가상각-설비투자-운전자본증감",IF(AND(ISNUMBER(O464),ISNUMBER(N464)),"영업현금흐름-설비투자","산출불가")))</f>
        <v/>
      </c>
      <c r="AW464" s="19">
        <f>IF(AND(ISNUMBER(AU464),ISNUMBER(G464),G464&lt;&gt;0),AU464/G464,"")</f>
        <v/>
      </c>
      <c r="AX464" s="19">
        <f>IF(AND(ISNUMBER(AC464),ISNUMBER(G464),G464&lt;&gt;0),AC464/G464,"")</f>
        <v/>
      </c>
    </row>
    <row r="465">
      <c r="A465" s="8" t="inlineStr">
        <is>
          <t>RTX</t>
        </is>
      </c>
      <c r="B465" s="8" t="inlineStr">
        <is>
          <t>RTX Corp</t>
        </is>
      </c>
      <c r="C465" s="8" t="n">
        <v>2024</v>
      </c>
      <c r="D465" s="8" t="inlineStr">
        <is>
          <t>2024-12-31</t>
        </is>
      </c>
      <c r="E465" s="8" t="inlineStr">
        <is>
          <t>일반</t>
        </is>
      </c>
      <c r="F465" s="8" t="inlineStr">
        <is>
          <t>0000101829-26-000006</t>
        </is>
      </c>
      <c r="G465" s="15" t="n">
        <v>80.738</v>
      </c>
      <c r="H465" s="15" t="n">
        <v>6.194</v>
      </c>
      <c r="I465" s="15" t="n">
        <v>1.862</v>
      </c>
      <c r="J465" s="15" t="n">
        <v>1.181</v>
      </c>
      <c r="K465" s="15" t="n">
        <v>6.538</v>
      </c>
      <c r="L465" s="15" t="n">
        <v>4.774</v>
      </c>
      <c r="M465" s="15" t="n">
        <v>4.364</v>
      </c>
      <c r="N465" s="15" t="n">
        <v>2.625</v>
      </c>
      <c r="O465" s="15" t="n">
        <v>7.159</v>
      </c>
      <c r="P465" s="15" t="n">
        <v>60.156</v>
      </c>
      <c r="Q465" s="15" t="n">
        <v>59.798</v>
      </c>
      <c r="R465" s="15" t="n">
        <v>6.364</v>
      </c>
      <c r="S465" s="15" t="n">
        <v>7.332</v>
      </c>
      <c r="T465" s="15" t="n">
        <v>0.183</v>
      </c>
      <c r="U465" s="15" t="n">
        <v>0.189</v>
      </c>
      <c r="V465" s="15" t="n">
        <v>38.726</v>
      </c>
      <c r="W465" s="15" t="n">
        <v>51.133</v>
      </c>
      <c r="X465" s="15" t="n">
        <v>48.417</v>
      </c>
      <c r="Y465" s="15" t="n">
        <v>51.499</v>
      </c>
      <c r="Z465" s="15" t="n">
        <v>46.761</v>
      </c>
      <c r="AA465" s="15" t="n">
        <v>95.01000000000001</v>
      </c>
      <c r="AB465" s="16" t="n">
        <v>1343.6</v>
      </c>
      <c r="AC465" s="17">
        <f>IF(AND(ISNUMBER(H465),ISNUMBER(I465)),H465+I465,IF(ISNUMBER(K465),K465,IF(ISNUMBER(H465),H465,"")))</f>
        <v/>
      </c>
      <c r="AD465" s="18">
        <f>IF(OR(NOT(ISNUMBER(J465)),NOT(ISNUMBER(H465)),H465&lt;=0),기준표!$B$8,MIN(MAX(J465/H465,기준표!$B$6),기준표!$B$7))</f>
        <v/>
      </c>
      <c r="AE465" s="17">
        <f>IF(ISNUMBER(AC465),AC465*(1-AD465),"")</f>
        <v/>
      </c>
      <c r="AF465" s="17">
        <f>IF(AND(NOT(ISNUMBER(T465)),NOT(ISNUMBER(V465))),"",IF(ISNUMBER(T465),T465,0)+IF(ISNUMBER(V465),V465,0))</f>
        <v/>
      </c>
      <c r="AG465" s="17">
        <f>IF(E465="금융","",IF(AND(ISNUMBER(P465),ISNUMBER(AF465),ISNUMBER(R465)),P465+AF465-R465,""))</f>
        <v/>
      </c>
      <c r="AH465" s="17">
        <f>IF(E465="금융","",IF(NOT(ISNUMBER(AG465)),"",IF(ISNUMBER(AA465),(AG465+AA465)/2,AG465)))</f>
        <v/>
      </c>
      <c r="AI465" s="19">
        <f>IF(AND(ISNUMBER(AE465),ISNUMBER(AH465),AH465&gt;0),AE465/AH465,"")</f>
        <v/>
      </c>
      <c r="AJ465" s="17">
        <f>IF(E465="금융","",IF(AND(ISNUMBER(P465),ISNUMBER(AF465)),P465+AF465,""))</f>
        <v/>
      </c>
      <c r="AK465" s="19">
        <f>IF(OR(NOT(ISNUMBER(AE465)),NOT(ISNUMBER(AJ465)),AJ465&lt;=0),"",IF(AND(ISNUMBER(G465),AJ465&lt;0.1*G465),"",AE465/AJ465))</f>
        <v/>
      </c>
      <c r="AL465" s="17">
        <f>IF(NOT(ISNUMBER(P465)),"",IF(ISNUMBER(Q465),(P465+Q465)/2,P465))</f>
        <v/>
      </c>
      <c r="AM465" s="19">
        <f>IF(AND(ISNUMBER(L465),ISNUMBER(AL465),AL465&gt;0),L465/AL465,"")</f>
        <v/>
      </c>
      <c r="AN465" s="19">
        <f>IF(AND(ISNUMBER(AM465),ISNUMBER({ROIC})),AM465-{ROIC},"")</f>
        <v/>
      </c>
      <c r="AO465" s="17">
        <f>IF(AND(ISNUMBER(AC465),ISNUMBER(M465)),AC465+M465,"")</f>
        <v/>
      </c>
      <c r="AP465" s="20">
        <f>IF(AND(ISNUMBER(AF465),ISNUMBER(R465),ISNUMBER(AO465),AO465&gt;0),(AF465-R465)/AO465,"")</f>
        <v/>
      </c>
      <c r="AQ465" s="20">
        <f>IF(AND(ISNUMBER(AC465),ISNUMBER(I465),I465&lt;&gt;0,AC465&gt;0),AC465/I465,"")</f>
        <v/>
      </c>
      <c r="AR465" s="17">
        <f>IF(AND(ISNUMBER(W465),ISNUMBER(Y465)),W465-IF(ISNUMBER(R465),R465,0)-(Y465-IF(ISNUMBER(T465),T465,0)),"")</f>
        <v/>
      </c>
      <c r="AS465" s="17">
        <f>IF(AND(ISNUMBER(X465),ISNUMBER(Z465)),X465-IF(ISNUMBER(S465),S465,0)-(Z465-IF(ISNUMBER(U465),U465,0)),"")</f>
        <v/>
      </c>
      <c r="AT465" s="17">
        <f>IF(AND(ISNUMBER(AR465),ISNUMBER(AS465)),AR465-AS465,"")</f>
        <v/>
      </c>
      <c r="AU465" s="17">
        <f>IF(E465="금융","",IF(AND(ISNUMBER(L465),ISNUMBER(M465),ISNUMBER(N465),ISNUMBER(AT465)),L465+M465-N465-AT465,IF(AND(ISNUMBER(O465),ISNUMBER(N465)),O465-N465,"")))</f>
        <v/>
      </c>
      <c r="AV465" s="8">
        <f>IF(E465="금융","금융업 - 정의되지 않음",IF(AND(ISNUMBER(L465),ISNUMBER(M465),ISNUMBER(N465),ISNUMBER(AT465)),"순이익+감가상각-설비투자-운전자본증감",IF(AND(ISNUMBER(O465),ISNUMBER(N465)),"영업현금흐름-설비투자","산출불가")))</f>
        <v/>
      </c>
      <c r="AW465" s="19">
        <f>IF(AND(ISNUMBER(AU465),ISNUMBER(G465),G465&lt;&gt;0),AU465/G465,"")</f>
        <v/>
      </c>
      <c r="AX465" s="19">
        <f>IF(AND(ISNUMBER(AC465),ISNUMBER(G465),G465&lt;&gt;0),AC465/G465,"")</f>
        <v/>
      </c>
    </row>
    <row r="466">
      <c r="A466" s="8" t="inlineStr">
        <is>
          <t>RTX</t>
        </is>
      </c>
      <c r="B466" s="8" t="inlineStr">
        <is>
          <t>RTX Corp</t>
        </is>
      </c>
      <c r="C466" s="8" t="n">
        <v>2025</v>
      </c>
      <c r="D466" s="8" t="inlineStr">
        <is>
          <t>2025-12-31</t>
        </is>
      </c>
      <c r="E466" s="8" t="inlineStr">
        <is>
          <t>일반</t>
        </is>
      </c>
      <c r="F466" s="8" t="inlineStr">
        <is>
          <t>0000101829-26-000006</t>
        </is>
      </c>
      <c r="G466" s="15" t="n">
        <v>88.60299999999999</v>
      </c>
      <c r="H466" s="15" t="n">
        <v>8.733000000000001</v>
      </c>
      <c r="I466" s="15" t="n"/>
      <c r="J466" s="15" t="n">
        <v>1.664</v>
      </c>
      <c r="K466" s="15" t="n">
        <v>9.300000000000001</v>
      </c>
      <c r="L466" s="15" t="n">
        <v>6.732</v>
      </c>
      <c r="M466" s="15" t="n">
        <v>4.378</v>
      </c>
      <c r="N466" s="15" t="n">
        <v>2.627</v>
      </c>
      <c r="O466" s="15" t="n">
        <v>10.567</v>
      </c>
      <c r="P466" s="15" t="n">
        <v>65.245</v>
      </c>
      <c r="Q466" s="15" t="n">
        <v>60.156</v>
      </c>
      <c r="R466" s="15" t="n">
        <v>8.185</v>
      </c>
      <c r="S466" s="15" t="n">
        <v>6.364</v>
      </c>
      <c r="T466" s="15" t="n">
        <v>0.204</v>
      </c>
      <c r="U466" s="15" t="n">
        <v>0.183</v>
      </c>
      <c r="V466" s="15" t="n">
        <v>34.288</v>
      </c>
      <c r="W466" s="15" t="n">
        <v>60.332</v>
      </c>
      <c r="X466" s="15" t="n">
        <v>51.133</v>
      </c>
      <c r="Y466" s="15" t="n">
        <v>58.784</v>
      </c>
      <c r="Z466" s="15" t="n">
        <v>51.499</v>
      </c>
      <c r="AA466" s="15" t="n">
        <v>92.70099999999999</v>
      </c>
      <c r="AB466" s="16" t="n">
        <v>1356.4</v>
      </c>
      <c r="AC466" s="17">
        <f>IF(AND(ISNUMBER(H466),ISNUMBER(I466)),H466+I466,IF(ISNUMBER(K466),K466,IF(ISNUMBER(H466),H466,"")))</f>
        <v/>
      </c>
      <c r="AD466" s="18">
        <f>IF(OR(NOT(ISNUMBER(J466)),NOT(ISNUMBER(H466)),H466&lt;=0),기준표!$B$8,MIN(MAX(J466/H466,기준표!$B$6),기준표!$B$7))</f>
        <v/>
      </c>
      <c r="AE466" s="17">
        <f>IF(ISNUMBER(AC466),AC466*(1-AD466),"")</f>
        <v/>
      </c>
      <c r="AF466" s="17">
        <f>IF(AND(NOT(ISNUMBER(T466)),NOT(ISNUMBER(V466))),"",IF(ISNUMBER(T466),T466,0)+IF(ISNUMBER(V466),V466,0))</f>
        <v/>
      </c>
      <c r="AG466" s="17">
        <f>IF(E466="금융","",IF(AND(ISNUMBER(P466),ISNUMBER(AF466),ISNUMBER(R466)),P466+AF466-R466,""))</f>
        <v/>
      </c>
      <c r="AH466" s="17">
        <f>IF(E466="금융","",IF(NOT(ISNUMBER(AG466)),"",IF(ISNUMBER(AA466),(AG466+AA466)/2,AG466)))</f>
        <v/>
      </c>
      <c r="AI466" s="19">
        <f>IF(AND(ISNUMBER(AE466),ISNUMBER(AH466),AH466&gt;0),AE466/AH466,"")</f>
        <v/>
      </c>
      <c r="AJ466" s="17">
        <f>IF(E466="금융","",IF(AND(ISNUMBER(P466),ISNUMBER(AF466)),P466+AF466,""))</f>
        <v/>
      </c>
      <c r="AK466" s="19">
        <f>IF(OR(NOT(ISNUMBER(AE466)),NOT(ISNUMBER(AJ466)),AJ466&lt;=0),"",IF(AND(ISNUMBER(G466),AJ466&lt;0.1*G466),"",AE466/AJ466))</f>
        <v/>
      </c>
      <c r="AL466" s="17">
        <f>IF(NOT(ISNUMBER(P466)),"",IF(ISNUMBER(Q466),(P466+Q466)/2,P466))</f>
        <v/>
      </c>
      <c r="AM466" s="19">
        <f>IF(AND(ISNUMBER(L466),ISNUMBER(AL466),AL466&gt;0),L466/AL466,"")</f>
        <v/>
      </c>
      <c r="AN466" s="19">
        <f>IF(AND(ISNUMBER(AM466),ISNUMBER({ROIC})),AM466-{ROIC},"")</f>
        <v/>
      </c>
      <c r="AO466" s="17">
        <f>IF(AND(ISNUMBER(AC466),ISNUMBER(M466)),AC466+M466,"")</f>
        <v/>
      </c>
      <c r="AP466" s="20">
        <f>IF(AND(ISNUMBER(AF466),ISNUMBER(R466),ISNUMBER(AO466),AO466&gt;0),(AF466-R466)/AO466,"")</f>
        <v/>
      </c>
      <c r="AQ466" s="20">
        <f>IF(AND(ISNUMBER(AC466),ISNUMBER(I466),I466&lt;&gt;0,AC466&gt;0),AC466/I466,"")</f>
        <v/>
      </c>
      <c r="AR466" s="17">
        <f>IF(AND(ISNUMBER(W466),ISNUMBER(Y466)),W466-IF(ISNUMBER(R466),R466,0)-(Y466-IF(ISNUMBER(T466),T466,0)),"")</f>
        <v/>
      </c>
      <c r="AS466" s="17">
        <f>IF(AND(ISNUMBER(X466),ISNUMBER(Z466)),X466-IF(ISNUMBER(S466),S466,0)-(Z466-IF(ISNUMBER(U466),U466,0)),"")</f>
        <v/>
      </c>
      <c r="AT466" s="17">
        <f>IF(AND(ISNUMBER(AR466),ISNUMBER(AS466)),AR466-AS466,"")</f>
        <v/>
      </c>
      <c r="AU466" s="17">
        <f>IF(E466="금융","",IF(AND(ISNUMBER(L466),ISNUMBER(M466),ISNUMBER(N466),ISNUMBER(AT466)),L466+M466-N466-AT466,IF(AND(ISNUMBER(O466),ISNUMBER(N466)),O466-N466,"")))</f>
        <v/>
      </c>
      <c r="AV466" s="8">
        <f>IF(E466="금융","금융업 - 정의되지 않음",IF(AND(ISNUMBER(L466),ISNUMBER(M466),ISNUMBER(N466),ISNUMBER(AT466)),"순이익+감가상각-설비투자-운전자본증감",IF(AND(ISNUMBER(O466),ISNUMBER(N466)),"영업현금흐름-설비투자","산출불가")))</f>
        <v/>
      </c>
      <c r="AW466" s="19">
        <f>IF(AND(ISNUMBER(AU466),ISNUMBER(G466),G466&lt;&gt;0),AU466/G466,"")</f>
        <v/>
      </c>
      <c r="AX466" s="19">
        <f>IF(AND(ISNUMBER(AC466),ISNUMBER(G466),G466&lt;&gt;0),AC466/G466,"")</f>
        <v/>
      </c>
    </row>
    <row r="467">
      <c r="A467" s="8" t="inlineStr">
        <is>
          <t>PANW</t>
        </is>
      </c>
      <c r="B467" s="8" t="inlineStr">
        <is>
          <t>Palo Alto Networks Inc</t>
        </is>
      </c>
      <c r="C467" s="8" t="n">
        <v>2014</v>
      </c>
      <c r="D467" s="8" t="inlineStr">
        <is>
          <t>2014-07-31</t>
        </is>
      </c>
      <c r="E467" s="8" t="inlineStr">
        <is>
          <t>일반</t>
        </is>
      </c>
      <c r="F467" s="8" t="inlineStr">
        <is>
          <t>0001327567-16-000064</t>
        </is>
      </c>
      <c r="G467" s="15" t="n"/>
      <c r="H467" s="15" t="n"/>
      <c r="I467" s="15" t="n">
        <v>0.0018</v>
      </c>
      <c r="J467" s="15" t="n">
        <v>0.0043</v>
      </c>
      <c r="K467" s="15" t="n">
        <v>-0.2153</v>
      </c>
      <c r="L467" s="15" t="n">
        <v>-0.2265</v>
      </c>
      <c r="M467" s="15" t="n">
        <v>0.0194</v>
      </c>
      <c r="N467" s="15" t="n">
        <v>0.0361</v>
      </c>
      <c r="O467" s="15" t="n">
        <v>0.08840000000000001</v>
      </c>
      <c r="P467" s="15" t="n">
        <v>0.468583</v>
      </c>
      <c r="Q467" s="15" t="n"/>
      <c r="R467" s="15" t="n">
        <v>0.6538</v>
      </c>
      <c r="S467" s="15" t="n"/>
      <c r="T467" s="15" t="n">
        <v>0</v>
      </c>
      <c r="U467" s="15" t="n"/>
      <c r="V467" s="15" t="n">
        <v>0.466875</v>
      </c>
      <c r="W467" s="15" t="n">
        <v>0.958326</v>
      </c>
      <c r="X467" s="15" t="n"/>
      <c r="Y467" s="15" t="n">
        <v>0.348171</v>
      </c>
      <c r="Z467" s="15" t="n"/>
      <c r="AA467" s="15" t="n"/>
      <c r="AB467" s="16" t="n">
        <v>477.114</v>
      </c>
      <c r="AC467" s="17">
        <f>IF(AND(ISNUMBER(H467),ISNUMBER(I467)),H467+I467,IF(ISNUMBER(K467),K467,IF(ISNUMBER(H467),H467,"")))</f>
        <v/>
      </c>
      <c r="AD467" s="18">
        <f>IF(OR(NOT(ISNUMBER(J467)),NOT(ISNUMBER(H467)),H467&lt;=0),기준표!$B$8,MIN(MAX(J467/H467,기준표!$B$6),기준표!$B$7))</f>
        <v/>
      </c>
      <c r="AE467" s="17">
        <f>IF(ISNUMBER(AC467),AC467*(1-AD467),"")</f>
        <v/>
      </c>
      <c r="AF467" s="17">
        <f>IF(AND(NOT(ISNUMBER(T467)),NOT(ISNUMBER(V467))),"",IF(ISNUMBER(T467),T467,0)+IF(ISNUMBER(V467),V467,0))</f>
        <v/>
      </c>
      <c r="AG467" s="17">
        <f>IF(E467="금융","",IF(AND(ISNUMBER(P467),ISNUMBER(AF467),ISNUMBER(R467)),P467+AF467-R467,""))</f>
        <v/>
      </c>
      <c r="AH467" s="17">
        <f>IF(E467="금융","",IF(NOT(ISNUMBER(AG467)),"",IF(ISNUMBER(AA467),(AG467+AA467)/2,AG467)))</f>
        <v/>
      </c>
      <c r="AI467" s="19">
        <f>IF(AND(ISNUMBER(AE467),ISNUMBER(AH467),AH467&gt;0),AE467/AH467,"")</f>
        <v/>
      </c>
      <c r="AJ467" s="17">
        <f>IF(E467="금융","",IF(AND(ISNUMBER(P467),ISNUMBER(AF467)),P467+AF467,""))</f>
        <v/>
      </c>
      <c r="AK467" s="19">
        <f>IF(OR(NOT(ISNUMBER(AE467)),NOT(ISNUMBER(AJ467)),AJ467&lt;=0),"",IF(AND(ISNUMBER(G467),AJ467&lt;0.1*G467),"",AE467/AJ467))</f>
        <v/>
      </c>
      <c r="AL467" s="17">
        <f>IF(NOT(ISNUMBER(P467)),"",IF(ISNUMBER(Q467),(P467+Q467)/2,P467))</f>
        <v/>
      </c>
      <c r="AM467" s="19">
        <f>IF(AND(ISNUMBER(L467),ISNUMBER(AL467),AL467&gt;0),L467/AL467,"")</f>
        <v/>
      </c>
      <c r="AN467" s="19">
        <f>IF(AND(ISNUMBER(AM467),ISNUMBER({ROIC})),AM467-{ROIC},"")</f>
        <v/>
      </c>
      <c r="AO467" s="17">
        <f>IF(AND(ISNUMBER(AC467),ISNUMBER(M467)),AC467+M467,"")</f>
        <v/>
      </c>
      <c r="AP467" s="20">
        <f>IF(AND(ISNUMBER(AF467),ISNUMBER(R467),ISNUMBER(AO467),AO467&gt;0),(AF467-R467)/AO467,"")</f>
        <v/>
      </c>
      <c r="AQ467" s="20">
        <f>IF(AND(ISNUMBER(AC467),ISNUMBER(I467),I467&lt;&gt;0,AC467&gt;0),AC467/I467,"")</f>
        <v/>
      </c>
      <c r="AR467" s="17">
        <f>IF(AND(ISNUMBER(W467),ISNUMBER(Y467)),W467-IF(ISNUMBER(R467),R467,0)-(Y467-IF(ISNUMBER(T467),T467,0)),"")</f>
        <v/>
      </c>
      <c r="AS467" s="17">
        <f>IF(AND(ISNUMBER(X467),ISNUMBER(Z467)),X467-IF(ISNUMBER(S467),S467,0)-(Z467-IF(ISNUMBER(U467),U467,0)),"")</f>
        <v/>
      </c>
      <c r="AT467" s="17">
        <f>IF(AND(ISNUMBER(AR467),ISNUMBER(AS467)),AR467-AS467,"")</f>
        <v/>
      </c>
      <c r="AU467" s="17">
        <f>IF(E467="금융","",IF(AND(ISNUMBER(L467),ISNUMBER(M467),ISNUMBER(N467),ISNUMBER(AT467)),L467+M467-N467-AT467,IF(AND(ISNUMBER(O467),ISNUMBER(N467)),O467-N467,"")))</f>
        <v/>
      </c>
      <c r="AV467" s="8">
        <f>IF(E467="금융","금융업 - 정의되지 않음",IF(AND(ISNUMBER(L467),ISNUMBER(M467),ISNUMBER(N467),ISNUMBER(AT467)),"순이익+감가상각-설비투자-운전자본증감",IF(AND(ISNUMBER(O467),ISNUMBER(N467)),"영업현금흐름-설비투자","산출불가")))</f>
        <v/>
      </c>
      <c r="AW467" s="19">
        <f>IF(AND(ISNUMBER(AU467),ISNUMBER(G467),G467&lt;&gt;0),AU467/G467,"")</f>
        <v/>
      </c>
      <c r="AX467" s="19">
        <f>IF(AND(ISNUMBER(AC467),ISNUMBER(G467),G467&lt;&gt;0),AC467/G467,"")</f>
        <v/>
      </c>
    </row>
    <row r="468">
      <c r="A468" s="8" t="inlineStr">
        <is>
          <t>PANW</t>
        </is>
      </c>
      <c r="B468" s="8" t="inlineStr">
        <is>
          <t>Palo Alto Networks Inc</t>
        </is>
      </c>
      <c r="C468" s="8" t="n">
        <v>2015</v>
      </c>
      <c r="D468" s="8" t="inlineStr">
        <is>
          <t>2015-07-31</t>
        </is>
      </c>
      <c r="E468" s="8" t="inlineStr">
        <is>
          <t>일반</t>
        </is>
      </c>
      <c r="F468" s="8" t="inlineStr">
        <is>
          <t>0001327567-17-000027</t>
        </is>
      </c>
      <c r="G468" s="15" t="n"/>
      <c r="H468" s="15" t="n"/>
      <c r="I468" s="15" t="n">
        <v>0.0223</v>
      </c>
      <c r="J468" s="15" t="n">
        <v>0.0094</v>
      </c>
      <c r="K468" s="15" t="n">
        <v>-0.0998</v>
      </c>
      <c r="L468" s="15" t="n">
        <v>-0.1313</v>
      </c>
      <c r="M468" s="15" t="n">
        <v>0.0289</v>
      </c>
      <c r="N468" s="15" t="n">
        <v>0.0338</v>
      </c>
      <c r="O468" s="15" t="n">
        <v>0.3528</v>
      </c>
      <c r="P468" s="15" t="n">
        <v>0.4879</v>
      </c>
      <c r="Q468" s="15" t="n">
        <v>0.468583</v>
      </c>
      <c r="R468" s="15" t="n">
        <v>0.3758</v>
      </c>
      <c r="S468" s="15" t="n">
        <v>0.6538</v>
      </c>
      <c r="T468" s="15" t="n">
        <v>0.4871</v>
      </c>
      <c r="U468" s="15" t="n">
        <v>0</v>
      </c>
      <c r="V468" s="15" t="n">
        <v>0.4871</v>
      </c>
      <c r="W468" s="15" t="n">
        <v>1.074</v>
      </c>
      <c r="X468" s="15" t="n">
        <v>0.958326</v>
      </c>
      <c r="Y468" s="15" t="n">
        <v>1.0322</v>
      </c>
      <c r="Z468" s="15" t="n">
        <v>0.348171</v>
      </c>
      <c r="AA468" s="15" t="n">
        <v>0.281658</v>
      </c>
      <c r="AB468" s="16" t="n">
        <v>508.8</v>
      </c>
      <c r="AC468" s="17">
        <f>IF(AND(ISNUMBER(H468),ISNUMBER(I468)),H468+I468,IF(ISNUMBER(K468),K468,IF(ISNUMBER(H468),H468,"")))</f>
        <v/>
      </c>
      <c r="AD468" s="18">
        <f>IF(OR(NOT(ISNUMBER(J468)),NOT(ISNUMBER(H468)),H468&lt;=0),기준표!$B$8,MIN(MAX(J468/H468,기준표!$B$6),기준표!$B$7))</f>
        <v/>
      </c>
      <c r="AE468" s="17">
        <f>IF(ISNUMBER(AC468),AC468*(1-AD468),"")</f>
        <v/>
      </c>
      <c r="AF468" s="17">
        <f>IF(AND(NOT(ISNUMBER(T468)),NOT(ISNUMBER(V468))),"",IF(ISNUMBER(T468),T468,0)+IF(ISNUMBER(V468),V468,0))</f>
        <v/>
      </c>
      <c r="AG468" s="17">
        <f>IF(E468="금융","",IF(AND(ISNUMBER(P468),ISNUMBER(AF468),ISNUMBER(R468)),P468+AF468-R468,""))</f>
        <v/>
      </c>
      <c r="AH468" s="17">
        <f>IF(E468="금융","",IF(NOT(ISNUMBER(AG468)),"",IF(ISNUMBER(AA468),(AG468+AA468)/2,AG468)))</f>
        <v/>
      </c>
      <c r="AI468" s="19">
        <f>IF(AND(ISNUMBER(AE468),ISNUMBER(AH468),AH468&gt;0),AE468/AH468,"")</f>
        <v/>
      </c>
      <c r="AJ468" s="17">
        <f>IF(E468="금융","",IF(AND(ISNUMBER(P468),ISNUMBER(AF468)),P468+AF468,""))</f>
        <v/>
      </c>
      <c r="AK468" s="19">
        <f>IF(OR(NOT(ISNUMBER(AE468)),NOT(ISNUMBER(AJ468)),AJ468&lt;=0),"",IF(AND(ISNUMBER(G468),AJ468&lt;0.1*G468),"",AE468/AJ468))</f>
        <v/>
      </c>
      <c r="AL468" s="17">
        <f>IF(NOT(ISNUMBER(P468)),"",IF(ISNUMBER(Q468),(P468+Q468)/2,P468))</f>
        <v/>
      </c>
      <c r="AM468" s="19">
        <f>IF(AND(ISNUMBER(L468),ISNUMBER(AL468),AL468&gt;0),L468/AL468,"")</f>
        <v/>
      </c>
      <c r="AN468" s="19">
        <f>IF(AND(ISNUMBER(AM468),ISNUMBER({ROIC})),AM468-{ROIC},"")</f>
        <v/>
      </c>
      <c r="AO468" s="17">
        <f>IF(AND(ISNUMBER(AC468),ISNUMBER(M468)),AC468+M468,"")</f>
        <v/>
      </c>
      <c r="AP468" s="20">
        <f>IF(AND(ISNUMBER(AF468),ISNUMBER(R468),ISNUMBER(AO468),AO468&gt;0),(AF468-R468)/AO468,"")</f>
        <v/>
      </c>
      <c r="AQ468" s="20">
        <f>IF(AND(ISNUMBER(AC468),ISNUMBER(I468),I468&lt;&gt;0,AC468&gt;0),AC468/I468,"")</f>
        <v/>
      </c>
      <c r="AR468" s="17">
        <f>IF(AND(ISNUMBER(W468),ISNUMBER(Y468)),W468-IF(ISNUMBER(R468),R468,0)-(Y468-IF(ISNUMBER(T468),T468,0)),"")</f>
        <v/>
      </c>
      <c r="AS468" s="17">
        <f>IF(AND(ISNUMBER(X468),ISNUMBER(Z468)),X468-IF(ISNUMBER(S468),S468,0)-(Z468-IF(ISNUMBER(U468),U468,0)),"")</f>
        <v/>
      </c>
      <c r="AT468" s="17">
        <f>IF(AND(ISNUMBER(AR468),ISNUMBER(AS468)),AR468-AS468,"")</f>
        <v/>
      </c>
      <c r="AU468" s="17">
        <f>IF(E468="금융","",IF(AND(ISNUMBER(L468),ISNUMBER(M468),ISNUMBER(N468),ISNUMBER(AT468)),L468+M468-N468-AT468,IF(AND(ISNUMBER(O468),ISNUMBER(N468)),O468-N468,"")))</f>
        <v/>
      </c>
      <c r="AV468" s="8">
        <f>IF(E468="금융","금융업 - 정의되지 않음",IF(AND(ISNUMBER(L468),ISNUMBER(M468),ISNUMBER(N468),ISNUMBER(AT468)),"순이익+감가상각-설비투자-운전자본증감",IF(AND(ISNUMBER(O468),ISNUMBER(N468)),"영업현금흐름-설비투자","산출불가")))</f>
        <v/>
      </c>
      <c r="AW468" s="19">
        <f>IF(AND(ISNUMBER(AU468),ISNUMBER(G468),G468&lt;&gt;0),AU468/G468,"")</f>
        <v/>
      </c>
      <c r="AX468" s="19">
        <f>IF(AND(ISNUMBER(AC468),ISNUMBER(G468),G468&lt;&gt;0),AC468/G468,"")</f>
        <v/>
      </c>
    </row>
    <row r="469">
      <c r="A469" s="8" t="inlineStr">
        <is>
          <t>PANW</t>
        </is>
      </c>
      <c r="B469" s="8" t="inlineStr">
        <is>
          <t>Palo Alto Networks Inc</t>
        </is>
      </c>
      <c r="C469" s="8" t="n">
        <v>2016</v>
      </c>
      <c r="D469" s="8" t="inlineStr">
        <is>
          <t>2016-07-31</t>
        </is>
      </c>
      <c r="E469" s="8" t="inlineStr">
        <is>
          <t>일반</t>
        </is>
      </c>
      <c r="F469" s="8" t="inlineStr">
        <is>
          <t>0001327567-18-000024</t>
        </is>
      </c>
      <c r="G469" s="15" t="n"/>
      <c r="H469" s="15" t="n">
        <v>-0.1723</v>
      </c>
      <c r="I469" s="15" t="n">
        <v>0.0234</v>
      </c>
      <c r="J469" s="15" t="n">
        <v>0.0204</v>
      </c>
      <c r="K469" s="15" t="n">
        <v>-0.1573</v>
      </c>
      <c r="L469" s="15" t="n">
        <v>-0.1927</v>
      </c>
      <c r="M469" s="15" t="n">
        <v>0.0428</v>
      </c>
      <c r="N469" s="15" t="n">
        <v>0.0725</v>
      </c>
      <c r="O469" s="15" t="n">
        <v>0.6586</v>
      </c>
      <c r="P469" s="15" t="n">
        <v>0.8949</v>
      </c>
      <c r="Q469" s="15" t="n">
        <v>0.4879</v>
      </c>
      <c r="R469" s="15" t="n">
        <v>0.7344000000000001</v>
      </c>
      <c r="S469" s="15" t="n">
        <v>0.3758</v>
      </c>
      <c r="T469" s="15" t="n">
        <v>0</v>
      </c>
      <c r="U469" s="15" t="n">
        <v>0.4871</v>
      </c>
      <c r="V469" s="15" t="n">
        <v>0.5002</v>
      </c>
      <c r="W469" s="15" t="n">
        <v>1.774</v>
      </c>
      <c r="X469" s="15" t="n">
        <v>1.074</v>
      </c>
      <c r="Y469" s="15" t="n">
        <v>0.8468</v>
      </c>
      <c r="Z469" s="15" t="n">
        <v>1.0322</v>
      </c>
      <c r="AA469" s="15" t="n">
        <v>1.0863</v>
      </c>
      <c r="AB469" s="16" t="n">
        <v>543</v>
      </c>
      <c r="AC469" s="17">
        <f>IF(AND(ISNUMBER(H469),ISNUMBER(I469)),H469+I469,IF(ISNUMBER(K469),K469,IF(ISNUMBER(H469),H469,"")))</f>
        <v/>
      </c>
      <c r="AD469" s="18">
        <f>IF(OR(NOT(ISNUMBER(J469)),NOT(ISNUMBER(H469)),H469&lt;=0),기준표!$B$8,MIN(MAX(J469/H469,기준표!$B$6),기준표!$B$7))</f>
        <v/>
      </c>
      <c r="AE469" s="17">
        <f>IF(ISNUMBER(AC469),AC469*(1-AD469),"")</f>
        <v/>
      </c>
      <c r="AF469" s="17">
        <f>IF(AND(NOT(ISNUMBER(T469)),NOT(ISNUMBER(V469))),"",IF(ISNUMBER(T469),T469,0)+IF(ISNUMBER(V469),V469,0))</f>
        <v/>
      </c>
      <c r="AG469" s="17">
        <f>IF(E469="금융","",IF(AND(ISNUMBER(P469),ISNUMBER(AF469),ISNUMBER(R469)),P469+AF469-R469,""))</f>
        <v/>
      </c>
      <c r="AH469" s="17">
        <f>IF(E469="금융","",IF(NOT(ISNUMBER(AG469)),"",IF(ISNUMBER(AA469),(AG469+AA469)/2,AG469)))</f>
        <v/>
      </c>
      <c r="AI469" s="19">
        <f>IF(AND(ISNUMBER(AE469),ISNUMBER(AH469),AH469&gt;0),AE469/AH469,"")</f>
        <v/>
      </c>
      <c r="AJ469" s="17">
        <f>IF(E469="금융","",IF(AND(ISNUMBER(P469),ISNUMBER(AF469)),P469+AF469,""))</f>
        <v/>
      </c>
      <c r="AK469" s="19">
        <f>IF(OR(NOT(ISNUMBER(AE469)),NOT(ISNUMBER(AJ469)),AJ469&lt;=0),"",IF(AND(ISNUMBER(G469),AJ469&lt;0.1*G469),"",AE469/AJ469))</f>
        <v/>
      </c>
      <c r="AL469" s="17">
        <f>IF(NOT(ISNUMBER(P469)),"",IF(ISNUMBER(Q469),(P469+Q469)/2,P469))</f>
        <v/>
      </c>
      <c r="AM469" s="19">
        <f>IF(AND(ISNUMBER(L469),ISNUMBER(AL469),AL469&gt;0),L469/AL469,"")</f>
        <v/>
      </c>
      <c r="AN469" s="19">
        <f>IF(AND(ISNUMBER(AM469),ISNUMBER({ROIC})),AM469-{ROIC},"")</f>
        <v/>
      </c>
      <c r="AO469" s="17">
        <f>IF(AND(ISNUMBER(AC469),ISNUMBER(M469)),AC469+M469,"")</f>
        <v/>
      </c>
      <c r="AP469" s="20">
        <f>IF(AND(ISNUMBER(AF469),ISNUMBER(R469),ISNUMBER(AO469),AO469&gt;0),(AF469-R469)/AO469,"")</f>
        <v/>
      </c>
      <c r="AQ469" s="20">
        <f>IF(AND(ISNUMBER(AC469),ISNUMBER(I469),I469&lt;&gt;0,AC469&gt;0),AC469/I469,"")</f>
        <v/>
      </c>
      <c r="AR469" s="17">
        <f>IF(AND(ISNUMBER(W469),ISNUMBER(Y469)),W469-IF(ISNUMBER(R469),R469,0)-(Y469-IF(ISNUMBER(T469),T469,0)),"")</f>
        <v/>
      </c>
      <c r="AS469" s="17">
        <f>IF(AND(ISNUMBER(X469),ISNUMBER(Z469)),X469-IF(ISNUMBER(S469),S469,0)-(Z469-IF(ISNUMBER(U469),U469,0)),"")</f>
        <v/>
      </c>
      <c r="AT469" s="17">
        <f>IF(AND(ISNUMBER(AR469),ISNUMBER(AS469)),AR469-AS469,"")</f>
        <v/>
      </c>
      <c r="AU469" s="17">
        <f>IF(E469="금융","",IF(AND(ISNUMBER(L469),ISNUMBER(M469),ISNUMBER(N469),ISNUMBER(AT469)),L469+M469-N469-AT469,IF(AND(ISNUMBER(O469),ISNUMBER(N469)),O469-N469,"")))</f>
        <v/>
      </c>
      <c r="AV469" s="8">
        <f>IF(E469="금융","금융업 - 정의되지 않음",IF(AND(ISNUMBER(L469),ISNUMBER(M469),ISNUMBER(N469),ISNUMBER(AT469)),"순이익+감가상각-설비투자-운전자본증감",IF(AND(ISNUMBER(O469),ISNUMBER(N469)),"영업현금흐름-설비투자","산출불가")))</f>
        <v/>
      </c>
      <c r="AW469" s="19">
        <f>IF(AND(ISNUMBER(AU469),ISNUMBER(G469),G469&lt;&gt;0),AU469/G469,"")</f>
        <v/>
      </c>
      <c r="AX469" s="19">
        <f>IF(AND(ISNUMBER(AC469),ISNUMBER(G469),G469&lt;&gt;0),AC469/G469,"")</f>
        <v/>
      </c>
    </row>
    <row r="470">
      <c r="A470" s="8" t="inlineStr">
        <is>
          <t>PANW</t>
        </is>
      </c>
      <c r="B470" s="8" t="inlineStr">
        <is>
          <t>Palo Alto Networks Inc</t>
        </is>
      </c>
      <c r="C470" s="8" t="n">
        <v>2017</v>
      </c>
      <c r="D470" s="8" t="inlineStr">
        <is>
          <t>2017-07-31</t>
        </is>
      </c>
      <c r="E470" s="8" t="inlineStr">
        <is>
          <t>일반</t>
        </is>
      </c>
      <c r="F470" s="8" t="inlineStr">
        <is>
          <t>0001327567-19-000032</t>
        </is>
      </c>
      <c r="G470" s="15" t="n">
        <v>1.7551</v>
      </c>
      <c r="H470" s="15" t="n">
        <v>-0.1801</v>
      </c>
      <c r="I470" s="15" t="n">
        <v>0.0245</v>
      </c>
      <c r="J470" s="15" t="n">
        <v>0.0229</v>
      </c>
      <c r="K470" s="15" t="n">
        <v>-0.1658</v>
      </c>
      <c r="L470" s="15" t="n">
        <v>-0.203</v>
      </c>
      <c r="M470" s="15" t="n">
        <v>0.0598</v>
      </c>
      <c r="N470" s="15" t="n">
        <v>0.1634</v>
      </c>
      <c r="O470" s="15" t="n">
        <v>0.8688</v>
      </c>
      <c r="P470" s="15" t="n">
        <v>0.7596000000000001</v>
      </c>
      <c r="Q470" s="15" t="n">
        <v>0.8949</v>
      </c>
      <c r="R470" s="15" t="n">
        <v>0.7443</v>
      </c>
      <c r="S470" s="15" t="n">
        <v>0.7344000000000001</v>
      </c>
      <c r="T470" s="15" t="n">
        <v>0</v>
      </c>
      <c r="U470" s="15" t="n">
        <v>0</v>
      </c>
      <c r="V470" s="15" t="n">
        <v>0.5247000000000001</v>
      </c>
      <c r="W470" s="15" t="n">
        <v>1.9763</v>
      </c>
      <c r="X470" s="15" t="n">
        <v>1.774</v>
      </c>
      <c r="Y470" s="15" t="n">
        <v>1.2013</v>
      </c>
      <c r="Z470" s="15" t="n">
        <v>0.8468</v>
      </c>
      <c r="AA470" s="15" t="n">
        <v>0.6607</v>
      </c>
      <c r="AB470" s="16" t="n">
        <v>549</v>
      </c>
      <c r="AC470" s="17">
        <f>IF(AND(ISNUMBER(H470),ISNUMBER(I470)),H470+I470,IF(ISNUMBER(K470),K470,IF(ISNUMBER(H470),H470,"")))</f>
        <v/>
      </c>
      <c r="AD470" s="18">
        <f>IF(OR(NOT(ISNUMBER(J470)),NOT(ISNUMBER(H470)),H470&lt;=0),기준표!$B$8,MIN(MAX(J470/H470,기준표!$B$6),기준표!$B$7))</f>
        <v/>
      </c>
      <c r="AE470" s="17">
        <f>IF(ISNUMBER(AC470),AC470*(1-AD470),"")</f>
        <v/>
      </c>
      <c r="AF470" s="17">
        <f>IF(AND(NOT(ISNUMBER(T470)),NOT(ISNUMBER(V470))),"",IF(ISNUMBER(T470),T470,0)+IF(ISNUMBER(V470),V470,0))</f>
        <v/>
      </c>
      <c r="AG470" s="17">
        <f>IF(E470="금융","",IF(AND(ISNUMBER(P470),ISNUMBER(AF470),ISNUMBER(R470)),P470+AF470-R470,""))</f>
        <v/>
      </c>
      <c r="AH470" s="17">
        <f>IF(E470="금융","",IF(NOT(ISNUMBER(AG470)),"",IF(ISNUMBER(AA470),(AG470+AA470)/2,AG470)))</f>
        <v/>
      </c>
      <c r="AI470" s="19">
        <f>IF(AND(ISNUMBER(AE470),ISNUMBER(AH470),AH470&gt;0),AE470/AH470,"")</f>
        <v/>
      </c>
      <c r="AJ470" s="17">
        <f>IF(E470="금융","",IF(AND(ISNUMBER(P470),ISNUMBER(AF470)),P470+AF470,""))</f>
        <v/>
      </c>
      <c r="AK470" s="19">
        <f>IF(OR(NOT(ISNUMBER(AE470)),NOT(ISNUMBER(AJ470)),AJ470&lt;=0),"",IF(AND(ISNUMBER(G470),AJ470&lt;0.1*G470),"",AE470/AJ470))</f>
        <v/>
      </c>
      <c r="AL470" s="17">
        <f>IF(NOT(ISNUMBER(P470)),"",IF(ISNUMBER(Q470),(P470+Q470)/2,P470))</f>
        <v/>
      </c>
      <c r="AM470" s="19">
        <f>IF(AND(ISNUMBER(L470),ISNUMBER(AL470),AL470&gt;0),L470/AL470,"")</f>
        <v/>
      </c>
      <c r="AN470" s="19">
        <f>IF(AND(ISNUMBER(AM470),ISNUMBER({ROIC})),AM470-{ROIC},"")</f>
        <v/>
      </c>
      <c r="AO470" s="17">
        <f>IF(AND(ISNUMBER(AC470),ISNUMBER(M470)),AC470+M470,"")</f>
        <v/>
      </c>
      <c r="AP470" s="20">
        <f>IF(AND(ISNUMBER(AF470),ISNUMBER(R470),ISNUMBER(AO470),AO470&gt;0),(AF470-R470)/AO470,"")</f>
        <v/>
      </c>
      <c r="AQ470" s="20">
        <f>IF(AND(ISNUMBER(AC470),ISNUMBER(I470),I470&lt;&gt;0,AC470&gt;0),AC470/I470,"")</f>
        <v/>
      </c>
      <c r="AR470" s="17">
        <f>IF(AND(ISNUMBER(W470),ISNUMBER(Y470)),W470-IF(ISNUMBER(R470),R470,0)-(Y470-IF(ISNUMBER(T470),T470,0)),"")</f>
        <v/>
      </c>
      <c r="AS470" s="17">
        <f>IF(AND(ISNUMBER(X470),ISNUMBER(Z470)),X470-IF(ISNUMBER(S470),S470,0)-(Z470-IF(ISNUMBER(U470),U470,0)),"")</f>
        <v/>
      </c>
      <c r="AT470" s="17">
        <f>IF(AND(ISNUMBER(AR470),ISNUMBER(AS470)),AR470-AS470,"")</f>
        <v/>
      </c>
      <c r="AU470" s="17">
        <f>IF(E470="금융","",IF(AND(ISNUMBER(L470),ISNUMBER(M470),ISNUMBER(N470),ISNUMBER(AT470)),L470+M470-N470-AT470,IF(AND(ISNUMBER(O470),ISNUMBER(N470)),O470-N470,"")))</f>
        <v/>
      </c>
      <c r="AV470" s="8">
        <f>IF(E470="금융","금융업 - 정의되지 않음",IF(AND(ISNUMBER(L470),ISNUMBER(M470),ISNUMBER(N470),ISNUMBER(AT470)),"순이익+감가상각-설비투자-운전자본증감",IF(AND(ISNUMBER(O470),ISNUMBER(N470)),"영업현금흐름-설비투자","산출불가")))</f>
        <v/>
      </c>
      <c r="AW470" s="19">
        <f>IF(AND(ISNUMBER(AU470),ISNUMBER(G470),G470&lt;&gt;0),AU470/G470,"")</f>
        <v/>
      </c>
      <c r="AX470" s="19">
        <f>IF(AND(ISNUMBER(AC470),ISNUMBER(G470),G470&lt;&gt;0),AC470/G470,"")</f>
        <v/>
      </c>
    </row>
    <row r="471">
      <c r="A471" s="8" t="inlineStr">
        <is>
          <t>PANW</t>
        </is>
      </c>
      <c r="B471" s="8" t="inlineStr">
        <is>
          <t>Palo Alto Networks Inc</t>
        </is>
      </c>
      <c r="C471" s="8" t="n">
        <v>2018</v>
      </c>
      <c r="D471" s="8" t="inlineStr">
        <is>
          <t>2018-07-31</t>
        </is>
      </c>
      <c r="E471" s="8" t="inlineStr">
        <is>
          <t>일반</t>
        </is>
      </c>
      <c r="F471" s="8" t="inlineStr">
        <is>
          <t>0001327567-20-000032</t>
        </is>
      </c>
      <c r="G471" s="15" t="n">
        <v>2.2736</v>
      </c>
      <c r="H471" s="15" t="n">
        <v>-0.1053</v>
      </c>
      <c r="I471" s="15" t="n">
        <v>0.0295</v>
      </c>
      <c r="J471" s="15" t="n">
        <v>0.0169</v>
      </c>
      <c r="K471" s="15" t="n">
        <v>-0.1042</v>
      </c>
      <c r="L471" s="15" t="n">
        <v>-0.1222</v>
      </c>
      <c r="M471" s="15" t="n">
        <v>0.0964</v>
      </c>
      <c r="N471" s="15" t="n">
        <v>0.112</v>
      </c>
      <c r="O471" s="15" t="n">
        <v>1.0381</v>
      </c>
      <c r="P471" s="15" t="n">
        <v>1.1603</v>
      </c>
      <c r="Q471" s="15" t="n">
        <v>0.7596000000000001</v>
      </c>
      <c r="R471" s="15" t="n">
        <v>3.4034</v>
      </c>
      <c r="S471" s="15" t="n">
        <v>0.7443</v>
      </c>
      <c r="T471" s="15" t="n">
        <v>0.5504</v>
      </c>
      <c r="U471" s="15" t="n">
        <v>0</v>
      </c>
      <c r="V471" s="15" t="n">
        <v>1.9201</v>
      </c>
      <c r="W471" s="15" t="n">
        <v>4.1385</v>
      </c>
      <c r="X471" s="15" t="n">
        <v>1.9763</v>
      </c>
      <c r="Y471" s="15" t="n">
        <v>2.1017</v>
      </c>
      <c r="Z471" s="15" t="n">
        <v>1.2013</v>
      </c>
      <c r="AA471" s="15" t="n">
        <v>0.54</v>
      </c>
      <c r="AB471" s="16" t="n">
        <v>561.6</v>
      </c>
      <c r="AC471" s="17">
        <f>IF(AND(ISNUMBER(H471),ISNUMBER(I471)),H471+I471,IF(ISNUMBER(K471),K471,IF(ISNUMBER(H471),H471,"")))</f>
        <v/>
      </c>
      <c r="AD471" s="18">
        <f>IF(OR(NOT(ISNUMBER(J471)),NOT(ISNUMBER(H471)),H471&lt;=0),기준표!$B$8,MIN(MAX(J471/H471,기준표!$B$6),기준표!$B$7))</f>
        <v/>
      </c>
      <c r="AE471" s="17">
        <f>IF(ISNUMBER(AC471),AC471*(1-AD471),"")</f>
        <v/>
      </c>
      <c r="AF471" s="17">
        <f>IF(AND(NOT(ISNUMBER(T471)),NOT(ISNUMBER(V471))),"",IF(ISNUMBER(T471),T471,0)+IF(ISNUMBER(V471),V471,0))</f>
        <v/>
      </c>
      <c r="AG471" s="17">
        <f>IF(E471="금융","",IF(AND(ISNUMBER(P471),ISNUMBER(AF471),ISNUMBER(R471)),P471+AF471-R471,""))</f>
        <v/>
      </c>
      <c r="AH471" s="17">
        <f>IF(E471="금융","",IF(NOT(ISNUMBER(AG471)),"",IF(ISNUMBER(AA471),(AG471+AA471)/2,AG471)))</f>
        <v/>
      </c>
      <c r="AI471" s="19">
        <f>IF(AND(ISNUMBER(AE471),ISNUMBER(AH471),AH471&gt;0),AE471/AH471,"")</f>
        <v/>
      </c>
      <c r="AJ471" s="17">
        <f>IF(E471="금융","",IF(AND(ISNUMBER(P471),ISNUMBER(AF471)),P471+AF471,""))</f>
        <v/>
      </c>
      <c r="AK471" s="19">
        <f>IF(OR(NOT(ISNUMBER(AE471)),NOT(ISNUMBER(AJ471)),AJ471&lt;=0),"",IF(AND(ISNUMBER(G471),AJ471&lt;0.1*G471),"",AE471/AJ471))</f>
        <v/>
      </c>
      <c r="AL471" s="17">
        <f>IF(NOT(ISNUMBER(P471)),"",IF(ISNUMBER(Q471),(P471+Q471)/2,P471))</f>
        <v/>
      </c>
      <c r="AM471" s="19">
        <f>IF(AND(ISNUMBER(L471),ISNUMBER(AL471),AL471&gt;0),L471/AL471,"")</f>
        <v/>
      </c>
      <c r="AN471" s="19">
        <f>IF(AND(ISNUMBER(AM471),ISNUMBER({ROIC})),AM471-{ROIC},"")</f>
        <v/>
      </c>
      <c r="AO471" s="17">
        <f>IF(AND(ISNUMBER(AC471),ISNUMBER(M471)),AC471+M471,"")</f>
        <v/>
      </c>
      <c r="AP471" s="20">
        <f>IF(AND(ISNUMBER(AF471),ISNUMBER(R471),ISNUMBER(AO471),AO471&gt;0),(AF471-R471)/AO471,"")</f>
        <v/>
      </c>
      <c r="AQ471" s="20">
        <f>IF(AND(ISNUMBER(AC471),ISNUMBER(I471),I471&lt;&gt;0,AC471&gt;0),AC471/I471,"")</f>
        <v/>
      </c>
      <c r="AR471" s="17">
        <f>IF(AND(ISNUMBER(W471),ISNUMBER(Y471)),W471-IF(ISNUMBER(R471),R471,0)-(Y471-IF(ISNUMBER(T471),T471,0)),"")</f>
        <v/>
      </c>
      <c r="AS471" s="17">
        <f>IF(AND(ISNUMBER(X471),ISNUMBER(Z471)),X471-IF(ISNUMBER(S471),S471,0)-(Z471-IF(ISNUMBER(U471),U471,0)),"")</f>
        <v/>
      </c>
      <c r="AT471" s="17">
        <f>IF(AND(ISNUMBER(AR471),ISNUMBER(AS471)),AR471-AS471,"")</f>
        <v/>
      </c>
      <c r="AU471" s="17">
        <f>IF(E471="금융","",IF(AND(ISNUMBER(L471),ISNUMBER(M471),ISNUMBER(N471),ISNUMBER(AT471)),L471+M471-N471-AT471,IF(AND(ISNUMBER(O471),ISNUMBER(N471)),O471-N471,"")))</f>
        <v/>
      </c>
      <c r="AV471" s="8">
        <f>IF(E471="금융","금융업 - 정의되지 않음",IF(AND(ISNUMBER(L471),ISNUMBER(M471),ISNUMBER(N471),ISNUMBER(AT471)),"순이익+감가상각-설비투자-운전자본증감",IF(AND(ISNUMBER(O471),ISNUMBER(N471)),"영업현금흐름-설비투자","산출불가")))</f>
        <v/>
      </c>
      <c r="AW471" s="19">
        <f>IF(AND(ISNUMBER(AU471),ISNUMBER(G471),G471&lt;&gt;0),AU471/G471,"")</f>
        <v/>
      </c>
      <c r="AX471" s="19">
        <f>IF(AND(ISNUMBER(AC471),ISNUMBER(G471),G471&lt;&gt;0),AC471/G471,"")</f>
        <v/>
      </c>
    </row>
    <row r="472">
      <c r="A472" s="8" t="inlineStr">
        <is>
          <t>PANW</t>
        </is>
      </c>
      <c r="B472" s="8" t="inlineStr">
        <is>
          <t>Palo Alto Networks Inc</t>
        </is>
      </c>
      <c r="C472" s="8" t="n">
        <v>2019</v>
      </c>
      <c r="D472" s="8" t="inlineStr">
        <is>
          <t>2019-07-31</t>
        </is>
      </c>
      <c r="E472" s="8" t="inlineStr">
        <is>
          <t>일반</t>
        </is>
      </c>
      <c r="F472" s="8" t="inlineStr">
        <is>
          <t>0001327567-21-000029</t>
        </is>
      </c>
      <c r="G472" s="15" t="n">
        <v>2.8996</v>
      </c>
      <c r="H472" s="15" t="n">
        <v>-0.0746</v>
      </c>
      <c r="I472" s="15" t="n">
        <v>0.0829</v>
      </c>
      <c r="J472" s="15" t="n">
        <v>0.0073</v>
      </c>
      <c r="K472" s="15" t="n">
        <v>-0.0541</v>
      </c>
      <c r="L472" s="15" t="n">
        <v>-0.0819</v>
      </c>
      <c r="M472" s="15" t="n">
        <v>0.1538</v>
      </c>
      <c r="N472" s="15" t="n">
        <v>0.1312</v>
      </c>
      <c r="O472" s="15" t="n">
        <v>1.0556</v>
      </c>
      <c r="P472" s="15" t="n">
        <v>1.5863</v>
      </c>
      <c r="Q472" s="15" t="n">
        <v>1.1603</v>
      </c>
      <c r="R472" s="15" t="n">
        <v>2.8031</v>
      </c>
      <c r="S472" s="15" t="n">
        <v>3.4034</v>
      </c>
      <c r="T472" s="15" t="n">
        <v>0</v>
      </c>
      <c r="U472" s="15" t="n">
        <v>0.5504</v>
      </c>
      <c r="V472" s="15" t="n">
        <v>1.43</v>
      </c>
      <c r="W472" s="15" t="n">
        <v>3.6648</v>
      </c>
      <c r="X472" s="15" t="n">
        <v>4.1385</v>
      </c>
      <c r="Y472" s="15" t="n">
        <v>2.0533</v>
      </c>
      <c r="Z472" s="15" t="n">
        <v>2.1017</v>
      </c>
      <c r="AA472" s="15" t="n">
        <v>0.2274</v>
      </c>
      <c r="AB472" s="16" t="n">
        <v>580.8</v>
      </c>
      <c r="AC472" s="17">
        <f>IF(AND(ISNUMBER(H472),ISNUMBER(I472)),H472+I472,IF(ISNUMBER(K472),K472,IF(ISNUMBER(H472),H472,"")))</f>
        <v/>
      </c>
      <c r="AD472" s="18">
        <f>IF(OR(NOT(ISNUMBER(J472)),NOT(ISNUMBER(H472)),H472&lt;=0),기준표!$B$8,MIN(MAX(J472/H472,기준표!$B$6),기준표!$B$7))</f>
        <v/>
      </c>
      <c r="AE472" s="17">
        <f>IF(ISNUMBER(AC472),AC472*(1-AD472),"")</f>
        <v/>
      </c>
      <c r="AF472" s="17">
        <f>IF(AND(NOT(ISNUMBER(T472)),NOT(ISNUMBER(V472))),"",IF(ISNUMBER(T472),T472,0)+IF(ISNUMBER(V472),V472,0))</f>
        <v/>
      </c>
      <c r="AG472" s="17">
        <f>IF(E472="금융","",IF(AND(ISNUMBER(P472),ISNUMBER(AF472),ISNUMBER(R472)),P472+AF472-R472,""))</f>
        <v/>
      </c>
      <c r="AH472" s="17">
        <f>IF(E472="금융","",IF(NOT(ISNUMBER(AG472)),"",IF(ISNUMBER(AA472),(AG472+AA472)/2,AG472)))</f>
        <v/>
      </c>
      <c r="AI472" s="19">
        <f>IF(AND(ISNUMBER(AE472),ISNUMBER(AH472),AH472&gt;0),AE472/AH472,"")</f>
        <v/>
      </c>
      <c r="AJ472" s="17">
        <f>IF(E472="금융","",IF(AND(ISNUMBER(P472),ISNUMBER(AF472)),P472+AF472,""))</f>
        <v/>
      </c>
      <c r="AK472" s="19">
        <f>IF(OR(NOT(ISNUMBER(AE472)),NOT(ISNUMBER(AJ472)),AJ472&lt;=0),"",IF(AND(ISNUMBER(G472),AJ472&lt;0.1*G472),"",AE472/AJ472))</f>
        <v/>
      </c>
      <c r="AL472" s="17">
        <f>IF(NOT(ISNUMBER(P472)),"",IF(ISNUMBER(Q472),(P472+Q472)/2,P472))</f>
        <v/>
      </c>
      <c r="AM472" s="19">
        <f>IF(AND(ISNUMBER(L472),ISNUMBER(AL472),AL472&gt;0),L472/AL472,"")</f>
        <v/>
      </c>
      <c r="AN472" s="19">
        <f>IF(AND(ISNUMBER(AM472),ISNUMBER({ROIC})),AM472-{ROIC},"")</f>
        <v/>
      </c>
      <c r="AO472" s="17">
        <f>IF(AND(ISNUMBER(AC472),ISNUMBER(M472)),AC472+M472,"")</f>
        <v/>
      </c>
      <c r="AP472" s="20">
        <f>IF(AND(ISNUMBER(AF472),ISNUMBER(R472),ISNUMBER(AO472),AO472&gt;0),(AF472-R472)/AO472,"")</f>
        <v/>
      </c>
      <c r="AQ472" s="20">
        <f>IF(AND(ISNUMBER(AC472),ISNUMBER(I472),I472&lt;&gt;0,AC472&gt;0),AC472/I472,"")</f>
        <v/>
      </c>
      <c r="AR472" s="17">
        <f>IF(AND(ISNUMBER(W472),ISNUMBER(Y472)),W472-IF(ISNUMBER(R472),R472,0)-(Y472-IF(ISNUMBER(T472),T472,0)),"")</f>
        <v/>
      </c>
      <c r="AS472" s="17">
        <f>IF(AND(ISNUMBER(X472),ISNUMBER(Z472)),X472-IF(ISNUMBER(S472),S472,0)-(Z472-IF(ISNUMBER(U472),U472,0)),"")</f>
        <v/>
      </c>
      <c r="AT472" s="17">
        <f>IF(AND(ISNUMBER(AR472),ISNUMBER(AS472)),AR472-AS472,"")</f>
        <v/>
      </c>
      <c r="AU472" s="17">
        <f>IF(E472="금융","",IF(AND(ISNUMBER(L472),ISNUMBER(M472),ISNUMBER(N472),ISNUMBER(AT472)),L472+M472-N472-AT472,IF(AND(ISNUMBER(O472),ISNUMBER(N472)),O472-N472,"")))</f>
        <v/>
      </c>
      <c r="AV472" s="8">
        <f>IF(E472="금융","금융업 - 정의되지 않음",IF(AND(ISNUMBER(L472),ISNUMBER(M472),ISNUMBER(N472),ISNUMBER(AT472)),"순이익+감가상각-설비투자-운전자본증감",IF(AND(ISNUMBER(O472),ISNUMBER(N472)),"영업현금흐름-설비투자","산출불가")))</f>
        <v/>
      </c>
      <c r="AW472" s="19">
        <f>IF(AND(ISNUMBER(AU472),ISNUMBER(G472),G472&lt;&gt;0),AU472/G472,"")</f>
        <v/>
      </c>
      <c r="AX472" s="19">
        <f>IF(AND(ISNUMBER(AC472),ISNUMBER(G472),G472&lt;&gt;0),AC472/G472,"")</f>
        <v/>
      </c>
    </row>
    <row r="473">
      <c r="A473" s="8" t="inlineStr">
        <is>
          <t>PANW</t>
        </is>
      </c>
      <c r="B473" s="8" t="inlineStr">
        <is>
          <t>Palo Alto Networks Inc</t>
        </is>
      </c>
      <c r="C473" s="8" t="n">
        <v>2020</v>
      </c>
      <c r="D473" s="8" t="inlineStr">
        <is>
          <t>2020-07-31</t>
        </is>
      </c>
      <c r="E473" s="8" t="inlineStr">
        <is>
          <t>일반</t>
        </is>
      </c>
      <c r="F473" s="8" t="inlineStr">
        <is>
          <t>0001327567-22-000028</t>
        </is>
      </c>
      <c r="G473" s="15" t="n">
        <v>3.4084</v>
      </c>
      <c r="H473" s="15" t="n">
        <v>-0.2318</v>
      </c>
      <c r="I473" s="15" t="n">
        <v>0.0877</v>
      </c>
      <c r="J473" s="15" t="n">
        <v>0.0352</v>
      </c>
      <c r="K473" s="15" t="n">
        <v>-0.179</v>
      </c>
      <c r="L473" s="15" t="n">
        <v>-0.267</v>
      </c>
      <c r="M473" s="15" t="n">
        <v>0.2061</v>
      </c>
      <c r="N473" s="15" t="n">
        <v>0.2144</v>
      </c>
      <c r="O473" s="15" t="n">
        <v>1.0357</v>
      </c>
      <c r="P473" s="15" t="n">
        <v>1.1018</v>
      </c>
      <c r="Q473" s="15" t="n">
        <v>1.5863</v>
      </c>
      <c r="R473" s="15" t="n">
        <v>3.7478</v>
      </c>
      <c r="S473" s="15" t="n">
        <v>2.8031</v>
      </c>
      <c r="T473" s="15" t="n">
        <v>0</v>
      </c>
      <c r="U473" s="15" t="n">
        <v>0</v>
      </c>
      <c r="V473" s="15" t="n">
        <v>3.0841</v>
      </c>
      <c r="W473" s="15" t="n">
        <v>5.1292</v>
      </c>
      <c r="X473" s="15" t="n">
        <v>3.6648</v>
      </c>
      <c r="Y473" s="15" t="n">
        <v>2.6917</v>
      </c>
      <c r="Z473" s="15" t="n">
        <v>2.0533</v>
      </c>
      <c r="AA473" s="15" t="n">
        <v>0.2132</v>
      </c>
      <c r="AB473" s="16" t="n">
        <v>577.8</v>
      </c>
      <c r="AC473" s="17">
        <f>IF(AND(ISNUMBER(H473),ISNUMBER(I473)),H473+I473,IF(ISNUMBER(K473),K473,IF(ISNUMBER(H473),H473,"")))</f>
        <v/>
      </c>
      <c r="AD473" s="18">
        <f>IF(OR(NOT(ISNUMBER(J473)),NOT(ISNUMBER(H473)),H473&lt;=0),기준표!$B$8,MIN(MAX(J473/H473,기준표!$B$6),기준표!$B$7))</f>
        <v/>
      </c>
      <c r="AE473" s="17">
        <f>IF(ISNUMBER(AC473),AC473*(1-AD473),"")</f>
        <v/>
      </c>
      <c r="AF473" s="17">
        <f>IF(AND(NOT(ISNUMBER(T473)),NOT(ISNUMBER(V473))),"",IF(ISNUMBER(T473),T473,0)+IF(ISNUMBER(V473),V473,0))</f>
        <v/>
      </c>
      <c r="AG473" s="17">
        <f>IF(E473="금융","",IF(AND(ISNUMBER(P473),ISNUMBER(AF473),ISNUMBER(R473)),P473+AF473-R473,""))</f>
        <v/>
      </c>
      <c r="AH473" s="17">
        <f>IF(E473="금융","",IF(NOT(ISNUMBER(AG473)),"",IF(ISNUMBER(AA473),(AG473+AA473)/2,AG473)))</f>
        <v/>
      </c>
      <c r="AI473" s="19">
        <f>IF(AND(ISNUMBER(AE473),ISNUMBER(AH473),AH473&gt;0),AE473/AH473,"")</f>
        <v/>
      </c>
      <c r="AJ473" s="17">
        <f>IF(E473="금융","",IF(AND(ISNUMBER(P473),ISNUMBER(AF473)),P473+AF473,""))</f>
        <v/>
      </c>
      <c r="AK473" s="19">
        <f>IF(OR(NOT(ISNUMBER(AE473)),NOT(ISNUMBER(AJ473)),AJ473&lt;=0),"",IF(AND(ISNUMBER(G473),AJ473&lt;0.1*G473),"",AE473/AJ473))</f>
        <v/>
      </c>
      <c r="AL473" s="17">
        <f>IF(NOT(ISNUMBER(P473)),"",IF(ISNUMBER(Q473),(P473+Q473)/2,P473))</f>
        <v/>
      </c>
      <c r="AM473" s="19">
        <f>IF(AND(ISNUMBER(L473),ISNUMBER(AL473),AL473&gt;0),L473/AL473,"")</f>
        <v/>
      </c>
      <c r="AN473" s="19">
        <f>IF(AND(ISNUMBER(AM473),ISNUMBER({ROIC})),AM473-{ROIC},"")</f>
        <v/>
      </c>
      <c r="AO473" s="17">
        <f>IF(AND(ISNUMBER(AC473),ISNUMBER(M473)),AC473+M473,"")</f>
        <v/>
      </c>
      <c r="AP473" s="20">
        <f>IF(AND(ISNUMBER(AF473),ISNUMBER(R473),ISNUMBER(AO473),AO473&gt;0),(AF473-R473)/AO473,"")</f>
        <v/>
      </c>
      <c r="AQ473" s="20">
        <f>IF(AND(ISNUMBER(AC473),ISNUMBER(I473),I473&lt;&gt;0,AC473&gt;0),AC473/I473,"")</f>
        <v/>
      </c>
      <c r="AR473" s="17">
        <f>IF(AND(ISNUMBER(W473),ISNUMBER(Y473)),W473-IF(ISNUMBER(R473),R473,0)-(Y473-IF(ISNUMBER(T473),T473,0)),"")</f>
        <v/>
      </c>
      <c r="AS473" s="17">
        <f>IF(AND(ISNUMBER(X473),ISNUMBER(Z473)),X473-IF(ISNUMBER(S473),S473,0)-(Z473-IF(ISNUMBER(U473),U473,0)),"")</f>
        <v/>
      </c>
      <c r="AT473" s="17">
        <f>IF(AND(ISNUMBER(AR473),ISNUMBER(AS473)),AR473-AS473,"")</f>
        <v/>
      </c>
      <c r="AU473" s="17">
        <f>IF(E473="금융","",IF(AND(ISNUMBER(L473),ISNUMBER(M473),ISNUMBER(N473),ISNUMBER(AT473)),L473+M473-N473-AT473,IF(AND(ISNUMBER(O473),ISNUMBER(N473)),O473-N473,"")))</f>
        <v/>
      </c>
      <c r="AV473" s="8">
        <f>IF(E473="금융","금융업 - 정의되지 않음",IF(AND(ISNUMBER(L473),ISNUMBER(M473),ISNUMBER(N473),ISNUMBER(AT473)),"순이익+감가상각-설비투자-운전자본증감",IF(AND(ISNUMBER(O473),ISNUMBER(N473)),"영업현금흐름-설비투자","산출불가")))</f>
        <v/>
      </c>
      <c r="AW473" s="19">
        <f>IF(AND(ISNUMBER(AU473),ISNUMBER(G473),G473&lt;&gt;0),AU473/G473,"")</f>
        <v/>
      </c>
      <c r="AX473" s="19">
        <f>IF(AND(ISNUMBER(AC473),ISNUMBER(G473),G473&lt;&gt;0),AC473/G473,"")</f>
        <v/>
      </c>
    </row>
    <row r="474">
      <c r="A474" s="8" t="inlineStr">
        <is>
          <t>PANW</t>
        </is>
      </c>
      <c r="B474" s="8" t="inlineStr">
        <is>
          <t>Palo Alto Networks Inc</t>
        </is>
      </c>
      <c r="C474" s="8" t="n">
        <v>2021</v>
      </c>
      <c r="D474" s="8" t="inlineStr">
        <is>
          <t>2021-07-31</t>
        </is>
      </c>
      <c r="E474" s="8" t="inlineStr">
        <is>
          <t>일반</t>
        </is>
      </c>
      <c r="F474" s="8" t="inlineStr">
        <is>
          <t>0001327567-23-000024</t>
        </is>
      </c>
      <c r="G474" s="15" t="n">
        <v>4.2561</v>
      </c>
      <c r="H474" s="15" t="n">
        <v>-0.465</v>
      </c>
      <c r="I474" s="15" t="n">
        <v>0.1631</v>
      </c>
      <c r="J474" s="15" t="n">
        <v>0.0339</v>
      </c>
      <c r="K474" s="15" t="n">
        <v>-0.3041</v>
      </c>
      <c r="L474" s="15" t="n">
        <v>-0.4989</v>
      </c>
      <c r="M474" s="15" t="n">
        <v>0.2604</v>
      </c>
      <c r="N474" s="15" t="n">
        <v>0.116</v>
      </c>
      <c r="O474" s="15" t="n">
        <v>1.503</v>
      </c>
      <c r="P474" s="15" t="n">
        <v>0.6345</v>
      </c>
      <c r="Q474" s="15" t="n">
        <v>1.1018</v>
      </c>
      <c r="R474" s="15" t="n">
        <v>2.9011</v>
      </c>
      <c r="S474" s="15" t="n">
        <v>3.7478</v>
      </c>
      <c r="T474" s="15" t="n">
        <v>1.5579</v>
      </c>
      <c r="U474" s="15" t="n">
        <v>0</v>
      </c>
      <c r="V474" s="15" t="n">
        <v>3.226</v>
      </c>
      <c r="W474" s="15" t="n">
        <v>4.6473</v>
      </c>
      <c r="X474" s="15" t="n">
        <v>5.1292</v>
      </c>
      <c r="Y474" s="15" t="n">
        <v>5.1167</v>
      </c>
      <c r="Z474" s="15" t="n">
        <v>2.6917</v>
      </c>
      <c r="AA474" s="15" t="n">
        <v>0.4381</v>
      </c>
      <c r="AB474" s="16" t="n">
        <v>583.8</v>
      </c>
      <c r="AC474" s="17">
        <f>IF(AND(ISNUMBER(H474),ISNUMBER(I474)),H474+I474,IF(ISNUMBER(K474),K474,IF(ISNUMBER(H474),H474,"")))</f>
        <v/>
      </c>
      <c r="AD474" s="18">
        <f>IF(OR(NOT(ISNUMBER(J474)),NOT(ISNUMBER(H474)),H474&lt;=0),기준표!$B$8,MIN(MAX(J474/H474,기준표!$B$6),기준표!$B$7))</f>
        <v/>
      </c>
      <c r="AE474" s="17">
        <f>IF(ISNUMBER(AC474),AC474*(1-AD474),"")</f>
        <v/>
      </c>
      <c r="AF474" s="17">
        <f>IF(AND(NOT(ISNUMBER(T474)),NOT(ISNUMBER(V474))),"",IF(ISNUMBER(T474),T474,0)+IF(ISNUMBER(V474),V474,0))</f>
        <v/>
      </c>
      <c r="AG474" s="17">
        <f>IF(E474="금융","",IF(AND(ISNUMBER(P474),ISNUMBER(AF474),ISNUMBER(R474)),P474+AF474-R474,""))</f>
        <v/>
      </c>
      <c r="AH474" s="17">
        <f>IF(E474="금융","",IF(NOT(ISNUMBER(AG474)),"",IF(ISNUMBER(AA474),(AG474+AA474)/2,AG474)))</f>
        <v/>
      </c>
      <c r="AI474" s="19">
        <f>IF(AND(ISNUMBER(AE474),ISNUMBER(AH474),AH474&gt;0),AE474/AH474,"")</f>
        <v/>
      </c>
      <c r="AJ474" s="17">
        <f>IF(E474="금융","",IF(AND(ISNUMBER(P474),ISNUMBER(AF474)),P474+AF474,""))</f>
        <v/>
      </c>
      <c r="AK474" s="19">
        <f>IF(OR(NOT(ISNUMBER(AE474)),NOT(ISNUMBER(AJ474)),AJ474&lt;=0),"",IF(AND(ISNUMBER(G474),AJ474&lt;0.1*G474),"",AE474/AJ474))</f>
        <v/>
      </c>
      <c r="AL474" s="17">
        <f>IF(NOT(ISNUMBER(P474)),"",IF(ISNUMBER(Q474),(P474+Q474)/2,P474))</f>
        <v/>
      </c>
      <c r="AM474" s="19">
        <f>IF(AND(ISNUMBER(L474),ISNUMBER(AL474),AL474&gt;0),L474/AL474,"")</f>
        <v/>
      </c>
      <c r="AN474" s="19">
        <f>IF(AND(ISNUMBER(AM474),ISNUMBER({ROIC})),AM474-{ROIC},"")</f>
        <v/>
      </c>
      <c r="AO474" s="17">
        <f>IF(AND(ISNUMBER(AC474),ISNUMBER(M474)),AC474+M474,"")</f>
        <v/>
      </c>
      <c r="AP474" s="20">
        <f>IF(AND(ISNUMBER(AF474),ISNUMBER(R474),ISNUMBER(AO474),AO474&gt;0),(AF474-R474)/AO474,"")</f>
        <v/>
      </c>
      <c r="AQ474" s="20">
        <f>IF(AND(ISNUMBER(AC474),ISNUMBER(I474),I474&lt;&gt;0,AC474&gt;0),AC474/I474,"")</f>
        <v/>
      </c>
      <c r="AR474" s="17">
        <f>IF(AND(ISNUMBER(W474),ISNUMBER(Y474)),W474-IF(ISNUMBER(R474),R474,0)-(Y474-IF(ISNUMBER(T474),T474,0)),"")</f>
        <v/>
      </c>
      <c r="AS474" s="17">
        <f>IF(AND(ISNUMBER(X474),ISNUMBER(Z474)),X474-IF(ISNUMBER(S474),S474,0)-(Z474-IF(ISNUMBER(U474),U474,0)),"")</f>
        <v/>
      </c>
      <c r="AT474" s="17">
        <f>IF(AND(ISNUMBER(AR474),ISNUMBER(AS474)),AR474-AS474,"")</f>
        <v/>
      </c>
      <c r="AU474" s="17">
        <f>IF(E474="금융","",IF(AND(ISNUMBER(L474),ISNUMBER(M474),ISNUMBER(N474),ISNUMBER(AT474)),L474+M474-N474-AT474,IF(AND(ISNUMBER(O474),ISNUMBER(N474)),O474-N474,"")))</f>
        <v/>
      </c>
      <c r="AV474" s="8">
        <f>IF(E474="금융","금융업 - 정의되지 않음",IF(AND(ISNUMBER(L474),ISNUMBER(M474),ISNUMBER(N474),ISNUMBER(AT474)),"순이익+감가상각-설비투자-운전자본증감",IF(AND(ISNUMBER(O474),ISNUMBER(N474)),"영업현금흐름-설비투자","산출불가")))</f>
        <v/>
      </c>
      <c r="AW474" s="19">
        <f>IF(AND(ISNUMBER(AU474),ISNUMBER(G474),G474&lt;&gt;0),AU474/G474,"")</f>
        <v/>
      </c>
      <c r="AX474" s="19">
        <f>IF(AND(ISNUMBER(AC474),ISNUMBER(G474),G474&lt;&gt;0),AC474/G474,"")</f>
        <v/>
      </c>
    </row>
    <row r="475">
      <c r="A475" s="8" t="inlineStr">
        <is>
          <t>PANW</t>
        </is>
      </c>
      <c r="B475" s="8" t="inlineStr">
        <is>
          <t>Palo Alto Networks Inc</t>
        </is>
      </c>
      <c r="C475" s="8" t="n">
        <v>2022</v>
      </c>
      <c r="D475" s="8" t="inlineStr">
        <is>
          <t>2022-07-31</t>
        </is>
      </c>
      <c r="E475" s="8" t="inlineStr">
        <is>
          <t>일반</t>
        </is>
      </c>
      <c r="F475" s="8" t="inlineStr">
        <is>
          <t>0001327567-24-000029</t>
        </is>
      </c>
      <c r="G475" s="15" t="n">
        <v>5.5015</v>
      </c>
      <c r="H475" s="15" t="n">
        <v>-0.2072</v>
      </c>
      <c r="I475" s="15" t="n">
        <v>0.0274</v>
      </c>
      <c r="J475" s="15" t="n">
        <v>0.0598</v>
      </c>
      <c r="K475" s="15" t="n">
        <v>-0.1888</v>
      </c>
      <c r="L475" s="15" t="n">
        <v>-0.267</v>
      </c>
      <c r="M475" s="15" t="n">
        <v>0.2826</v>
      </c>
      <c r="N475" s="15" t="n">
        <v>0.1928</v>
      </c>
      <c r="O475" s="15" t="n">
        <v>1.9847</v>
      </c>
      <c r="P475" s="15" t="n">
        <v>0.21</v>
      </c>
      <c r="Q475" s="15" t="n">
        <v>0.6345</v>
      </c>
      <c r="R475" s="15" t="n">
        <v>3.6345</v>
      </c>
      <c r="S475" s="15" t="n">
        <v>2.9011</v>
      </c>
      <c r="T475" s="15" t="n">
        <v>3.6768</v>
      </c>
      <c r="U475" s="15" t="n">
        <v>1.5579</v>
      </c>
      <c r="V475" s="15" t="n">
        <v>3.6768</v>
      </c>
      <c r="W475" s="15" t="n">
        <v>6.4149</v>
      </c>
      <c r="X475" s="15" t="n">
        <v>4.6473</v>
      </c>
      <c r="Y475" s="15" t="n">
        <v>8.3063</v>
      </c>
      <c r="Z475" s="15" t="n">
        <v>5.1167</v>
      </c>
      <c r="AA475" s="15" t="n">
        <v>2.5173</v>
      </c>
      <c r="AB475" s="16" t="n">
        <v>597.6</v>
      </c>
      <c r="AC475" s="17">
        <f>IF(AND(ISNUMBER(H475),ISNUMBER(I475)),H475+I475,IF(ISNUMBER(K475),K475,IF(ISNUMBER(H475),H475,"")))</f>
        <v/>
      </c>
      <c r="AD475" s="18">
        <f>IF(OR(NOT(ISNUMBER(J475)),NOT(ISNUMBER(H475)),H475&lt;=0),기준표!$B$8,MIN(MAX(J475/H475,기준표!$B$6),기준표!$B$7))</f>
        <v/>
      </c>
      <c r="AE475" s="17">
        <f>IF(ISNUMBER(AC475),AC475*(1-AD475),"")</f>
        <v/>
      </c>
      <c r="AF475" s="17">
        <f>IF(AND(NOT(ISNUMBER(T475)),NOT(ISNUMBER(V475))),"",IF(ISNUMBER(T475),T475,0)+IF(ISNUMBER(V475),V475,0))</f>
        <v/>
      </c>
      <c r="AG475" s="17">
        <f>IF(E475="금융","",IF(AND(ISNUMBER(P475),ISNUMBER(AF475),ISNUMBER(R475)),P475+AF475-R475,""))</f>
        <v/>
      </c>
      <c r="AH475" s="17">
        <f>IF(E475="금융","",IF(NOT(ISNUMBER(AG475)),"",IF(ISNUMBER(AA475),(AG475+AA475)/2,AG475)))</f>
        <v/>
      </c>
      <c r="AI475" s="19">
        <f>IF(AND(ISNUMBER(AE475),ISNUMBER(AH475),AH475&gt;0),AE475/AH475,"")</f>
        <v/>
      </c>
      <c r="AJ475" s="17">
        <f>IF(E475="금융","",IF(AND(ISNUMBER(P475),ISNUMBER(AF475)),P475+AF475,""))</f>
        <v/>
      </c>
      <c r="AK475" s="19">
        <f>IF(OR(NOT(ISNUMBER(AE475)),NOT(ISNUMBER(AJ475)),AJ475&lt;=0),"",IF(AND(ISNUMBER(G475),AJ475&lt;0.1*G475),"",AE475/AJ475))</f>
        <v/>
      </c>
      <c r="AL475" s="17">
        <f>IF(NOT(ISNUMBER(P475)),"",IF(ISNUMBER(Q475),(P475+Q475)/2,P475))</f>
        <v/>
      </c>
      <c r="AM475" s="19">
        <f>IF(AND(ISNUMBER(L475),ISNUMBER(AL475),AL475&gt;0),L475/AL475,"")</f>
        <v/>
      </c>
      <c r="AN475" s="19">
        <f>IF(AND(ISNUMBER(AM475),ISNUMBER({ROIC})),AM475-{ROIC},"")</f>
        <v/>
      </c>
      <c r="AO475" s="17">
        <f>IF(AND(ISNUMBER(AC475),ISNUMBER(M475)),AC475+M475,"")</f>
        <v/>
      </c>
      <c r="AP475" s="20">
        <f>IF(AND(ISNUMBER(AF475),ISNUMBER(R475),ISNUMBER(AO475),AO475&gt;0),(AF475-R475)/AO475,"")</f>
        <v/>
      </c>
      <c r="AQ475" s="20">
        <f>IF(AND(ISNUMBER(AC475),ISNUMBER(I475),I475&lt;&gt;0,AC475&gt;0),AC475/I475,"")</f>
        <v/>
      </c>
      <c r="AR475" s="17">
        <f>IF(AND(ISNUMBER(W475),ISNUMBER(Y475)),W475-IF(ISNUMBER(R475),R475,0)-(Y475-IF(ISNUMBER(T475),T475,0)),"")</f>
        <v/>
      </c>
      <c r="AS475" s="17">
        <f>IF(AND(ISNUMBER(X475),ISNUMBER(Z475)),X475-IF(ISNUMBER(S475),S475,0)-(Z475-IF(ISNUMBER(U475),U475,0)),"")</f>
        <v/>
      </c>
      <c r="AT475" s="17">
        <f>IF(AND(ISNUMBER(AR475),ISNUMBER(AS475)),AR475-AS475,"")</f>
        <v/>
      </c>
      <c r="AU475" s="17">
        <f>IF(E475="금융","",IF(AND(ISNUMBER(L475),ISNUMBER(M475),ISNUMBER(N475),ISNUMBER(AT475)),L475+M475-N475-AT475,IF(AND(ISNUMBER(O475),ISNUMBER(N475)),O475-N475,"")))</f>
        <v/>
      </c>
      <c r="AV475" s="8">
        <f>IF(E475="금융","금융업 - 정의되지 않음",IF(AND(ISNUMBER(L475),ISNUMBER(M475),ISNUMBER(N475),ISNUMBER(AT475)),"순이익+감가상각-설비투자-운전자본증감",IF(AND(ISNUMBER(O475),ISNUMBER(N475)),"영업현금흐름-설비투자","산출불가")))</f>
        <v/>
      </c>
      <c r="AW475" s="19">
        <f>IF(AND(ISNUMBER(AU475),ISNUMBER(G475),G475&lt;&gt;0),AU475/G475,"")</f>
        <v/>
      </c>
      <c r="AX475" s="19">
        <f>IF(AND(ISNUMBER(AC475),ISNUMBER(G475),G475&lt;&gt;0),AC475/G475,"")</f>
        <v/>
      </c>
    </row>
    <row r="476">
      <c r="A476" s="8" t="inlineStr">
        <is>
          <t>PANW</t>
        </is>
      </c>
      <c r="B476" s="8" t="inlineStr">
        <is>
          <t>Palo Alto Networks Inc</t>
        </is>
      </c>
      <c r="C476" s="8" t="n">
        <v>2023</v>
      </c>
      <c r="D476" s="8" t="inlineStr">
        <is>
          <t>2023-07-31</t>
        </is>
      </c>
      <c r="E476" s="8" t="inlineStr">
        <is>
          <t>일반</t>
        </is>
      </c>
      <c r="F476" s="8" t="inlineStr">
        <is>
          <t>0001327567-25-000027</t>
        </is>
      </c>
      <c r="G476" s="15" t="n">
        <v>6.8927</v>
      </c>
      <c r="H476" s="15" t="n">
        <v>0.5663</v>
      </c>
      <c r="I476" s="15" t="n">
        <v>0.0258</v>
      </c>
      <c r="J476" s="15" t="n">
        <v>0.1266</v>
      </c>
      <c r="K476" s="15" t="n">
        <v>0.3873</v>
      </c>
      <c r="L476" s="15" t="n">
        <v>0.4397</v>
      </c>
      <c r="M476" s="15" t="n">
        <v>0.2822</v>
      </c>
      <c r="N476" s="15" t="n">
        <v>0.1463</v>
      </c>
      <c r="O476" s="15" t="n">
        <v>2.7775</v>
      </c>
      <c r="P476" s="15" t="n">
        <v>1.7484</v>
      </c>
      <c r="Q476" s="15" t="n">
        <v>0.21</v>
      </c>
      <c r="R476" s="15" t="n">
        <v>2.39</v>
      </c>
      <c r="S476" s="15" t="n">
        <v>3.6345</v>
      </c>
      <c r="T476" s="15" t="n">
        <v>1.9915</v>
      </c>
      <c r="U476" s="15" t="n">
        <v>3.6768</v>
      </c>
      <c r="V476" s="15" t="n">
        <v>1.9915</v>
      </c>
      <c r="W476" s="15" t="n">
        <v>6.048</v>
      </c>
      <c r="X476" s="15" t="n">
        <v>6.4149</v>
      </c>
      <c r="Y476" s="15" t="n">
        <v>7.7375</v>
      </c>
      <c r="Z476" s="15" t="n">
        <v>8.3063</v>
      </c>
      <c r="AA476" s="15" t="n">
        <v>3.9291</v>
      </c>
      <c r="AB476" s="16" t="n">
        <v>616.6</v>
      </c>
      <c r="AC476" s="17">
        <f>IF(AND(ISNUMBER(H476),ISNUMBER(I476)),H476+I476,IF(ISNUMBER(K476),K476,IF(ISNUMBER(H476),H476,"")))</f>
        <v/>
      </c>
      <c r="AD476" s="18">
        <f>IF(OR(NOT(ISNUMBER(J476)),NOT(ISNUMBER(H476)),H476&lt;=0),기준표!$B$8,MIN(MAX(J476/H476,기준표!$B$6),기준표!$B$7))</f>
        <v/>
      </c>
      <c r="AE476" s="17">
        <f>IF(ISNUMBER(AC476),AC476*(1-AD476),"")</f>
        <v/>
      </c>
      <c r="AF476" s="17">
        <f>IF(AND(NOT(ISNUMBER(T476)),NOT(ISNUMBER(V476))),"",IF(ISNUMBER(T476),T476,0)+IF(ISNUMBER(V476),V476,0))</f>
        <v/>
      </c>
      <c r="AG476" s="17">
        <f>IF(E476="금융","",IF(AND(ISNUMBER(P476),ISNUMBER(AF476),ISNUMBER(R476)),P476+AF476-R476,""))</f>
        <v/>
      </c>
      <c r="AH476" s="17">
        <f>IF(E476="금융","",IF(NOT(ISNUMBER(AG476)),"",IF(ISNUMBER(AA476),(AG476+AA476)/2,AG476)))</f>
        <v/>
      </c>
      <c r="AI476" s="19">
        <f>IF(AND(ISNUMBER(AE476),ISNUMBER(AH476),AH476&gt;0),AE476/AH476,"")</f>
        <v/>
      </c>
      <c r="AJ476" s="17">
        <f>IF(E476="금융","",IF(AND(ISNUMBER(P476),ISNUMBER(AF476)),P476+AF476,""))</f>
        <v/>
      </c>
      <c r="AK476" s="19">
        <f>IF(OR(NOT(ISNUMBER(AE476)),NOT(ISNUMBER(AJ476)),AJ476&lt;=0),"",IF(AND(ISNUMBER(G476),AJ476&lt;0.1*G476),"",AE476/AJ476))</f>
        <v/>
      </c>
      <c r="AL476" s="17">
        <f>IF(NOT(ISNUMBER(P476)),"",IF(ISNUMBER(Q476),(P476+Q476)/2,P476))</f>
        <v/>
      </c>
      <c r="AM476" s="19">
        <f>IF(AND(ISNUMBER(L476),ISNUMBER(AL476),AL476&gt;0),L476/AL476,"")</f>
        <v/>
      </c>
      <c r="AN476" s="19">
        <f>IF(AND(ISNUMBER(AM476),ISNUMBER({ROIC})),AM476-{ROIC},"")</f>
        <v/>
      </c>
      <c r="AO476" s="17">
        <f>IF(AND(ISNUMBER(AC476),ISNUMBER(M476)),AC476+M476,"")</f>
        <v/>
      </c>
      <c r="AP476" s="20">
        <f>IF(AND(ISNUMBER(AF476),ISNUMBER(R476),ISNUMBER(AO476),AO476&gt;0),(AF476-R476)/AO476,"")</f>
        <v/>
      </c>
      <c r="AQ476" s="20">
        <f>IF(AND(ISNUMBER(AC476),ISNUMBER(I476),I476&lt;&gt;0,AC476&gt;0),AC476/I476,"")</f>
        <v/>
      </c>
      <c r="AR476" s="17">
        <f>IF(AND(ISNUMBER(W476),ISNUMBER(Y476)),W476-IF(ISNUMBER(R476),R476,0)-(Y476-IF(ISNUMBER(T476),T476,0)),"")</f>
        <v/>
      </c>
      <c r="AS476" s="17">
        <f>IF(AND(ISNUMBER(X476),ISNUMBER(Z476)),X476-IF(ISNUMBER(S476),S476,0)-(Z476-IF(ISNUMBER(U476),U476,0)),"")</f>
        <v/>
      </c>
      <c r="AT476" s="17">
        <f>IF(AND(ISNUMBER(AR476),ISNUMBER(AS476)),AR476-AS476,"")</f>
        <v/>
      </c>
      <c r="AU476" s="17">
        <f>IF(E476="금융","",IF(AND(ISNUMBER(L476),ISNUMBER(M476),ISNUMBER(N476),ISNUMBER(AT476)),L476+M476-N476-AT476,IF(AND(ISNUMBER(O476),ISNUMBER(N476)),O476-N476,"")))</f>
        <v/>
      </c>
      <c r="AV476" s="8">
        <f>IF(E476="금융","금융업 - 정의되지 않음",IF(AND(ISNUMBER(L476),ISNUMBER(M476),ISNUMBER(N476),ISNUMBER(AT476)),"순이익+감가상각-설비투자-운전자본증감",IF(AND(ISNUMBER(O476),ISNUMBER(N476)),"영업현금흐름-설비투자","산출불가")))</f>
        <v/>
      </c>
      <c r="AW476" s="19">
        <f>IF(AND(ISNUMBER(AU476),ISNUMBER(G476),G476&lt;&gt;0),AU476/G476,"")</f>
        <v/>
      </c>
      <c r="AX476" s="19">
        <f>IF(AND(ISNUMBER(AC476),ISNUMBER(G476),G476&lt;&gt;0),AC476/G476,"")</f>
        <v/>
      </c>
    </row>
    <row r="477">
      <c r="A477" s="8" t="inlineStr">
        <is>
          <t>PANW</t>
        </is>
      </c>
      <c r="B477" s="8" t="inlineStr">
        <is>
          <t>Palo Alto Networks Inc</t>
        </is>
      </c>
      <c r="C477" s="8" t="n">
        <v>2024</v>
      </c>
      <c r="D477" s="8" t="inlineStr">
        <is>
          <t>2024-07-31</t>
        </is>
      </c>
      <c r="E477" s="8" t="inlineStr">
        <is>
          <t>일반</t>
        </is>
      </c>
      <c r="F477" s="8" t="inlineStr">
        <is>
          <t>0001327567-25-000027</t>
        </is>
      </c>
      <c r="G477" s="15" t="n">
        <v>8.0275</v>
      </c>
      <c r="H477" s="15" t="n">
        <v>0.9883</v>
      </c>
      <c r="I477" s="15" t="n">
        <v>0.0083</v>
      </c>
      <c r="J477" s="15" t="n">
        <v>-1.5893</v>
      </c>
      <c r="K477" s="15" t="n">
        <v>0.6839</v>
      </c>
      <c r="L477" s="15" t="n">
        <v>2.5776</v>
      </c>
      <c r="M477" s="15" t="n">
        <v>0.2833</v>
      </c>
      <c r="N477" s="15" t="n">
        <v>0.1568</v>
      </c>
      <c r="O477" s="15" t="n">
        <v>3.2576</v>
      </c>
      <c r="P477" s="15" t="n">
        <v>5.1697</v>
      </c>
      <c r="Q477" s="15" t="n">
        <v>1.7484</v>
      </c>
      <c r="R477" s="15" t="n">
        <v>2.5788</v>
      </c>
      <c r="S477" s="15" t="n">
        <v>2.39</v>
      </c>
      <c r="T477" s="15" t="n">
        <v>0.9639</v>
      </c>
      <c r="U477" s="15" t="n">
        <v>1.9915</v>
      </c>
      <c r="V477" s="15" t="n"/>
      <c r="W477" s="15" t="n">
        <v>6.8497</v>
      </c>
      <c r="X477" s="15" t="n">
        <v>6.048</v>
      </c>
      <c r="Y477" s="15" t="n">
        <v>7.6827</v>
      </c>
      <c r="Z477" s="15" t="n">
        <v>7.7375</v>
      </c>
      <c r="AA477" s="15" t="n">
        <v>3.3414</v>
      </c>
      <c r="AB477" s="16" t="n">
        <v>650.2</v>
      </c>
      <c r="AC477" s="17">
        <f>IF(AND(ISNUMBER(H477),ISNUMBER(I477)),H477+I477,IF(ISNUMBER(K477),K477,IF(ISNUMBER(H477),H477,"")))</f>
        <v/>
      </c>
      <c r="AD477" s="18">
        <f>IF(OR(NOT(ISNUMBER(J477)),NOT(ISNUMBER(H477)),H477&lt;=0),기준표!$B$8,MIN(MAX(J477/H477,기준표!$B$6),기준표!$B$7))</f>
        <v/>
      </c>
      <c r="AE477" s="17">
        <f>IF(ISNUMBER(AC477),AC477*(1-AD477),"")</f>
        <v/>
      </c>
      <c r="AF477" s="17">
        <f>IF(AND(NOT(ISNUMBER(T477)),NOT(ISNUMBER(V477))),"",IF(ISNUMBER(T477),T477,0)+IF(ISNUMBER(V477),V477,0))</f>
        <v/>
      </c>
      <c r="AG477" s="17">
        <f>IF(E477="금융","",IF(AND(ISNUMBER(P477),ISNUMBER(AF477),ISNUMBER(R477)),P477+AF477-R477,""))</f>
        <v/>
      </c>
      <c r="AH477" s="17">
        <f>IF(E477="금융","",IF(NOT(ISNUMBER(AG477)),"",IF(ISNUMBER(AA477),(AG477+AA477)/2,AG477)))</f>
        <v/>
      </c>
      <c r="AI477" s="19">
        <f>IF(AND(ISNUMBER(AE477),ISNUMBER(AH477),AH477&gt;0),AE477/AH477,"")</f>
        <v/>
      </c>
      <c r="AJ477" s="17">
        <f>IF(E477="금융","",IF(AND(ISNUMBER(P477),ISNUMBER(AF477)),P477+AF477,""))</f>
        <v/>
      </c>
      <c r="AK477" s="19">
        <f>IF(OR(NOT(ISNUMBER(AE477)),NOT(ISNUMBER(AJ477)),AJ477&lt;=0),"",IF(AND(ISNUMBER(G477),AJ477&lt;0.1*G477),"",AE477/AJ477))</f>
        <v/>
      </c>
      <c r="AL477" s="17">
        <f>IF(NOT(ISNUMBER(P477)),"",IF(ISNUMBER(Q477),(P477+Q477)/2,P477))</f>
        <v/>
      </c>
      <c r="AM477" s="19">
        <f>IF(AND(ISNUMBER(L477),ISNUMBER(AL477),AL477&gt;0),L477/AL477,"")</f>
        <v/>
      </c>
      <c r="AN477" s="19">
        <f>IF(AND(ISNUMBER(AM477),ISNUMBER({ROIC})),AM477-{ROIC},"")</f>
        <v/>
      </c>
      <c r="AO477" s="17">
        <f>IF(AND(ISNUMBER(AC477),ISNUMBER(M477)),AC477+M477,"")</f>
        <v/>
      </c>
      <c r="AP477" s="20">
        <f>IF(AND(ISNUMBER(AF477),ISNUMBER(R477),ISNUMBER(AO477),AO477&gt;0),(AF477-R477)/AO477,"")</f>
        <v/>
      </c>
      <c r="AQ477" s="20">
        <f>IF(AND(ISNUMBER(AC477),ISNUMBER(I477),I477&lt;&gt;0,AC477&gt;0),AC477/I477,"")</f>
        <v/>
      </c>
      <c r="AR477" s="17">
        <f>IF(AND(ISNUMBER(W477),ISNUMBER(Y477)),W477-IF(ISNUMBER(R477),R477,0)-(Y477-IF(ISNUMBER(T477),T477,0)),"")</f>
        <v/>
      </c>
      <c r="AS477" s="17">
        <f>IF(AND(ISNUMBER(X477),ISNUMBER(Z477)),X477-IF(ISNUMBER(S477),S477,0)-(Z477-IF(ISNUMBER(U477),U477,0)),"")</f>
        <v/>
      </c>
      <c r="AT477" s="17">
        <f>IF(AND(ISNUMBER(AR477),ISNUMBER(AS477)),AR477-AS477,"")</f>
        <v/>
      </c>
      <c r="AU477" s="17">
        <f>IF(E477="금융","",IF(AND(ISNUMBER(L477),ISNUMBER(M477),ISNUMBER(N477),ISNUMBER(AT477)),L477+M477-N477-AT477,IF(AND(ISNUMBER(O477),ISNUMBER(N477)),O477-N477,"")))</f>
        <v/>
      </c>
      <c r="AV477" s="8">
        <f>IF(E477="금융","금융업 - 정의되지 않음",IF(AND(ISNUMBER(L477),ISNUMBER(M477),ISNUMBER(N477),ISNUMBER(AT477)),"순이익+감가상각-설비투자-운전자본증감",IF(AND(ISNUMBER(O477),ISNUMBER(N477)),"영업현금흐름-설비투자","산출불가")))</f>
        <v/>
      </c>
      <c r="AW477" s="19">
        <f>IF(AND(ISNUMBER(AU477),ISNUMBER(G477),G477&lt;&gt;0),AU477/G477,"")</f>
        <v/>
      </c>
      <c r="AX477" s="19">
        <f>IF(AND(ISNUMBER(AC477),ISNUMBER(G477),G477&lt;&gt;0),AC477/G477,"")</f>
        <v/>
      </c>
    </row>
    <row r="478">
      <c r="A478" s="8" t="inlineStr">
        <is>
          <t>PANW</t>
        </is>
      </c>
      <c r="B478" s="8" t="inlineStr">
        <is>
          <t>Palo Alto Networks Inc</t>
        </is>
      </c>
      <c r="C478" s="8" t="n">
        <v>2025</v>
      </c>
      <c r="D478" s="8" t="inlineStr">
        <is>
          <t>2025-07-31</t>
        </is>
      </c>
      <c r="E478" s="8" t="inlineStr">
        <is>
          <t>일반</t>
        </is>
      </c>
      <c r="F478" s="8" t="inlineStr">
        <is>
          <t>0001327567-25-000027</t>
        </is>
      </c>
      <c r="G478" s="15" t="n">
        <v>9.221500000000001</v>
      </c>
      <c r="H478" s="15" t="n">
        <v>1.5957</v>
      </c>
      <c r="I478" s="15" t="n">
        <v>0.003</v>
      </c>
      <c r="J478" s="15" t="n">
        <v>0.4618</v>
      </c>
      <c r="K478" s="15" t="n">
        <v>1.2429</v>
      </c>
      <c r="L478" s="15" t="n">
        <v>1.1339</v>
      </c>
      <c r="M478" s="15" t="n">
        <v>0.3434</v>
      </c>
      <c r="N478" s="15" t="n">
        <v>0.2462</v>
      </c>
      <c r="O478" s="15" t="n">
        <v>3.716</v>
      </c>
      <c r="P478" s="15" t="n">
        <v>7.8244</v>
      </c>
      <c r="Q478" s="15" t="n">
        <v>5.1697</v>
      </c>
      <c r="R478" s="15" t="n">
        <v>2.9032</v>
      </c>
      <c r="S478" s="15" t="n">
        <v>2.5788</v>
      </c>
      <c r="T478" s="15" t="n">
        <v>0</v>
      </c>
      <c r="U478" s="15" t="n">
        <v>0.9639</v>
      </c>
      <c r="V478" s="15" t="n"/>
      <c r="W478" s="15" t="n">
        <v>7.5228</v>
      </c>
      <c r="X478" s="15" t="n">
        <v>6.8497</v>
      </c>
      <c r="Y478" s="15" t="n">
        <v>7.988</v>
      </c>
      <c r="Z478" s="15" t="n">
        <v>7.6827</v>
      </c>
      <c r="AA478" s="15" t="n">
        <v>3.5548</v>
      </c>
      <c r="AB478" s="16" t="n">
        <v>667.9</v>
      </c>
      <c r="AC478" s="17">
        <f>IF(AND(ISNUMBER(H478),ISNUMBER(I478)),H478+I478,IF(ISNUMBER(K478),K478,IF(ISNUMBER(H478),H478,"")))</f>
        <v/>
      </c>
      <c r="AD478" s="18">
        <f>IF(OR(NOT(ISNUMBER(J478)),NOT(ISNUMBER(H478)),H478&lt;=0),기준표!$B$8,MIN(MAX(J478/H478,기준표!$B$6),기준표!$B$7))</f>
        <v/>
      </c>
      <c r="AE478" s="17">
        <f>IF(ISNUMBER(AC478),AC478*(1-AD478),"")</f>
        <v/>
      </c>
      <c r="AF478" s="17">
        <f>IF(AND(NOT(ISNUMBER(T478)),NOT(ISNUMBER(V478))),"",IF(ISNUMBER(T478),T478,0)+IF(ISNUMBER(V478),V478,0))</f>
        <v/>
      </c>
      <c r="AG478" s="17">
        <f>IF(E478="금융","",IF(AND(ISNUMBER(P478),ISNUMBER(AF478),ISNUMBER(R478)),P478+AF478-R478,""))</f>
        <v/>
      </c>
      <c r="AH478" s="17">
        <f>IF(E478="금융","",IF(NOT(ISNUMBER(AG478)),"",IF(ISNUMBER(AA478),(AG478+AA478)/2,AG478)))</f>
        <v/>
      </c>
      <c r="AI478" s="19">
        <f>IF(AND(ISNUMBER(AE478),ISNUMBER(AH478),AH478&gt;0),AE478/AH478,"")</f>
        <v/>
      </c>
      <c r="AJ478" s="17">
        <f>IF(E478="금융","",IF(AND(ISNUMBER(P478),ISNUMBER(AF478)),P478+AF478,""))</f>
        <v/>
      </c>
      <c r="AK478" s="19">
        <f>IF(OR(NOT(ISNUMBER(AE478)),NOT(ISNUMBER(AJ478)),AJ478&lt;=0),"",IF(AND(ISNUMBER(G478),AJ478&lt;0.1*G478),"",AE478/AJ478))</f>
        <v/>
      </c>
      <c r="AL478" s="17">
        <f>IF(NOT(ISNUMBER(P478)),"",IF(ISNUMBER(Q478),(P478+Q478)/2,P478))</f>
        <v/>
      </c>
      <c r="AM478" s="19">
        <f>IF(AND(ISNUMBER(L478),ISNUMBER(AL478),AL478&gt;0),L478/AL478,"")</f>
        <v/>
      </c>
      <c r="AN478" s="19">
        <f>IF(AND(ISNUMBER(AM478),ISNUMBER({ROIC})),AM478-{ROIC},"")</f>
        <v/>
      </c>
      <c r="AO478" s="17">
        <f>IF(AND(ISNUMBER(AC478),ISNUMBER(M478)),AC478+M478,"")</f>
        <v/>
      </c>
      <c r="AP478" s="20">
        <f>IF(AND(ISNUMBER(AF478),ISNUMBER(R478),ISNUMBER(AO478),AO478&gt;0),(AF478-R478)/AO478,"")</f>
        <v/>
      </c>
      <c r="AQ478" s="20">
        <f>IF(AND(ISNUMBER(AC478),ISNUMBER(I478),I478&lt;&gt;0,AC478&gt;0),AC478/I478,"")</f>
        <v/>
      </c>
      <c r="AR478" s="17">
        <f>IF(AND(ISNUMBER(W478),ISNUMBER(Y478)),W478-IF(ISNUMBER(R478),R478,0)-(Y478-IF(ISNUMBER(T478),T478,0)),"")</f>
        <v/>
      </c>
      <c r="AS478" s="17">
        <f>IF(AND(ISNUMBER(X478),ISNUMBER(Z478)),X478-IF(ISNUMBER(S478),S478,0)-(Z478-IF(ISNUMBER(U478),U478,0)),"")</f>
        <v/>
      </c>
      <c r="AT478" s="17">
        <f>IF(AND(ISNUMBER(AR478),ISNUMBER(AS478)),AR478-AS478,"")</f>
        <v/>
      </c>
      <c r="AU478" s="17">
        <f>IF(E478="금융","",IF(AND(ISNUMBER(L478),ISNUMBER(M478),ISNUMBER(N478),ISNUMBER(AT478)),L478+M478-N478-AT478,IF(AND(ISNUMBER(O478),ISNUMBER(N478)),O478-N478,"")))</f>
        <v/>
      </c>
      <c r="AV478" s="8">
        <f>IF(E478="금융","금융업 - 정의되지 않음",IF(AND(ISNUMBER(L478),ISNUMBER(M478),ISNUMBER(N478),ISNUMBER(AT478)),"순이익+감가상각-설비투자-운전자본증감",IF(AND(ISNUMBER(O478),ISNUMBER(N478)),"영업현금흐름-설비투자","산출불가")))</f>
        <v/>
      </c>
      <c r="AW478" s="19">
        <f>IF(AND(ISNUMBER(AU478),ISNUMBER(G478),G478&lt;&gt;0),AU478/G478,"")</f>
        <v/>
      </c>
      <c r="AX478" s="19">
        <f>IF(AND(ISNUMBER(AC478),ISNUMBER(G478),G478&lt;&gt;0),AC478/G478,"")</f>
        <v/>
      </c>
    </row>
    <row r="479">
      <c r="A479" s="8" t="inlineStr">
        <is>
          <t>PM</t>
        </is>
      </c>
      <c r="B479" s="8" t="inlineStr">
        <is>
          <t>Philip Morris International Inc.</t>
        </is>
      </c>
      <c r="C479" s="8" t="n">
        <v>2014</v>
      </c>
      <c r="D479" s="8" t="inlineStr">
        <is>
          <t>2014-12-31</t>
        </is>
      </c>
      <c r="E479" s="8" t="inlineStr">
        <is>
          <t>일반</t>
        </is>
      </c>
      <c r="F479" s="8" t="inlineStr">
        <is>
          <t>0001413329-17-000014</t>
        </is>
      </c>
      <c r="G479" s="15" t="n"/>
      <c r="H479" s="15" t="n">
        <v>10.65</v>
      </c>
      <c r="I479" s="15" t="n"/>
      <c r="J479" s="15" t="n">
        <v>3.097</v>
      </c>
      <c r="K479" s="15" t="n">
        <v>11.702</v>
      </c>
      <c r="L479" s="15" t="n">
        <v>7.493</v>
      </c>
      <c r="M479" s="15" t="n">
        <v>0.796</v>
      </c>
      <c r="N479" s="15" t="n">
        <v>1.153</v>
      </c>
      <c r="O479" s="15" t="n">
        <v>7.739</v>
      </c>
      <c r="P479" s="15" t="n">
        <v>-12.629</v>
      </c>
      <c r="Q479" s="15" t="n"/>
      <c r="R479" s="15" t="n">
        <v>1.682</v>
      </c>
      <c r="S479" s="15" t="n"/>
      <c r="T479" s="15" t="n">
        <v>1.208</v>
      </c>
      <c r="U479" s="15" t="n"/>
      <c r="V479" s="15" t="n">
        <v>26.929</v>
      </c>
      <c r="W479" s="15" t="n">
        <v>15.484</v>
      </c>
      <c r="X479" s="15" t="n"/>
      <c r="Y479" s="15" t="n">
        <v>15.112</v>
      </c>
      <c r="Z479" s="15" t="n"/>
      <c r="AA479" s="15" t="n"/>
      <c r="AB479" s="16" t="n"/>
      <c r="AC479" s="17">
        <f>IF(AND(ISNUMBER(H479),ISNUMBER(I479)),H479+I479,IF(ISNUMBER(K479),K479,IF(ISNUMBER(H479),H479,"")))</f>
        <v/>
      </c>
      <c r="AD479" s="18">
        <f>IF(OR(NOT(ISNUMBER(J479)),NOT(ISNUMBER(H479)),H479&lt;=0),기준표!$B$8,MIN(MAX(J479/H479,기준표!$B$6),기준표!$B$7))</f>
        <v/>
      </c>
      <c r="AE479" s="17">
        <f>IF(ISNUMBER(AC479),AC479*(1-AD479),"")</f>
        <v/>
      </c>
      <c r="AF479" s="17">
        <f>IF(AND(NOT(ISNUMBER(T479)),NOT(ISNUMBER(V479))),"",IF(ISNUMBER(T479),T479,0)+IF(ISNUMBER(V479),V479,0))</f>
        <v/>
      </c>
      <c r="AG479" s="17">
        <f>IF(E479="금융","",IF(AND(ISNUMBER(P479),ISNUMBER(AF479),ISNUMBER(R479)),P479+AF479-R479,""))</f>
        <v/>
      </c>
      <c r="AH479" s="17">
        <f>IF(E479="금융","",IF(NOT(ISNUMBER(AG479)),"",IF(ISNUMBER(AA479),(AG479+AA479)/2,AG479)))</f>
        <v/>
      </c>
      <c r="AI479" s="19">
        <f>IF(AND(ISNUMBER(AE479),ISNUMBER(AH479),AH479&gt;0),AE479/AH479,"")</f>
        <v/>
      </c>
      <c r="AJ479" s="17">
        <f>IF(E479="금융","",IF(AND(ISNUMBER(P479),ISNUMBER(AF479)),P479+AF479,""))</f>
        <v/>
      </c>
      <c r="AK479" s="19">
        <f>IF(OR(NOT(ISNUMBER(AE479)),NOT(ISNUMBER(AJ479)),AJ479&lt;=0),"",IF(AND(ISNUMBER(G479),AJ479&lt;0.1*G479),"",AE479/AJ479))</f>
        <v/>
      </c>
      <c r="AL479" s="17">
        <f>IF(NOT(ISNUMBER(P479)),"",IF(ISNUMBER(Q479),(P479+Q479)/2,P479))</f>
        <v/>
      </c>
      <c r="AM479" s="19">
        <f>IF(AND(ISNUMBER(L479),ISNUMBER(AL479),AL479&gt;0),L479/AL479,"")</f>
        <v/>
      </c>
      <c r="AN479" s="19">
        <f>IF(AND(ISNUMBER(AM479),ISNUMBER({ROIC})),AM479-{ROIC},"")</f>
        <v/>
      </c>
      <c r="AO479" s="17">
        <f>IF(AND(ISNUMBER(AC479),ISNUMBER(M479)),AC479+M479,"")</f>
        <v/>
      </c>
      <c r="AP479" s="20">
        <f>IF(AND(ISNUMBER(AF479),ISNUMBER(R479),ISNUMBER(AO479),AO479&gt;0),(AF479-R479)/AO479,"")</f>
        <v/>
      </c>
      <c r="AQ479" s="20">
        <f>IF(AND(ISNUMBER(AC479),ISNUMBER(I479),I479&lt;&gt;0,AC479&gt;0),AC479/I479,"")</f>
        <v/>
      </c>
      <c r="AR479" s="17">
        <f>IF(AND(ISNUMBER(W479),ISNUMBER(Y479)),W479-IF(ISNUMBER(R479),R479,0)-(Y479-IF(ISNUMBER(T479),T479,0)),"")</f>
        <v/>
      </c>
      <c r="AS479" s="17">
        <f>IF(AND(ISNUMBER(X479),ISNUMBER(Z479)),X479-IF(ISNUMBER(S479),S479,0)-(Z479-IF(ISNUMBER(U479),U479,0)),"")</f>
        <v/>
      </c>
      <c r="AT479" s="17">
        <f>IF(AND(ISNUMBER(AR479),ISNUMBER(AS479)),AR479-AS479,"")</f>
        <v/>
      </c>
      <c r="AU479" s="17">
        <f>IF(E479="금융","",IF(AND(ISNUMBER(L479),ISNUMBER(M479),ISNUMBER(N479),ISNUMBER(AT479)),L479+M479-N479-AT479,IF(AND(ISNUMBER(O479),ISNUMBER(N479)),O479-N479,"")))</f>
        <v/>
      </c>
      <c r="AV479" s="8">
        <f>IF(E479="금융","금융업 - 정의되지 않음",IF(AND(ISNUMBER(L479),ISNUMBER(M479),ISNUMBER(N479),ISNUMBER(AT479)),"순이익+감가상각-설비투자-운전자본증감",IF(AND(ISNUMBER(O479),ISNUMBER(N479)),"영업현금흐름-설비투자","산출불가")))</f>
        <v/>
      </c>
      <c r="AW479" s="19">
        <f>IF(AND(ISNUMBER(AU479),ISNUMBER(G479),G479&lt;&gt;0),AU479/G479,"")</f>
        <v/>
      </c>
      <c r="AX479" s="19">
        <f>IF(AND(ISNUMBER(AC479),ISNUMBER(G479),G479&lt;&gt;0),AC479/G479,"")</f>
        <v/>
      </c>
    </row>
    <row r="480">
      <c r="A480" s="8" t="inlineStr">
        <is>
          <t>PM</t>
        </is>
      </c>
      <c r="B480" s="8" t="inlineStr">
        <is>
          <t>Philip Morris International Inc.</t>
        </is>
      </c>
      <c r="C480" s="8" t="n">
        <v>2015</v>
      </c>
      <c r="D480" s="8" t="inlineStr">
        <is>
          <t>2015-12-31</t>
        </is>
      </c>
      <c r="E480" s="8" t="inlineStr">
        <is>
          <t>일반</t>
        </is>
      </c>
      <c r="F480" s="8" t="inlineStr">
        <is>
          <t>0001413329-18-000007</t>
        </is>
      </c>
      <c r="G480" s="15" t="n"/>
      <c r="H480" s="15" t="n">
        <v>9.615</v>
      </c>
      <c r="I480" s="15" t="n"/>
      <c r="J480" s="15" t="n">
        <v>2.688</v>
      </c>
      <c r="K480" s="15" t="n">
        <v>10.623</v>
      </c>
      <c r="L480" s="15" t="n">
        <v>6.873</v>
      </c>
      <c r="M480" s="15" t="n">
        <v>0.672</v>
      </c>
      <c r="N480" s="15" t="n">
        <v>0.96</v>
      </c>
      <c r="O480" s="15" t="n">
        <v>7.865</v>
      </c>
      <c r="P480" s="15" t="n">
        <v>-13.244</v>
      </c>
      <c r="Q480" s="15" t="n">
        <v>-12.629</v>
      </c>
      <c r="R480" s="15" t="n">
        <v>3.417</v>
      </c>
      <c r="S480" s="15" t="n">
        <v>1.682</v>
      </c>
      <c r="T480" s="15" t="n">
        <v>0.825</v>
      </c>
      <c r="U480" s="15" t="n">
        <v>1.208</v>
      </c>
      <c r="V480" s="15" t="n">
        <v>25.25</v>
      </c>
      <c r="W480" s="15" t="n">
        <v>15.804</v>
      </c>
      <c r="X480" s="15" t="n">
        <v>15.484</v>
      </c>
      <c r="Y480" s="15" t="n">
        <v>15.386</v>
      </c>
      <c r="Z480" s="15" t="n">
        <v>15.112</v>
      </c>
      <c r="AA480" s="15" t="n">
        <v>13.826</v>
      </c>
      <c r="AB480" s="16" t="n">
        <v>1549</v>
      </c>
      <c r="AC480" s="17">
        <f>IF(AND(ISNUMBER(H480),ISNUMBER(I480)),H480+I480,IF(ISNUMBER(K480),K480,IF(ISNUMBER(H480),H480,"")))</f>
        <v/>
      </c>
      <c r="AD480" s="18">
        <f>IF(OR(NOT(ISNUMBER(J480)),NOT(ISNUMBER(H480)),H480&lt;=0),기준표!$B$8,MIN(MAX(J480/H480,기준표!$B$6),기준표!$B$7))</f>
        <v/>
      </c>
      <c r="AE480" s="17">
        <f>IF(ISNUMBER(AC480),AC480*(1-AD480),"")</f>
        <v/>
      </c>
      <c r="AF480" s="17">
        <f>IF(AND(NOT(ISNUMBER(T480)),NOT(ISNUMBER(V480))),"",IF(ISNUMBER(T480),T480,0)+IF(ISNUMBER(V480),V480,0))</f>
        <v/>
      </c>
      <c r="AG480" s="17">
        <f>IF(E480="금융","",IF(AND(ISNUMBER(P480),ISNUMBER(AF480),ISNUMBER(R480)),P480+AF480-R480,""))</f>
        <v/>
      </c>
      <c r="AH480" s="17">
        <f>IF(E480="금융","",IF(NOT(ISNUMBER(AG480)),"",IF(ISNUMBER(AA480),(AG480+AA480)/2,AG480)))</f>
        <v/>
      </c>
      <c r="AI480" s="19">
        <f>IF(AND(ISNUMBER(AE480),ISNUMBER(AH480),AH480&gt;0),AE480/AH480,"")</f>
        <v/>
      </c>
      <c r="AJ480" s="17">
        <f>IF(E480="금융","",IF(AND(ISNUMBER(P480),ISNUMBER(AF480)),P480+AF480,""))</f>
        <v/>
      </c>
      <c r="AK480" s="19">
        <f>IF(OR(NOT(ISNUMBER(AE480)),NOT(ISNUMBER(AJ480)),AJ480&lt;=0),"",IF(AND(ISNUMBER(G480),AJ480&lt;0.1*G480),"",AE480/AJ480))</f>
        <v/>
      </c>
      <c r="AL480" s="17">
        <f>IF(NOT(ISNUMBER(P480)),"",IF(ISNUMBER(Q480),(P480+Q480)/2,P480))</f>
        <v/>
      </c>
      <c r="AM480" s="19">
        <f>IF(AND(ISNUMBER(L480),ISNUMBER(AL480),AL480&gt;0),L480/AL480,"")</f>
        <v/>
      </c>
      <c r="AN480" s="19">
        <f>IF(AND(ISNUMBER(AM480),ISNUMBER({ROIC})),AM480-{ROIC},"")</f>
        <v/>
      </c>
      <c r="AO480" s="17">
        <f>IF(AND(ISNUMBER(AC480),ISNUMBER(M480)),AC480+M480,"")</f>
        <v/>
      </c>
      <c r="AP480" s="20">
        <f>IF(AND(ISNUMBER(AF480),ISNUMBER(R480),ISNUMBER(AO480),AO480&gt;0),(AF480-R480)/AO480,"")</f>
        <v/>
      </c>
      <c r="AQ480" s="20">
        <f>IF(AND(ISNUMBER(AC480),ISNUMBER(I480),I480&lt;&gt;0,AC480&gt;0),AC480/I480,"")</f>
        <v/>
      </c>
      <c r="AR480" s="17">
        <f>IF(AND(ISNUMBER(W480),ISNUMBER(Y480)),W480-IF(ISNUMBER(R480),R480,0)-(Y480-IF(ISNUMBER(T480),T480,0)),"")</f>
        <v/>
      </c>
      <c r="AS480" s="17">
        <f>IF(AND(ISNUMBER(X480),ISNUMBER(Z480)),X480-IF(ISNUMBER(S480),S480,0)-(Z480-IF(ISNUMBER(U480),U480,0)),"")</f>
        <v/>
      </c>
      <c r="AT480" s="17">
        <f>IF(AND(ISNUMBER(AR480),ISNUMBER(AS480)),AR480-AS480,"")</f>
        <v/>
      </c>
      <c r="AU480" s="17">
        <f>IF(E480="금융","",IF(AND(ISNUMBER(L480),ISNUMBER(M480),ISNUMBER(N480),ISNUMBER(AT480)),L480+M480-N480-AT480,IF(AND(ISNUMBER(O480),ISNUMBER(N480)),O480-N480,"")))</f>
        <v/>
      </c>
      <c r="AV480" s="8">
        <f>IF(E480="금융","금융업 - 정의되지 않음",IF(AND(ISNUMBER(L480),ISNUMBER(M480),ISNUMBER(N480),ISNUMBER(AT480)),"순이익+감가상각-설비투자-운전자본증감",IF(AND(ISNUMBER(O480),ISNUMBER(N480)),"영업현금흐름-설비투자","산출불가")))</f>
        <v/>
      </c>
      <c r="AW480" s="19">
        <f>IF(AND(ISNUMBER(AU480),ISNUMBER(G480),G480&lt;&gt;0),AU480/G480,"")</f>
        <v/>
      </c>
      <c r="AX480" s="19">
        <f>IF(AND(ISNUMBER(AC480),ISNUMBER(G480),G480&lt;&gt;0),AC480/G480,"")</f>
        <v/>
      </c>
    </row>
    <row r="481">
      <c r="A481" s="8" t="inlineStr">
        <is>
          <t>PM</t>
        </is>
      </c>
      <c r="B481" s="8" t="inlineStr">
        <is>
          <t>Philip Morris International Inc.</t>
        </is>
      </c>
      <c r="C481" s="8" t="n">
        <v>2016</v>
      </c>
      <c r="D481" s="8" t="inlineStr">
        <is>
          <t>2016-12-31</t>
        </is>
      </c>
      <c r="E481" s="8" t="inlineStr">
        <is>
          <t>일반</t>
        </is>
      </c>
      <c r="F481" s="8" t="inlineStr">
        <is>
          <t>0001413329-19-000007</t>
        </is>
      </c>
      <c r="G481" s="15" t="n">
        <v>26.685</v>
      </c>
      <c r="H481" s="15" t="n">
        <v>9.923999999999999</v>
      </c>
      <c r="I481" s="15" t="n"/>
      <c r="J481" s="15" t="n">
        <v>2.768</v>
      </c>
      <c r="K481" s="15" t="n">
        <v>10.903</v>
      </c>
      <c r="L481" s="15" t="n">
        <v>6.967</v>
      </c>
      <c r="M481" s="15" t="n">
        <v>0.669</v>
      </c>
      <c r="N481" s="15" t="n">
        <v>1.172</v>
      </c>
      <c r="O481" s="15" t="n">
        <v>8.077</v>
      </c>
      <c r="P481" s="15" t="n">
        <v>-12.688</v>
      </c>
      <c r="Q481" s="15" t="n">
        <v>-13.244</v>
      </c>
      <c r="R481" s="15" t="n">
        <v>4.239</v>
      </c>
      <c r="S481" s="15" t="n">
        <v>3.417</v>
      </c>
      <c r="T481" s="15" t="n">
        <v>0.643</v>
      </c>
      <c r="U481" s="15" t="n">
        <v>0.825</v>
      </c>
      <c r="V481" s="15" t="n">
        <v>25.851</v>
      </c>
      <c r="W481" s="15" t="n">
        <v>17.608</v>
      </c>
      <c r="X481" s="15" t="n">
        <v>15.804</v>
      </c>
      <c r="Y481" s="15" t="n">
        <v>16.467</v>
      </c>
      <c r="Z481" s="15" t="n">
        <v>15.386</v>
      </c>
      <c r="AA481" s="15" t="n">
        <v>9.414</v>
      </c>
      <c r="AB481" s="16" t="n">
        <v>1551</v>
      </c>
      <c r="AC481" s="17">
        <f>IF(AND(ISNUMBER(H481),ISNUMBER(I481)),H481+I481,IF(ISNUMBER(K481),K481,IF(ISNUMBER(H481),H481,"")))</f>
        <v/>
      </c>
      <c r="AD481" s="18">
        <f>IF(OR(NOT(ISNUMBER(J481)),NOT(ISNUMBER(H481)),H481&lt;=0),기준표!$B$8,MIN(MAX(J481/H481,기준표!$B$6),기준표!$B$7))</f>
        <v/>
      </c>
      <c r="AE481" s="17">
        <f>IF(ISNUMBER(AC481),AC481*(1-AD481),"")</f>
        <v/>
      </c>
      <c r="AF481" s="17">
        <f>IF(AND(NOT(ISNUMBER(T481)),NOT(ISNUMBER(V481))),"",IF(ISNUMBER(T481),T481,0)+IF(ISNUMBER(V481),V481,0))</f>
        <v/>
      </c>
      <c r="AG481" s="17">
        <f>IF(E481="금융","",IF(AND(ISNUMBER(P481),ISNUMBER(AF481),ISNUMBER(R481)),P481+AF481-R481,""))</f>
        <v/>
      </c>
      <c r="AH481" s="17">
        <f>IF(E481="금융","",IF(NOT(ISNUMBER(AG481)),"",IF(ISNUMBER(AA481),(AG481+AA481)/2,AG481)))</f>
        <v/>
      </c>
      <c r="AI481" s="19">
        <f>IF(AND(ISNUMBER(AE481),ISNUMBER(AH481),AH481&gt;0),AE481/AH481,"")</f>
        <v/>
      </c>
      <c r="AJ481" s="17">
        <f>IF(E481="금융","",IF(AND(ISNUMBER(P481),ISNUMBER(AF481)),P481+AF481,""))</f>
        <v/>
      </c>
      <c r="AK481" s="19">
        <f>IF(OR(NOT(ISNUMBER(AE481)),NOT(ISNUMBER(AJ481)),AJ481&lt;=0),"",IF(AND(ISNUMBER(G481),AJ481&lt;0.1*G481),"",AE481/AJ481))</f>
        <v/>
      </c>
      <c r="AL481" s="17">
        <f>IF(NOT(ISNUMBER(P481)),"",IF(ISNUMBER(Q481),(P481+Q481)/2,P481))</f>
        <v/>
      </c>
      <c r="AM481" s="19">
        <f>IF(AND(ISNUMBER(L481),ISNUMBER(AL481),AL481&gt;0),L481/AL481,"")</f>
        <v/>
      </c>
      <c r="AN481" s="19">
        <f>IF(AND(ISNUMBER(AM481),ISNUMBER({ROIC})),AM481-{ROIC},"")</f>
        <v/>
      </c>
      <c r="AO481" s="17">
        <f>IF(AND(ISNUMBER(AC481),ISNUMBER(M481)),AC481+M481,"")</f>
        <v/>
      </c>
      <c r="AP481" s="20">
        <f>IF(AND(ISNUMBER(AF481),ISNUMBER(R481),ISNUMBER(AO481),AO481&gt;0),(AF481-R481)/AO481,"")</f>
        <v/>
      </c>
      <c r="AQ481" s="20">
        <f>IF(AND(ISNUMBER(AC481),ISNUMBER(I481),I481&lt;&gt;0,AC481&gt;0),AC481/I481,"")</f>
        <v/>
      </c>
      <c r="AR481" s="17">
        <f>IF(AND(ISNUMBER(W481),ISNUMBER(Y481)),W481-IF(ISNUMBER(R481),R481,0)-(Y481-IF(ISNUMBER(T481),T481,0)),"")</f>
        <v/>
      </c>
      <c r="AS481" s="17">
        <f>IF(AND(ISNUMBER(X481),ISNUMBER(Z481)),X481-IF(ISNUMBER(S481),S481,0)-(Z481-IF(ISNUMBER(U481),U481,0)),"")</f>
        <v/>
      </c>
      <c r="AT481" s="17">
        <f>IF(AND(ISNUMBER(AR481),ISNUMBER(AS481)),AR481-AS481,"")</f>
        <v/>
      </c>
      <c r="AU481" s="17">
        <f>IF(E481="금융","",IF(AND(ISNUMBER(L481),ISNUMBER(M481),ISNUMBER(N481),ISNUMBER(AT481)),L481+M481-N481-AT481,IF(AND(ISNUMBER(O481),ISNUMBER(N481)),O481-N481,"")))</f>
        <v/>
      </c>
      <c r="AV481" s="8">
        <f>IF(E481="금융","금융업 - 정의되지 않음",IF(AND(ISNUMBER(L481),ISNUMBER(M481),ISNUMBER(N481),ISNUMBER(AT481)),"순이익+감가상각-설비투자-운전자본증감",IF(AND(ISNUMBER(O481),ISNUMBER(N481)),"영업현금흐름-설비투자","산출불가")))</f>
        <v/>
      </c>
      <c r="AW481" s="19">
        <f>IF(AND(ISNUMBER(AU481),ISNUMBER(G481),G481&lt;&gt;0),AU481/G481,"")</f>
        <v/>
      </c>
      <c r="AX481" s="19">
        <f>IF(AND(ISNUMBER(AC481),ISNUMBER(G481),G481&lt;&gt;0),AC481/G481,"")</f>
        <v/>
      </c>
    </row>
    <row r="482">
      <c r="A482" s="8" t="inlineStr">
        <is>
          <t>PM</t>
        </is>
      </c>
      <c r="B482" s="8" t="inlineStr">
        <is>
          <t>Philip Morris International Inc.</t>
        </is>
      </c>
      <c r="C482" s="8" t="n">
        <v>2017</v>
      </c>
      <c r="D482" s="8" t="inlineStr">
        <is>
          <t>2017-12-31</t>
        </is>
      </c>
      <c r="E482" s="8" t="inlineStr">
        <is>
          <t>일반</t>
        </is>
      </c>
      <c r="F482" s="8" t="inlineStr">
        <is>
          <t>0001413329-20-000007</t>
        </is>
      </c>
      <c r="G482" s="15" t="n">
        <v>28.748</v>
      </c>
      <c r="H482" s="15" t="n">
        <v>10.589</v>
      </c>
      <c r="I482" s="15" t="n"/>
      <c r="J482" s="15" t="n">
        <v>4.307</v>
      </c>
      <c r="K482" s="15" t="n">
        <v>11.581</v>
      </c>
      <c r="L482" s="15" t="n">
        <v>6.035</v>
      </c>
      <c r="M482" s="15" t="n">
        <v>0.787</v>
      </c>
      <c r="N482" s="15" t="n">
        <v>1.548</v>
      </c>
      <c r="O482" s="15" t="n">
        <v>8.912000000000001</v>
      </c>
      <c r="P482" s="15" t="n">
        <v>-12.086</v>
      </c>
      <c r="Q482" s="15" t="n">
        <v>-12.688</v>
      </c>
      <c r="R482" s="15" t="n">
        <v>8.446999999999999</v>
      </c>
      <c r="S482" s="15" t="n">
        <v>4.239</v>
      </c>
      <c r="T482" s="15" t="n">
        <v>0.499</v>
      </c>
      <c r="U482" s="15" t="n">
        <v>0.643</v>
      </c>
      <c r="V482" s="15" t="n">
        <v>31.334</v>
      </c>
      <c r="W482" s="15" t="n">
        <v>21.594</v>
      </c>
      <c r="X482" s="15" t="n">
        <v>17.608</v>
      </c>
      <c r="Y482" s="15" t="n">
        <v>15.962</v>
      </c>
      <c r="Z482" s="15" t="n">
        <v>16.467</v>
      </c>
      <c r="AA482" s="15" t="n">
        <v>9.567</v>
      </c>
      <c r="AB482" s="16" t="n">
        <v>1553</v>
      </c>
      <c r="AC482" s="17">
        <f>IF(AND(ISNUMBER(H482),ISNUMBER(I482)),H482+I482,IF(ISNUMBER(K482),K482,IF(ISNUMBER(H482),H482,"")))</f>
        <v/>
      </c>
      <c r="AD482" s="18">
        <f>IF(OR(NOT(ISNUMBER(J482)),NOT(ISNUMBER(H482)),H482&lt;=0),기준표!$B$8,MIN(MAX(J482/H482,기준표!$B$6),기준표!$B$7))</f>
        <v/>
      </c>
      <c r="AE482" s="17">
        <f>IF(ISNUMBER(AC482),AC482*(1-AD482),"")</f>
        <v/>
      </c>
      <c r="AF482" s="17">
        <f>IF(AND(NOT(ISNUMBER(T482)),NOT(ISNUMBER(V482))),"",IF(ISNUMBER(T482),T482,0)+IF(ISNUMBER(V482),V482,0))</f>
        <v/>
      </c>
      <c r="AG482" s="17">
        <f>IF(E482="금융","",IF(AND(ISNUMBER(P482),ISNUMBER(AF482),ISNUMBER(R482)),P482+AF482-R482,""))</f>
        <v/>
      </c>
      <c r="AH482" s="17">
        <f>IF(E482="금융","",IF(NOT(ISNUMBER(AG482)),"",IF(ISNUMBER(AA482),(AG482+AA482)/2,AG482)))</f>
        <v/>
      </c>
      <c r="AI482" s="19">
        <f>IF(AND(ISNUMBER(AE482),ISNUMBER(AH482),AH482&gt;0),AE482/AH482,"")</f>
        <v/>
      </c>
      <c r="AJ482" s="17">
        <f>IF(E482="금융","",IF(AND(ISNUMBER(P482),ISNUMBER(AF482)),P482+AF482,""))</f>
        <v/>
      </c>
      <c r="AK482" s="19">
        <f>IF(OR(NOT(ISNUMBER(AE482)),NOT(ISNUMBER(AJ482)),AJ482&lt;=0),"",IF(AND(ISNUMBER(G482),AJ482&lt;0.1*G482),"",AE482/AJ482))</f>
        <v/>
      </c>
      <c r="AL482" s="17">
        <f>IF(NOT(ISNUMBER(P482)),"",IF(ISNUMBER(Q482),(P482+Q482)/2,P482))</f>
        <v/>
      </c>
      <c r="AM482" s="19">
        <f>IF(AND(ISNUMBER(L482),ISNUMBER(AL482),AL482&gt;0),L482/AL482,"")</f>
        <v/>
      </c>
      <c r="AN482" s="19">
        <f>IF(AND(ISNUMBER(AM482),ISNUMBER({ROIC})),AM482-{ROIC},"")</f>
        <v/>
      </c>
      <c r="AO482" s="17">
        <f>IF(AND(ISNUMBER(AC482),ISNUMBER(M482)),AC482+M482,"")</f>
        <v/>
      </c>
      <c r="AP482" s="20">
        <f>IF(AND(ISNUMBER(AF482),ISNUMBER(R482),ISNUMBER(AO482),AO482&gt;0),(AF482-R482)/AO482,"")</f>
        <v/>
      </c>
      <c r="AQ482" s="20">
        <f>IF(AND(ISNUMBER(AC482),ISNUMBER(I482),I482&lt;&gt;0,AC482&gt;0),AC482/I482,"")</f>
        <v/>
      </c>
      <c r="AR482" s="17">
        <f>IF(AND(ISNUMBER(W482),ISNUMBER(Y482)),W482-IF(ISNUMBER(R482),R482,0)-(Y482-IF(ISNUMBER(T482),T482,0)),"")</f>
        <v/>
      </c>
      <c r="AS482" s="17">
        <f>IF(AND(ISNUMBER(X482),ISNUMBER(Z482)),X482-IF(ISNUMBER(S482),S482,0)-(Z482-IF(ISNUMBER(U482),U482,0)),"")</f>
        <v/>
      </c>
      <c r="AT482" s="17">
        <f>IF(AND(ISNUMBER(AR482),ISNUMBER(AS482)),AR482-AS482,"")</f>
        <v/>
      </c>
      <c r="AU482" s="17">
        <f>IF(E482="금융","",IF(AND(ISNUMBER(L482),ISNUMBER(M482),ISNUMBER(N482),ISNUMBER(AT482)),L482+M482-N482-AT482,IF(AND(ISNUMBER(O482),ISNUMBER(N482)),O482-N482,"")))</f>
        <v/>
      </c>
      <c r="AV482" s="8">
        <f>IF(E482="금융","금융업 - 정의되지 않음",IF(AND(ISNUMBER(L482),ISNUMBER(M482),ISNUMBER(N482),ISNUMBER(AT482)),"순이익+감가상각-설비투자-운전자본증감",IF(AND(ISNUMBER(O482),ISNUMBER(N482)),"영업현금흐름-설비투자","산출불가")))</f>
        <v/>
      </c>
      <c r="AW482" s="19">
        <f>IF(AND(ISNUMBER(AU482),ISNUMBER(G482),G482&lt;&gt;0),AU482/G482,"")</f>
        <v/>
      </c>
      <c r="AX482" s="19">
        <f>IF(AND(ISNUMBER(AC482),ISNUMBER(G482),G482&lt;&gt;0),AC482/G482,"")</f>
        <v/>
      </c>
    </row>
    <row r="483">
      <c r="A483" s="8" t="inlineStr">
        <is>
          <t>PM</t>
        </is>
      </c>
      <c r="B483" s="8" t="inlineStr">
        <is>
          <t>Philip Morris International Inc.</t>
        </is>
      </c>
      <c r="C483" s="8" t="n">
        <v>2018</v>
      </c>
      <c r="D483" s="8" t="inlineStr">
        <is>
          <t>2018-12-31</t>
        </is>
      </c>
      <c r="E483" s="8" t="inlineStr">
        <is>
          <t>일반</t>
        </is>
      </c>
      <c r="F483" s="8" t="inlineStr">
        <is>
          <t>0001413329-21-000007</t>
        </is>
      </c>
      <c r="G483" s="15" t="n">
        <v>29.625</v>
      </c>
      <c r="H483" s="15" t="n">
        <v>10.671</v>
      </c>
      <c r="I483" s="15" t="n"/>
      <c r="J483" s="15" t="n">
        <v>2.445</v>
      </c>
      <c r="K483" s="15" t="n">
        <v>11.377</v>
      </c>
      <c r="L483" s="15" t="n">
        <v>7.911</v>
      </c>
      <c r="M483" s="15" t="n">
        <v>0.907</v>
      </c>
      <c r="N483" s="15" t="n">
        <v>1.436</v>
      </c>
      <c r="O483" s="15" t="n">
        <v>9.478</v>
      </c>
      <c r="P483" s="15" t="n">
        <v>-12.459</v>
      </c>
      <c r="Q483" s="15" t="n">
        <v>-12.086</v>
      </c>
      <c r="R483" s="15" t="n">
        <v>6.593</v>
      </c>
      <c r="S483" s="15" t="n">
        <v>8.446999999999999</v>
      </c>
      <c r="T483" s="15" t="n">
        <v>0.73</v>
      </c>
      <c r="U483" s="15" t="n">
        <v>0.499</v>
      </c>
      <c r="V483" s="15" t="n">
        <v>26.975</v>
      </c>
      <c r="W483" s="15" t="n">
        <v>19.442</v>
      </c>
      <c r="X483" s="15" t="n">
        <v>21.594</v>
      </c>
      <c r="Y483" s="15" t="n">
        <v>17.191</v>
      </c>
      <c r="Z483" s="15" t="n">
        <v>15.962</v>
      </c>
      <c r="AA483" s="15" t="n">
        <v>11.3</v>
      </c>
      <c r="AB483" s="16" t="n">
        <v>1555</v>
      </c>
      <c r="AC483" s="17">
        <f>IF(AND(ISNUMBER(H483),ISNUMBER(I483)),H483+I483,IF(ISNUMBER(K483),K483,IF(ISNUMBER(H483),H483,"")))</f>
        <v/>
      </c>
      <c r="AD483" s="18">
        <f>IF(OR(NOT(ISNUMBER(J483)),NOT(ISNUMBER(H483)),H483&lt;=0),기준표!$B$8,MIN(MAX(J483/H483,기준표!$B$6),기준표!$B$7))</f>
        <v/>
      </c>
      <c r="AE483" s="17">
        <f>IF(ISNUMBER(AC483),AC483*(1-AD483),"")</f>
        <v/>
      </c>
      <c r="AF483" s="17">
        <f>IF(AND(NOT(ISNUMBER(T483)),NOT(ISNUMBER(V483))),"",IF(ISNUMBER(T483),T483,0)+IF(ISNUMBER(V483),V483,0))</f>
        <v/>
      </c>
      <c r="AG483" s="17">
        <f>IF(E483="금융","",IF(AND(ISNUMBER(P483),ISNUMBER(AF483),ISNUMBER(R483)),P483+AF483-R483,""))</f>
        <v/>
      </c>
      <c r="AH483" s="17">
        <f>IF(E483="금융","",IF(NOT(ISNUMBER(AG483)),"",IF(ISNUMBER(AA483),(AG483+AA483)/2,AG483)))</f>
        <v/>
      </c>
      <c r="AI483" s="19">
        <f>IF(AND(ISNUMBER(AE483),ISNUMBER(AH483),AH483&gt;0),AE483/AH483,"")</f>
        <v/>
      </c>
      <c r="AJ483" s="17">
        <f>IF(E483="금융","",IF(AND(ISNUMBER(P483),ISNUMBER(AF483)),P483+AF483,""))</f>
        <v/>
      </c>
      <c r="AK483" s="19">
        <f>IF(OR(NOT(ISNUMBER(AE483)),NOT(ISNUMBER(AJ483)),AJ483&lt;=0),"",IF(AND(ISNUMBER(G483),AJ483&lt;0.1*G483),"",AE483/AJ483))</f>
        <v/>
      </c>
      <c r="AL483" s="17">
        <f>IF(NOT(ISNUMBER(P483)),"",IF(ISNUMBER(Q483),(P483+Q483)/2,P483))</f>
        <v/>
      </c>
      <c r="AM483" s="19">
        <f>IF(AND(ISNUMBER(L483),ISNUMBER(AL483),AL483&gt;0),L483/AL483,"")</f>
        <v/>
      </c>
      <c r="AN483" s="19">
        <f>IF(AND(ISNUMBER(AM483),ISNUMBER({ROIC})),AM483-{ROIC},"")</f>
        <v/>
      </c>
      <c r="AO483" s="17">
        <f>IF(AND(ISNUMBER(AC483),ISNUMBER(M483)),AC483+M483,"")</f>
        <v/>
      </c>
      <c r="AP483" s="20">
        <f>IF(AND(ISNUMBER(AF483),ISNUMBER(R483),ISNUMBER(AO483),AO483&gt;0),(AF483-R483)/AO483,"")</f>
        <v/>
      </c>
      <c r="AQ483" s="20">
        <f>IF(AND(ISNUMBER(AC483),ISNUMBER(I483),I483&lt;&gt;0,AC483&gt;0),AC483/I483,"")</f>
        <v/>
      </c>
      <c r="AR483" s="17">
        <f>IF(AND(ISNUMBER(W483),ISNUMBER(Y483)),W483-IF(ISNUMBER(R483),R483,0)-(Y483-IF(ISNUMBER(T483),T483,0)),"")</f>
        <v/>
      </c>
      <c r="AS483" s="17">
        <f>IF(AND(ISNUMBER(X483),ISNUMBER(Z483)),X483-IF(ISNUMBER(S483),S483,0)-(Z483-IF(ISNUMBER(U483),U483,0)),"")</f>
        <v/>
      </c>
      <c r="AT483" s="17">
        <f>IF(AND(ISNUMBER(AR483),ISNUMBER(AS483)),AR483-AS483,"")</f>
        <v/>
      </c>
      <c r="AU483" s="17">
        <f>IF(E483="금융","",IF(AND(ISNUMBER(L483),ISNUMBER(M483),ISNUMBER(N483),ISNUMBER(AT483)),L483+M483-N483-AT483,IF(AND(ISNUMBER(O483),ISNUMBER(N483)),O483-N483,"")))</f>
        <v/>
      </c>
      <c r="AV483" s="8">
        <f>IF(E483="금융","금융업 - 정의되지 않음",IF(AND(ISNUMBER(L483),ISNUMBER(M483),ISNUMBER(N483),ISNUMBER(AT483)),"순이익+감가상각-설비투자-운전자본증감",IF(AND(ISNUMBER(O483),ISNUMBER(N483)),"영업현금흐름-설비투자","산출불가")))</f>
        <v/>
      </c>
      <c r="AW483" s="19">
        <f>IF(AND(ISNUMBER(AU483),ISNUMBER(G483),G483&lt;&gt;0),AU483/G483,"")</f>
        <v/>
      </c>
      <c r="AX483" s="19">
        <f>IF(AND(ISNUMBER(AC483),ISNUMBER(G483),G483&lt;&gt;0),AC483/G483,"")</f>
        <v/>
      </c>
    </row>
    <row r="484">
      <c r="A484" s="8" t="inlineStr">
        <is>
          <t>PM</t>
        </is>
      </c>
      <c r="B484" s="8" t="inlineStr">
        <is>
          <t>Philip Morris International Inc.</t>
        </is>
      </c>
      <c r="C484" s="8" t="n">
        <v>2019</v>
      </c>
      <c r="D484" s="8" t="inlineStr">
        <is>
          <t>2019-12-31</t>
        </is>
      </c>
      <c r="E484" s="8" t="inlineStr">
        <is>
          <t>일반</t>
        </is>
      </c>
      <c r="F484" s="8" t="inlineStr">
        <is>
          <t>0001413329-22-000011</t>
        </is>
      </c>
      <c r="G484" s="15" t="n">
        <v>29.805</v>
      </c>
      <c r="H484" s="15" t="n">
        <v>9.872</v>
      </c>
      <c r="I484" s="15" t="n"/>
      <c r="J484" s="15" t="n">
        <v>2.293</v>
      </c>
      <c r="K484" s="15" t="n">
        <v>10.531</v>
      </c>
      <c r="L484" s="15" t="n">
        <v>7.185</v>
      </c>
      <c r="M484" s="15" t="n">
        <v>0.898</v>
      </c>
      <c r="N484" s="15" t="n">
        <v>0.852</v>
      </c>
      <c r="O484" s="15" t="n">
        <v>10.09</v>
      </c>
      <c r="P484" s="15" t="n">
        <v>-11.577</v>
      </c>
      <c r="Q484" s="15" t="n">
        <v>-12.459</v>
      </c>
      <c r="R484" s="15" t="n">
        <v>6.861</v>
      </c>
      <c r="S484" s="15" t="n">
        <v>6.593</v>
      </c>
      <c r="T484" s="15" t="n">
        <v>0.338</v>
      </c>
      <c r="U484" s="15" t="n">
        <v>0.73</v>
      </c>
      <c r="V484" s="15" t="n">
        <v>26.656</v>
      </c>
      <c r="W484" s="15" t="n">
        <v>20.514</v>
      </c>
      <c r="X484" s="15" t="n">
        <v>19.442</v>
      </c>
      <c r="Y484" s="15" t="n">
        <v>18.833</v>
      </c>
      <c r="Z484" s="15" t="n">
        <v>17.191</v>
      </c>
      <c r="AA484" s="15" t="n">
        <v>8.653</v>
      </c>
      <c r="AB484" s="16" t="n">
        <v>1556</v>
      </c>
      <c r="AC484" s="17">
        <f>IF(AND(ISNUMBER(H484),ISNUMBER(I484)),H484+I484,IF(ISNUMBER(K484),K484,IF(ISNUMBER(H484),H484,"")))</f>
        <v/>
      </c>
      <c r="AD484" s="18">
        <f>IF(OR(NOT(ISNUMBER(J484)),NOT(ISNUMBER(H484)),H484&lt;=0),기준표!$B$8,MIN(MAX(J484/H484,기준표!$B$6),기준표!$B$7))</f>
        <v/>
      </c>
      <c r="AE484" s="17">
        <f>IF(ISNUMBER(AC484),AC484*(1-AD484),"")</f>
        <v/>
      </c>
      <c r="AF484" s="17">
        <f>IF(AND(NOT(ISNUMBER(T484)),NOT(ISNUMBER(V484))),"",IF(ISNUMBER(T484),T484,0)+IF(ISNUMBER(V484),V484,0))</f>
        <v/>
      </c>
      <c r="AG484" s="17">
        <f>IF(E484="금융","",IF(AND(ISNUMBER(P484),ISNUMBER(AF484),ISNUMBER(R484)),P484+AF484-R484,""))</f>
        <v/>
      </c>
      <c r="AH484" s="17">
        <f>IF(E484="금융","",IF(NOT(ISNUMBER(AG484)),"",IF(ISNUMBER(AA484),(AG484+AA484)/2,AG484)))</f>
        <v/>
      </c>
      <c r="AI484" s="19">
        <f>IF(AND(ISNUMBER(AE484),ISNUMBER(AH484),AH484&gt;0),AE484/AH484,"")</f>
        <v/>
      </c>
      <c r="AJ484" s="17">
        <f>IF(E484="금융","",IF(AND(ISNUMBER(P484),ISNUMBER(AF484)),P484+AF484,""))</f>
        <v/>
      </c>
      <c r="AK484" s="19">
        <f>IF(OR(NOT(ISNUMBER(AE484)),NOT(ISNUMBER(AJ484)),AJ484&lt;=0),"",IF(AND(ISNUMBER(G484),AJ484&lt;0.1*G484),"",AE484/AJ484))</f>
        <v/>
      </c>
      <c r="AL484" s="17">
        <f>IF(NOT(ISNUMBER(P484)),"",IF(ISNUMBER(Q484),(P484+Q484)/2,P484))</f>
        <v/>
      </c>
      <c r="AM484" s="19">
        <f>IF(AND(ISNUMBER(L484),ISNUMBER(AL484),AL484&gt;0),L484/AL484,"")</f>
        <v/>
      </c>
      <c r="AN484" s="19">
        <f>IF(AND(ISNUMBER(AM484),ISNUMBER({ROIC})),AM484-{ROIC},"")</f>
        <v/>
      </c>
      <c r="AO484" s="17">
        <f>IF(AND(ISNUMBER(AC484),ISNUMBER(M484)),AC484+M484,"")</f>
        <v/>
      </c>
      <c r="AP484" s="20">
        <f>IF(AND(ISNUMBER(AF484),ISNUMBER(R484),ISNUMBER(AO484),AO484&gt;0),(AF484-R484)/AO484,"")</f>
        <v/>
      </c>
      <c r="AQ484" s="20">
        <f>IF(AND(ISNUMBER(AC484),ISNUMBER(I484),I484&lt;&gt;0,AC484&gt;0),AC484/I484,"")</f>
        <v/>
      </c>
      <c r="AR484" s="17">
        <f>IF(AND(ISNUMBER(W484),ISNUMBER(Y484)),W484-IF(ISNUMBER(R484),R484,0)-(Y484-IF(ISNUMBER(T484),T484,0)),"")</f>
        <v/>
      </c>
      <c r="AS484" s="17">
        <f>IF(AND(ISNUMBER(X484),ISNUMBER(Z484)),X484-IF(ISNUMBER(S484),S484,0)-(Z484-IF(ISNUMBER(U484),U484,0)),"")</f>
        <v/>
      </c>
      <c r="AT484" s="17">
        <f>IF(AND(ISNUMBER(AR484),ISNUMBER(AS484)),AR484-AS484,"")</f>
        <v/>
      </c>
      <c r="AU484" s="17">
        <f>IF(E484="금융","",IF(AND(ISNUMBER(L484),ISNUMBER(M484),ISNUMBER(N484),ISNUMBER(AT484)),L484+M484-N484-AT484,IF(AND(ISNUMBER(O484),ISNUMBER(N484)),O484-N484,"")))</f>
        <v/>
      </c>
      <c r="AV484" s="8">
        <f>IF(E484="금융","금융업 - 정의되지 않음",IF(AND(ISNUMBER(L484),ISNUMBER(M484),ISNUMBER(N484),ISNUMBER(AT484)),"순이익+감가상각-설비투자-운전자본증감",IF(AND(ISNUMBER(O484),ISNUMBER(N484)),"영업현금흐름-설비투자","산출불가")))</f>
        <v/>
      </c>
      <c r="AW484" s="19">
        <f>IF(AND(ISNUMBER(AU484),ISNUMBER(G484),G484&lt;&gt;0),AU484/G484,"")</f>
        <v/>
      </c>
      <c r="AX484" s="19">
        <f>IF(AND(ISNUMBER(AC484),ISNUMBER(G484),G484&lt;&gt;0),AC484/G484,"")</f>
        <v/>
      </c>
    </row>
    <row r="485">
      <c r="A485" s="8" t="inlineStr">
        <is>
          <t>PM</t>
        </is>
      </c>
      <c r="B485" s="8" t="inlineStr">
        <is>
          <t>Philip Morris International Inc.</t>
        </is>
      </c>
      <c r="C485" s="8" t="n">
        <v>2020</v>
      </c>
      <c r="D485" s="8" t="inlineStr">
        <is>
          <t>2020-12-31</t>
        </is>
      </c>
      <c r="E485" s="8" t="inlineStr">
        <is>
          <t>일반</t>
        </is>
      </c>
      <c r="F485" s="8" t="inlineStr">
        <is>
          <t>0001413329-23-000025</t>
        </is>
      </c>
      <c r="G485" s="15" t="n">
        <v>28.694</v>
      </c>
      <c r="H485" s="15" t="n">
        <v>10.953</v>
      </c>
      <c r="I485" s="15" t="n"/>
      <c r="J485" s="15" t="n">
        <v>2.377</v>
      </c>
      <c r="K485" s="15" t="n">
        <v>11.668</v>
      </c>
      <c r="L485" s="15" t="n">
        <v>8.055999999999999</v>
      </c>
      <c r="M485" s="15" t="n">
        <v>0.908</v>
      </c>
      <c r="N485" s="15" t="n">
        <v>0.602</v>
      </c>
      <c r="O485" s="15" t="n">
        <v>9.811999999999999</v>
      </c>
      <c r="P485" s="15" t="n">
        <v>-12.567</v>
      </c>
      <c r="Q485" s="15" t="n">
        <v>-11.577</v>
      </c>
      <c r="R485" s="15" t="n">
        <v>7.28</v>
      </c>
      <c r="S485" s="15" t="n">
        <v>6.861</v>
      </c>
      <c r="T485" s="15" t="n">
        <v>0.244</v>
      </c>
      <c r="U485" s="15" t="n">
        <v>0.338</v>
      </c>
      <c r="V485" s="15" t="n">
        <v>28.168</v>
      </c>
      <c r="W485" s="15" t="n">
        <v>21.492</v>
      </c>
      <c r="X485" s="15" t="n">
        <v>20.514</v>
      </c>
      <c r="Y485" s="15" t="n">
        <v>19.615</v>
      </c>
      <c r="Z485" s="15" t="n">
        <v>18.833</v>
      </c>
      <c r="AA485" s="15" t="n">
        <v>8.555999999999999</v>
      </c>
      <c r="AB485" s="16" t="n">
        <v>1558</v>
      </c>
      <c r="AC485" s="17">
        <f>IF(AND(ISNUMBER(H485),ISNUMBER(I485)),H485+I485,IF(ISNUMBER(K485),K485,IF(ISNUMBER(H485),H485,"")))</f>
        <v/>
      </c>
      <c r="AD485" s="18">
        <f>IF(OR(NOT(ISNUMBER(J485)),NOT(ISNUMBER(H485)),H485&lt;=0),기준표!$B$8,MIN(MAX(J485/H485,기준표!$B$6),기준표!$B$7))</f>
        <v/>
      </c>
      <c r="AE485" s="17">
        <f>IF(ISNUMBER(AC485),AC485*(1-AD485),"")</f>
        <v/>
      </c>
      <c r="AF485" s="17">
        <f>IF(AND(NOT(ISNUMBER(T485)),NOT(ISNUMBER(V485))),"",IF(ISNUMBER(T485),T485,0)+IF(ISNUMBER(V485),V485,0))</f>
        <v/>
      </c>
      <c r="AG485" s="17">
        <f>IF(E485="금융","",IF(AND(ISNUMBER(P485),ISNUMBER(AF485),ISNUMBER(R485)),P485+AF485-R485,""))</f>
        <v/>
      </c>
      <c r="AH485" s="17">
        <f>IF(E485="금융","",IF(NOT(ISNUMBER(AG485)),"",IF(ISNUMBER(AA485),(AG485+AA485)/2,AG485)))</f>
        <v/>
      </c>
      <c r="AI485" s="19">
        <f>IF(AND(ISNUMBER(AE485),ISNUMBER(AH485),AH485&gt;0),AE485/AH485,"")</f>
        <v/>
      </c>
      <c r="AJ485" s="17">
        <f>IF(E485="금융","",IF(AND(ISNUMBER(P485),ISNUMBER(AF485)),P485+AF485,""))</f>
        <v/>
      </c>
      <c r="AK485" s="19">
        <f>IF(OR(NOT(ISNUMBER(AE485)),NOT(ISNUMBER(AJ485)),AJ485&lt;=0),"",IF(AND(ISNUMBER(G485),AJ485&lt;0.1*G485),"",AE485/AJ485))</f>
        <v/>
      </c>
      <c r="AL485" s="17">
        <f>IF(NOT(ISNUMBER(P485)),"",IF(ISNUMBER(Q485),(P485+Q485)/2,P485))</f>
        <v/>
      </c>
      <c r="AM485" s="19">
        <f>IF(AND(ISNUMBER(L485),ISNUMBER(AL485),AL485&gt;0),L485/AL485,"")</f>
        <v/>
      </c>
      <c r="AN485" s="19">
        <f>IF(AND(ISNUMBER(AM485),ISNUMBER({ROIC})),AM485-{ROIC},"")</f>
        <v/>
      </c>
      <c r="AO485" s="17">
        <f>IF(AND(ISNUMBER(AC485),ISNUMBER(M485)),AC485+M485,"")</f>
        <v/>
      </c>
      <c r="AP485" s="20">
        <f>IF(AND(ISNUMBER(AF485),ISNUMBER(R485),ISNUMBER(AO485),AO485&gt;0),(AF485-R485)/AO485,"")</f>
        <v/>
      </c>
      <c r="AQ485" s="20">
        <f>IF(AND(ISNUMBER(AC485),ISNUMBER(I485),I485&lt;&gt;0,AC485&gt;0),AC485/I485,"")</f>
        <v/>
      </c>
      <c r="AR485" s="17">
        <f>IF(AND(ISNUMBER(W485),ISNUMBER(Y485)),W485-IF(ISNUMBER(R485),R485,0)-(Y485-IF(ISNUMBER(T485),T485,0)),"")</f>
        <v/>
      </c>
      <c r="AS485" s="17">
        <f>IF(AND(ISNUMBER(X485),ISNUMBER(Z485)),X485-IF(ISNUMBER(S485),S485,0)-(Z485-IF(ISNUMBER(U485),U485,0)),"")</f>
        <v/>
      </c>
      <c r="AT485" s="17">
        <f>IF(AND(ISNUMBER(AR485),ISNUMBER(AS485)),AR485-AS485,"")</f>
        <v/>
      </c>
      <c r="AU485" s="17">
        <f>IF(E485="금융","",IF(AND(ISNUMBER(L485),ISNUMBER(M485),ISNUMBER(N485),ISNUMBER(AT485)),L485+M485-N485-AT485,IF(AND(ISNUMBER(O485),ISNUMBER(N485)),O485-N485,"")))</f>
        <v/>
      </c>
      <c r="AV485" s="8">
        <f>IF(E485="금융","금융업 - 정의되지 않음",IF(AND(ISNUMBER(L485),ISNUMBER(M485),ISNUMBER(N485),ISNUMBER(AT485)),"순이익+감가상각-설비투자-운전자본증감",IF(AND(ISNUMBER(O485),ISNUMBER(N485)),"영업현금흐름-설비투자","산출불가")))</f>
        <v/>
      </c>
      <c r="AW485" s="19">
        <f>IF(AND(ISNUMBER(AU485),ISNUMBER(G485),G485&lt;&gt;0),AU485/G485,"")</f>
        <v/>
      </c>
      <c r="AX485" s="19">
        <f>IF(AND(ISNUMBER(AC485),ISNUMBER(G485),G485&lt;&gt;0),AC485/G485,"")</f>
        <v/>
      </c>
    </row>
    <row r="486">
      <c r="A486" s="8" t="inlineStr">
        <is>
          <t>PM</t>
        </is>
      </c>
      <c r="B486" s="8" t="inlineStr">
        <is>
          <t>Philip Morris International Inc.</t>
        </is>
      </c>
      <c r="C486" s="8" t="n">
        <v>2021</v>
      </c>
      <c r="D486" s="8" t="inlineStr">
        <is>
          <t>2021-12-31</t>
        </is>
      </c>
      <c r="E486" s="8" t="inlineStr">
        <is>
          <t>일반</t>
        </is>
      </c>
      <c r="F486" s="8" t="inlineStr">
        <is>
          <t>0001413329-24-000013</t>
        </is>
      </c>
      <c r="G486" s="15" t="n">
        <v>31.405</v>
      </c>
      <c r="H486" s="15" t="n">
        <v>12.232</v>
      </c>
      <c r="I486" s="15" t="n"/>
      <c r="J486" s="15" t="n">
        <v>2.671</v>
      </c>
      <c r="K486" s="15" t="n">
        <v>12.975</v>
      </c>
      <c r="L486" s="15" t="n">
        <v>9.109</v>
      </c>
      <c r="M486" s="15" t="n">
        <v>0.902</v>
      </c>
      <c r="N486" s="15" t="n">
        <v>0.748</v>
      </c>
      <c r="O486" s="15" t="n">
        <v>11.967</v>
      </c>
      <c r="P486" s="15" t="n">
        <v>-10.106</v>
      </c>
      <c r="Q486" s="15" t="n">
        <v>-12.567</v>
      </c>
      <c r="R486" s="15" t="n">
        <v>4.496</v>
      </c>
      <c r="S486" s="15" t="n">
        <v>7.28</v>
      </c>
      <c r="T486" s="15" t="n">
        <v>0.225</v>
      </c>
      <c r="U486" s="15" t="n">
        <v>0.244</v>
      </c>
      <c r="V486" s="15" t="n">
        <v>24.783</v>
      </c>
      <c r="W486" s="15" t="n">
        <v>17.717</v>
      </c>
      <c r="X486" s="15" t="n">
        <v>21.492</v>
      </c>
      <c r="Y486" s="15" t="n">
        <v>19.255</v>
      </c>
      <c r="Z486" s="15" t="n">
        <v>19.615</v>
      </c>
      <c r="AA486" s="15" t="n">
        <v>8.565</v>
      </c>
      <c r="AB486" s="16" t="n">
        <v>1559</v>
      </c>
      <c r="AC486" s="17">
        <f>IF(AND(ISNUMBER(H486),ISNUMBER(I486)),H486+I486,IF(ISNUMBER(K486),K486,IF(ISNUMBER(H486),H486,"")))</f>
        <v/>
      </c>
      <c r="AD486" s="18">
        <f>IF(OR(NOT(ISNUMBER(J486)),NOT(ISNUMBER(H486)),H486&lt;=0),기준표!$B$8,MIN(MAX(J486/H486,기준표!$B$6),기준표!$B$7))</f>
        <v/>
      </c>
      <c r="AE486" s="17">
        <f>IF(ISNUMBER(AC486),AC486*(1-AD486),"")</f>
        <v/>
      </c>
      <c r="AF486" s="17">
        <f>IF(AND(NOT(ISNUMBER(T486)),NOT(ISNUMBER(V486))),"",IF(ISNUMBER(T486),T486,0)+IF(ISNUMBER(V486),V486,0))</f>
        <v/>
      </c>
      <c r="AG486" s="17">
        <f>IF(E486="금융","",IF(AND(ISNUMBER(P486),ISNUMBER(AF486),ISNUMBER(R486)),P486+AF486-R486,""))</f>
        <v/>
      </c>
      <c r="AH486" s="17">
        <f>IF(E486="금융","",IF(NOT(ISNUMBER(AG486)),"",IF(ISNUMBER(AA486),(AG486+AA486)/2,AG486)))</f>
        <v/>
      </c>
      <c r="AI486" s="19">
        <f>IF(AND(ISNUMBER(AE486),ISNUMBER(AH486),AH486&gt;0),AE486/AH486,"")</f>
        <v/>
      </c>
      <c r="AJ486" s="17">
        <f>IF(E486="금융","",IF(AND(ISNUMBER(P486),ISNUMBER(AF486)),P486+AF486,""))</f>
        <v/>
      </c>
      <c r="AK486" s="19">
        <f>IF(OR(NOT(ISNUMBER(AE486)),NOT(ISNUMBER(AJ486)),AJ486&lt;=0),"",IF(AND(ISNUMBER(G486),AJ486&lt;0.1*G486),"",AE486/AJ486))</f>
        <v/>
      </c>
      <c r="AL486" s="17">
        <f>IF(NOT(ISNUMBER(P486)),"",IF(ISNUMBER(Q486),(P486+Q486)/2,P486))</f>
        <v/>
      </c>
      <c r="AM486" s="19">
        <f>IF(AND(ISNUMBER(L486),ISNUMBER(AL486),AL486&gt;0),L486/AL486,"")</f>
        <v/>
      </c>
      <c r="AN486" s="19">
        <f>IF(AND(ISNUMBER(AM486),ISNUMBER({ROIC})),AM486-{ROIC},"")</f>
        <v/>
      </c>
      <c r="AO486" s="17">
        <f>IF(AND(ISNUMBER(AC486),ISNUMBER(M486)),AC486+M486,"")</f>
        <v/>
      </c>
      <c r="AP486" s="20">
        <f>IF(AND(ISNUMBER(AF486),ISNUMBER(R486),ISNUMBER(AO486),AO486&gt;0),(AF486-R486)/AO486,"")</f>
        <v/>
      </c>
      <c r="AQ486" s="20">
        <f>IF(AND(ISNUMBER(AC486),ISNUMBER(I486),I486&lt;&gt;0,AC486&gt;0),AC486/I486,"")</f>
        <v/>
      </c>
      <c r="AR486" s="17">
        <f>IF(AND(ISNUMBER(W486),ISNUMBER(Y486)),W486-IF(ISNUMBER(R486),R486,0)-(Y486-IF(ISNUMBER(T486),T486,0)),"")</f>
        <v/>
      </c>
      <c r="AS486" s="17">
        <f>IF(AND(ISNUMBER(X486),ISNUMBER(Z486)),X486-IF(ISNUMBER(S486),S486,0)-(Z486-IF(ISNUMBER(U486),U486,0)),"")</f>
        <v/>
      </c>
      <c r="AT486" s="17">
        <f>IF(AND(ISNUMBER(AR486),ISNUMBER(AS486)),AR486-AS486,"")</f>
        <v/>
      </c>
      <c r="AU486" s="17">
        <f>IF(E486="금융","",IF(AND(ISNUMBER(L486),ISNUMBER(M486),ISNUMBER(N486),ISNUMBER(AT486)),L486+M486-N486-AT486,IF(AND(ISNUMBER(O486),ISNUMBER(N486)),O486-N486,"")))</f>
        <v/>
      </c>
      <c r="AV486" s="8">
        <f>IF(E486="금융","금융업 - 정의되지 않음",IF(AND(ISNUMBER(L486),ISNUMBER(M486),ISNUMBER(N486),ISNUMBER(AT486)),"순이익+감가상각-설비투자-운전자본증감",IF(AND(ISNUMBER(O486),ISNUMBER(N486)),"영업현금흐름-설비투자","산출불가")))</f>
        <v/>
      </c>
      <c r="AW486" s="19">
        <f>IF(AND(ISNUMBER(AU486),ISNUMBER(G486),G486&lt;&gt;0),AU486/G486,"")</f>
        <v/>
      </c>
      <c r="AX486" s="19">
        <f>IF(AND(ISNUMBER(AC486),ISNUMBER(G486),G486&lt;&gt;0),AC486/G486,"")</f>
        <v/>
      </c>
    </row>
    <row r="487">
      <c r="A487" s="8" t="inlineStr">
        <is>
          <t>PM</t>
        </is>
      </c>
      <c r="B487" s="8" t="inlineStr">
        <is>
          <t>Philip Morris International Inc.</t>
        </is>
      </c>
      <c r="C487" s="8" t="n">
        <v>2022</v>
      </c>
      <c r="D487" s="8" t="inlineStr">
        <is>
          <t>2022-12-31</t>
        </is>
      </c>
      <c r="E487" s="8" t="inlineStr">
        <is>
          <t>일반</t>
        </is>
      </c>
      <c r="F487" s="8" t="inlineStr">
        <is>
          <t>0001413329-25-000013</t>
        </is>
      </c>
      <c r="G487" s="15" t="n">
        <v>31.762</v>
      </c>
      <c r="H487" s="15" t="n">
        <v>11.634</v>
      </c>
      <c r="I487" s="15" t="n">
        <v>0.768</v>
      </c>
      <c r="J487" s="15" t="n">
        <v>2.244</v>
      </c>
      <c r="K487" s="15" t="n">
        <v>12.246</v>
      </c>
      <c r="L487" s="15" t="n">
        <v>9.048</v>
      </c>
      <c r="M487" s="15" t="n">
        <v>0.918</v>
      </c>
      <c r="N487" s="15" t="n">
        <v>1.077</v>
      </c>
      <c r="O487" s="15" t="n">
        <v>10.803</v>
      </c>
      <c r="P487" s="15" t="n">
        <v>-8.957000000000001</v>
      </c>
      <c r="Q487" s="15" t="n">
        <v>-10.106</v>
      </c>
      <c r="R487" s="15" t="n">
        <v>3.207</v>
      </c>
      <c r="S487" s="15" t="n">
        <v>4.496</v>
      </c>
      <c r="T487" s="15" t="n">
        <v>5.637</v>
      </c>
      <c r="U487" s="15" t="n">
        <v>0.225</v>
      </c>
      <c r="V487" s="15" t="n">
        <v>34.875</v>
      </c>
      <c r="W487" s="15" t="n">
        <v>19.619</v>
      </c>
      <c r="X487" s="15" t="n">
        <v>17.717</v>
      </c>
      <c r="Y487" s="15" t="n">
        <v>27.336</v>
      </c>
      <c r="Z487" s="15" t="n">
        <v>19.255</v>
      </c>
      <c r="AA487" s="15" t="n">
        <v>10.406</v>
      </c>
      <c r="AB487" s="16" t="n">
        <v>1552</v>
      </c>
      <c r="AC487" s="17">
        <f>IF(AND(ISNUMBER(H487),ISNUMBER(I487)),H487+I487,IF(ISNUMBER(K487),K487,IF(ISNUMBER(H487),H487,"")))</f>
        <v/>
      </c>
      <c r="AD487" s="18">
        <f>IF(OR(NOT(ISNUMBER(J487)),NOT(ISNUMBER(H487)),H487&lt;=0),기준표!$B$8,MIN(MAX(J487/H487,기준표!$B$6),기준표!$B$7))</f>
        <v/>
      </c>
      <c r="AE487" s="17">
        <f>IF(ISNUMBER(AC487),AC487*(1-AD487),"")</f>
        <v/>
      </c>
      <c r="AF487" s="17">
        <f>IF(AND(NOT(ISNUMBER(T487)),NOT(ISNUMBER(V487))),"",IF(ISNUMBER(T487),T487,0)+IF(ISNUMBER(V487),V487,0))</f>
        <v/>
      </c>
      <c r="AG487" s="17">
        <f>IF(E487="금융","",IF(AND(ISNUMBER(P487),ISNUMBER(AF487),ISNUMBER(R487)),P487+AF487-R487,""))</f>
        <v/>
      </c>
      <c r="AH487" s="17">
        <f>IF(E487="금융","",IF(NOT(ISNUMBER(AG487)),"",IF(ISNUMBER(AA487),(AG487+AA487)/2,AG487)))</f>
        <v/>
      </c>
      <c r="AI487" s="19">
        <f>IF(AND(ISNUMBER(AE487),ISNUMBER(AH487),AH487&gt;0),AE487/AH487,"")</f>
        <v/>
      </c>
      <c r="AJ487" s="17">
        <f>IF(E487="금융","",IF(AND(ISNUMBER(P487),ISNUMBER(AF487)),P487+AF487,""))</f>
        <v/>
      </c>
      <c r="AK487" s="19">
        <f>IF(OR(NOT(ISNUMBER(AE487)),NOT(ISNUMBER(AJ487)),AJ487&lt;=0),"",IF(AND(ISNUMBER(G487),AJ487&lt;0.1*G487),"",AE487/AJ487))</f>
        <v/>
      </c>
      <c r="AL487" s="17">
        <f>IF(NOT(ISNUMBER(P487)),"",IF(ISNUMBER(Q487),(P487+Q487)/2,P487))</f>
        <v/>
      </c>
      <c r="AM487" s="19">
        <f>IF(AND(ISNUMBER(L487),ISNUMBER(AL487),AL487&gt;0),L487/AL487,"")</f>
        <v/>
      </c>
      <c r="AN487" s="19">
        <f>IF(AND(ISNUMBER(AM487),ISNUMBER({ROIC})),AM487-{ROIC},"")</f>
        <v/>
      </c>
      <c r="AO487" s="17">
        <f>IF(AND(ISNUMBER(AC487),ISNUMBER(M487)),AC487+M487,"")</f>
        <v/>
      </c>
      <c r="AP487" s="20">
        <f>IF(AND(ISNUMBER(AF487),ISNUMBER(R487),ISNUMBER(AO487),AO487&gt;0),(AF487-R487)/AO487,"")</f>
        <v/>
      </c>
      <c r="AQ487" s="20">
        <f>IF(AND(ISNUMBER(AC487),ISNUMBER(I487),I487&lt;&gt;0,AC487&gt;0),AC487/I487,"")</f>
        <v/>
      </c>
      <c r="AR487" s="17">
        <f>IF(AND(ISNUMBER(W487),ISNUMBER(Y487)),W487-IF(ISNUMBER(R487),R487,0)-(Y487-IF(ISNUMBER(T487),T487,0)),"")</f>
        <v/>
      </c>
      <c r="AS487" s="17">
        <f>IF(AND(ISNUMBER(X487),ISNUMBER(Z487)),X487-IF(ISNUMBER(S487),S487,0)-(Z487-IF(ISNUMBER(U487),U487,0)),"")</f>
        <v/>
      </c>
      <c r="AT487" s="17">
        <f>IF(AND(ISNUMBER(AR487),ISNUMBER(AS487)),AR487-AS487,"")</f>
        <v/>
      </c>
      <c r="AU487" s="17">
        <f>IF(E487="금융","",IF(AND(ISNUMBER(L487),ISNUMBER(M487),ISNUMBER(N487),ISNUMBER(AT487)),L487+M487-N487-AT487,IF(AND(ISNUMBER(O487),ISNUMBER(N487)),O487-N487,"")))</f>
        <v/>
      </c>
      <c r="AV487" s="8">
        <f>IF(E487="금융","금융업 - 정의되지 않음",IF(AND(ISNUMBER(L487),ISNUMBER(M487),ISNUMBER(N487),ISNUMBER(AT487)),"순이익+감가상각-설비투자-운전자본증감",IF(AND(ISNUMBER(O487),ISNUMBER(N487)),"영업현금흐름-설비투자","산출불가")))</f>
        <v/>
      </c>
      <c r="AW487" s="19">
        <f>IF(AND(ISNUMBER(AU487),ISNUMBER(G487),G487&lt;&gt;0),AU487/G487,"")</f>
        <v/>
      </c>
      <c r="AX487" s="19">
        <f>IF(AND(ISNUMBER(AC487),ISNUMBER(G487),G487&lt;&gt;0),AC487/G487,"")</f>
        <v/>
      </c>
    </row>
    <row r="488">
      <c r="A488" s="8" t="inlineStr">
        <is>
          <t>PM</t>
        </is>
      </c>
      <c r="B488" s="8" t="inlineStr">
        <is>
          <t>Philip Morris International Inc.</t>
        </is>
      </c>
      <c r="C488" s="8" t="n">
        <v>2023</v>
      </c>
      <c r="D488" s="8" t="inlineStr">
        <is>
          <t>2023-12-31</t>
        </is>
      </c>
      <c r="E488" s="8" t="inlineStr">
        <is>
          <t>일반</t>
        </is>
      </c>
      <c r="F488" s="8" t="inlineStr">
        <is>
          <t>0001628280-26-005939</t>
        </is>
      </c>
      <c r="G488" s="15" t="n">
        <v>35.174</v>
      </c>
      <c r="H488" s="15" t="n">
        <v>10.45</v>
      </c>
      <c r="I488" s="15" t="n">
        <v>1.526</v>
      </c>
      <c r="J488" s="15" t="n">
        <v>2.339</v>
      </c>
      <c r="K488" s="15" t="n">
        <v>11.556</v>
      </c>
      <c r="L488" s="15" t="n">
        <v>7.813</v>
      </c>
      <c r="M488" s="15" t="n">
        <v>0.901</v>
      </c>
      <c r="N488" s="15" t="n">
        <v>1.321</v>
      </c>
      <c r="O488" s="15" t="n">
        <v>9.204000000000001</v>
      </c>
      <c r="P488" s="15" t="n">
        <v>-11.225</v>
      </c>
      <c r="Q488" s="15" t="n">
        <v>-8.957000000000001</v>
      </c>
      <c r="R488" s="15" t="n">
        <v>3.06</v>
      </c>
      <c r="S488" s="15" t="n">
        <v>3.207</v>
      </c>
      <c r="T488" s="15" t="n">
        <v>1.968</v>
      </c>
      <c r="U488" s="15" t="n">
        <v>5.637</v>
      </c>
      <c r="V488" s="15" t="n">
        <v>41.243</v>
      </c>
      <c r="W488" s="15" t="n">
        <v>19.755</v>
      </c>
      <c r="X488" s="15" t="n">
        <v>19.619</v>
      </c>
      <c r="Y488" s="15" t="n">
        <v>26.383</v>
      </c>
      <c r="Z488" s="15" t="n">
        <v>27.336</v>
      </c>
      <c r="AA488" s="15" t="n">
        <v>28.348</v>
      </c>
      <c r="AB488" s="16" t="n">
        <v>1553</v>
      </c>
      <c r="AC488" s="17">
        <f>IF(AND(ISNUMBER(H488),ISNUMBER(I488)),H488+I488,IF(ISNUMBER(K488),K488,IF(ISNUMBER(H488),H488,"")))</f>
        <v/>
      </c>
      <c r="AD488" s="18">
        <f>IF(OR(NOT(ISNUMBER(J488)),NOT(ISNUMBER(H488)),H488&lt;=0),기준표!$B$8,MIN(MAX(J488/H488,기준표!$B$6),기준표!$B$7))</f>
        <v/>
      </c>
      <c r="AE488" s="17">
        <f>IF(ISNUMBER(AC488),AC488*(1-AD488),"")</f>
        <v/>
      </c>
      <c r="AF488" s="17">
        <f>IF(AND(NOT(ISNUMBER(T488)),NOT(ISNUMBER(V488))),"",IF(ISNUMBER(T488),T488,0)+IF(ISNUMBER(V488),V488,0))</f>
        <v/>
      </c>
      <c r="AG488" s="17">
        <f>IF(E488="금융","",IF(AND(ISNUMBER(P488),ISNUMBER(AF488),ISNUMBER(R488)),P488+AF488-R488,""))</f>
        <v/>
      </c>
      <c r="AH488" s="17">
        <f>IF(E488="금융","",IF(NOT(ISNUMBER(AG488)),"",IF(ISNUMBER(AA488),(AG488+AA488)/2,AG488)))</f>
        <v/>
      </c>
      <c r="AI488" s="19">
        <f>IF(AND(ISNUMBER(AE488),ISNUMBER(AH488),AH488&gt;0),AE488/AH488,"")</f>
        <v/>
      </c>
      <c r="AJ488" s="17">
        <f>IF(E488="금융","",IF(AND(ISNUMBER(P488),ISNUMBER(AF488)),P488+AF488,""))</f>
        <v/>
      </c>
      <c r="AK488" s="19">
        <f>IF(OR(NOT(ISNUMBER(AE488)),NOT(ISNUMBER(AJ488)),AJ488&lt;=0),"",IF(AND(ISNUMBER(G488),AJ488&lt;0.1*G488),"",AE488/AJ488))</f>
        <v/>
      </c>
      <c r="AL488" s="17">
        <f>IF(NOT(ISNUMBER(P488)),"",IF(ISNUMBER(Q488),(P488+Q488)/2,P488))</f>
        <v/>
      </c>
      <c r="AM488" s="19">
        <f>IF(AND(ISNUMBER(L488),ISNUMBER(AL488),AL488&gt;0),L488/AL488,"")</f>
        <v/>
      </c>
      <c r="AN488" s="19">
        <f>IF(AND(ISNUMBER(AM488),ISNUMBER({ROIC})),AM488-{ROIC},"")</f>
        <v/>
      </c>
      <c r="AO488" s="17">
        <f>IF(AND(ISNUMBER(AC488),ISNUMBER(M488)),AC488+M488,"")</f>
        <v/>
      </c>
      <c r="AP488" s="20">
        <f>IF(AND(ISNUMBER(AF488),ISNUMBER(R488),ISNUMBER(AO488),AO488&gt;0),(AF488-R488)/AO488,"")</f>
        <v/>
      </c>
      <c r="AQ488" s="20">
        <f>IF(AND(ISNUMBER(AC488),ISNUMBER(I488),I488&lt;&gt;0,AC488&gt;0),AC488/I488,"")</f>
        <v/>
      </c>
      <c r="AR488" s="17">
        <f>IF(AND(ISNUMBER(W488),ISNUMBER(Y488)),W488-IF(ISNUMBER(R488),R488,0)-(Y488-IF(ISNUMBER(T488),T488,0)),"")</f>
        <v/>
      </c>
      <c r="AS488" s="17">
        <f>IF(AND(ISNUMBER(X488),ISNUMBER(Z488)),X488-IF(ISNUMBER(S488),S488,0)-(Z488-IF(ISNUMBER(U488),U488,0)),"")</f>
        <v/>
      </c>
      <c r="AT488" s="17">
        <f>IF(AND(ISNUMBER(AR488),ISNUMBER(AS488)),AR488-AS488,"")</f>
        <v/>
      </c>
      <c r="AU488" s="17">
        <f>IF(E488="금융","",IF(AND(ISNUMBER(L488),ISNUMBER(M488),ISNUMBER(N488),ISNUMBER(AT488)),L488+M488-N488-AT488,IF(AND(ISNUMBER(O488),ISNUMBER(N488)),O488-N488,"")))</f>
        <v/>
      </c>
      <c r="AV488" s="8">
        <f>IF(E488="금융","금융업 - 정의되지 않음",IF(AND(ISNUMBER(L488),ISNUMBER(M488),ISNUMBER(N488),ISNUMBER(AT488)),"순이익+감가상각-설비투자-운전자본증감",IF(AND(ISNUMBER(O488),ISNUMBER(N488)),"영업현금흐름-설비투자","산출불가")))</f>
        <v/>
      </c>
      <c r="AW488" s="19">
        <f>IF(AND(ISNUMBER(AU488),ISNUMBER(G488),G488&lt;&gt;0),AU488/G488,"")</f>
        <v/>
      </c>
      <c r="AX488" s="19">
        <f>IF(AND(ISNUMBER(AC488),ISNUMBER(G488),G488&lt;&gt;0),AC488/G488,"")</f>
        <v/>
      </c>
    </row>
    <row r="489">
      <c r="A489" s="8" t="inlineStr">
        <is>
          <t>PM</t>
        </is>
      </c>
      <c r="B489" s="8" t="inlineStr">
        <is>
          <t>Philip Morris International Inc.</t>
        </is>
      </c>
      <c r="C489" s="8" t="n">
        <v>2024</v>
      </c>
      <c r="D489" s="8" t="inlineStr">
        <is>
          <t>2024-12-31</t>
        </is>
      </c>
      <c r="E489" s="8" t="inlineStr">
        <is>
          <t>일반</t>
        </is>
      </c>
      <c r="F489" s="8" t="inlineStr">
        <is>
          <t>0001628280-26-005939</t>
        </is>
      </c>
      <c r="G489" s="15" t="n">
        <v>37.878</v>
      </c>
      <c r="H489" s="15" t="n">
        <v>12.199</v>
      </c>
      <c r="I489" s="15" t="n">
        <v>1.763</v>
      </c>
      <c r="J489" s="15" t="n">
        <v>3.017</v>
      </c>
      <c r="K489" s="15" t="n">
        <v>13.402</v>
      </c>
      <c r="L489" s="15" t="n">
        <v>7.057</v>
      </c>
      <c r="M489" s="15" t="n">
        <v>0.952</v>
      </c>
      <c r="N489" s="15" t="n">
        <v>1.444</v>
      </c>
      <c r="O489" s="15" t="n">
        <v>12.217</v>
      </c>
      <c r="P489" s="15" t="n">
        <v>-11.75</v>
      </c>
      <c r="Q489" s="15" t="n">
        <v>-11.225</v>
      </c>
      <c r="R489" s="15" t="n">
        <v>4.216</v>
      </c>
      <c r="S489" s="15" t="n">
        <v>3.06</v>
      </c>
      <c r="T489" s="15" t="n">
        <v>0.137</v>
      </c>
      <c r="U489" s="15" t="n">
        <v>1.968</v>
      </c>
      <c r="V489" s="15" t="n">
        <v>42.166</v>
      </c>
      <c r="W489" s="15" t="n">
        <v>20.17</v>
      </c>
      <c r="X489" s="15" t="n">
        <v>19.755</v>
      </c>
      <c r="Y489" s="15" t="n">
        <v>22.915</v>
      </c>
      <c r="Z489" s="15" t="n">
        <v>26.383</v>
      </c>
      <c r="AA489" s="15" t="n">
        <v>28.926</v>
      </c>
      <c r="AB489" s="16" t="n">
        <v>1556</v>
      </c>
      <c r="AC489" s="17">
        <f>IF(AND(ISNUMBER(H489),ISNUMBER(I489)),H489+I489,IF(ISNUMBER(K489),K489,IF(ISNUMBER(H489),H489,"")))</f>
        <v/>
      </c>
      <c r="AD489" s="18">
        <f>IF(OR(NOT(ISNUMBER(J489)),NOT(ISNUMBER(H489)),H489&lt;=0),기준표!$B$8,MIN(MAX(J489/H489,기준표!$B$6),기준표!$B$7))</f>
        <v/>
      </c>
      <c r="AE489" s="17">
        <f>IF(ISNUMBER(AC489),AC489*(1-AD489),"")</f>
        <v/>
      </c>
      <c r="AF489" s="17">
        <f>IF(AND(NOT(ISNUMBER(T489)),NOT(ISNUMBER(V489))),"",IF(ISNUMBER(T489),T489,0)+IF(ISNUMBER(V489),V489,0))</f>
        <v/>
      </c>
      <c r="AG489" s="17">
        <f>IF(E489="금융","",IF(AND(ISNUMBER(P489),ISNUMBER(AF489),ISNUMBER(R489)),P489+AF489-R489,""))</f>
        <v/>
      </c>
      <c r="AH489" s="17">
        <f>IF(E489="금융","",IF(NOT(ISNUMBER(AG489)),"",IF(ISNUMBER(AA489),(AG489+AA489)/2,AG489)))</f>
        <v/>
      </c>
      <c r="AI489" s="19">
        <f>IF(AND(ISNUMBER(AE489),ISNUMBER(AH489),AH489&gt;0),AE489/AH489,"")</f>
        <v/>
      </c>
      <c r="AJ489" s="17">
        <f>IF(E489="금융","",IF(AND(ISNUMBER(P489),ISNUMBER(AF489)),P489+AF489,""))</f>
        <v/>
      </c>
      <c r="AK489" s="19">
        <f>IF(OR(NOT(ISNUMBER(AE489)),NOT(ISNUMBER(AJ489)),AJ489&lt;=0),"",IF(AND(ISNUMBER(G489),AJ489&lt;0.1*G489),"",AE489/AJ489))</f>
        <v/>
      </c>
      <c r="AL489" s="17">
        <f>IF(NOT(ISNUMBER(P489)),"",IF(ISNUMBER(Q489),(P489+Q489)/2,P489))</f>
        <v/>
      </c>
      <c r="AM489" s="19">
        <f>IF(AND(ISNUMBER(L489),ISNUMBER(AL489),AL489&gt;0),L489/AL489,"")</f>
        <v/>
      </c>
      <c r="AN489" s="19">
        <f>IF(AND(ISNUMBER(AM489),ISNUMBER({ROIC})),AM489-{ROIC},"")</f>
        <v/>
      </c>
      <c r="AO489" s="17">
        <f>IF(AND(ISNUMBER(AC489),ISNUMBER(M489)),AC489+M489,"")</f>
        <v/>
      </c>
      <c r="AP489" s="20">
        <f>IF(AND(ISNUMBER(AF489),ISNUMBER(R489),ISNUMBER(AO489),AO489&gt;0),(AF489-R489)/AO489,"")</f>
        <v/>
      </c>
      <c r="AQ489" s="20">
        <f>IF(AND(ISNUMBER(AC489),ISNUMBER(I489),I489&lt;&gt;0,AC489&gt;0),AC489/I489,"")</f>
        <v/>
      </c>
      <c r="AR489" s="17">
        <f>IF(AND(ISNUMBER(W489),ISNUMBER(Y489)),W489-IF(ISNUMBER(R489),R489,0)-(Y489-IF(ISNUMBER(T489),T489,0)),"")</f>
        <v/>
      </c>
      <c r="AS489" s="17">
        <f>IF(AND(ISNUMBER(X489),ISNUMBER(Z489)),X489-IF(ISNUMBER(S489),S489,0)-(Z489-IF(ISNUMBER(U489),U489,0)),"")</f>
        <v/>
      </c>
      <c r="AT489" s="17">
        <f>IF(AND(ISNUMBER(AR489),ISNUMBER(AS489)),AR489-AS489,"")</f>
        <v/>
      </c>
      <c r="AU489" s="17">
        <f>IF(E489="금융","",IF(AND(ISNUMBER(L489),ISNUMBER(M489),ISNUMBER(N489),ISNUMBER(AT489)),L489+M489-N489-AT489,IF(AND(ISNUMBER(O489),ISNUMBER(N489)),O489-N489,"")))</f>
        <v/>
      </c>
      <c r="AV489" s="8">
        <f>IF(E489="금융","금융업 - 정의되지 않음",IF(AND(ISNUMBER(L489),ISNUMBER(M489),ISNUMBER(N489),ISNUMBER(AT489)),"순이익+감가상각-설비투자-운전자본증감",IF(AND(ISNUMBER(O489),ISNUMBER(N489)),"영업현금흐름-설비투자","산출불가")))</f>
        <v/>
      </c>
      <c r="AW489" s="19">
        <f>IF(AND(ISNUMBER(AU489),ISNUMBER(G489),G489&lt;&gt;0),AU489/G489,"")</f>
        <v/>
      </c>
      <c r="AX489" s="19">
        <f>IF(AND(ISNUMBER(AC489),ISNUMBER(G489),G489&lt;&gt;0),AC489/G489,"")</f>
        <v/>
      </c>
    </row>
    <row r="490">
      <c r="A490" s="8" t="inlineStr">
        <is>
          <t>PM</t>
        </is>
      </c>
      <c r="B490" s="8" t="inlineStr">
        <is>
          <t>Philip Morris International Inc.</t>
        </is>
      </c>
      <c r="C490" s="8" t="n">
        <v>2025</v>
      </c>
      <c r="D490" s="8" t="inlineStr">
        <is>
          <t>2025-12-31</t>
        </is>
      </c>
      <c r="E490" s="8" t="inlineStr">
        <is>
          <t>일반</t>
        </is>
      </c>
      <c r="F490" s="8" t="inlineStr">
        <is>
          <t>0001628280-26-005939</t>
        </is>
      </c>
      <c r="G490" s="15" t="n">
        <v>40.648</v>
      </c>
      <c r="H490" s="15" t="n">
        <v>13.88</v>
      </c>
      <c r="I490" s="15" t="n">
        <v>1.587</v>
      </c>
      <c r="J490" s="15" t="n">
        <v>2.737</v>
      </c>
      <c r="K490" s="15" t="n">
        <v>14.892</v>
      </c>
      <c r="L490" s="15" t="n">
        <v>11.348</v>
      </c>
      <c r="M490" s="15" t="n">
        <v>0.993</v>
      </c>
      <c r="N490" s="15" t="n">
        <v>1.569</v>
      </c>
      <c r="O490" s="15" t="n">
        <v>12.233</v>
      </c>
      <c r="P490" s="15" t="n">
        <v>-9.994</v>
      </c>
      <c r="Q490" s="15" t="n">
        <v>-11.75</v>
      </c>
      <c r="R490" s="15" t="n">
        <v>4.872</v>
      </c>
      <c r="S490" s="15" t="n">
        <v>4.216</v>
      </c>
      <c r="T490" s="15" t="n">
        <v>0.168</v>
      </c>
      <c r="U490" s="15" t="n">
        <v>0.137</v>
      </c>
      <c r="V490" s="15" t="n">
        <v>45.134</v>
      </c>
      <c r="W490" s="15" t="n">
        <v>24.363</v>
      </c>
      <c r="X490" s="15" t="n">
        <v>20.17</v>
      </c>
      <c r="Y490" s="15" t="n">
        <v>25.427</v>
      </c>
      <c r="Z490" s="15" t="n">
        <v>22.915</v>
      </c>
      <c r="AA490" s="15" t="n">
        <v>26.337</v>
      </c>
      <c r="AB490" s="16" t="n">
        <v>1558</v>
      </c>
      <c r="AC490" s="17">
        <f>IF(AND(ISNUMBER(H490),ISNUMBER(I490)),H490+I490,IF(ISNUMBER(K490),K490,IF(ISNUMBER(H490),H490,"")))</f>
        <v/>
      </c>
      <c r="AD490" s="18">
        <f>IF(OR(NOT(ISNUMBER(J490)),NOT(ISNUMBER(H490)),H490&lt;=0),기준표!$B$8,MIN(MAX(J490/H490,기준표!$B$6),기준표!$B$7))</f>
        <v/>
      </c>
      <c r="AE490" s="17">
        <f>IF(ISNUMBER(AC490),AC490*(1-AD490),"")</f>
        <v/>
      </c>
      <c r="AF490" s="17">
        <f>IF(AND(NOT(ISNUMBER(T490)),NOT(ISNUMBER(V490))),"",IF(ISNUMBER(T490),T490,0)+IF(ISNUMBER(V490),V490,0))</f>
        <v/>
      </c>
      <c r="AG490" s="17">
        <f>IF(E490="금융","",IF(AND(ISNUMBER(P490),ISNUMBER(AF490),ISNUMBER(R490)),P490+AF490-R490,""))</f>
        <v/>
      </c>
      <c r="AH490" s="17">
        <f>IF(E490="금융","",IF(NOT(ISNUMBER(AG490)),"",IF(ISNUMBER(AA490),(AG490+AA490)/2,AG490)))</f>
        <v/>
      </c>
      <c r="AI490" s="19">
        <f>IF(AND(ISNUMBER(AE490),ISNUMBER(AH490),AH490&gt;0),AE490/AH490,"")</f>
        <v/>
      </c>
      <c r="AJ490" s="17">
        <f>IF(E490="금융","",IF(AND(ISNUMBER(P490),ISNUMBER(AF490)),P490+AF490,""))</f>
        <v/>
      </c>
      <c r="AK490" s="19">
        <f>IF(OR(NOT(ISNUMBER(AE490)),NOT(ISNUMBER(AJ490)),AJ490&lt;=0),"",IF(AND(ISNUMBER(G490),AJ490&lt;0.1*G490),"",AE490/AJ490))</f>
        <v/>
      </c>
      <c r="AL490" s="17">
        <f>IF(NOT(ISNUMBER(P490)),"",IF(ISNUMBER(Q490),(P490+Q490)/2,P490))</f>
        <v/>
      </c>
      <c r="AM490" s="19">
        <f>IF(AND(ISNUMBER(L490),ISNUMBER(AL490),AL490&gt;0),L490/AL490,"")</f>
        <v/>
      </c>
      <c r="AN490" s="19">
        <f>IF(AND(ISNUMBER(AM490),ISNUMBER({ROIC})),AM490-{ROIC},"")</f>
        <v/>
      </c>
      <c r="AO490" s="17">
        <f>IF(AND(ISNUMBER(AC490),ISNUMBER(M490)),AC490+M490,"")</f>
        <v/>
      </c>
      <c r="AP490" s="20">
        <f>IF(AND(ISNUMBER(AF490),ISNUMBER(R490),ISNUMBER(AO490),AO490&gt;0),(AF490-R490)/AO490,"")</f>
        <v/>
      </c>
      <c r="AQ490" s="20">
        <f>IF(AND(ISNUMBER(AC490),ISNUMBER(I490),I490&lt;&gt;0,AC490&gt;0),AC490/I490,"")</f>
        <v/>
      </c>
      <c r="AR490" s="17">
        <f>IF(AND(ISNUMBER(W490),ISNUMBER(Y490)),W490-IF(ISNUMBER(R490),R490,0)-(Y490-IF(ISNUMBER(T490),T490,0)),"")</f>
        <v/>
      </c>
      <c r="AS490" s="17">
        <f>IF(AND(ISNUMBER(X490),ISNUMBER(Z490)),X490-IF(ISNUMBER(S490),S490,0)-(Z490-IF(ISNUMBER(U490),U490,0)),"")</f>
        <v/>
      </c>
      <c r="AT490" s="17">
        <f>IF(AND(ISNUMBER(AR490),ISNUMBER(AS490)),AR490-AS490,"")</f>
        <v/>
      </c>
      <c r="AU490" s="17">
        <f>IF(E490="금융","",IF(AND(ISNUMBER(L490),ISNUMBER(M490),ISNUMBER(N490),ISNUMBER(AT490)),L490+M490-N490-AT490,IF(AND(ISNUMBER(O490),ISNUMBER(N490)),O490-N490,"")))</f>
        <v/>
      </c>
      <c r="AV490" s="8">
        <f>IF(E490="금융","금융업 - 정의되지 않음",IF(AND(ISNUMBER(L490),ISNUMBER(M490),ISNUMBER(N490),ISNUMBER(AT490)),"순이익+감가상각-설비투자-운전자본증감",IF(AND(ISNUMBER(O490),ISNUMBER(N490)),"영업현금흐름-설비투자","산출불가")))</f>
        <v/>
      </c>
      <c r="AW490" s="19">
        <f>IF(AND(ISNUMBER(AU490),ISNUMBER(G490),G490&lt;&gt;0),AU490/G490,"")</f>
        <v/>
      </c>
      <c r="AX490" s="19">
        <f>IF(AND(ISNUMBER(AC490),ISNUMBER(G490),G490&lt;&gt;0),AC490/G490,"")</f>
        <v/>
      </c>
    </row>
    <row r="491">
      <c r="A491" s="8" t="inlineStr">
        <is>
          <t>DELL</t>
        </is>
      </c>
      <c r="B491" s="8" t="inlineStr">
        <is>
          <t>Dell Technologies Inc.</t>
        </is>
      </c>
      <c r="C491" s="8" t="n">
        <v>2014</v>
      </c>
      <c r="D491" s="8" t="inlineStr">
        <is>
          <t>2015-01-30</t>
        </is>
      </c>
      <c r="E491" s="8" t="inlineStr">
        <is>
          <t>일반</t>
        </is>
      </c>
      <c r="F491" s="8" t="inlineStr">
        <is>
          <t>0001571996-17-000004</t>
        </is>
      </c>
      <c r="G491" s="15" t="n"/>
      <c r="H491" s="15" t="n">
        <v>-1.215</v>
      </c>
      <c r="I491" s="15" t="n"/>
      <c r="J491" s="15" t="n">
        <v>-0.107</v>
      </c>
      <c r="K491" s="15" t="n">
        <v>-0.316</v>
      </c>
      <c r="L491" s="15" t="n">
        <v>-1.221</v>
      </c>
      <c r="M491" s="15" t="n">
        <v>2.977</v>
      </c>
      <c r="N491" s="15" t="n">
        <v>0.478</v>
      </c>
      <c r="O491" s="15" t="n">
        <v>2.551</v>
      </c>
      <c r="P491" s="15" t="n"/>
      <c r="Q491" s="15" t="n"/>
      <c r="R491" s="15" t="n">
        <v>5.398</v>
      </c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6" t="n"/>
      <c r="AC491" s="17">
        <f>IF(AND(ISNUMBER(H491),ISNUMBER(I491)),H491+I491,IF(ISNUMBER(K491),K491,IF(ISNUMBER(H491),H491,"")))</f>
        <v/>
      </c>
      <c r="AD491" s="18">
        <f>IF(OR(NOT(ISNUMBER(J491)),NOT(ISNUMBER(H491)),H491&lt;=0),기준표!$B$8,MIN(MAX(J491/H491,기준표!$B$6),기준표!$B$7))</f>
        <v/>
      </c>
      <c r="AE491" s="17">
        <f>IF(ISNUMBER(AC491),AC491*(1-AD491),"")</f>
        <v/>
      </c>
      <c r="AF491" s="17">
        <f>IF(AND(NOT(ISNUMBER(T491)),NOT(ISNUMBER(V491))),"",IF(ISNUMBER(T491),T491,0)+IF(ISNUMBER(V491),V491,0))</f>
        <v/>
      </c>
      <c r="AG491" s="17">
        <f>IF(E491="금융","",IF(AND(ISNUMBER(P491),ISNUMBER(AF491),ISNUMBER(R491)),P491+AF491-R491,""))</f>
        <v/>
      </c>
      <c r="AH491" s="17">
        <f>IF(E491="금융","",IF(NOT(ISNUMBER(AG491)),"",IF(ISNUMBER(AA491),(AG491+AA491)/2,AG491)))</f>
        <v/>
      </c>
      <c r="AI491" s="19">
        <f>IF(AND(ISNUMBER(AE491),ISNUMBER(AH491),AH491&gt;0),AE491/AH491,"")</f>
        <v/>
      </c>
      <c r="AJ491" s="17">
        <f>IF(E491="금융","",IF(AND(ISNUMBER(P491),ISNUMBER(AF491)),P491+AF491,""))</f>
        <v/>
      </c>
      <c r="AK491" s="19">
        <f>IF(OR(NOT(ISNUMBER(AE491)),NOT(ISNUMBER(AJ491)),AJ491&lt;=0),"",IF(AND(ISNUMBER(G491),AJ491&lt;0.1*G491),"",AE491/AJ491))</f>
        <v/>
      </c>
      <c r="AL491" s="17">
        <f>IF(NOT(ISNUMBER(P491)),"",IF(ISNUMBER(Q491),(P491+Q491)/2,P491))</f>
        <v/>
      </c>
      <c r="AM491" s="19">
        <f>IF(AND(ISNUMBER(L491),ISNUMBER(AL491),AL491&gt;0),L491/AL491,"")</f>
        <v/>
      </c>
      <c r="AN491" s="19">
        <f>IF(AND(ISNUMBER(AM491),ISNUMBER({ROIC})),AM491-{ROIC},"")</f>
        <v/>
      </c>
      <c r="AO491" s="17">
        <f>IF(AND(ISNUMBER(AC491),ISNUMBER(M491)),AC491+M491,"")</f>
        <v/>
      </c>
      <c r="AP491" s="20">
        <f>IF(AND(ISNUMBER(AF491),ISNUMBER(R491),ISNUMBER(AO491),AO491&gt;0),(AF491-R491)/AO491,"")</f>
        <v/>
      </c>
      <c r="AQ491" s="20">
        <f>IF(AND(ISNUMBER(AC491),ISNUMBER(I491),I491&lt;&gt;0,AC491&gt;0),AC491/I491,"")</f>
        <v/>
      </c>
      <c r="AR491" s="17">
        <f>IF(AND(ISNUMBER(W491),ISNUMBER(Y491)),W491-IF(ISNUMBER(R491),R491,0)-(Y491-IF(ISNUMBER(T491),T491,0)),"")</f>
        <v/>
      </c>
      <c r="AS491" s="17">
        <f>IF(AND(ISNUMBER(X491),ISNUMBER(Z491)),X491-IF(ISNUMBER(S491),S491,0)-(Z491-IF(ISNUMBER(U491),U491,0)),"")</f>
        <v/>
      </c>
      <c r="AT491" s="17">
        <f>IF(AND(ISNUMBER(AR491),ISNUMBER(AS491)),AR491-AS491,"")</f>
        <v/>
      </c>
      <c r="AU491" s="17">
        <f>IF(E491="금융","",IF(AND(ISNUMBER(L491),ISNUMBER(M491),ISNUMBER(N491),ISNUMBER(AT491)),L491+M491-N491-AT491,IF(AND(ISNUMBER(O491),ISNUMBER(N491)),O491-N491,"")))</f>
        <v/>
      </c>
      <c r="AV491" s="8">
        <f>IF(E491="금융","금융업 - 정의되지 않음",IF(AND(ISNUMBER(L491),ISNUMBER(M491),ISNUMBER(N491),ISNUMBER(AT491)),"순이익+감가상각-설비투자-운전자본증감",IF(AND(ISNUMBER(O491),ISNUMBER(N491)),"영업현금흐름-설비투자","산출불가")))</f>
        <v/>
      </c>
      <c r="AW491" s="19">
        <f>IF(AND(ISNUMBER(AU491),ISNUMBER(G491),G491&lt;&gt;0),AU491/G491,"")</f>
        <v/>
      </c>
      <c r="AX491" s="19">
        <f>IF(AND(ISNUMBER(AC491),ISNUMBER(G491),G491&lt;&gt;0),AC491/G491,"")</f>
        <v/>
      </c>
    </row>
    <row r="492">
      <c r="A492" s="8" t="inlineStr">
        <is>
          <t>DELL</t>
        </is>
      </c>
      <c r="B492" s="8" t="inlineStr">
        <is>
          <t>Dell Technologies Inc.</t>
        </is>
      </c>
      <c r="C492" s="8" t="n">
        <v>2015</v>
      </c>
      <c r="D492" s="8" t="inlineStr">
        <is>
          <t>2016-01-29</t>
        </is>
      </c>
      <c r="E492" s="8" t="inlineStr">
        <is>
          <t>일반</t>
        </is>
      </c>
      <c r="F492" s="8" t="inlineStr">
        <is>
          <t>0001571996-18-000004</t>
        </is>
      </c>
      <c r="G492" s="15" t="n"/>
      <c r="H492" s="15" t="n">
        <v>-1.286</v>
      </c>
      <c r="I492" s="15" t="n"/>
      <c r="J492" s="15" t="n">
        <v>-0.118</v>
      </c>
      <c r="K492" s="15" t="n">
        <v>-0.514</v>
      </c>
      <c r="L492" s="15" t="n">
        <v>-1.104</v>
      </c>
      <c r="M492" s="15" t="n">
        <v>2.872</v>
      </c>
      <c r="N492" s="15" t="n">
        <v>0.482</v>
      </c>
      <c r="O492" s="15" t="n">
        <v>2.162</v>
      </c>
      <c r="P492" s="15" t="n">
        <v>1.466</v>
      </c>
      <c r="Q492" s="15" t="n"/>
      <c r="R492" s="15" t="n">
        <v>6.322</v>
      </c>
      <c r="S492" s="15" t="n">
        <v>5.398</v>
      </c>
      <c r="T492" s="15" t="n">
        <v>2.981</v>
      </c>
      <c r="U492" s="15" t="n"/>
      <c r="V492" s="15" t="n">
        <v>10.65</v>
      </c>
      <c r="W492" s="15" t="n">
        <v>23.573</v>
      </c>
      <c r="X492" s="15" t="n"/>
      <c r="Y492" s="15" t="n">
        <v>25.31</v>
      </c>
      <c r="Z492" s="15" t="n"/>
      <c r="AA492" s="15" t="n"/>
      <c r="AB492" s="16" t="n">
        <v>405</v>
      </c>
      <c r="AC492" s="17">
        <f>IF(AND(ISNUMBER(H492),ISNUMBER(I492)),H492+I492,IF(ISNUMBER(K492),K492,IF(ISNUMBER(H492),H492,"")))</f>
        <v/>
      </c>
      <c r="AD492" s="18">
        <f>IF(OR(NOT(ISNUMBER(J492)),NOT(ISNUMBER(H492)),H492&lt;=0),기준표!$B$8,MIN(MAX(J492/H492,기준표!$B$6),기준표!$B$7))</f>
        <v/>
      </c>
      <c r="AE492" s="17">
        <f>IF(ISNUMBER(AC492),AC492*(1-AD492),"")</f>
        <v/>
      </c>
      <c r="AF492" s="17">
        <f>IF(AND(NOT(ISNUMBER(T492)),NOT(ISNUMBER(V492))),"",IF(ISNUMBER(T492),T492,0)+IF(ISNUMBER(V492),V492,0))</f>
        <v/>
      </c>
      <c r="AG492" s="17">
        <f>IF(E492="금융","",IF(AND(ISNUMBER(P492),ISNUMBER(AF492),ISNUMBER(R492)),P492+AF492-R492,""))</f>
        <v/>
      </c>
      <c r="AH492" s="17">
        <f>IF(E492="금융","",IF(NOT(ISNUMBER(AG492)),"",IF(ISNUMBER(AA492),(AG492+AA492)/2,AG492)))</f>
        <v/>
      </c>
      <c r="AI492" s="19">
        <f>IF(AND(ISNUMBER(AE492),ISNUMBER(AH492),AH492&gt;0),AE492/AH492,"")</f>
        <v/>
      </c>
      <c r="AJ492" s="17">
        <f>IF(E492="금융","",IF(AND(ISNUMBER(P492),ISNUMBER(AF492)),P492+AF492,""))</f>
        <v/>
      </c>
      <c r="AK492" s="19">
        <f>IF(OR(NOT(ISNUMBER(AE492)),NOT(ISNUMBER(AJ492)),AJ492&lt;=0),"",IF(AND(ISNUMBER(G492),AJ492&lt;0.1*G492),"",AE492/AJ492))</f>
        <v/>
      </c>
      <c r="AL492" s="17">
        <f>IF(NOT(ISNUMBER(P492)),"",IF(ISNUMBER(Q492),(P492+Q492)/2,P492))</f>
        <v/>
      </c>
      <c r="AM492" s="19">
        <f>IF(AND(ISNUMBER(L492),ISNUMBER(AL492),AL492&gt;0),L492/AL492,"")</f>
        <v/>
      </c>
      <c r="AN492" s="19">
        <f>IF(AND(ISNUMBER(AM492),ISNUMBER({ROIC})),AM492-{ROIC},"")</f>
        <v/>
      </c>
      <c r="AO492" s="17">
        <f>IF(AND(ISNUMBER(AC492),ISNUMBER(M492)),AC492+M492,"")</f>
        <v/>
      </c>
      <c r="AP492" s="20">
        <f>IF(AND(ISNUMBER(AF492),ISNUMBER(R492),ISNUMBER(AO492),AO492&gt;0),(AF492-R492)/AO492,"")</f>
        <v/>
      </c>
      <c r="AQ492" s="20">
        <f>IF(AND(ISNUMBER(AC492),ISNUMBER(I492),I492&lt;&gt;0,AC492&gt;0),AC492/I492,"")</f>
        <v/>
      </c>
      <c r="AR492" s="17">
        <f>IF(AND(ISNUMBER(W492),ISNUMBER(Y492)),W492-IF(ISNUMBER(R492),R492,0)-(Y492-IF(ISNUMBER(T492),T492,0)),"")</f>
        <v/>
      </c>
      <c r="AS492" s="17">
        <f>IF(AND(ISNUMBER(X492),ISNUMBER(Z492)),X492-IF(ISNUMBER(S492),S492,0)-(Z492-IF(ISNUMBER(U492),U492,0)),"")</f>
        <v/>
      </c>
      <c r="AT492" s="17">
        <f>IF(AND(ISNUMBER(AR492),ISNUMBER(AS492)),AR492-AS492,"")</f>
        <v/>
      </c>
      <c r="AU492" s="17">
        <f>IF(E492="금융","",IF(AND(ISNUMBER(L492),ISNUMBER(M492),ISNUMBER(N492),ISNUMBER(AT492)),L492+M492-N492-AT492,IF(AND(ISNUMBER(O492),ISNUMBER(N492)),O492-N492,"")))</f>
        <v/>
      </c>
      <c r="AV492" s="8">
        <f>IF(E492="금융","금융업 - 정의되지 않음",IF(AND(ISNUMBER(L492),ISNUMBER(M492),ISNUMBER(N492),ISNUMBER(AT492)),"순이익+감가상각-설비투자-운전자본증감",IF(AND(ISNUMBER(O492),ISNUMBER(N492)),"영업현금흐름-설비투자","산출불가")))</f>
        <v/>
      </c>
      <c r="AW492" s="19">
        <f>IF(AND(ISNUMBER(AU492),ISNUMBER(G492),G492&lt;&gt;0),AU492/G492,"")</f>
        <v/>
      </c>
      <c r="AX492" s="19">
        <f>IF(AND(ISNUMBER(AC492),ISNUMBER(G492),G492&lt;&gt;0),AC492/G492,"")</f>
        <v/>
      </c>
    </row>
    <row r="493">
      <c r="A493" s="8" t="inlineStr">
        <is>
          <t>DELL</t>
        </is>
      </c>
      <c r="B493" s="8" t="inlineStr">
        <is>
          <t>Dell Technologies Inc.</t>
        </is>
      </c>
      <c r="C493" s="8" t="n">
        <v>2016</v>
      </c>
      <c r="D493" s="8" t="inlineStr">
        <is>
          <t>2017-02-03</t>
        </is>
      </c>
      <c r="E493" s="8" t="inlineStr">
        <is>
          <t>일반</t>
        </is>
      </c>
      <c r="F493" s="8" t="inlineStr">
        <is>
          <t>0001571996-19-000008</t>
        </is>
      </c>
      <c r="G493" s="15" t="n">
        <v>62.164</v>
      </c>
      <c r="H493" s="15" t="n">
        <v>-4.494</v>
      </c>
      <c r="I493" s="15" t="n"/>
      <c r="J493" s="15" t="n">
        <v>-1.42</v>
      </c>
      <c r="K493" s="15" t="n">
        <v>-2.39</v>
      </c>
      <c r="L493" s="15" t="n">
        <v>-1.167</v>
      </c>
      <c r="M493" s="15" t="n">
        <v>4.938</v>
      </c>
      <c r="N493" s="15" t="n">
        <v>0.699</v>
      </c>
      <c r="O493" s="15" t="n">
        <v>2.367</v>
      </c>
      <c r="P493" s="15" t="n">
        <v>13.243</v>
      </c>
      <c r="Q493" s="15" t="n">
        <v>1.466</v>
      </c>
      <c r="R493" s="15" t="n">
        <v>9.474</v>
      </c>
      <c r="S493" s="15" t="n">
        <v>6.322</v>
      </c>
      <c r="T493" s="15" t="n">
        <v>6.329</v>
      </c>
      <c r="U493" s="15" t="n">
        <v>2.981</v>
      </c>
      <c r="V493" s="15" t="n">
        <v>43.061</v>
      </c>
      <c r="W493" s="15" t="n">
        <v>30.773</v>
      </c>
      <c r="X493" s="15" t="n">
        <v>23.573</v>
      </c>
      <c r="Y493" s="15" t="n">
        <v>38.135</v>
      </c>
      <c r="Z493" s="15" t="n">
        <v>25.31</v>
      </c>
      <c r="AA493" s="15" t="n">
        <v>8.775</v>
      </c>
      <c r="AB493" s="16" t="n">
        <v>778</v>
      </c>
      <c r="AC493" s="17">
        <f>IF(AND(ISNUMBER(H493),ISNUMBER(I493)),H493+I493,IF(ISNUMBER(K493),K493,IF(ISNUMBER(H493),H493,"")))</f>
        <v/>
      </c>
      <c r="AD493" s="18">
        <f>IF(OR(NOT(ISNUMBER(J493)),NOT(ISNUMBER(H493)),H493&lt;=0),기준표!$B$8,MIN(MAX(J493/H493,기준표!$B$6),기준표!$B$7))</f>
        <v/>
      </c>
      <c r="AE493" s="17">
        <f>IF(ISNUMBER(AC493),AC493*(1-AD493),"")</f>
        <v/>
      </c>
      <c r="AF493" s="17">
        <f>IF(AND(NOT(ISNUMBER(T493)),NOT(ISNUMBER(V493))),"",IF(ISNUMBER(T493),T493,0)+IF(ISNUMBER(V493),V493,0))</f>
        <v/>
      </c>
      <c r="AG493" s="17">
        <f>IF(E493="금융","",IF(AND(ISNUMBER(P493),ISNUMBER(AF493),ISNUMBER(R493)),P493+AF493-R493,""))</f>
        <v/>
      </c>
      <c r="AH493" s="17">
        <f>IF(E493="금융","",IF(NOT(ISNUMBER(AG493)),"",IF(ISNUMBER(AA493),(AG493+AA493)/2,AG493)))</f>
        <v/>
      </c>
      <c r="AI493" s="19">
        <f>IF(AND(ISNUMBER(AE493),ISNUMBER(AH493),AH493&gt;0),AE493/AH493,"")</f>
        <v/>
      </c>
      <c r="AJ493" s="17">
        <f>IF(E493="금융","",IF(AND(ISNUMBER(P493),ISNUMBER(AF493)),P493+AF493,""))</f>
        <v/>
      </c>
      <c r="AK493" s="19">
        <f>IF(OR(NOT(ISNUMBER(AE493)),NOT(ISNUMBER(AJ493)),AJ493&lt;=0),"",IF(AND(ISNUMBER(G493),AJ493&lt;0.1*G493),"",AE493/AJ493))</f>
        <v/>
      </c>
      <c r="AL493" s="17">
        <f>IF(NOT(ISNUMBER(P493)),"",IF(ISNUMBER(Q493),(P493+Q493)/2,P493))</f>
        <v/>
      </c>
      <c r="AM493" s="19">
        <f>IF(AND(ISNUMBER(L493),ISNUMBER(AL493),AL493&gt;0),L493/AL493,"")</f>
        <v/>
      </c>
      <c r="AN493" s="19">
        <f>IF(AND(ISNUMBER(AM493),ISNUMBER({ROIC})),AM493-{ROIC},"")</f>
        <v/>
      </c>
      <c r="AO493" s="17">
        <f>IF(AND(ISNUMBER(AC493),ISNUMBER(M493)),AC493+M493,"")</f>
        <v/>
      </c>
      <c r="AP493" s="20">
        <f>IF(AND(ISNUMBER(AF493),ISNUMBER(R493),ISNUMBER(AO493),AO493&gt;0),(AF493-R493)/AO493,"")</f>
        <v/>
      </c>
      <c r="AQ493" s="20">
        <f>IF(AND(ISNUMBER(AC493),ISNUMBER(I493),I493&lt;&gt;0,AC493&gt;0),AC493/I493,"")</f>
        <v/>
      </c>
      <c r="AR493" s="17">
        <f>IF(AND(ISNUMBER(W493),ISNUMBER(Y493)),W493-IF(ISNUMBER(R493),R493,0)-(Y493-IF(ISNUMBER(T493),T493,0)),"")</f>
        <v/>
      </c>
      <c r="AS493" s="17">
        <f>IF(AND(ISNUMBER(X493),ISNUMBER(Z493)),X493-IF(ISNUMBER(S493),S493,0)-(Z493-IF(ISNUMBER(U493),U493,0)),"")</f>
        <v/>
      </c>
      <c r="AT493" s="17">
        <f>IF(AND(ISNUMBER(AR493),ISNUMBER(AS493)),AR493-AS493,"")</f>
        <v/>
      </c>
      <c r="AU493" s="17">
        <f>IF(E493="금융","",IF(AND(ISNUMBER(L493),ISNUMBER(M493),ISNUMBER(N493),ISNUMBER(AT493)),L493+M493-N493-AT493,IF(AND(ISNUMBER(O493),ISNUMBER(N493)),O493-N493,"")))</f>
        <v/>
      </c>
      <c r="AV493" s="8">
        <f>IF(E493="금융","금융업 - 정의되지 않음",IF(AND(ISNUMBER(L493),ISNUMBER(M493),ISNUMBER(N493),ISNUMBER(AT493)),"순이익+감가상각-설비투자-운전자본증감",IF(AND(ISNUMBER(O493),ISNUMBER(N493)),"영업현금흐름-설비투자","산출불가")))</f>
        <v/>
      </c>
      <c r="AW493" s="19">
        <f>IF(AND(ISNUMBER(AU493),ISNUMBER(G493),G493&lt;&gt;0),AU493/G493,"")</f>
        <v/>
      </c>
      <c r="AX493" s="19">
        <f>IF(AND(ISNUMBER(AC493),ISNUMBER(G493),G493&lt;&gt;0),AC493/G493,"")</f>
        <v/>
      </c>
    </row>
    <row r="494">
      <c r="A494" s="8" t="inlineStr">
        <is>
          <t>DELL</t>
        </is>
      </c>
      <c r="B494" s="8" t="inlineStr">
        <is>
          <t>Dell Technologies Inc.</t>
        </is>
      </c>
      <c r="C494" s="8" t="n">
        <v>2017</v>
      </c>
      <c r="D494" s="8" t="inlineStr">
        <is>
          <t>2018-02-02</t>
        </is>
      </c>
      <c r="E494" s="8" t="inlineStr">
        <is>
          <t>일반</t>
        </is>
      </c>
      <c r="F494" s="8" t="inlineStr">
        <is>
          <t>0001571996-20-000017</t>
        </is>
      </c>
      <c r="G494" s="15" t="n">
        <v>79.04000000000001</v>
      </c>
      <c r="H494" s="15" t="n">
        <v>-4.769</v>
      </c>
      <c r="I494" s="15" t="n"/>
      <c r="J494" s="15" t="n">
        <v>-1.843</v>
      </c>
      <c r="K494" s="15" t="n">
        <v>-2.416</v>
      </c>
      <c r="L494" s="15" t="n">
        <v>-2.849</v>
      </c>
      <c r="M494" s="15" t="n">
        <v>8.634</v>
      </c>
      <c r="N494" s="15" t="n">
        <v>1.212</v>
      </c>
      <c r="O494" s="15" t="n">
        <v>6.843</v>
      </c>
      <c r="P494" s="15" t="n">
        <v>11.719</v>
      </c>
      <c r="Q494" s="15" t="n">
        <v>13.243</v>
      </c>
      <c r="R494" s="15" t="n">
        <v>16.129</v>
      </c>
      <c r="S494" s="15" t="n">
        <v>9.474</v>
      </c>
      <c r="T494" s="15" t="n">
        <v>7.873</v>
      </c>
      <c r="U494" s="15" t="n">
        <v>6.329</v>
      </c>
      <c r="V494" s="15" t="n">
        <v>43.998</v>
      </c>
      <c r="W494" s="15" t="n">
        <v>40.328</v>
      </c>
      <c r="X494" s="15" t="n">
        <v>30.773</v>
      </c>
      <c r="Y494" s="15" t="n">
        <v>45.839</v>
      </c>
      <c r="Z494" s="15" t="n">
        <v>38.135</v>
      </c>
      <c r="AA494" s="15" t="n">
        <v>53.159</v>
      </c>
      <c r="AB494" s="16" t="n">
        <v>769</v>
      </c>
      <c r="AC494" s="17">
        <f>IF(AND(ISNUMBER(H494),ISNUMBER(I494)),H494+I494,IF(ISNUMBER(K494),K494,IF(ISNUMBER(H494),H494,"")))</f>
        <v/>
      </c>
      <c r="AD494" s="18">
        <f>IF(OR(NOT(ISNUMBER(J494)),NOT(ISNUMBER(H494)),H494&lt;=0),기준표!$B$8,MIN(MAX(J494/H494,기준표!$B$6),기준표!$B$7))</f>
        <v/>
      </c>
      <c r="AE494" s="17">
        <f>IF(ISNUMBER(AC494),AC494*(1-AD494),"")</f>
        <v/>
      </c>
      <c r="AF494" s="17">
        <f>IF(AND(NOT(ISNUMBER(T494)),NOT(ISNUMBER(V494))),"",IF(ISNUMBER(T494),T494,0)+IF(ISNUMBER(V494),V494,0))</f>
        <v/>
      </c>
      <c r="AG494" s="17">
        <f>IF(E494="금융","",IF(AND(ISNUMBER(P494),ISNUMBER(AF494),ISNUMBER(R494)),P494+AF494-R494,""))</f>
        <v/>
      </c>
      <c r="AH494" s="17">
        <f>IF(E494="금융","",IF(NOT(ISNUMBER(AG494)),"",IF(ISNUMBER(AA494),(AG494+AA494)/2,AG494)))</f>
        <v/>
      </c>
      <c r="AI494" s="19">
        <f>IF(AND(ISNUMBER(AE494),ISNUMBER(AH494),AH494&gt;0),AE494/AH494,"")</f>
        <v/>
      </c>
      <c r="AJ494" s="17">
        <f>IF(E494="금융","",IF(AND(ISNUMBER(P494),ISNUMBER(AF494)),P494+AF494,""))</f>
        <v/>
      </c>
      <c r="AK494" s="19">
        <f>IF(OR(NOT(ISNUMBER(AE494)),NOT(ISNUMBER(AJ494)),AJ494&lt;=0),"",IF(AND(ISNUMBER(G494),AJ494&lt;0.1*G494),"",AE494/AJ494))</f>
        <v/>
      </c>
      <c r="AL494" s="17">
        <f>IF(NOT(ISNUMBER(P494)),"",IF(ISNUMBER(Q494),(P494+Q494)/2,P494))</f>
        <v/>
      </c>
      <c r="AM494" s="19">
        <f>IF(AND(ISNUMBER(L494),ISNUMBER(AL494),AL494&gt;0),L494/AL494,"")</f>
        <v/>
      </c>
      <c r="AN494" s="19">
        <f>IF(AND(ISNUMBER(AM494),ISNUMBER({ROIC})),AM494-{ROIC},"")</f>
        <v/>
      </c>
      <c r="AO494" s="17">
        <f>IF(AND(ISNUMBER(AC494),ISNUMBER(M494)),AC494+M494,"")</f>
        <v/>
      </c>
      <c r="AP494" s="20">
        <f>IF(AND(ISNUMBER(AF494),ISNUMBER(R494),ISNUMBER(AO494),AO494&gt;0),(AF494-R494)/AO494,"")</f>
        <v/>
      </c>
      <c r="AQ494" s="20">
        <f>IF(AND(ISNUMBER(AC494),ISNUMBER(I494),I494&lt;&gt;0,AC494&gt;0),AC494/I494,"")</f>
        <v/>
      </c>
      <c r="AR494" s="17">
        <f>IF(AND(ISNUMBER(W494),ISNUMBER(Y494)),W494-IF(ISNUMBER(R494),R494,0)-(Y494-IF(ISNUMBER(T494),T494,0)),"")</f>
        <v/>
      </c>
      <c r="AS494" s="17">
        <f>IF(AND(ISNUMBER(X494),ISNUMBER(Z494)),X494-IF(ISNUMBER(S494),S494,0)-(Z494-IF(ISNUMBER(U494),U494,0)),"")</f>
        <v/>
      </c>
      <c r="AT494" s="17">
        <f>IF(AND(ISNUMBER(AR494),ISNUMBER(AS494)),AR494-AS494,"")</f>
        <v/>
      </c>
      <c r="AU494" s="17">
        <f>IF(E494="금융","",IF(AND(ISNUMBER(L494),ISNUMBER(M494),ISNUMBER(N494),ISNUMBER(AT494)),L494+M494-N494-AT494,IF(AND(ISNUMBER(O494),ISNUMBER(N494)),O494-N494,"")))</f>
        <v/>
      </c>
      <c r="AV494" s="8">
        <f>IF(E494="금융","금융업 - 정의되지 않음",IF(AND(ISNUMBER(L494),ISNUMBER(M494),ISNUMBER(N494),ISNUMBER(AT494)),"순이익+감가상각-설비투자-운전자본증감",IF(AND(ISNUMBER(O494),ISNUMBER(N494)),"영업현금흐름-설비투자","산출불가")))</f>
        <v/>
      </c>
      <c r="AW494" s="19">
        <f>IF(AND(ISNUMBER(AU494),ISNUMBER(G494),G494&lt;&gt;0),AU494/G494,"")</f>
        <v/>
      </c>
      <c r="AX494" s="19">
        <f>IF(AND(ISNUMBER(AC494),ISNUMBER(G494),G494&lt;&gt;0),AC494/G494,"")</f>
        <v/>
      </c>
    </row>
    <row r="495">
      <c r="A495" s="8" t="inlineStr">
        <is>
          <t>DELL</t>
        </is>
      </c>
      <c r="B495" s="8" t="inlineStr">
        <is>
          <t>Dell Technologies Inc.</t>
        </is>
      </c>
      <c r="C495" s="8" t="n">
        <v>2018</v>
      </c>
      <c r="D495" s="8" t="inlineStr">
        <is>
          <t>2019-02-01</t>
        </is>
      </c>
      <c r="E495" s="8" t="inlineStr">
        <is>
          <t>일반</t>
        </is>
      </c>
      <c r="F495" s="8" t="inlineStr">
        <is>
          <t>0001571996-21-000007</t>
        </is>
      </c>
      <c r="G495" s="15" t="n">
        <v>90.621</v>
      </c>
      <c r="H495" s="15" t="n">
        <v>-2.361</v>
      </c>
      <c r="I495" s="15" t="n"/>
      <c r="J495" s="15" t="n">
        <v>-0.18</v>
      </c>
      <c r="K495" s="15" t="n">
        <v>-0.191</v>
      </c>
      <c r="L495" s="15" t="n">
        <v>-2.31</v>
      </c>
      <c r="M495" s="15" t="n">
        <v>7.746</v>
      </c>
      <c r="N495" s="15" t="n">
        <v>1.497</v>
      </c>
      <c r="O495" s="15" t="n">
        <v>6.991</v>
      </c>
      <c r="P495" s="15" t="n">
        <v>-5.765</v>
      </c>
      <c r="Q495" s="15" t="n">
        <v>11.719</v>
      </c>
      <c r="R495" s="15" t="n">
        <v>9.676</v>
      </c>
      <c r="S495" s="15" t="n">
        <v>16.129</v>
      </c>
      <c r="T495" s="15" t="n">
        <v>4.32</v>
      </c>
      <c r="U495" s="15" t="n">
        <v>7.873</v>
      </c>
      <c r="V495" s="15" t="n">
        <v>49.201</v>
      </c>
      <c r="W495" s="15" t="n">
        <v>36.138</v>
      </c>
      <c r="X495" s="15" t="n">
        <v>40.328</v>
      </c>
      <c r="Y495" s="15" t="n">
        <v>44.972</v>
      </c>
      <c r="Z495" s="15" t="n">
        <v>45.839</v>
      </c>
      <c r="AA495" s="15" t="n">
        <v>47.461</v>
      </c>
      <c r="AB495" s="16" t="n">
        <v>719</v>
      </c>
      <c r="AC495" s="17">
        <f>IF(AND(ISNUMBER(H495),ISNUMBER(I495)),H495+I495,IF(ISNUMBER(K495),K495,IF(ISNUMBER(H495),H495,"")))</f>
        <v/>
      </c>
      <c r="AD495" s="18">
        <f>IF(OR(NOT(ISNUMBER(J495)),NOT(ISNUMBER(H495)),H495&lt;=0),기준표!$B$8,MIN(MAX(J495/H495,기준표!$B$6),기준표!$B$7))</f>
        <v/>
      </c>
      <c r="AE495" s="17">
        <f>IF(ISNUMBER(AC495),AC495*(1-AD495),"")</f>
        <v/>
      </c>
      <c r="AF495" s="17">
        <f>IF(AND(NOT(ISNUMBER(T495)),NOT(ISNUMBER(V495))),"",IF(ISNUMBER(T495),T495,0)+IF(ISNUMBER(V495),V495,0))</f>
        <v/>
      </c>
      <c r="AG495" s="17">
        <f>IF(E495="금융","",IF(AND(ISNUMBER(P495),ISNUMBER(AF495),ISNUMBER(R495)),P495+AF495-R495,""))</f>
        <v/>
      </c>
      <c r="AH495" s="17">
        <f>IF(E495="금융","",IF(NOT(ISNUMBER(AG495)),"",IF(ISNUMBER(AA495),(AG495+AA495)/2,AG495)))</f>
        <v/>
      </c>
      <c r="AI495" s="19">
        <f>IF(AND(ISNUMBER(AE495),ISNUMBER(AH495),AH495&gt;0),AE495/AH495,"")</f>
        <v/>
      </c>
      <c r="AJ495" s="17">
        <f>IF(E495="금융","",IF(AND(ISNUMBER(P495),ISNUMBER(AF495)),P495+AF495,""))</f>
        <v/>
      </c>
      <c r="AK495" s="19">
        <f>IF(OR(NOT(ISNUMBER(AE495)),NOT(ISNUMBER(AJ495)),AJ495&lt;=0),"",IF(AND(ISNUMBER(G495),AJ495&lt;0.1*G495),"",AE495/AJ495))</f>
        <v/>
      </c>
      <c r="AL495" s="17">
        <f>IF(NOT(ISNUMBER(P495)),"",IF(ISNUMBER(Q495),(P495+Q495)/2,P495))</f>
        <v/>
      </c>
      <c r="AM495" s="19">
        <f>IF(AND(ISNUMBER(L495),ISNUMBER(AL495),AL495&gt;0),L495/AL495,"")</f>
        <v/>
      </c>
      <c r="AN495" s="19">
        <f>IF(AND(ISNUMBER(AM495),ISNUMBER({ROIC})),AM495-{ROIC},"")</f>
        <v/>
      </c>
      <c r="AO495" s="17">
        <f>IF(AND(ISNUMBER(AC495),ISNUMBER(M495)),AC495+M495,"")</f>
        <v/>
      </c>
      <c r="AP495" s="20">
        <f>IF(AND(ISNUMBER(AF495),ISNUMBER(R495),ISNUMBER(AO495),AO495&gt;0),(AF495-R495)/AO495,"")</f>
        <v/>
      </c>
      <c r="AQ495" s="20">
        <f>IF(AND(ISNUMBER(AC495),ISNUMBER(I495),I495&lt;&gt;0,AC495&gt;0),AC495/I495,"")</f>
        <v/>
      </c>
      <c r="AR495" s="17">
        <f>IF(AND(ISNUMBER(W495),ISNUMBER(Y495)),W495-IF(ISNUMBER(R495),R495,0)-(Y495-IF(ISNUMBER(T495),T495,0)),"")</f>
        <v/>
      </c>
      <c r="AS495" s="17">
        <f>IF(AND(ISNUMBER(X495),ISNUMBER(Z495)),X495-IF(ISNUMBER(S495),S495,0)-(Z495-IF(ISNUMBER(U495),U495,0)),"")</f>
        <v/>
      </c>
      <c r="AT495" s="17">
        <f>IF(AND(ISNUMBER(AR495),ISNUMBER(AS495)),AR495-AS495,"")</f>
        <v/>
      </c>
      <c r="AU495" s="17">
        <f>IF(E495="금융","",IF(AND(ISNUMBER(L495),ISNUMBER(M495),ISNUMBER(N495),ISNUMBER(AT495)),L495+M495-N495-AT495,IF(AND(ISNUMBER(O495),ISNUMBER(N495)),O495-N495,"")))</f>
        <v/>
      </c>
      <c r="AV495" s="8">
        <f>IF(E495="금융","금융업 - 정의되지 않음",IF(AND(ISNUMBER(L495),ISNUMBER(M495),ISNUMBER(N495),ISNUMBER(AT495)),"순이익+감가상각-설비투자-운전자본증감",IF(AND(ISNUMBER(O495),ISNUMBER(N495)),"영업현금흐름-설비투자","산출불가")))</f>
        <v/>
      </c>
      <c r="AW495" s="19">
        <f>IF(AND(ISNUMBER(AU495),ISNUMBER(G495),G495&lt;&gt;0),AU495/G495,"")</f>
        <v/>
      </c>
      <c r="AX495" s="19">
        <f>IF(AND(ISNUMBER(AC495),ISNUMBER(G495),G495&lt;&gt;0),AC495/G495,"")</f>
        <v/>
      </c>
    </row>
    <row r="496">
      <c r="A496" s="8" t="inlineStr">
        <is>
          <t>DELL</t>
        </is>
      </c>
      <c r="B496" s="8" t="inlineStr">
        <is>
          <t>Dell Technologies Inc.</t>
        </is>
      </c>
      <c r="C496" s="8" t="n">
        <v>2019</v>
      </c>
      <c r="D496" s="8" t="inlineStr">
        <is>
          <t>2020-01-31</t>
        </is>
      </c>
      <c r="E496" s="8" t="inlineStr">
        <is>
          <t>일반</t>
        </is>
      </c>
      <c r="F496" s="8" t="inlineStr">
        <is>
          <t>0001571996-22-000009</t>
        </is>
      </c>
      <c r="G496" s="15" t="n">
        <v>84.815</v>
      </c>
      <c r="H496" s="15" t="n">
        <v>-0.051</v>
      </c>
      <c r="I496" s="15" t="n"/>
      <c r="J496" s="15" t="n">
        <v>-0.572</v>
      </c>
      <c r="K496" s="15" t="n">
        <v>2.366</v>
      </c>
      <c r="L496" s="15" t="n">
        <v>4.616</v>
      </c>
      <c r="M496" s="15" t="n">
        <v>6.143</v>
      </c>
      <c r="N496" s="15" t="n">
        <v>2.576</v>
      </c>
      <c r="O496" s="15" t="n">
        <v>9.291</v>
      </c>
      <c r="P496" s="15" t="n">
        <v>-1.574</v>
      </c>
      <c r="Q496" s="15" t="n">
        <v>-5.765</v>
      </c>
      <c r="R496" s="15" t="n">
        <v>9.302</v>
      </c>
      <c r="S496" s="15" t="n">
        <v>9.676</v>
      </c>
      <c r="T496" s="15" t="n">
        <v>7.737</v>
      </c>
      <c r="U496" s="15" t="n">
        <v>4.32</v>
      </c>
      <c r="V496" s="15" t="n">
        <v>44.319</v>
      </c>
      <c r="W496" s="15" t="n">
        <v>36.868</v>
      </c>
      <c r="X496" s="15" t="n">
        <v>36.138</v>
      </c>
      <c r="Y496" s="15" t="n">
        <v>52.456</v>
      </c>
      <c r="Z496" s="15" t="n">
        <v>44.972</v>
      </c>
      <c r="AA496" s="15" t="n">
        <v>38.08</v>
      </c>
      <c r="AB496" s="16" t="n">
        <v>743</v>
      </c>
      <c r="AC496" s="17">
        <f>IF(AND(ISNUMBER(H496),ISNUMBER(I496)),H496+I496,IF(ISNUMBER(K496),K496,IF(ISNUMBER(H496),H496,"")))</f>
        <v/>
      </c>
      <c r="AD496" s="18">
        <f>IF(OR(NOT(ISNUMBER(J496)),NOT(ISNUMBER(H496)),H496&lt;=0),기준표!$B$8,MIN(MAX(J496/H496,기준표!$B$6),기준표!$B$7))</f>
        <v/>
      </c>
      <c r="AE496" s="17">
        <f>IF(ISNUMBER(AC496),AC496*(1-AD496),"")</f>
        <v/>
      </c>
      <c r="AF496" s="17">
        <f>IF(AND(NOT(ISNUMBER(T496)),NOT(ISNUMBER(V496))),"",IF(ISNUMBER(T496),T496,0)+IF(ISNUMBER(V496),V496,0))</f>
        <v/>
      </c>
      <c r="AG496" s="17">
        <f>IF(E496="금융","",IF(AND(ISNUMBER(P496),ISNUMBER(AF496),ISNUMBER(R496)),P496+AF496-R496,""))</f>
        <v/>
      </c>
      <c r="AH496" s="17">
        <f>IF(E496="금융","",IF(NOT(ISNUMBER(AG496)),"",IF(ISNUMBER(AA496),(AG496+AA496)/2,AG496)))</f>
        <v/>
      </c>
      <c r="AI496" s="19">
        <f>IF(AND(ISNUMBER(AE496),ISNUMBER(AH496),AH496&gt;0),AE496/AH496,"")</f>
        <v/>
      </c>
      <c r="AJ496" s="17">
        <f>IF(E496="금융","",IF(AND(ISNUMBER(P496),ISNUMBER(AF496)),P496+AF496,""))</f>
        <v/>
      </c>
      <c r="AK496" s="19">
        <f>IF(OR(NOT(ISNUMBER(AE496)),NOT(ISNUMBER(AJ496)),AJ496&lt;=0),"",IF(AND(ISNUMBER(G496),AJ496&lt;0.1*G496),"",AE496/AJ496))</f>
        <v/>
      </c>
      <c r="AL496" s="17">
        <f>IF(NOT(ISNUMBER(P496)),"",IF(ISNUMBER(Q496),(P496+Q496)/2,P496))</f>
        <v/>
      </c>
      <c r="AM496" s="19">
        <f>IF(AND(ISNUMBER(L496),ISNUMBER(AL496),AL496&gt;0),L496/AL496,"")</f>
        <v/>
      </c>
      <c r="AN496" s="19">
        <f>IF(AND(ISNUMBER(AM496),ISNUMBER({ROIC})),AM496-{ROIC},"")</f>
        <v/>
      </c>
      <c r="AO496" s="17">
        <f>IF(AND(ISNUMBER(AC496),ISNUMBER(M496)),AC496+M496,"")</f>
        <v/>
      </c>
      <c r="AP496" s="20">
        <f>IF(AND(ISNUMBER(AF496),ISNUMBER(R496),ISNUMBER(AO496),AO496&gt;0),(AF496-R496)/AO496,"")</f>
        <v/>
      </c>
      <c r="AQ496" s="20">
        <f>IF(AND(ISNUMBER(AC496),ISNUMBER(I496),I496&lt;&gt;0,AC496&gt;0),AC496/I496,"")</f>
        <v/>
      </c>
      <c r="AR496" s="17">
        <f>IF(AND(ISNUMBER(W496),ISNUMBER(Y496)),W496-IF(ISNUMBER(R496),R496,0)-(Y496-IF(ISNUMBER(T496),T496,0)),"")</f>
        <v/>
      </c>
      <c r="AS496" s="17">
        <f>IF(AND(ISNUMBER(X496),ISNUMBER(Z496)),X496-IF(ISNUMBER(S496),S496,0)-(Z496-IF(ISNUMBER(U496),U496,0)),"")</f>
        <v/>
      </c>
      <c r="AT496" s="17">
        <f>IF(AND(ISNUMBER(AR496),ISNUMBER(AS496)),AR496-AS496,"")</f>
        <v/>
      </c>
      <c r="AU496" s="17">
        <f>IF(E496="금융","",IF(AND(ISNUMBER(L496),ISNUMBER(M496),ISNUMBER(N496),ISNUMBER(AT496)),L496+M496-N496-AT496,IF(AND(ISNUMBER(O496),ISNUMBER(N496)),O496-N496,"")))</f>
        <v/>
      </c>
      <c r="AV496" s="8">
        <f>IF(E496="금융","금융업 - 정의되지 않음",IF(AND(ISNUMBER(L496),ISNUMBER(M496),ISNUMBER(N496),ISNUMBER(AT496)),"순이익+감가상각-설비투자-운전자본증감",IF(AND(ISNUMBER(O496),ISNUMBER(N496)),"영업현금흐름-설비투자","산출불가")))</f>
        <v/>
      </c>
      <c r="AW496" s="19">
        <f>IF(AND(ISNUMBER(AU496),ISNUMBER(G496),G496&lt;&gt;0),AU496/G496,"")</f>
        <v/>
      </c>
      <c r="AX496" s="19">
        <f>IF(AND(ISNUMBER(AC496),ISNUMBER(G496),G496&lt;&gt;0),AC496/G496,"")</f>
        <v/>
      </c>
    </row>
    <row r="497">
      <c r="A497" s="8" t="inlineStr">
        <is>
          <t>DELL</t>
        </is>
      </c>
      <c r="B497" s="8" t="inlineStr">
        <is>
          <t>Dell Technologies Inc.</t>
        </is>
      </c>
      <c r="C497" s="8" t="n">
        <v>2020</v>
      </c>
      <c r="D497" s="8" t="inlineStr">
        <is>
          <t>2021-01-29</t>
        </is>
      </c>
      <c r="E497" s="8" t="inlineStr">
        <is>
          <t>일반</t>
        </is>
      </c>
      <c r="F497" s="8" t="inlineStr">
        <is>
          <t>0001571996-23-000007</t>
        </is>
      </c>
      <c r="G497" s="15" t="n">
        <v>86.67</v>
      </c>
      <c r="H497" s="15" t="n">
        <v>2.346</v>
      </c>
      <c r="I497" s="15" t="n"/>
      <c r="J497" s="15" t="n">
        <v>0.101</v>
      </c>
      <c r="K497" s="15" t="n">
        <v>3.685</v>
      </c>
      <c r="L497" s="15" t="n">
        <v>3.25</v>
      </c>
      <c r="M497" s="15" t="n">
        <v>5.39</v>
      </c>
      <c r="N497" s="15" t="n">
        <v>2.082</v>
      </c>
      <c r="O497" s="15" t="n">
        <v>11.407</v>
      </c>
      <c r="P497" s="15" t="n">
        <v>2.479</v>
      </c>
      <c r="Q497" s="15" t="n">
        <v>-1.574</v>
      </c>
      <c r="R497" s="15" t="n">
        <v>9.507999999999999</v>
      </c>
      <c r="S497" s="15" t="n">
        <v>9.302</v>
      </c>
      <c r="T497" s="15" t="n">
        <v>6.357</v>
      </c>
      <c r="U497" s="15" t="n">
        <v>7.737</v>
      </c>
      <c r="V497" s="15" t="n">
        <v>32.865</v>
      </c>
      <c r="W497" s="15" t="n">
        <v>43.567</v>
      </c>
      <c r="X497" s="15" t="n">
        <v>36.868</v>
      </c>
      <c r="Y497" s="15" t="n">
        <v>54.132</v>
      </c>
      <c r="Z497" s="15" t="n">
        <v>52.456</v>
      </c>
      <c r="AA497" s="15" t="n">
        <v>41.18</v>
      </c>
      <c r="AB497" s="16" t="n">
        <v>753</v>
      </c>
      <c r="AC497" s="17">
        <f>IF(AND(ISNUMBER(H497),ISNUMBER(I497)),H497+I497,IF(ISNUMBER(K497),K497,IF(ISNUMBER(H497),H497,"")))</f>
        <v/>
      </c>
      <c r="AD497" s="18">
        <f>IF(OR(NOT(ISNUMBER(J497)),NOT(ISNUMBER(H497)),H497&lt;=0),기준표!$B$8,MIN(MAX(J497/H497,기준표!$B$6),기준표!$B$7))</f>
        <v/>
      </c>
      <c r="AE497" s="17">
        <f>IF(ISNUMBER(AC497),AC497*(1-AD497),"")</f>
        <v/>
      </c>
      <c r="AF497" s="17">
        <f>IF(AND(NOT(ISNUMBER(T497)),NOT(ISNUMBER(V497))),"",IF(ISNUMBER(T497),T497,0)+IF(ISNUMBER(V497),V497,0))</f>
        <v/>
      </c>
      <c r="AG497" s="17">
        <f>IF(E497="금융","",IF(AND(ISNUMBER(P497),ISNUMBER(AF497),ISNUMBER(R497)),P497+AF497-R497,""))</f>
        <v/>
      </c>
      <c r="AH497" s="17">
        <f>IF(E497="금융","",IF(NOT(ISNUMBER(AG497)),"",IF(ISNUMBER(AA497),(AG497+AA497)/2,AG497)))</f>
        <v/>
      </c>
      <c r="AI497" s="19">
        <f>IF(AND(ISNUMBER(AE497),ISNUMBER(AH497),AH497&gt;0),AE497/AH497,"")</f>
        <v/>
      </c>
      <c r="AJ497" s="17">
        <f>IF(E497="금융","",IF(AND(ISNUMBER(P497),ISNUMBER(AF497)),P497+AF497,""))</f>
        <v/>
      </c>
      <c r="AK497" s="19">
        <f>IF(OR(NOT(ISNUMBER(AE497)),NOT(ISNUMBER(AJ497)),AJ497&lt;=0),"",IF(AND(ISNUMBER(G497),AJ497&lt;0.1*G497),"",AE497/AJ497))</f>
        <v/>
      </c>
      <c r="AL497" s="17">
        <f>IF(NOT(ISNUMBER(P497)),"",IF(ISNUMBER(Q497),(P497+Q497)/2,P497))</f>
        <v/>
      </c>
      <c r="AM497" s="19">
        <f>IF(AND(ISNUMBER(L497),ISNUMBER(AL497),AL497&gt;0),L497/AL497,"")</f>
        <v/>
      </c>
      <c r="AN497" s="19">
        <f>IF(AND(ISNUMBER(AM497),ISNUMBER({ROIC})),AM497-{ROIC},"")</f>
        <v/>
      </c>
      <c r="AO497" s="17">
        <f>IF(AND(ISNUMBER(AC497),ISNUMBER(M497)),AC497+M497,"")</f>
        <v/>
      </c>
      <c r="AP497" s="20">
        <f>IF(AND(ISNUMBER(AF497),ISNUMBER(R497),ISNUMBER(AO497),AO497&gt;0),(AF497-R497)/AO497,"")</f>
        <v/>
      </c>
      <c r="AQ497" s="20">
        <f>IF(AND(ISNUMBER(AC497),ISNUMBER(I497),I497&lt;&gt;0,AC497&gt;0),AC497/I497,"")</f>
        <v/>
      </c>
      <c r="AR497" s="17">
        <f>IF(AND(ISNUMBER(W497),ISNUMBER(Y497)),W497-IF(ISNUMBER(R497),R497,0)-(Y497-IF(ISNUMBER(T497),T497,0)),"")</f>
        <v/>
      </c>
      <c r="AS497" s="17">
        <f>IF(AND(ISNUMBER(X497),ISNUMBER(Z497)),X497-IF(ISNUMBER(S497),S497,0)-(Z497-IF(ISNUMBER(U497),U497,0)),"")</f>
        <v/>
      </c>
      <c r="AT497" s="17">
        <f>IF(AND(ISNUMBER(AR497),ISNUMBER(AS497)),AR497-AS497,"")</f>
        <v/>
      </c>
      <c r="AU497" s="17">
        <f>IF(E497="금융","",IF(AND(ISNUMBER(L497),ISNUMBER(M497),ISNUMBER(N497),ISNUMBER(AT497)),L497+M497-N497-AT497,IF(AND(ISNUMBER(O497),ISNUMBER(N497)),O497-N497,"")))</f>
        <v/>
      </c>
      <c r="AV497" s="8">
        <f>IF(E497="금융","금융업 - 정의되지 않음",IF(AND(ISNUMBER(L497),ISNUMBER(M497),ISNUMBER(N497),ISNUMBER(AT497)),"순이익+감가상각-설비투자-운전자본증감",IF(AND(ISNUMBER(O497),ISNUMBER(N497)),"영업현금흐름-설비투자","산출불가")))</f>
        <v/>
      </c>
      <c r="AW497" s="19">
        <f>IF(AND(ISNUMBER(AU497),ISNUMBER(G497),G497&lt;&gt;0),AU497/G497,"")</f>
        <v/>
      </c>
      <c r="AX497" s="19">
        <f>IF(AND(ISNUMBER(AC497),ISNUMBER(G497),G497&lt;&gt;0),AC497/G497,"")</f>
        <v/>
      </c>
    </row>
    <row r="498">
      <c r="A498" s="8" t="inlineStr">
        <is>
          <t>DELL</t>
        </is>
      </c>
      <c r="B498" s="8" t="inlineStr">
        <is>
          <t>Dell Technologies Inc.</t>
        </is>
      </c>
      <c r="C498" s="8" t="n">
        <v>2021</v>
      </c>
      <c r="D498" s="8" t="inlineStr">
        <is>
          <t>2022-01-28</t>
        </is>
      </c>
      <c r="E498" s="8" t="inlineStr">
        <is>
          <t>일반</t>
        </is>
      </c>
      <c r="F498" s="8" t="inlineStr">
        <is>
          <t>0001571996-24-000036</t>
        </is>
      </c>
      <c r="G498" s="15" t="n">
        <v>101.197</v>
      </c>
      <c r="H498" s="15" t="n">
        <v>5.923</v>
      </c>
      <c r="I498" s="15" t="n"/>
      <c r="J498" s="15" t="n">
        <v>0.981</v>
      </c>
      <c r="K498" s="15" t="n">
        <v>4.659</v>
      </c>
      <c r="L498" s="15" t="n">
        <v>5.563</v>
      </c>
      <c r="M498" s="15" t="n">
        <v>4.551</v>
      </c>
      <c r="N498" s="15" t="n">
        <v>2.796</v>
      </c>
      <c r="O498" s="15" t="n">
        <v>10.307</v>
      </c>
      <c r="P498" s="15" t="n">
        <v>-1.685</v>
      </c>
      <c r="Q498" s="15" t="n">
        <v>2.479</v>
      </c>
      <c r="R498" s="15" t="n">
        <v>9.477</v>
      </c>
      <c r="S498" s="15" t="n">
        <v>9.507999999999999</v>
      </c>
      <c r="T498" s="15" t="n">
        <v>5.823</v>
      </c>
      <c r="U498" s="15" t="n">
        <v>6.357</v>
      </c>
      <c r="V498" s="15" t="n">
        <v>21.131</v>
      </c>
      <c r="W498" s="15" t="n">
        <v>45.033</v>
      </c>
      <c r="X498" s="15" t="n">
        <v>43.567</v>
      </c>
      <c r="Y498" s="15" t="n">
        <v>56.219</v>
      </c>
      <c r="Z498" s="15" t="n">
        <v>54.132</v>
      </c>
      <c r="AA498" s="15" t="n">
        <v>32.193</v>
      </c>
      <c r="AB498" s="16" t="n">
        <v>757</v>
      </c>
      <c r="AC498" s="17">
        <f>IF(AND(ISNUMBER(H498),ISNUMBER(I498)),H498+I498,IF(ISNUMBER(K498),K498,IF(ISNUMBER(H498),H498,"")))</f>
        <v/>
      </c>
      <c r="AD498" s="18">
        <f>IF(OR(NOT(ISNUMBER(J498)),NOT(ISNUMBER(H498)),H498&lt;=0),기준표!$B$8,MIN(MAX(J498/H498,기준표!$B$6),기준표!$B$7))</f>
        <v/>
      </c>
      <c r="AE498" s="17">
        <f>IF(ISNUMBER(AC498),AC498*(1-AD498),"")</f>
        <v/>
      </c>
      <c r="AF498" s="17">
        <f>IF(AND(NOT(ISNUMBER(T498)),NOT(ISNUMBER(V498))),"",IF(ISNUMBER(T498),T498,0)+IF(ISNUMBER(V498),V498,0))</f>
        <v/>
      </c>
      <c r="AG498" s="17">
        <f>IF(E498="금융","",IF(AND(ISNUMBER(P498),ISNUMBER(AF498),ISNUMBER(R498)),P498+AF498-R498,""))</f>
        <v/>
      </c>
      <c r="AH498" s="17">
        <f>IF(E498="금융","",IF(NOT(ISNUMBER(AG498)),"",IF(ISNUMBER(AA498),(AG498+AA498)/2,AG498)))</f>
        <v/>
      </c>
      <c r="AI498" s="19">
        <f>IF(AND(ISNUMBER(AE498),ISNUMBER(AH498),AH498&gt;0),AE498/AH498,"")</f>
        <v/>
      </c>
      <c r="AJ498" s="17">
        <f>IF(E498="금융","",IF(AND(ISNUMBER(P498),ISNUMBER(AF498)),P498+AF498,""))</f>
        <v/>
      </c>
      <c r="AK498" s="19">
        <f>IF(OR(NOT(ISNUMBER(AE498)),NOT(ISNUMBER(AJ498)),AJ498&lt;=0),"",IF(AND(ISNUMBER(G498),AJ498&lt;0.1*G498),"",AE498/AJ498))</f>
        <v/>
      </c>
      <c r="AL498" s="17">
        <f>IF(NOT(ISNUMBER(P498)),"",IF(ISNUMBER(Q498),(P498+Q498)/2,P498))</f>
        <v/>
      </c>
      <c r="AM498" s="19">
        <f>IF(AND(ISNUMBER(L498),ISNUMBER(AL498),AL498&gt;0),L498/AL498,"")</f>
        <v/>
      </c>
      <c r="AN498" s="19">
        <f>IF(AND(ISNUMBER(AM498),ISNUMBER({ROIC})),AM498-{ROIC},"")</f>
        <v/>
      </c>
      <c r="AO498" s="17">
        <f>IF(AND(ISNUMBER(AC498),ISNUMBER(M498)),AC498+M498,"")</f>
        <v/>
      </c>
      <c r="AP498" s="20">
        <f>IF(AND(ISNUMBER(AF498),ISNUMBER(R498),ISNUMBER(AO498),AO498&gt;0),(AF498-R498)/AO498,"")</f>
        <v/>
      </c>
      <c r="AQ498" s="20">
        <f>IF(AND(ISNUMBER(AC498),ISNUMBER(I498),I498&lt;&gt;0,AC498&gt;0),AC498/I498,"")</f>
        <v/>
      </c>
      <c r="AR498" s="17">
        <f>IF(AND(ISNUMBER(W498),ISNUMBER(Y498)),W498-IF(ISNUMBER(R498),R498,0)-(Y498-IF(ISNUMBER(T498),T498,0)),"")</f>
        <v/>
      </c>
      <c r="AS498" s="17">
        <f>IF(AND(ISNUMBER(X498),ISNUMBER(Z498)),X498-IF(ISNUMBER(S498),S498,0)-(Z498-IF(ISNUMBER(U498),U498,0)),"")</f>
        <v/>
      </c>
      <c r="AT498" s="17">
        <f>IF(AND(ISNUMBER(AR498),ISNUMBER(AS498)),AR498-AS498,"")</f>
        <v/>
      </c>
      <c r="AU498" s="17">
        <f>IF(E498="금융","",IF(AND(ISNUMBER(L498),ISNUMBER(M498),ISNUMBER(N498),ISNUMBER(AT498)),L498+M498-N498-AT498,IF(AND(ISNUMBER(O498),ISNUMBER(N498)),O498-N498,"")))</f>
        <v/>
      </c>
      <c r="AV498" s="8">
        <f>IF(E498="금융","금융업 - 정의되지 않음",IF(AND(ISNUMBER(L498),ISNUMBER(M498),ISNUMBER(N498),ISNUMBER(AT498)),"순이익+감가상각-설비투자-운전자본증감",IF(AND(ISNUMBER(O498),ISNUMBER(N498)),"영업현금흐름-설비투자","산출불가")))</f>
        <v/>
      </c>
      <c r="AW498" s="19">
        <f>IF(AND(ISNUMBER(AU498),ISNUMBER(G498),G498&lt;&gt;0),AU498/G498,"")</f>
        <v/>
      </c>
      <c r="AX498" s="19">
        <f>IF(AND(ISNUMBER(AC498),ISNUMBER(G498),G498&lt;&gt;0),AC498/G498,"")</f>
        <v/>
      </c>
    </row>
    <row r="499">
      <c r="A499" s="8" t="inlineStr">
        <is>
          <t>DELL</t>
        </is>
      </c>
      <c r="B499" s="8" t="inlineStr">
        <is>
          <t>Dell Technologies Inc.</t>
        </is>
      </c>
      <c r="C499" s="8" t="n">
        <v>2022</v>
      </c>
      <c r="D499" s="8" t="inlineStr">
        <is>
          <t>2023-02-03</t>
        </is>
      </c>
      <c r="E499" s="8" t="inlineStr">
        <is>
          <t>일반</t>
        </is>
      </c>
      <c r="F499" s="8" t="inlineStr">
        <is>
          <t>0001571996-25-000034</t>
        </is>
      </c>
      <c r="G499" s="15" t="n">
        <v>102.301</v>
      </c>
      <c r="H499" s="15" t="n">
        <v>3.225</v>
      </c>
      <c r="I499" s="15" t="n">
        <v>1.222</v>
      </c>
      <c r="J499" s="15" t="n">
        <v>0.803</v>
      </c>
      <c r="K499" s="15" t="n">
        <v>5.771</v>
      </c>
      <c r="L499" s="15" t="n">
        <v>2.442</v>
      </c>
      <c r="M499" s="15" t="n">
        <v>3.156</v>
      </c>
      <c r="N499" s="15" t="n">
        <v>3.003</v>
      </c>
      <c r="O499" s="15" t="n">
        <v>3.565</v>
      </c>
      <c r="P499" s="15" t="n">
        <v>-3.122</v>
      </c>
      <c r="Q499" s="15" t="n">
        <v>-1.685</v>
      </c>
      <c r="R499" s="15" t="n">
        <v>8.606999999999999</v>
      </c>
      <c r="S499" s="15" t="n">
        <v>9.477</v>
      </c>
      <c r="T499" s="15" t="n">
        <v>6.573</v>
      </c>
      <c r="U499" s="15" t="n">
        <v>5.823</v>
      </c>
      <c r="V499" s="15" t="n">
        <v>23.015</v>
      </c>
      <c r="W499" s="15" t="n">
        <v>42.351</v>
      </c>
      <c r="X499" s="15" t="n">
        <v>45.033</v>
      </c>
      <c r="Y499" s="15" t="n">
        <v>51.654</v>
      </c>
      <c r="Z499" s="15" t="n">
        <v>56.219</v>
      </c>
      <c r="AA499" s="15" t="n">
        <v>15.792</v>
      </c>
      <c r="AB499" s="16" t="n">
        <v>716</v>
      </c>
      <c r="AC499" s="17">
        <f>IF(AND(ISNUMBER(H499),ISNUMBER(I499)),H499+I499,IF(ISNUMBER(K499),K499,IF(ISNUMBER(H499),H499,"")))</f>
        <v/>
      </c>
      <c r="AD499" s="18">
        <f>IF(OR(NOT(ISNUMBER(J499)),NOT(ISNUMBER(H499)),H499&lt;=0),기준표!$B$8,MIN(MAX(J499/H499,기준표!$B$6),기준표!$B$7))</f>
        <v/>
      </c>
      <c r="AE499" s="17">
        <f>IF(ISNUMBER(AC499),AC499*(1-AD499),"")</f>
        <v/>
      </c>
      <c r="AF499" s="17">
        <f>IF(AND(NOT(ISNUMBER(T499)),NOT(ISNUMBER(V499))),"",IF(ISNUMBER(T499),T499,0)+IF(ISNUMBER(V499),V499,0))</f>
        <v/>
      </c>
      <c r="AG499" s="17">
        <f>IF(E499="금융","",IF(AND(ISNUMBER(P499),ISNUMBER(AF499),ISNUMBER(R499)),P499+AF499-R499,""))</f>
        <v/>
      </c>
      <c r="AH499" s="17">
        <f>IF(E499="금융","",IF(NOT(ISNUMBER(AG499)),"",IF(ISNUMBER(AA499),(AG499+AA499)/2,AG499)))</f>
        <v/>
      </c>
      <c r="AI499" s="19">
        <f>IF(AND(ISNUMBER(AE499),ISNUMBER(AH499),AH499&gt;0),AE499/AH499,"")</f>
        <v/>
      </c>
      <c r="AJ499" s="17">
        <f>IF(E499="금융","",IF(AND(ISNUMBER(P499),ISNUMBER(AF499)),P499+AF499,""))</f>
        <v/>
      </c>
      <c r="AK499" s="19">
        <f>IF(OR(NOT(ISNUMBER(AE499)),NOT(ISNUMBER(AJ499)),AJ499&lt;=0),"",IF(AND(ISNUMBER(G499),AJ499&lt;0.1*G499),"",AE499/AJ499))</f>
        <v/>
      </c>
      <c r="AL499" s="17">
        <f>IF(NOT(ISNUMBER(P499)),"",IF(ISNUMBER(Q499),(P499+Q499)/2,P499))</f>
        <v/>
      </c>
      <c r="AM499" s="19">
        <f>IF(AND(ISNUMBER(L499),ISNUMBER(AL499),AL499&gt;0),L499/AL499,"")</f>
        <v/>
      </c>
      <c r="AN499" s="19">
        <f>IF(AND(ISNUMBER(AM499),ISNUMBER({ROIC})),AM499-{ROIC},"")</f>
        <v/>
      </c>
      <c r="AO499" s="17">
        <f>IF(AND(ISNUMBER(AC499),ISNUMBER(M499)),AC499+M499,"")</f>
        <v/>
      </c>
      <c r="AP499" s="20">
        <f>IF(AND(ISNUMBER(AF499),ISNUMBER(R499),ISNUMBER(AO499),AO499&gt;0),(AF499-R499)/AO499,"")</f>
        <v/>
      </c>
      <c r="AQ499" s="20">
        <f>IF(AND(ISNUMBER(AC499),ISNUMBER(I499),I499&lt;&gt;0,AC499&gt;0),AC499/I499,"")</f>
        <v/>
      </c>
      <c r="AR499" s="17">
        <f>IF(AND(ISNUMBER(W499),ISNUMBER(Y499)),W499-IF(ISNUMBER(R499),R499,0)-(Y499-IF(ISNUMBER(T499),T499,0)),"")</f>
        <v/>
      </c>
      <c r="AS499" s="17">
        <f>IF(AND(ISNUMBER(X499),ISNUMBER(Z499)),X499-IF(ISNUMBER(S499),S499,0)-(Z499-IF(ISNUMBER(U499),U499,0)),"")</f>
        <v/>
      </c>
      <c r="AT499" s="17">
        <f>IF(AND(ISNUMBER(AR499),ISNUMBER(AS499)),AR499-AS499,"")</f>
        <v/>
      </c>
      <c r="AU499" s="17">
        <f>IF(E499="금융","",IF(AND(ISNUMBER(L499),ISNUMBER(M499),ISNUMBER(N499),ISNUMBER(AT499)),L499+M499-N499-AT499,IF(AND(ISNUMBER(O499),ISNUMBER(N499)),O499-N499,"")))</f>
        <v/>
      </c>
      <c r="AV499" s="8">
        <f>IF(E499="금융","금융업 - 정의되지 않음",IF(AND(ISNUMBER(L499),ISNUMBER(M499),ISNUMBER(N499),ISNUMBER(AT499)),"순이익+감가상각-설비투자-운전자본증감",IF(AND(ISNUMBER(O499),ISNUMBER(N499)),"영업현금흐름-설비투자","산출불가")))</f>
        <v/>
      </c>
      <c r="AW499" s="19">
        <f>IF(AND(ISNUMBER(AU499),ISNUMBER(G499),G499&lt;&gt;0),AU499/G499,"")</f>
        <v/>
      </c>
      <c r="AX499" s="19">
        <f>IF(AND(ISNUMBER(AC499),ISNUMBER(G499),G499&lt;&gt;0),AC499/G499,"")</f>
        <v/>
      </c>
    </row>
    <row r="500">
      <c r="A500" s="8" t="inlineStr">
        <is>
          <t>DELL</t>
        </is>
      </c>
      <c r="B500" s="8" t="inlineStr">
        <is>
          <t>Dell Technologies Inc.</t>
        </is>
      </c>
      <c r="C500" s="8" t="n">
        <v>2023</v>
      </c>
      <c r="D500" s="8" t="inlineStr">
        <is>
          <t>2024-02-02</t>
        </is>
      </c>
      <c r="E500" s="8" t="inlineStr">
        <is>
          <t>일반</t>
        </is>
      </c>
      <c r="F500" s="8" t="inlineStr">
        <is>
          <t>0001571996-26-000008</t>
        </is>
      </c>
      <c r="G500" s="15" t="n">
        <v>88.425</v>
      </c>
      <c r="H500" s="15" t="n">
        <v>4.087</v>
      </c>
      <c r="I500" s="15" t="n">
        <v>1.501</v>
      </c>
      <c r="J500" s="15" t="n">
        <v>0.715</v>
      </c>
      <c r="K500" s="15" t="n">
        <v>5.411</v>
      </c>
      <c r="L500" s="15" t="n">
        <v>3.388</v>
      </c>
      <c r="M500" s="15" t="n">
        <v>3.303</v>
      </c>
      <c r="N500" s="15" t="n">
        <v>2.756</v>
      </c>
      <c r="O500" s="15" t="n">
        <v>8.676</v>
      </c>
      <c r="P500" s="15" t="n">
        <v>-2.227</v>
      </c>
      <c r="Q500" s="15" t="n">
        <v>-3.122</v>
      </c>
      <c r="R500" s="15" t="n">
        <v>7.366</v>
      </c>
      <c r="S500" s="15" t="n">
        <v>8.606999999999999</v>
      </c>
      <c r="T500" s="15" t="n">
        <v>6.982</v>
      </c>
      <c r="U500" s="15" t="n">
        <v>6.573</v>
      </c>
      <c r="V500" s="15" t="n">
        <v>19.012</v>
      </c>
      <c r="W500" s="15" t="n">
        <v>35.984</v>
      </c>
      <c r="X500" s="15" t="n">
        <v>42.351</v>
      </c>
      <c r="Y500" s="15" t="n">
        <v>48.354</v>
      </c>
      <c r="Z500" s="15" t="n">
        <v>51.654</v>
      </c>
      <c r="AA500" s="15" t="n">
        <v>17.859</v>
      </c>
      <c r="AB500" s="16" t="n">
        <v>705</v>
      </c>
      <c r="AC500" s="17">
        <f>IF(AND(ISNUMBER(H500),ISNUMBER(I500)),H500+I500,IF(ISNUMBER(K500),K500,IF(ISNUMBER(H500),H500,"")))</f>
        <v/>
      </c>
      <c r="AD500" s="18">
        <f>IF(OR(NOT(ISNUMBER(J500)),NOT(ISNUMBER(H500)),H500&lt;=0),기준표!$B$8,MIN(MAX(J500/H500,기준표!$B$6),기준표!$B$7))</f>
        <v/>
      </c>
      <c r="AE500" s="17">
        <f>IF(ISNUMBER(AC500),AC500*(1-AD500),"")</f>
        <v/>
      </c>
      <c r="AF500" s="17">
        <f>IF(AND(NOT(ISNUMBER(T500)),NOT(ISNUMBER(V500))),"",IF(ISNUMBER(T500),T500,0)+IF(ISNUMBER(V500),V500,0))</f>
        <v/>
      </c>
      <c r="AG500" s="17">
        <f>IF(E500="금융","",IF(AND(ISNUMBER(P500),ISNUMBER(AF500),ISNUMBER(R500)),P500+AF500-R500,""))</f>
        <v/>
      </c>
      <c r="AH500" s="17">
        <f>IF(E500="금융","",IF(NOT(ISNUMBER(AG500)),"",IF(ISNUMBER(AA500),(AG500+AA500)/2,AG500)))</f>
        <v/>
      </c>
      <c r="AI500" s="19">
        <f>IF(AND(ISNUMBER(AE500),ISNUMBER(AH500),AH500&gt;0),AE500/AH500,"")</f>
        <v/>
      </c>
      <c r="AJ500" s="17">
        <f>IF(E500="금융","",IF(AND(ISNUMBER(P500),ISNUMBER(AF500)),P500+AF500,""))</f>
        <v/>
      </c>
      <c r="AK500" s="19">
        <f>IF(OR(NOT(ISNUMBER(AE500)),NOT(ISNUMBER(AJ500)),AJ500&lt;=0),"",IF(AND(ISNUMBER(G500),AJ500&lt;0.1*G500),"",AE500/AJ500))</f>
        <v/>
      </c>
      <c r="AL500" s="17">
        <f>IF(NOT(ISNUMBER(P500)),"",IF(ISNUMBER(Q500),(P500+Q500)/2,P500))</f>
        <v/>
      </c>
      <c r="AM500" s="19">
        <f>IF(AND(ISNUMBER(L500),ISNUMBER(AL500),AL500&gt;0),L500/AL500,"")</f>
        <v/>
      </c>
      <c r="AN500" s="19">
        <f>IF(AND(ISNUMBER(AM500),ISNUMBER({ROIC})),AM500-{ROIC},"")</f>
        <v/>
      </c>
      <c r="AO500" s="17">
        <f>IF(AND(ISNUMBER(AC500),ISNUMBER(M500)),AC500+M500,"")</f>
        <v/>
      </c>
      <c r="AP500" s="20">
        <f>IF(AND(ISNUMBER(AF500),ISNUMBER(R500),ISNUMBER(AO500),AO500&gt;0),(AF500-R500)/AO500,"")</f>
        <v/>
      </c>
      <c r="AQ500" s="20">
        <f>IF(AND(ISNUMBER(AC500),ISNUMBER(I500),I500&lt;&gt;0,AC500&gt;0),AC500/I500,"")</f>
        <v/>
      </c>
      <c r="AR500" s="17">
        <f>IF(AND(ISNUMBER(W500),ISNUMBER(Y500)),W500-IF(ISNUMBER(R500),R500,0)-(Y500-IF(ISNUMBER(T500),T500,0)),"")</f>
        <v/>
      </c>
      <c r="AS500" s="17">
        <f>IF(AND(ISNUMBER(X500),ISNUMBER(Z500)),X500-IF(ISNUMBER(S500),S500,0)-(Z500-IF(ISNUMBER(U500),U500,0)),"")</f>
        <v/>
      </c>
      <c r="AT500" s="17">
        <f>IF(AND(ISNUMBER(AR500),ISNUMBER(AS500)),AR500-AS500,"")</f>
        <v/>
      </c>
      <c r="AU500" s="17">
        <f>IF(E500="금융","",IF(AND(ISNUMBER(L500),ISNUMBER(M500),ISNUMBER(N500),ISNUMBER(AT500)),L500+M500-N500-AT500,IF(AND(ISNUMBER(O500),ISNUMBER(N500)),O500-N500,"")))</f>
        <v/>
      </c>
      <c r="AV500" s="8">
        <f>IF(E500="금융","금융업 - 정의되지 않음",IF(AND(ISNUMBER(L500),ISNUMBER(M500),ISNUMBER(N500),ISNUMBER(AT500)),"순이익+감가상각-설비투자-운전자본증감",IF(AND(ISNUMBER(O500),ISNUMBER(N500)),"영업현금흐름-설비투자","산출불가")))</f>
        <v/>
      </c>
      <c r="AW500" s="19">
        <f>IF(AND(ISNUMBER(AU500),ISNUMBER(G500),G500&lt;&gt;0),AU500/G500,"")</f>
        <v/>
      </c>
      <c r="AX500" s="19">
        <f>IF(AND(ISNUMBER(AC500),ISNUMBER(G500),G500&lt;&gt;0),AC500/G500,"")</f>
        <v/>
      </c>
    </row>
    <row r="501">
      <c r="A501" s="8" t="inlineStr">
        <is>
          <t>DELL</t>
        </is>
      </c>
      <c r="B501" s="8" t="inlineStr">
        <is>
          <t>Dell Technologies Inc.</t>
        </is>
      </c>
      <c r="C501" s="8" t="n">
        <v>2024</v>
      </c>
      <c r="D501" s="8" t="inlineStr">
        <is>
          <t>2025-01-31</t>
        </is>
      </c>
      <c r="E501" s="8" t="inlineStr">
        <is>
          <t>일반</t>
        </is>
      </c>
      <c r="F501" s="8" t="inlineStr">
        <is>
          <t>0001571996-26-000008</t>
        </is>
      </c>
      <c r="G501" s="15" t="n">
        <v>95.56699999999999</v>
      </c>
      <c r="H501" s="15" t="n">
        <v>5.048</v>
      </c>
      <c r="I501" s="15" t="n">
        <v>1.394</v>
      </c>
      <c r="J501" s="15" t="n">
        <v>0.472</v>
      </c>
      <c r="K501" s="15" t="n">
        <v>6.237</v>
      </c>
      <c r="L501" s="15" t="n">
        <v>4.592</v>
      </c>
      <c r="M501" s="15" t="n">
        <v>3.123</v>
      </c>
      <c r="N501" s="15" t="n">
        <v>2.652</v>
      </c>
      <c r="O501" s="15" t="n">
        <v>4.521</v>
      </c>
      <c r="P501" s="15" t="n">
        <v>-1.482</v>
      </c>
      <c r="Q501" s="15" t="n">
        <v>-2.227</v>
      </c>
      <c r="R501" s="15" t="n">
        <v>3.633</v>
      </c>
      <c r="S501" s="15" t="n">
        <v>7.366</v>
      </c>
      <c r="T501" s="15" t="n">
        <v>5.204</v>
      </c>
      <c r="U501" s="15" t="n">
        <v>6.982</v>
      </c>
      <c r="V501" s="15" t="n">
        <v>19.363</v>
      </c>
      <c r="W501" s="15" t="n">
        <v>36.229</v>
      </c>
      <c r="X501" s="15" t="n">
        <v>35.984</v>
      </c>
      <c r="Y501" s="15" t="n">
        <v>46.527</v>
      </c>
      <c r="Z501" s="15" t="n">
        <v>48.354</v>
      </c>
      <c r="AA501" s="15" t="n">
        <v>16.401</v>
      </c>
      <c r="AB501" s="16" t="n">
        <v>696</v>
      </c>
      <c r="AC501" s="17">
        <f>IF(AND(ISNUMBER(H501),ISNUMBER(I501)),H501+I501,IF(ISNUMBER(K501),K501,IF(ISNUMBER(H501),H501,"")))</f>
        <v/>
      </c>
      <c r="AD501" s="18">
        <f>IF(OR(NOT(ISNUMBER(J501)),NOT(ISNUMBER(H501)),H501&lt;=0),기준표!$B$8,MIN(MAX(J501/H501,기준표!$B$6),기준표!$B$7))</f>
        <v/>
      </c>
      <c r="AE501" s="17">
        <f>IF(ISNUMBER(AC501),AC501*(1-AD501),"")</f>
        <v/>
      </c>
      <c r="AF501" s="17">
        <f>IF(AND(NOT(ISNUMBER(T501)),NOT(ISNUMBER(V501))),"",IF(ISNUMBER(T501),T501,0)+IF(ISNUMBER(V501),V501,0))</f>
        <v/>
      </c>
      <c r="AG501" s="17">
        <f>IF(E501="금융","",IF(AND(ISNUMBER(P501),ISNUMBER(AF501),ISNUMBER(R501)),P501+AF501-R501,""))</f>
        <v/>
      </c>
      <c r="AH501" s="17">
        <f>IF(E501="금융","",IF(NOT(ISNUMBER(AG501)),"",IF(ISNUMBER(AA501),(AG501+AA501)/2,AG501)))</f>
        <v/>
      </c>
      <c r="AI501" s="19">
        <f>IF(AND(ISNUMBER(AE501),ISNUMBER(AH501),AH501&gt;0),AE501/AH501,"")</f>
        <v/>
      </c>
      <c r="AJ501" s="17">
        <f>IF(E501="금융","",IF(AND(ISNUMBER(P501),ISNUMBER(AF501)),P501+AF501,""))</f>
        <v/>
      </c>
      <c r="AK501" s="19">
        <f>IF(OR(NOT(ISNUMBER(AE501)),NOT(ISNUMBER(AJ501)),AJ501&lt;=0),"",IF(AND(ISNUMBER(G501),AJ501&lt;0.1*G501),"",AE501/AJ501))</f>
        <v/>
      </c>
      <c r="AL501" s="17">
        <f>IF(NOT(ISNUMBER(P501)),"",IF(ISNUMBER(Q501),(P501+Q501)/2,P501))</f>
        <v/>
      </c>
      <c r="AM501" s="19">
        <f>IF(AND(ISNUMBER(L501),ISNUMBER(AL501),AL501&gt;0),L501/AL501,"")</f>
        <v/>
      </c>
      <c r="AN501" s="19">
        <f>IF(AND(ISNUMBER(AM501),ISNUMBER({ROIC})),AM501-{ROIC},"")</f>
        <v/>
      </c>
      <c r="AO501" s="17">
        <f>IF(AND(ISNUMBER(AC501),ISNUMBER(M501)),AC501+M501,"")</f>
        <v/>
      </c>
      <c r="AP501" s="20">
        <f>IF(AND(ISNUMBER(AF501),ISNUMBER(R501),ISNUMBER(AO501),AO501&gt;0),(AF501-R501)/AO501,"")</f>
        <v/>
      </c>
      <c r="AQ501" s="20">
        <f>IF(AND(ISNUMBER(AC501),ISNUMBER(I501),I501&lt;&gt;0,AC501&gt;0),AC501/I501,"")</f>
        <v/>
      </c>
      <c r="AR501" s="17">
        <f>IF(AND(ISNUMBER(W501),ISNUMBER(Y501)),W501-IF(ISNUMBER(R501),R501,0)-(Y501-IF(ISNUMBER(T501),T501,0)),"")</f>
        <v/>
      </c>
      <c r="AS501" s="17">
        <f>IF(AND(ISNUMBER(X501),ISNUMBER(Z501)),X501-IF(ISNUMBER(S501),S501,0)-(Z501-IF(ISNUMBER(U501),U501,0)),"")</f>
        <v/>
      </c>
      <c r="AT501" s="17">
        <f>IF(AND(ISNUMBER(AR501),ISNUMBER(AS501)),AR501-AS501,"")</f>
        <v/>
      </c>
      <c r="AU501" s="17">
        <f>IF(E501="금융","",IF(AND(ISNUMBER(L501),ISNUMBER(M501),ISNUMBER(N501),ISNUMBER(AT501)),L501+M501-N501-AT501,IF(AND(ISNUMBER(O501),ISNUMBER(N501)),O501-N501,"")))</f>
        <v/>
      </c>
      <c r="AV501" s="8">
        <f>IF(E501="금융","금융업 - 정의되지 않음",IF(AND(ISNUMBER(L501),ISNUMBER(M501),ISNUMBER(N501),ISNUMBER(AT501)),"순이익+감가상각-설비투자-운전자본증감",IF(AND(ISNUMBER(O501),ISNUMBER(N501)),"영업현금흐름-설비투자","산출불가")))</f>
        <v/>
      </c>
      <c r="AW501" s="19">
        <f>IF(AND(ISNUMBER(AU501),ISNUMBER(G501),G501&lt;&gt;0),AU501/G501,"")</f>
        <v/>
      </c>
      <c r="AX501" s="19">
        <f>IF(AND(ISNUMBER(AC501),ISNUMBER(G501),G501&lt;&gt;0),AC501/G501,"")</f>
        <v/>
      </c>
    </row>
    <row r="502">
      <c r="A502" s="8" t="inlineStr">
        <is>
          <t>DELL</t>
        </is>
      </c>
      <c r="B502" s="8" t="inlineStr">
        <is>
          <t>Dell Technologies Inc.</t>
        </is>
      </c>
      <c r="C502" s="8" t="n">
        <v>2025</v>
      </c>
      <c r="D502" s="8" t="inlineStr">
        <is>
          <t>2026-01-30</t>
        </is>
      </c>
      <c r="E502" s="8" t="inlineStr">
        <is>
          <t>일반</t>
        </is>
      </c>
      <c r="F502" s="8" t="inlineStr">
        <is>
          <t>0001571996-26-000008</t>
        </is>
      </c>
      <c r="G502" s="15" t="n">
        <v>113.538</v>
      </c>
      <c r="H502" s="15" t="n">
        <v>7.263</v>
      </c>
      <c r="I502" s="15" t="n">
        <v>1.56</v>
      </c>
      <c r="J502" s="15" t="n">
        <v>1.327</v>
      </c>
      <c r="K502" s="15" t="n">
        <v>8.148999999999999</v>
      </c>
      <c r="L502" s="15" t="n">
        <v>5.936</v>
      </c>
      <c r="M502" s="15" t="n">
        <v>3.029</v>
      </c>
      <c r="N502" s="15" t="n">
        <v>2.633</v>
      </c>
      <c r="O502" s="15" t="n">
        <v>11.185</v>
      </c>
      <c r="P502" s="15" t="n">
        <v>-2.47</v>
      </c>
      <c r="Q502" s="15" t="n">
        <v>-1.482</v>
      </c>
      <c r="R502" s="15" t="n">
        <v>11.528</v>
      </c>
      <c r="S502" s="15" t="n">
        <v>3.633</v>
      </c>
      <c r="T502" s="15" t="n">
        <v>7.99</v>
      </c>
      <c r="U502" s="15" t="n">
        <v>5.204</v>
      </c>
      <c r="V502" s="15" t="n">
        <v>23.513</v>
      </c>
      <c r="W502" s="15" t="n">
        <v>57.602</v>
      </c>
      <c r="X502" s="15" t="n">
        <v>36.229</v>
      </c>
      <c r="Y502" s="15" t="n">
        <v>63.269</v>
      </c>
      <c r="Z502" s="15" t="n">
        <v>46.527</v>
      </c>
      <c r="AA502" s="15" t="n">
        <v>19.452</v>
      </c>
      <c r="AB502" s="16" t="n">
        <v>652</v>
      </c>
      <c r="AC502" s="17">
        <f>IF(AND(ISNUMBER(H502),ISNUMBER(I502)),H502+I502,IF(ISNUMBER(K502),K502,IF(ISNUMBER(H502),H502,"")))</f>
        <v/>
      </c>
      <c r="AD502" s="18">
        <f>IF(OR(NOT(ISNUMBER(J502)),NOT(ISNUMBER(H502)),H502&lt;=0),기준표!$B$8,MIN(MAX(J502/H502,기준표!$B$6),기준표!$B$7))</f>
        <v/>
      </c>
      <c r="AE502" s="17">
        <f>IF(ISNUMBER(AC502),AC502*(1-AD502),"")</f>
        <v/>
      </c>
      <c r="AF502" s="17">
        <f>IF(AND(NOT(ISNUMBER(T502)),NOT(ISNUMBER(V502))),"",IF(ISNUMBER(T502),T502,0)+IF(ISNUMBER(V502),V502,0))</f>
        <v/>
      </c>
      <c r="AG502" s="17">
        <f>IF(E502="금융","",IF(AND(ISNUMBER(P502),ISNUMBER(AF502),ISNUMBER(R502)),P502+AF502-R502,""))</f>
        <v/>
      </c>
      <c r="AH502" s="17">
        <f>IF(E502="금융","",IF(NOT(ISNUMBER(AG502)),"",IF(ISNUMBER(AA502),(AG502+AA502)/2,AG502)))</f>
        <v/>
      </c>
      <c r="AI502" s="19">
        <f>IF(AND(ISNUMBER(AE502),ISNUMBER(AH502),AH502&gt;0),AE502/AH502,"")</f>
        <v/>
      </c>
      <c r="AJ502" s="17">
        <f>IF(E502="금융","",IF(AND(ISNUMBER(P502),ISNUMBER(AF502)),P502+AF502,""))</f>
        <v/>
      </c>
      <c r="AK502" s="19">
        <f>IF(OR(NOT(ISNUMBER(AE502)),NOT(ISNUMBER(AJ502)),AJ502&lt;=0),"",IF(AND(ISNUMBER(G502),AJ502&lt;0.1*G502),"",AE502/AJ502))</f>
        <v/>
      </c>
      <c r="AL502" s="17">
        <f>IF(NOT(ISNUMBER(P502)),"",IF(ISNUMBER(Q502),(P502+Q502)/2,P502))</f>
        <v/>
      </c>
      <c r="AM502" s="19">
        <f>IF(AND(ISNUMBER(L502),ISNUMBER(AL502),AL502&gt;0),L502/AL502,"")</f>
        <v/>
      </c>
      <c r="AN502" s="19">
        <f>IF(AND(ISNUMBER(AM502),ISNUMBER({ROIC})),AM502-{ROIC},"")</f>
        <v/>
      </c>
      <c r="AO502" s="17">
        <f>IF(AND(ISNUMBER(AC502),ISNUMBER(M502)),AC502+M502,"")</f>
        <v/>
      </c>
      <c r="AP502" s="20">
        <f>IF(AND(ISNUMBER(AF502),ISNUMBER(R502),ISNUMBER(AO502),AO502&gt;0),(AF502-R502)/AO502,"")</f>
        <v/>
      </c>
      <c r="AQ502" s="20">
        <f>IF(AND(ISNUMBER(AC502),ISNUMBER(I502),I502&lt;&gt;0,AC502&gt;0),AC502/I502,"")</f>
        <v/>
      </c>
      <c r="AR502" s="17">
        <f>IF(AND(ISNUMBER(W502),ISNUMBER(Y502)),W502-IF(ISNUMBER(R502),R502,0)-(Y502-IF(ISNUMBER(T502),T502,0)),"")</f>
        <v/>
      </c>
      <c r="AS502" s="17">
        <f>IF(AND(ISNUMBER(X502),ISNUMBER(Z502)),X502-IF(ISNUMBER(S502),S502,0)-(Z502-IF(ISNUMBER(U502),U502,0)),"")</f>
        <v/>
      </c>
      <c r="AT502" s="17">
        <f>IF(AND(ISNUMBER(AR502),ISNUMBER(AS502)),AR502-AS502,"")</f>
        <v/>
      </c>
      <c r="AU502" s="17">
        <f>IF(E502="금융","",IF(AND(ISNUMBER(L502),ISNUMBER(M502),ISNUMBER(N502),ISNUMBER(AT502)),L502+M502-N502-AT502,IF(AND(ISNUMBER(O502),ISNUMBER(N502)),O502-N502,"")))</f>
        <v/>
      </c>
      <c r="AV502" s="8">
        <f>IF(E502="금융","금융업 - 정의되지 않음",IF(AND(ISNUMBER(L502),ISNUMBER(M502),ISNUMBER(N502),ISNUMBER(AT502)),"순이익+감가상각-설비투자-운전자본증감",IF(AND(ISNUMBER(O502),ISNUMBER(N502)),"영업현금흐름-설비투자","산출불가")))</f>
        <v/>
      </c>
      <c r="AW502" s="19">
        <f>IF(AND(ISNUMBER(AU502),ISNUMBER(G502),G502&lt;&gt;0),AU502/G502,"")</f>
        <v/>
      </c>
      <c r="AX502" s="19">
        <f>IF(AND(ISNUMBER(AC502),ISNUMBER(G502),G502&lt;&gt;0),AC502/G502,"")</f>
        <v/>
      </c>
    </row>
    <row r="503">
      <c r="A503" s="8" t="inlineStr">
        <is>
          <t>WFC</t>
        </is>
      </c>
      <c r="B503" s="8" t="inlineStr">
        <is>
          <t>WELLS FARGO &amp; COMPANY/MN</t>
        </is>
      </c>
      <c r="C503" s="8" t="n">
        <v>2014</v>
      </c>
      <c r="D503" s="8" t="inlineStr">
        <is>
          <t>2014-12-31</t>
        </is>
      </c>
      <c r="E503" s="8" t="inlineStr">
        <is>
          <t>금융</t>
        </is>
      </c>
      <c r="F503" s="8" t="inlineStr">
        <is>
          <t>0000072971-17-000278</t>
        </is>
      </c>
      <c r="G503" s="15" t="n"/>
      <c r="H503" s="15" t="n">
        <v>33.915</v>
      </c>
      <c r="I503" s="15" t="n">
        <v>0.382</v>
      </c>
      <c r="J503" s="15" t="n">
        <v>10.307</v>
      </c>
      <c r="K503" s="15" t="n"/>
      <c r="L503" s="15" t="n">
        <v>23.057</v>
      </c>
      <c r="M503" s="15" t="n">
        <v>2.515</v>
      </c>
      <c r="N503" s="15" t="n"/>
      <c r="O503" s="15" t="n">
        <v>17.529</v>
      </c>
      <c r="P503" s="15" t="n">
        <v>184.394</v>
      </c>
      <c r="Q503" s="15" t="n"/>
      <c r="R503" s="15" t="n"/>
      <c r="S503" s="15" t="n"/>
      <c r="T503" s="15" t="n">
        <v>63.518</v>
      </c>
      <c r="U503" s="15" t="n"/>
      <c r="V503" s="15" t="n">
        <v>183.943</v>
      </c>
      <c r="W503" s="15" t="n"/>
      <c r="X503" s="15" t="n"/>
      <c r="Y503" s="15" t="n"/>
      <c r="Z503" s="15" t="n"/>
      <c r="AA503" s="15" t="n"/>
      <c r="AB503" s="16" t="n">
        <v>5324.4</v>
      </c>
      <c r="AC503" s="17">
        <f>IF(AND(ISNUMBER(H503),ISNUMBER(I503)),H503+I503,IF(ISNUMBER(K503),K503,IF(ISNUMBER(H503),H503,"")))</f>
        <v/>
      </c>
      <c r="AD503" s="18">
        <f>IF(OR(NOT(ISNUMBER(J503)),NOT(ISNUMBER(H503)),H503&lt;=0),기준표!$B$8,MIN(MAX(J503/H503,기준표!$B$6),기준표!$B$7))</f>
        <v/>
      </c>
      <c r="AE503" s="17">
        <f>IF(ISNUMBER(AC503),AC503*(1-AD503),"")</f>
        <v/>
      </c>
      <c r="AF503" s="17">
        <f>IF(AND(NOT(ISNUMBER(T503)),NOT(ISNUMBER(V503))),"",IF(ISNUMBER(T503),T503,0)+IF(ISNUMBER(V503),V503,0))</f>
        <v/>
      </c>
      <c r="AG503" s="17">
        <f>IF(E503="금융","",IF(AND(ISNUMBER(P503),ISNUMBER(AF503),ISNUMBER(R503)),P503+AF503-R503,""))</f>
        <v/>
      </c>
      <c r="AH503" s="17">
        <f>IF(E503="금융","",IF(NOT(ISNUMBER(AG503)),"",IF(ISNUMBER(AA503),(AG503+AA503)/2,AG503)))</f>
        <v/>
      </c>
      <c r="AI503" s="19">
        <f>IF(AND(ISNUMBER(AE503),ISNUMBER(AH503),AH503&gt;0),AE503/AH503,"")</f>
        <v/>
      </c>
      <c r="AJ503" s="17">
        <f>IF(E503="금융","",IF(AND(ISNUMBER(P503),ISNUMBER(AF503)),P503+AF503,""))</f>
        <v/>
      </c>
      <c r="AK503" s="19">
        <f>IF(OR(NOT(ISNUMBER(AE503)),NOT(ISNUMBER(AJ503)),AJ503&lt;=0),"",IF(AND(ISNUMBER(G503),AJ503&lt;0.1*G503),"",AE503/AJ503))</f>
        <v/>
      </c>
      <c r="AL503" s="17">
        <f>IF(NOT(ISNUMBER(P503)),"",IF(ISNUMBER(Q503),(P503+Q503)/2,P503))</f>
        <v/>
      </c>
      <c r="AM503" s="19">
        <f>IF(AND(ISNUMBER(L503),ISNUMBER(AL503),AL503&gt;0),L503/AL503,"")</f>
        <v/>
      </c>
      <c r="AN503" s="19">
        <f>IF(AND(ISNUMBER(AM503),ISNUMBER({ROIC})),AM503-{ROIC},"")</f>
        <v/>
      </c>
      <c r="AO503" s="17">
        <f>IF(AND(ISNUMBER(AC503),ISNUMBER(M503)),AC503+M503,"")</f>
        <v/>
      </c>
      <c r="AP503" s="20">
        <f>IF(AND(ISNUMBER(AF503),ISNUMBER(R503),ISNUMBER(AO503),AO503&gt;0),(AF503-R503)/AO503,"")</f>
        <v/>
      </c>
      <c r="AQ503" s="20">
        <f>IF(AND(ISNUMBER(AC503),ISNUMBER(I503),I503&lt;&gt;0,AC503&gt;0),AC503/I503,"")</f>
        <v/>
      </c>
      <c r="AR503" s="17">
        <f>IF(AND(ISNUMBER(W503),ISNUMBER(Y503)),W503-IF(ISNUMBER(R503),R503,0)-(Y503-IF(ISNUMBER(T503),T503,0)),"")</f>
        <v/>
      </c>
      <c r="AS503" s="17">
        <f>IF(AND(ISNUMBER(X503),ISNUMBER(Z503)),X503-IF(ISNUMBER(S503),S503,0)-(Z503-IF(ISNUMBER(U503),U503,0)),"")</f>
        <v/>
      </c>
      <c r="AT503" s="17">
        <f>IF(AND(ISNUMBER(AR503),ISNUMBER(AS503)),AR503-AS503,"")</f>
        <v/>
      </c>
      <c r="AU503" s="17">
        <f>IF(E503="금융","",IF(AND(ISNUMBER(L503),ISNUMBER(M503),ISNUMBER(N503),ISNUMBER(AT503)),L503+M503-N503-AT503,IF(AND(ISNUMBER(O503),ISNUMBER(N503)),O503-N503,"")))</f>
        <v/>
      </c>
      <c r="AV503" s="8">
        <f>IF(E503="금융","금융업 - 정의되지 않음",IF(AND(ISNUMBER(L503),ISNUMBER(M503),ISNUMBER(N503),ISNUMBER(AT503)),"순이익+감가상각-설비투자-운전자본증감",IF(AND(ISNUMBER(O503),ISNUMBER(N503)),"영업현금흐름-설비투자","산출불가")))</f>
        <v/>
      </c>
      <c r="AW503" s="19">
        <f>IF(AND(ISNUMBER(AU503),ISNUMBER(G503),G503&lt;&gt;0),AU503/G503,"")</f>
        <v/>
      </c>
      <c r="AX503" s="19">
        <f>IF(AND(ISNUMBER(AC503),ISNUMBER(G503),G503&lt;&gt;0),AC503/G503,"")</f>
        <v/>
      </c>
    </row>
    <row r="504">
      <c r="A504" s="8" t="inlineStr">
        <is>
          <t>WFC</t>
        </is>
      </c>
      <c r="B504" s="8" t="inlineStr">
        <is>
          <t>WELLS FARGO &amp; COMPANY/MN</t>
        </is>
      </c>
      <c r="C504" s="8" t="n">
        <v>2015</v>
      </c>
      <c r="D504" s="8" t="inlineStr">
        <is>
          <t>2015-12-31</t>
        </is>
      </c>
      <c r="E504" s="8" t="inlineStr">
        <is>
          <t>금융</t>
        </is>
      </c>
      <c r="F504" s="8" t="inlineStr">
        <is>
          <t>0000072971-18-000272</t>
        </is>
      </c>
      <c r="G504" s="15" t="n"/>
      <c r="H504" s="15" t="n">
        <v>33.641</v>
      </c>
      <c r="I504" s="15" t="n">
        <v>0.357</v>
      </c>
      <c r="J504" s="15" t="n">
        <v>10.365</v>
      </c>
      <c r="K504" s="15" t="n"/>
      <c r="L504" s="15" t="n">
        <v>22.894</v>
      </c>
      <c r="M504" s="15" t="n">
        <v>3.288</v>
      </c>
      <c r="N504" s="15" t="n"/>
      <c r="O504" s="15" t="n">
        <v>15.904</v>
      </c>
      <c r="P504" s="15" t="n">
        <v>192.998</v>
      </c>
      <c r="Q504" s="15" t="n">
        <v>184.394</v>
      </c>
      <c r="R504" s="15" t="n">
        <v>243.413</v>
      </c>
      <c r="S504" s="15" t="n"/>
      <c r="T504" s="15" t="n">
        <v>97.52800000000001</v>
      </c>
      <c r="U504" s="15" t="n">
        <v>63.518</v>
      </c>
      <c r="V504" s="15" t="n">
        <v>199.536</v>
      </c>
      <c r="W504" s="15" t="n"/>
      <c r="X504" s="15" t="n"/>
      <c r="Y504" s="15" t="n"/>
      <c r="Z504" s="15" t="n"/>
      <c r="AA504" s="15" t="n"/>
      <c r="AB504" s="16" t="n">
        <v>5209.8</v>
      </c>
      <c r="AC504" s="17">
        <f>IF(AND(ISNUMBER(H504),ISNUMBER(I504)),H504+I504,IF(ISNUMBER(K504),K504,IF(ISNUMBER(H504),H504,"")))</f>
        <v/>
      </c>
      <c r="AD504" s="18">
        <f>IF(OR(NOT(ISNUMBER(J504)),NOT(ISNUMBER(H504)),H504&lt;=0),기준표!$B$8,MIN(MAX(J504/H504,기준표!$B$6),기준표!$B$7))</f>
        <v/>
      </c>
      <c r="AE504" s="17">
        <f>IF(ISNUMBER(AC504),AC504*(1-AD504),"")</f>
        <v/>
      </c>
      <c r="AF504" s="17">
        <f>IF(AND(NOT(ISNUMBER(T504)),NOT(ISNUMBER(V504))),"",IF(ISNUMBER(T504),T504,0)+IF(ISNUMBER(V504),V504,0))</f>
        <v/>
      </c>
      <c r="AG504" s="17">
        <f>IF(E504="금융","",IF(AND(ISNUMBER(P504),ISNUMBER(AF504),ISNUMBER(R504)),P504+AF504-R504,""))</f>
        <v/>
      </c>
      <c r="AH504" s="17">
        <f>IF(E504="금융","",IF(NOT(ISNUMBER(AG504)),"",IF(ISNUMBER(AA504),(AG504+AA504)/2,AG504)))</f>
        <v/>
      </c>
      <c r="AI504" s="19">
        <f>IF(AND(ISNUMBER(AE504),ISNUMBER(AH504),AH504&gt;0),AE504/AH504,"")</f>
        <v/>
      </c>
      <c r="AJ504" s="17">
        <f>IF(E504="금융","",IF(AND(ISNUMBER(P504),ISNUMBER(AF504)),P504+AF504,""))</f>
        <v/>
      </c>
      <c r="AK504" s="19">
        <f>IF(OR(NOT(ISNUMBER(AE504)),NOT(ISNUMBER(AJ504)),AJ504&lt;=0),"",IF(AND(ISNUMBER(G504),AJ504&lt;0.1*G504),"",AE504/AJ504))</f>
        <v/>
      </c>
      <c r="AL504" s="17">
        <f>IF(NOT(ISNUMBER(P504)),"",IF(ISNUMBER(Q504),(P504+Q504)/2,P504))</f>
        <v/>
      </c>
      <c r="AM504" s="19">
        <f>IF(AND(ISNUMBER(L504),ISNUMBER(AL504),AL504&gt;0),L504/AL504,"")</f>
        <v/>
      </c>
      <c r="AN504" s="19">
        <f>IF(AND(ISNUMBER(AM504),ISNUMBER({ROIC})),AM504-{ROIC},"")</f>
        <v/>
      </c>
      <c r="AO504" s="17">
        <f>IF(AND(ISNUMBER(AC504),ISNUMBER(M504)),AC504+M504,"")</f>
        <v/>
      </c>
      <c r="AP504" s="20">
        <f>IF(AND(ISNUMBER(AF504),ISNUMBER(R504),ISNUMBER(AO504),AO504&gt;0),(AF504-R504)/AO504,"")</f>
        <v/>
      </c>
      <c r="AQ504" s="20">
        <f>IF(AND(ISNUMBER(AC504),ISNUMBER(I504),I504&lt;&gt;0,AC504&gt;0),AC504/I504,"")</f>
        <v/>
      </c>
      <c r="AR504" s="17">
        <f>IF(AND(ISNUMBER(W504),ISNUMBER(Y504)),W504-IF(ISNUMBER(R504),R504,0)-(Y504-IF(ISNUMBER(T504),T504,0)),"")</f>
        <v/>
      </c>
      <c r="AS504" s="17">
        <f>IF(AND(ISNUMBER(X504),ISNUMBER(Z504)),X504-IF(ISNUMBER(S504),S504,0)-(Z504-IF(ISNUMBER(U504),U504,0)),"")</f>
        <v/>
      </c>
      <c r="AT504" s="17">
        <f>IF(AND(ISNUMBER(AR504),ISNUMBER(AS504)),AR504-AS504,"")</f>
        <v/>
      </c>
      <c r="AU504" s="17">
        <f>IF(E504="금융","",IF(AND(ISNUMBER(L504),ISNUMBER(M504),ISNUMBER(N504),ISNUMBER(AT504)),L504+M504-N504-AT504,IF(AND(ISNUMBER(O504),ISNUMBER(N504)),O504-N504,"")))</f>
        <v/>
      </c>
      <c r="AV504" s="8">
        <f>IF(E504="금융","금융업 - 정의되지 않음",IF(AND(ISNUMBER(L504),ISNUMBER(M504),ISNUMBER(N504),ISNUMBER(AT504)),"순이익+감가상각-설비투자-운전자본증감",IF(AND(ISNUMBER(O504),ISNUMBER(N504)),"영업현금흐름-설비투자","산출불가")))</f>
        <v/>
      </c>
      <c r="AW504" s="19">
        <f>IF(AND(ISNUMBER(AU504),ISNUMBER(G504),G504&lt;&gt;0),AU504/G504,"")</f>
        <v/>
      </c>
      <c r="AX504" s="19">
        <f>IF(AND(ISNUMBER(AC504),ISNUMBER(G504),G504&lt;&gt;0),AC504/G504,"")</f>
        <v/>
      </c>
    </row>
    <row r="505">
      <c r="A505" s="8" t="inlineStr">
        <is>
          <t>WFC</t>
        </is>
      </c>
      <c r="B505" s="8" t="inlineStr">
        <is>
          <t>WELLS FARGO &amp; COMPANY/MN</t>
        </is>
      </c>
      <c r="C505" s="8" t="n">
        <v>2016</v>
      </c>
      <c r="D505" s="8" t="inlineStr">
        <is>
          <t>2016-12-31</t>
        </is>
      </c>
      <c r="E505" s="8" t="inlineStr">
        <is>
          <t>금융</t>
        </is>
      </c>
      <c r="F505" s="8" t="inlineStr">
        <is>
          <t>0000072971-19-000227</t>
        </is>
      </c>
      <c r="G505" s="15" t="n"/>
      <c r="H505" s="15" t="n">
        <v>32.12</v>
      </c>
      <c r="I505" s="15" t="n">
        <v>0.354</v>
      </c>
      <c r="J505" s="15" t="n">
        <v>10.075</v>
      </c>
      <c r="K505" s="15" t="n"/>
      <c r="L505" s="15" t="n">
        <v>21.938</v>
      </c>
      <c r="M505" s="15" t="n">
        <v>4.97</v>
      </c>
      <c r="N505" s="15" t="n"/>
      <c r="O505" s="15" t="n">
        <v>1.008</v>
      </c>
      <c r="P505" s="15" t="n">
        <v>199.581</v>
      </c>
      <c r="Q505" s="15" t="n">
        <v>192.998</v>
      </c>
      <c r="R505" s="15" t="n">
        <v>228.552</v>
      </c>
      <c r="S505" s="15" t="n">
        <v>243.413</v>
      </c>
      <c r="T505" s="15" t="n">
        <v>96.78100000000001</v>
      </c>
      <c r="U505" s="15" t="n">
        <v>97.52800000000001</v>
      </c>
      <c r="V505" s="15" t="n">
        <v>255.077</v>
      </c>
      <c r="W505" s="15" t="n"/>
      <c r="X505" s="15" t="n"/>
      <c r="Y505" s="15" t="n"/>
      <c r="Z505" s="15" t="n"/>
      <c r="AA505" s="15" t="n"/>
      <c r="AB505" s="16" t="n">
        <v>5108.3</v>
      </c>
      <c r="AC505" s="17">
        <f>IF(AND(ISNUMBER(H505),ISNUMBER(I505)),H505+I505,IF(ISNUMBER(K505),K505,IF(ISNUMBER(H505),H505,"")))</f>
        <v/>
      </c>
      <c r="AD505" s="18">
        <f>IF(OR(NOT(ISNUMBER(J505)),NOT(ISNUMBER(H505)),H505&lt;=0),기준표!$B$8,MIN(MAX(J505/H505,기준표!$B$6),기준표!$B$7))</f>
        <v/>
      </c>
      <c r="AE505" s="17">
        <f>IF(ISNUMBER(AC505),AC505*(1-AD505),"")</f>
        <v/>
      </c>
      <c r="AF505" s="17">
        <f>IF(AND(NOT(ISNUMBER(T505)),NOT(ISNUMBER(V505))),"",IF(ISNUMBER(T505),T505,0)+IF(ISNUMBER(V505),V505,0))</f>
        <v/>
      </c>
      <c r="AG505" s="17">
        <f>IF(E505="금융","",IF(AND(ISNUMBER(P505),ISNUMBER(AF505),ISNUMBER(R505)),P505+AF505-R505,""))</f>
        <v/>
      </c>
      <c r="AH505" s="17">
        <f>IF(E505="금융","",IF(NOT(ISNUMBER(AG505)),"",IF(ISNUMBER(AA505),(AG505+AA505)/2,AG505)))</f>
        <v/>
      </c>
      <c r="AI505" s="19">
        <f>IF(AND(ISNUMBER(AE505),ISNUMBER(AH505),AH505&gt;0),AE505/AH505,"")</f>
        <v/>
      </c>
      <c r="AJ505" s="17">
        <f>IF(E505="금융","",IF(AND(ISNUMBER(P505),ISNUMBER(AF505)),P505+AF505,""))</f>
        <v/>
      </c>
      <c r="AK505" s="19">
        <f>IF(OR(NOT(ISNUMBER(AE505)),NOT(ISNUMBER(AJ505)),AJ505&lt;=0),"",IF(AND(ISNUMBER(G505),AJ505&lt;0.1*G505),"",AE505/AJ505))</f>
        <v/>
      </c>
      <c r="AL505" s="17">
        <f>IF(NOT(ISNUMBER(P505)),"",IF(ISNUMBER(Q505),(P505+Q505)/2,P505))</f>
        <v/>
      </c>
      <c r="AM505" s="19">
        <f>IF(AND(ISNUMBER(L505),ISNUMBER(AL505),AL505&gt;0),L505/AL505,"")</f>
        <v/>
      </c>
      <c r="AN505" s="19">
        <f>IF(AND(ISNUMBER(AM505),ISNUMBER({ROIC})),AM505-{ROIC},"")</f>
        <v/>
      </c>
      <c r="AO505" s="17">
        <f>IF(AND(ISNUMBER(AC505),ISNUMBER(M505)),AC505+M505,"")</f>
        <v/>
      </c>
      <c r="AP505" s="20">
        <f>IF(AND(ISNUMBER(AF505),ISNUMBER(R505),ISNUMBER(AO505),AO505&gt;0),(AF505-R505)/AO505,"")</f>
        <v/>
      </c>
      <c r="AQ505" s="20">
        <f>IF(AND(ISNUMBER(AC505),ISNUMBER(I505),I505&lt;&gt;0,AC505&gt;0),AC505/I505,"")</f>
        <v/>
      </c>
      <c r="AR505" s="17">
        <f>IF(AND(ISNUMBER(W505),ISNUMBER(Y505)),W505-IF(ISNUMBER(R505),R505,0)-(Y505-IF(ISNUMBER(T505),T505,0)),"")</f>
        <v/>
      </c>
      <c r="AS505" s="17">
        <f>IF(AND(ISNUMBER(X505),ISNUMBER(Z505)),X505-IF(ISNUMBER(S505),S505,0)-(Z505-IF(ISNUMBER(U505),U505,0)),"")</f>
        <v/>
      </c>
      <c r="AT505" s="17">
        <f>IF(AND(ISNUMBER(AR505),ISNUMBER(AS505)),AR505-AS505,"")</f>
        <v/>
      </c>
      <c r="AU505" s="17">
        <f>IF(E505="금융","",IF(AND(ISNUMBER(L505),ISNUMBER(M505),ISNUMBER(N505),ISNUMBER(AT505)),L505+M505-N505-AT505,IF(AND(ISNUMBER(O505),ISNUMBER(N505)),O505-N505,"")))</f>
        <v/>
      </c>
      <c r="AV505" s="8">
        <f>IF(E505="금융","금융업 - 정의되지 않음",IF(AND(ISNUMBER(L505),ISNUMBER(M505),ISNUMBER(N505),ISNUMBER(AT505)),"순이익+감가상각-설비투자-운전자본증감",IF(AND(ISNUMBER(O505),ISNUMBER(N505)),"영업현금흐름-설비투자","산출불가")))</f>
        <v/>
      </c>
      <c r="AW505" s="19">
        <f>IF(AND(ISNUMBER(AU505),ISNUMBER(G505),G505&lt;&gt;0),AU505/G505,"")</f>
        <v/>
      </c>
      <c r="AX505" s="19">
        <f>IF(AND(ISNUMBER(AC505),ISNUMBER(G505),G505&lt;&gt;0),AC505/G505,"")</f>
        <v/>
      </c>
    </row>
    <row r="506">
      <c r="A506" s="8" t="inlineStr">
        <is>
          <t>WFC</t>
        </is>
      </c>
      <c r="B506" s="8" t="inlineStr">
        <is>
          <t>WELLS FARGO &amp; COMPANY/MN</t>
        </is>
      </c>
      <c r="C506" s="8" t="n">
        <v>2017</v>
      </c>
      <c r="D506" s="8" t="inlineStr">
        <is>
          <t>2017-12-31</t>
        </is>
      </c>
      <c r="E506" s="8" t="inlineStr">
        <is>
          <t>금융</t>
        </is>
      </c>
      <c r="F506" s="8" t="inlineStr">
        <is>
          <t>0000072971-20-000217</t>
        </is>
      </c>
      <c r="G506" s="15" t="n"/>
      <c r="H506" s="15" t="n">
        <v>27.377</v>
      </c>
      <c r="I506" s="15" t="n">
        <v>0.424</v>
      </c>
      <c r="J506" s="15" t="n">
        <v>4.917</v>
      </c>
      <c r="K506" s="15" t="n"/>
      <c r="L506" s="15" t="n">
        <v>22.183</v>
      </c>
      <c r="M506" s="15" t="n">
        <v>5.406</v>
      </c>
      <c r="N506" s="15" t="n"/>
      <c r="O506" s="15" t="n">
        <v>18.619</v>
      </c>
      <c r="P506" s="15" t="n">
        <v>206.936</v>
      </c>
      <c r="Q506" s="15" t="n">
        <v>199.581</v>
      </c>
      <c r="R506" s="15" t="n">
        <v>216.973</v>
      </c>
      <c r="S506" s="15" t="n">
        <v>228.552</v>
      </c>
      <c r="T506" s="15" t="n">
        <v>103.256</v>
      </c>
      <c r="U506" s="15" t="n">
        <v>96.78100000000001</v>
      </c>
      <c r="V506" s="15" t="n">
        <v>225.02</v>
      </c>
      <c r="W506" s="15" t="n"/>
      <c r="X506" s="15" t="n"/>
      <c r="Y506" s="15" t="n"/>
      <c r="Z506" s="15" t="n"/>
      <c r="AA506" s="15" t="n"/>
      <c r="AB506" s="16" t="n">
        <v>5017.3</v>
      </c>
      <c r="AC506" s="17">
        <f>IF(AND(ISNUMBER(H506),ISNUMBER(I506)),H506+I506,IF(ISNUMBER(K506),K506,IF(ISNUMBER(H506),H506,"")))</f>
        <v/>
      </c>
      <c r="AD506" s="18">
        <f>IF(OR(NOT(ISNUMBER(J506)),NOT(ISNUMBER(H506)),H506&lt;=0),기준표!$B$8,MIN(MAX(J506/H506,기준표!$B$6),기준표!$B$7))</f>
        <v/>
      </c>
      <c r="AE506" s="17">
        <f>IF(ISNUMBER(AC506),AC506*(1-AD506),"")</f>
        <v/>
      </c>
      <c r="AF506" s="17">
        <f>IF(AND(NOT(ISNUMBER(T506)),NOT(ISNUMBER(V506))),"",IF(ISNUMBER(T506),T506,0)+IF(ISNUMBER(V506),V506,0))</f>
        <v/>
      </c>
      <c r="AG506" s="17">
        <f>IF(E506="금융","",IF(AND(ISNUMBER(P506),ISNUMBER(AF506),ISNUMBER(R506)),P506+AF506-R506,""))</f>
        <v/>
      </c>
      <c r="AH506" s="17">
        <f>IF(E506="금융","",IF(NOT(ISNUMBER(AG506)),"",IF(ISNUMBER(AA506),(AG506+AA506)/2,AG506)))</f>
        <v/>
      </c>
      <c r="AI506" s="19">
        <f>IF(AND(ISNUMBER(AE506),ISNUMBER(AH506),AH506&gt;0),AE506/AH506,"")</f>
        <v/>
      </c>
      <c r="AJ506" s="17">
        <f>IF(E506="금융","",IF(AND(ISNUMBER(P506),ISNUMBER(AF506)),P506+AF506,""))</f>
        <v/>
      </c>
      <c r="AK506" s="19">
        <f>IF(OR(NOT(ISNUMBER(AE506)),NOT(ISNUMBER(AJ506)),AJ506&lt;=0),"",IF(AND(ISNUMBER(G506),AJ506&lt;0.1*G506),"",AE506/AJ506))</f>
        <v/>
      </c>
      <c r="AL506" s="17">
        <f>IF(NOT(ISNUMBER(P506)),"",IF(ISNUMBER(Q506),(P506+Q506)/2,P506))</f>
        <v/>
      </c>
      <c r="AM506" s="19">
        <f>IF(AND(ISNUMBER(L506),ISNUMBER(AL506),AL506&gt;0),L506/AL506,"")</f>
        <v/>
      </c>
      <c r="AN506" s="19">
        <f>IF(AND(ISNUMBER(AM506),ISNUMBER({ROIC})),AM506-{ROIC},"")</f>
        <v/>
      </c>
      <c r="AO506" s="17">
        <f>IF(AND(ISNUMBER(AC506),ISNUMBER(M506)),AC506+M506,"")</f>
        <v/>
      </c>
      <c r="AP506" s="20">
        <f>IF(AND(ISNUMBER(AF506),ISNUMBER(R506),ISNUMBER(AO506),AO506&gt;0),(AF506-R506)/AO506,"")</f>
        <v/>
      </c>
      <c r="AQ506" s="20">
        <f>IF(AND(ISNUMBER(AC506),ISNUMBER(I506),I506&lt;&gt;0,AC506&gt;0),AC506/I506,"")</f>
        <v/>
      </c>
      <c r="AR506" s="17">
        <f>IF(AND(ISNUMBER(W506),ISNUMBER(Y506)),W506-IF(ISNUMBER(R506),R506,0)-(Y506-IF(ISNUMBER(T506),T506,0)),"")</f>
        <v/>
      </c>
      <c r="AS506" s="17">
        <f>IF(AND(ISNUMBER(X506),ISNUMBER(Z506)),X506-IF(ISNUMBER(S506),S506,0)-(Z506-IF(ISNUMBER(U506),U506,0)),"")</f>
        <v/>
      </c>
      <c r="AT506" s="17">
        <f>IF(AND(ISNUMBER(AR506),ISNUMBER(AS506)),AR506-AS506,"")</f>
        <v/>
      </c>
      <c r="AU506" s="17">
        <f>IF(E506="금융","",IF(AND(ISNUMBER(L506),ISNUMBER(M506),ISNUMBER(N506),ISNUMBER(AT506)),L506+M506-N506-AT506,IF(AND(ISNUMBER(O506),ISNUMBER(N506)),O506-N506,"")))</f>
        <v/>
      </c>
      <c r="AV506" s="8">
        <f>IF(E506="금융","금융업 - 정의되지 않음",IF(AND(ISNUMBER(L506),ISNUMBER(M506),ISNUMBER(N506),ISNUMBER(AT506)),"순이익+감가상각-설비투자-운전자본증감",IF(AND(ISNUMBER(O506),ISNUMBER(N506)),"영업현금흐름-설비투자","산출불가")))</f>
        <v/>
      </c>
      <c r="AW506" s="19">
        <f>IF(AND(ISNUMBER(AU506),ISNUMBER(G506),G506&lt;&gt;0),AU506/G506,"")</f>
        <v/>
      </c>
      <c r="AX506" s="19">
        <f>IF(AND(ISNUMBER(AC506),ISNUMBER(G506),G506&lt;&gt;0),AC506/G506,"")</f>
        <v/>
      </c>
    </row>
    <row r="507">
      <c r="A507" s="8" t="inlineStr">
        <is>
          <t>WFC</t>
        </is>
      </c>
      <c r="B507" s="8" t="inlineStr">
        <is>
          <t>WELLS FARGO &amp; COMPANY/MN</t>
        </is>
      </c>
      <c r="C507" s="8" t="n">
        <v>2018</v>
      </c>
      <c r="D507" s="8" t="inlineStr">
        <is>
          <t>2018-12-31</t>
        </is>
      </c>
      <c r="E507" s="8" t="inlineStr">
        <is>
          <t>금융</t>
        </is>
      </c>
      <c r="F507" s="8" t="inlineStr">
        <is>
          <t>0000072971-21-000197</t>
        </is>
      </c>
      <c r="G507" s="15" t="n">
        <v>86.408</v>
      </c>
      <c r="H507" s="15" t="n">
        <v>28.538</v>
      </c>
      <c r="I507" s="15" t="n">
        <v>0.61</v>
      </c>
      <c r="J507" s="15" t="n">
        <v>5.662</v>
      </c>
      <c r="K507" s="15" t="n"/>
      <c r="L507" s="15" t="n">
        <v>22.393</v>
      </c>
      <c r="M507" s="15" t="n">
        <v>5.593</v>
      </c>
      <c r="N507" s="15" t="n"/>
      <c r="O507" s="15" t="n">
        <v>36.073</v>
      </c>
      <c r="P507" s="15" t="n">
        <v>196.166</v>
      </c>
      <c r="Q507" s="15" t="n">
        <v>206.936</v>
      </c>
      <c r="R507" s="15" t="n">
        <v>173.287</v>
      </c>
      <c r="S507" s="15" t="n">
        <v>216.973</v>
      </c>
      <c r="T507" s="15" t="n">
        <v>105.787</v>
      </c>
      <c r="U507" s="15" t="n">
        <v>103.256</v>
      </c>
      <c r="V507" s="15" t="n">
        <v>229.044</v>
      </c>
      <c r="W507" s="15" t="n"/>
      <c r="X507" s="15" t="n"/>
      <c r="Y507" s="15" t="n"/>
      <c r="Z507" s="15" t="n"/>
      <c r="AA507" s="15" t="n"/>
      <c r="AB507" s="16" t="n">
        <v>4838.4</v>
      </c>
      <c r="AC507" s="17">
        <f>IF(AND(ISNUMBER(H507),ISNUMBER(I507)),H507+I507,IF(ISNUMBER(K507),K507,IF(ISNUMBER(H507),H507,"")))</f>
        <v/>
      </c>
      <c r="AD507" s="18">
        <f>IF(OR(NOT(ISNUMBER(J507)),NOT(ISNUMBER(H507)),H507&lt;=0),기준표!$B$8,MIN(MAX(J507/H507,기준표!$B$6),기준표!$B$7))</f>
        <v/>
      </c>
      <c r="AE507" s="17">
        <f>IF(ISNUMBER(AC507),AC507*(1-AD507),"")</f>
        <v/>
      </c>
      <c r="AF507" s="17">
        <f>IF(AND(NOT(ISNUMBER(T507)),NOT(ISNUMBER(V507))),"",IF(ISNUMBER(T507),T507,0)+IF(ISNUMBER(V507),V507,0))</f>
        <v/>
      </c>
      <c r="AG507" s="17">
        <f>IF(E507="금융","",IF(AND(ISNUMBER(P507),ISNUMBER(AF507),ISNUMBER(R507)),P507+AF507-R507,""))</f>
        <v/>
      </c>
      <c r="AH507" s="17">
        <f>IF(E507="금융","",IF(NOT(ISNUMBER(AG507)),"",IF(ISNUMBER(AA507),(AG507+AA507)/2,AG507)))</f>
        <v/>
      </c>
      <c r="AI507" s="19">
        <f>IF(AND(ISNUMBER(AE507),ISNUMBER(AH507),AH507&gt;0),AE507/AH507,"")</f>
        <v/>
      </c>
      <c r="AJ507" s="17">
        <f>IF(E507="금융","",IF(AND(ISNUMBER(P507),ISNUMBER(AF507)),P507+AF507,""))</f>
        <v/>
      </c>
      <c r="AK507" s="19">
        <f>IF(OR(NOT(ISNUMBER(AE507)),NOT(ISNUMBER(AJ507)),AJ507&lt;=0),"",IF(AND(ISNUMBER(G507),AJ507&lt;0.1*G507),"",AE507/AJ507))</f>
        <v/>
      </c>
      <c r="AL507" s="17">
        <f>IF(NOT(ISNUMBER(P507)),"",IF(ISNUMBER(Q507),(P507+Q507)/2,P507))</f>
        <v/>
      </c>
      <c r="AM507" s="19">
        <f>IF(AND(ISNUMBER(L507),ISNUMBER(AL507),AL507&gt;0),L507/AL507,"")</f>
        <v/>
      </c>
      <c r="AN507" s="19">
        <f>IF(AND(ISNUMBER(AM507),ISNUMBER({ROIC})),AM507-{ROIC},"")</f>
        <v/>
      </c>
      <c r="AO507" s="17">
        <f>IF(AND(ISNUMBER(AC507),ISNUMBER(M507)),AC507+M507,"")</f>
        <v/>
      </c>
      <c r="AP507" s="20">
        <f>IF(AND(ISNUMBER(AF507),ISNUMBER(R507),ISNUMBER(AO507),AO507&gt;0),(AF507-R507)/AO507,"")</f>
        <v/>
      </c>
      <c r="AQ507" s="20">
        <f>IF(AND(ISNUMBER(AC507),ISNUMBER(I507),I507&lt;&gt;0,AC507&gt;0),AC507/I507,"")</f>
        <v/>
      </c>
      <c r="AR507" s="17">
        <f>IF(AND(ISNUMBER(W507),ISNUMBER(Y507)),W507-IF(ISNUMBER(R507),R507,0)-(Y507-IF(ISNUMBER(T507),T507,0)),"")</f>
        <v/>
      </c>
      <c r="AS507" s="17">
        <f>IF(AND(ISNUMBER(X507),ISNUMBER(Z507)),X507-IF(ISNUMBER(S507),S507,0)-(Z507-IF(ISNUMBER(U507),U507,0)),"")</f>
        <v/>
      </c>
      <c r="AT507" s="17">
        <f>IF(AND(ISNUMBER(AR507),ISNUMBER(AS507)),AR507-AS507,"")</f>
        <v/>
      </c>
      <c r="AU507" s="17">
        <f>IF(E507="금융","",IF(AND(ISNUMBER(L507),ISNUMBER(M507),ISNUMBER(N507),ISNUMBER(AT507)),L507+M507-N507-AT507,IF(AND(ISNUMBER(O507),ISNUMBER(N507)),O507-N507,"")))</f>
        <v/>
      </c>
      <c r="AV507" s="8">
        <f>IF(E507="금융","금융업 - 정의되지 않음",IF(AND(ISNUMBER(L507),ISNUMBER(M507),ISNUMBER(N507),ISNUMBER(AT507)),"순이익+감가상각-설비투자-운전자본증감",IF(AND(ISNUMBER(O507),ISNUMBER(N507)),"영업현금흐름-설비투자","산출불가")))</f>
        <v/>
      </c>
      <c r="AW507" s="19">
        <f>IF(AND(ISNUMBER(AU507),ISNUMBER(G507),G507&lt;&gt;0),AU507/G507,"")</f>
        <v/>
      </c>
      <c r="AX507" s="19">
        <f>IF(AND(ISNUMBER(AC507),ISNUMBER(G507),G507&lt;&gt;0),AC507/G507,"")</f>
        <v/>
      </c>
    </row>
    <row r="508">
      <c r="A508" s="8" t="inlineStr">
        <is>
          <t>WFC</t>
        </is>
      </c>
      <c r="B508" s="8" t="inlineStr">
        <is>
          <t>WELLS FARGO &amp; COMPANY/MN</t>
        </is>
      </c>
      <c r="C508" s="8" t="n">
        <v>2019</v>
      </c>
      <c r="D508" s="8" t="inlineStr">
        <is>
          <t>2019-12-31</t>
        </is>
      </c>
      <c r="E508" s="8" t="inlineStr">
        <is>
          <t>금융</t>
        </is>
      </c>
      <c r="F508" s="8" t="inlineStr">
        <is>
          <t>0000072971-22-000096</t>
        </is>
      </c>
      <c r="G508" s="15" t="n">
        <v>86.83199999999999</v>
      </c>
      <c r="H508" s="15" t="n">
        <v>25.967</v>
      </c>
      <c r="I508" s="15" t="n">
        <v>0.551</v>
      </c>
      <c r="J508" s="15" t="n">
        <v>5.761</v>
      </c>
      <c r="K508" s="15" t="n"/>
      <c r="L508" s="15" t="n">
        <v>19.715</v>
      </c>
      <c r="M508" s="15" t="n">
        <v>6.573</v>
      </c>
      <c r="N508" s="15" t="n"/>
      <c r="O508" s="15" t="n">
        <v>6.73</v>
      </c>
      <c r="P508" s="15" t="n">
        <v>187.146</v>
      </c>
      <c r="Q508" s="15" t="n">
        <v>196.166</v>
      </c>
      <c r="R508" s="15" t="n">
        <v>141.25</v>
      </c>
      <c r="S508" s="15" t="n">
        <v>173.287</v>
      </c>
      <c r="T508" s="15" t="n">
        <v>104.512</v>
      </c>
      <c r="U508" s="15" t="n">
        <v>105.787</v>
      </c>
      <c r="V508" s="15" t="n">
        <v>228.191</v>
      </c>
      <c r="W508" s="15" t="n"/>
      <c r="X508" s="15" t="n"/>
      <c r="Y508" s="15" t="n"/>
      <c r="Z508" s="15" t="n"/>
      <c r="AA508" s="15" t="n"/>
      <c r="AB508" s="16" t="n">
        <v>4425.4</v>
      </c>
      <c r="AC508" s="17">
        <f>IF(AND(ISNUMBER(H508),ISNUMBER(I508)),H508+I508,IF(ISNUMBER(K508),K508,IF(ISNUMBER(H508),H508,"")))</f>
        <v/>
      </c>
      <c r="AD508" s="18">
        <f>IF(OR(NOT(ISNUMBER(J508)),NOT(ISNUMBER(H508)),H508&lt;=0),기준표!$B$8,MIN(MAX(J508/H508,기준표!$B$6),기준표!$B$7))</f>
        <v/>
      </c>
      <c r="AE508" s="17">
        <f>IF(ISNUMBER(AC508),AC508*(1-AD508),"")</f>
        <v/>
      </c>
      <c r="AF508" s="17">
        <f>IF(AND(NOT(ISNUMBER(T508)),NOT(ISNUMBER(V508))),"",IF(ISNUMBER(T508),T508,0)+IF(ISNUMBER(V508),V508,0))</f>
        <v/>
      </c>
      <c r="AG508" s="17">
        <f>IF(E508="금융","",IF(AND(ISNUMBER(P508),ISNUMBER(AF508),ISNUMBER(R508)),P508+AF508-R508,""))</f>
        <v/>
      </c>
      <c r="AH508" s="17">
        <f>IF(E508="금융","",IF(NOT(ISNUMBER(AG508)),"",IF(ISNUMBER(AA508),(AG508+AA508)/2,AG508)))</f>
        <v/>
      </c>
      <c r="AI508" s="19">
        <f>IF(AND(ISNUMBER(AE508),ISNUMBER(AH508),AH508&gt;0),AE508/AH508,"")</f>
        <v/>
      </c>
      <c r="AJ508" s="17">
        <f>IF(E508="금융","",IF(AND(ISNUMBER(P508),ISNUMBER(AF508)),P508+AF508,""))</f>
        <v/>
      </c>
      <c r="AK508" s="19">
        <f>IF(OR(NOT(ISNUMBER(AE508)),NOT(ISNUMBER(AJ508)),AJ508&lt;=0),"",IF(AND(ISNUMBER(G508),AJ508&lt;0.1*G508),"",AE508/AJ508))</f>
        <v/>
      </c>
      <c r="AL508" s="17">
        <f>IF(NOT(ISNUMBER(P508)),"",IF(ISNUMBER(Q508),(P508+Q508)/2,P508))</f>
        <v/>
      </c>
      <c r="AM508" s="19">
        <f>IF(AND(ISNUMBER(L508),ISNUMBER(AL508),AL508&gt;0),L508/AL508,"")</f>
        <v/>
      </c>
      <c r="AN508" s="19">
        <f>IF(AND(ISNUMBER(AM508),ISNUMBER({ROIC})),AM508-{ROIC},"")</f>
        <v/>
      </c>
      <c r="AO508" s="17">
        <f>IF(AND(ISNUMBER(AC508),ISNUMBER(M508)),AC508+M508,"")</f>
        <v/>
      </c>
      <c r="AP508" s="20">
        <f>IF(AND(ISNUMBER(AF508),ISNUMBER(R508),ISNUMBER(AO508),AO508&gt;0),(AF508-R508)/AO508,"")</f>
        <v/>
      </c>
      <c r="AQ508" s="20">
        <f>IF(AND(ISNUMBER(AC508),ISNUMBER(I508),I508&lt;&gt;0,AC508&gt;0),AC508/I508,"")</f>
        <v/>
      </c>
      <c r="AR508" s="17">
        <f>IF(AND(ISNUMBER(W508),ISNUMBER(Y508)),W508-IF(ISNUMBER(R508),R508,0)-(Y508-IF(ISNUMBER(T508),T508,0)),"")</f>
        <v/>
      </c>
      <c r="AS508" s="17">
        <f>IF(AND(ISNUMBER(X508),ISNUMBER(Z508)),X508-IF(ISNUMBER(S508),S508,0)-(Z508-IF(ISNUMBER(U508),U508,0)),"")</f>
        <v/>
      </c>
      <c r="AT508" s="17">
        <f>IF(AND(ISNUMBER(AR508),ISNUMBER(AS508)),AR508-AS508,"")</f>
        <v/>
      </c>
      <c r="AU508" s="17">
        <f>IF(E508="금융","",IF(AND(ISNUMBER(L508),ISNUMBER(M508),ISNUMBER(N508),ISNUMBER(AT508)),L508+M508-N508-AT508,IF(AND(ISNUMBER(O508),ISNUMBER(N508)),O508-N508,"")))</f>
        <v/>
      </c>
      <c r="AV508" s="8">
        <f>IF(E508="금융","금융업 - 정의되지 않음",IF(AND(ISNUMBER(L508),ISNUMBER(M508),ISNUMBER(N508),ISNUMBER(AT508)),"순이익+감가상각-설비투자-운전자본증감",IF(AND(ISNUMBER(O508),ISNUMBER(N508)),"영업현금흐름-설비투자","산출불가")))</f>
        <v/>
      </c>
      <c r="AW508" s="19">
        <f>IF(AND(ISNUMBER(AU508),ISNUMBER(G508),G508&lt;&gt;0),AU508/G508,"")</f>
        <v/>
      </c>
      <c r="AX508" s="19">
        <f>IF(AND(ISNUMBER(AC508),ISNUMBER(G508),G508&lt;&gt;0),AC508/G508,"")</f>
        <v/>
      </c>
    </row>
    <row r="509">
      <c r="A509" s="8" t="inlineStr">
        <is>
          <t>WFC</t>
        </is>
      </c>
      <c r="B509" s="8" t="inlineStr">
        <is>
          <t>WELLS FARGO &amp; COMPANY/MN</t>
        </is>
      </c>
      <c r="C509" s="8" t="n">
        <v>2020</v>
      </c>
      <c r="D509" s="8" t="inlineStr">
        <is>
          <t>2020-12-31</t>
        </is>
      </c>
      <c r="E509" s="8" t="inlineStr">
        <is>
          <t>금융</t>
        </is>
      </c>
      <c r="F509" s="8" t="inlineStr">
        <is>
          <t>0000072971-23-000071</t>
        </is>
      </c>
      <c r="G509" s="15" t="n">
        <v>74.264</v>
      </c>
      <c r="H509" s="15" t="n">
        <v>2.505</v>
      </c>
      <c r="I509" s="15" t="n">
        <v>0.438</v>
      </c>
      <c r="J509" s="15" t="n">
        <v>-1.157</v>
      </c>
      <c r="K509" s="15" t="n"/>
      <c r="L509" s="15" t="n">
        <v>3.377</v>
      </c>
      <c r="M509" s="15" t="n">
        <v>8.218999999999999</v>
      </c>
      <c r="N509" s="15" t="n"/>
      <c r="O509" s="15" t="n">
        <v>2.051</v>
      </c>
      <c r="P509" s="15" t="n">
        <v>184.68</v>
      </c>
      <c r="Q509" s="15" t="n">
        <v>187.146</v>
      </c>
      <c r="R509" s="15" t="n">
        <v>264.612</v>
      </c>
      <c r="S509" s="15" t="n">
        <v>141.25</v>
      </c>
      <c r="T509" s="15" t="n">
        <v>58.999</v>
      </c>
      <c r="U509" s="15" t="n">
        <v>104.512</v>
      </c>
      <c r="V509" s="15" t="n">
        <v>212.95</v>
      </c>
      <c r="W509" s="15" t="n"/>
      <c r="X509" s="15" t="n"/>
      <c r="Y509" s="15" t="n"/>
      <c r="Z509" s="15" t="n"/>
      <c r="AA509" s="15" t="n"/>
      <c r="AB509" s="16" t="n">
        <v>4134.2</v>
      </c>
      <c r="AC509" s="17">
        <f>IF(AND(ISNUMBER(H509),ISNUMBER(I509)),H509+I509,IF(ISNUMBER(K509),K509,IF(ISNUMBER(H509),H509,"")))</f>
        <v/>
      </c>
      <c r="AD509" s="18">
        <f>IF(OR(NOT(ISNUMBER(J509)),NOT(ISNUMBER(H509)),H509&lt;=0),기준표!$B$8,MIN(MAX(J509/H509,기준표!$B$6),기준표!$B$7))</f>
        <v/>
      </c>
      <c r="AE509" s="17">
        <f>IF(ISNUMBER(AC509),AC509*(1-AD509),"")</f>
        <v/>
      </c>
      <c r="AF509" s="17">
        <f>IF(AND(NOT(ISNUMBER(T509)),NOT(ISNUMBER(V509))),"",IF(ISNUMBER(T509),T509,0)+IF(ISNUMBER(V509),V509,0))</f>
        <v/>
      </c>
      <c r="AG509" s="17">
        <f>IF(E509="금융","",IF(AND(ISNUMBER(P509),ISNUMBER(AF509),ISNUMBER(R509)),P509+AF509-R509,""))</f>
        <v/>
      </c>
      <c r="AH509" s="17">
        <f>IF(E509="금융","",IF(NOT(ISNUMBER(AG509)),"",IF(ISNUMBER(AA509),(AG509+AA509)/2,AG509)))</f>
        <v/>
      </c>
      <c r="AI509" s="19">
        <f>IF(AND(ISNUMBER(AE509),ISNUMBER(AH509),AH509&gt;0),AE509/AH509,"")</f>
        <v/>
      </c>
      <c r="AJ509" s="17">
        <f>IF(E509="금융","",IF(AND(ISNUMBER(P509),ISNUMBER(AF509)),P509+AF509,""))</f>
        <v/>
      </c>
      <c r="AK509" s="19">
        <f>IF(OR(NOT(ISNUMBER(AE509)),NOT(ISNUMBER(AJ509)),AJ509&lt;=0),"",IF(AND(ISNUMBER(G509),AJ509&lt;0.1*G509),"",AE509/AJ509))</f>
        <v/>
      </c>
      <c r="AL509" s="17">
        <f>IF(NOT(ISNUMBER(P509)),"",IF(ISNUMBER(Q509),(P509+Q509)/2,P509))</f>
        <v/>
      </c>
      <c r="AM509" s="19">
        <f>IF(AND(ISNUMBER(L509),ISNUMBER(AL509),AL509&gt;0),L509/AL509,"")</f>
        <v/>
      </c>
      <c r="AN509" s="19">
        <f>IF(AND(ISNUMBER(AM509),ISNUMBER({ROIC})),AM509-{ROIC},"")</f>
        <v/>
      </c>
      <c r="AO509" s="17">
        <f>IF(AND(ISNUMBER(AC509),ISNUMBER(M509)),AC509+M509,"")</f>
        <v/>
      </c>
      <c r="AP509" s="20">
        <f>IF(AND(ISNUMBER(AF509),ISNUMBER(R509),ISNUMBER(AO509),AO509&gt;0),(AF509-R509)/AO509,"")</f>
        <v/>
      </c>
      <c r="AQ509" s="20">
        <f>IF(AND(ISNUMBER(AC509),ISNUMBER(I509),I509&lt;&gt;0,AC509&gt;0),AC509/I509,"")</f>
        <v/>
      </c>
      <c r="AR509" s="17">
        <f>IF(AND(ISNUMBER(W509),ISNUMBER(Y509)),W509-IF(ISNUMBER(R509),R509,0)-(Y509-IF(ISNUMBER(T509),T509,0)),"")</f>
        <v/>
      </c>
      <c r="AS509" s="17">
        <f>IF(AND(ISNUMBER(X509),ISNUMBER(Z509)),X509-IF(ISNUMBER(S509),S509,0)-(Z509-IF(ISNUMBER(U509),U509,0)),"")</f>
        <v/>
      </c>
      <c r="AT509" s="17">
        <f>IF(AND(ISNUMBER(AR509),ISNUMBER(AS509)),AR509-AS509,"")</f>
        <v/>
      </c>
      <c r="AU509" s="17">
        <f>IF(E509="금융","",IF(AND(ISNUMBER(L509),ISNUMBER(M509),ISNUMBER(N509),ISNUMBER(AT509)),L509+M509-N509-AT509,IF(AND(ISNUMBER(O509),ISNUMBER(N509)),O509-N509,"")))</f>
        <v/>
      </c>
      <c r="AV509" s="8">
        <f>IF(E509="금융","금융업 - 정의되지 않음",IF(AND(ISNUMBER(L509),ISNUMBER(M509),ISNUMBER(N509),ISNUMBER(AT509)),"순이익+감가상각-설비투자-운전자본증감",IF(AND(ISNUMBER(O509),ISNUMBER(N509)),"영업현금흐름-설비투자","산출불가")))</f>
        <v/>
      </c>
      <c r="AW509" s="19">
        <f>IF(AND(ISNUMBER(AU509),ISNUMBER(G509),G509&lt;&gt;0),AU509/G509,"")</f>
        <v/>
      </c>
      <c r="AX509" s="19">
        <f>IF(AND(ISNUMBER(AC509),ISNUMBER(G509),G509&lt;&gt;0),AC509/G509,"")</f>
        <v/>
      </c>
    </row>
    <row r="510">
      <c r="A510" s="8" t="inlineStr">
        <is>
          <t>WFC</t>
        </is>
      </c>
      <c r="B510" s="8" t="inlineStr">
        <is>
          <t>WELLS FARGO &amp; COMPANY/MN</t>
        </is>
      </c>
      <c r="C510" s="8" t="n">
        <v>2021</v>
      </c>
      <c r="D510" s="8" t="inlineStr">
        <is>
          <t>2021-12-31</t>
        </is>
      </c>
      <c r="E510" s="8" t="inlineStr">
        <is>
          <t>금융</t>
        </is>
      </c>
      <c r="F510" s="8" t="inlineStr">
        <is>
          <t>0000072971-24-000064</t>
        </is>
      </c>
      <c r="G510" s="15" t="n">
        <v>79.166</v>
      </c>
      <c r="H510" s="15" t="n">
        <v>29.563</v>
      </c>
      <c r="I510" s="15" t="n">
        <v>0.395</v>
      </c>
      <c r="J510" s="15" t="n">
        <v>5.764</v>
      </c>
      <c r="K510" s="15" t="n"/>
      <c r="L510" s="15" t="n">
        <v>22.109</v>
      </c>
      <c r="M510" s="15" t="n">
        <v>7.89</v>
      </c>
      <c r="N510" s="15" t="n"/>
      <c r="O510" s="15" t="n">
        <v>-11.525</v>
      </c>
      <c r="P510" s="15" t="n">
        <v>187.606</v>
      </c>
      <c r="Q510" s="15" t="n">
        <v>184.68</v>
      </c>
      <c r="R510" s="15" t="n">
        <v>234.23</v>
      </c>
      <c r="S510" s="15" t="n">
        <v>264.612</v>
      </c>
      <c r="T510" s="15" t="n">
        <v>34.409</v>
      </c>
      <c r="U510" s="15" t="n">
        <v>58.999</v>
      </c>
      <c r="V510" s="15" t="n">
        <v>160.689</v>
      </c>
      <c r="W510" s="15" t="n"/>
      <c r="X510" s="15" t="n"/>
      <c r="Y510" s="15" t="n"/>
      <c r="Z510" s="15" t="n"/>
      <c r="AA510" s="15" t="n"/>
      <c r="AB510" s="16" t="n">
        <v>4096.2</v>
      </c>
      <c r="AC510" s="17">
        <f>IF(AND(ISNUMBER(H510),ISNUMBER(I510)),H510+I510,IF(ISNUMBER(K510),K510,IF(ISNUMBER(H510),H510,"")))</f>
        <v/>
      </c>
      <c r="AD510" s="18">
        <f>IF(OR(NOT(ISNUMBER(J510)),NOT(ISNUMBER(H510)),H510&lt;=0),기준표!$B$8,MIN(MAX(J510/H510,기준표!$B$6),기준표!$B$7))</f>
        <v/>
      </c>
      <c r="AE510" s="17">
        <f>IF(ISNUMBER(AC510),AC510*(1-AD510),"")</f>
        <v/>
      </c>
      <c r="AF510" s="17">
        <f>IF(AND(NOT(ISNUMBER(T510)),NOT(ISNUMBER(V510))),"",IF(ISNUMBER(T510),T510,0)+IF(ISNUMBER(V510),V510,0))</f>
        <v/>
      </c>
      <c r="AG510" s="17">
        <f>IF(E510="금융","",IF(AND(ISNUMBER(P510),ISNUMBER(AF510),ISNUMBER(R510)),P510+AF510-R510,""))</f>
        <v/>
      </c>
      <c r="AH510" s="17">
        <f>IF(E510="금융","",IF(NOT(ISNUMBER(AG510)),"",IF(ISNUMBER(AA510),(AG510+AA510)/2,AG510)))</f>
        <v/>
      </c>
      <c r="AI510" s="19">
        <f>IF(AND(ISNUMBER(AE510),ISNUMBER(AH510),AH510&gt;0),AE510/AH510,"")</f>
        <v/>
      </c>
      <c r="AJ510" s="17">
        <f>IF(E510="금융","",IF(AND(ISNUMBER(P510),ISNUMBER(AF510)),P510+AF510,""))</f>
        <v/>
      </c>
      <c r="AK510" s="19">
        <f>IF(OR(NOT(ISNUMBER(AE510)),NOT(ISNUMBER(AJ510)),AJ510&lt;=0),"",IF(AND(ISNUMBER(G510),AJ510&lt;0.1*G510),"",AE510/AJ510))</f>
        <v/>
      </c>
      <c r="AL510" s="17">
        <f>IF(NOT(ISNUMBER(P510)),"",IF(ISNUMBER(Q510),(P510+Q510)/2,P510))</f>
        <v/>
      </c>
      <c r="AM510" s="19">
        <f>IF(AND(ISNUMBER(L510),ISNUMBER(AL510),AL510&gt;0),L510/AL510,"")</f>
        <v/>
      </c>
      <c r="AN510" s="19">
        <f>IF(AND(ISNUMBER(AM510),ISNUMBER({ROIC})),AM510-{ROIC},"")</f>
        <v/>
      </c>
      <c r="AO510" s="17">
        <f>IF(AND(ISNUMBER(AC510),ISNUMBER(M510)),AC510+M510,"")</f>
        <v/>
      </c>
      <c r="AP510" s="20">
        <f>IF(AND(ISNUMBER(AF510),ISNUMBER(R510),ISNUMBER(AO510),AO510&gt;0),(AF510-R510)/AO510,"")</f>
        <v/>
      </c>
      <c r="AQ510" s="20">
        <f>IF(AND(ISNUMBER(AC510),ISNUMBER(I510),I510&lt;&gt;0,AC510&gt;0),AC510/I510,"")</f>
        <v/>
      </c>
      <c r="AR510" s="17">
        <f>IF(AND(ISNUMBER(W510),ISNUMBER(Y510)),W510-IF(ISNUMBER(R510),R510,0)-(Y510-IF(ISNUMBER(T510),T510,0)),"")</f>
        <v/>
      </c>
      <c r="AS510" s="17">
        <f>IF(AND(ISNUMBER(X510),ISNUMBER(Z510)),X510-IF(ISNUMBER(S510),S510,0)-(Z510-IF(ISNUMBER(U510),U510,0)),"")</f>
        <v/>
      </c>
      <c r="AT510" s="17">
        <f>IF(AND(ISNUMBER(AR510),ISNUMBER(AS510)),AR510-AS510,"")</f>
        <v/>
      </c>
      <c r="AU510" s="17">
        <f>IF(E510="금융","",IF(AND(ISNUMBER(L510),ISNUMBER(M510),ISNUMBER(N510),ISNUMBER(AT510)),L510+M510-N510-AT510,IF(AND(ISNUMBER(O510),ISNUMBER(N510)),O510-N510,"")))</f>
        <v/>
      </c>
      <c r="AV510" s="8">
        <f>IF(E510="금융","금융업 - 정의되지 않음",IF(AND(ISNUMBER(L510),ISNUMBER(M510),ISNUMBER(N510),ISNUMBER(AT510)),"순이익+감가상각-설비투자-운전자본증감",IF(AND(ISNUMBER(O510),ISNUMBER(N510)),"영업현금흐름-설비투자","산출불가")))</f>
        <v/>
      </c>
      <c r="AW510" s="19">
        <f>IF(AND(ISNUMBER(AU510),ISNUMBER(G510),G510&lt;&gt;0),AU510/G510,"")</f>
        <v/>
      </c>
      <c r="AX510" s="19">
        <f>IF(AND(ISNUMBER(AC510),ISNUMBER(G510),G510&lt;&gt;0),AC510/G510,"")</f>
        <v/>
      </c>
    </row>
    <row r="511">
      <c r="A511" s="8" t="inlineStr">
        <is>
          <t>WFC</t>
        </is>
      </c>
      <c r="B511" s="8" t="inlineStr">
        <is>
          <t>WELLS FARGO &amp; COMPANY/MN</t>
        </is>
      </c>
      <c r="C511" s="8" t="n">
        <v>2022</v>
      </c>
      <c r="D511" s="8" t="inlineStr">
        <is>
          <t>2022-12-31</t>
        </is>
      </c>
      <c r="E511" s="8" t="inlineStr">
        <is>
          <t>금융</t>
        </is>
      </c>
      <c r="F511" s="8" t="inlineStr">
        <is>
          <t>0000072971-25-000066</t>
        </is>
      </c>
      <c r="G511" s="15" t="n">
        <v>74.36799999999999</v>
      </c>
      <c r="H511" s="15" t="n">
        <v>15.629</v>
      </c>
      <c r="I511" s="15" t="n">
        <v>0.638</v>
      </c>
      <c r="J511" s="15" t="n">
        <v>2.251</v>
      </c>
      <c r="K511" s="15" t="n"/>
      <c r="L511" s="15" t="n">
        <v>13.677</v>
      </c>
      <c r="M511" s="15" t="n">
        <v>6.832</v>
      </c>
      <c r="N511" s="15" t="n"/>
      <c r="O511" s="15" t="n">
        <v>27.048</v>
      </c>
      <c r="P511" s="15" t="n">
        <v>180.227</v>
      </c>
      <c r="Q511" s="15" t="n">
        <v>187.606</v>
      </c>
      <c r="R511" s="15" t="n">
        <v>159.157</v>
      </c>
      <c r="S511" s="15" t="n">
        <v>234.23</v>
      </c>
      <c r="T511" s="15" t="n">
        <v>51.145</v>
      </c>
      <c r="U511" s="15" t="n">
        <v>34.409</v>
      </c>
      <c r="V511" s="15" t="n">
        <v>174.87</v>
      </c>
      <c r="W511" s="15" t="n"/>
      <c r="X511" s="15" t="n"/>
      <c r="Y511" s="15" t="n"/>
      <c r="Z511" s="15" t="n"/>
      <c r="AA511" s="15" t="n"/>
      <c r="AB511" s="16" t="n">
        <v>3837</v>
      </c>
      <c r="AC511" s="17">
        <f>IF(AND(ISNUMBER(H511),ISNUMBER(I511)),H511+I511,IF(ISNUMBER(K511),K511,IF(ISNUMBER(H511),H511,"")))</f>
        <v/>
      </c>
      <c r="AD511" s="18">
        <f>IF(OR(NOT(ISNUMBER(J511)),NOT(ISNUMBER(H511)),H511&lt;=0),기준표!$B$8,MIN(MAX(J511/H511,기준표!$B$6),기준표!$B$7))</f>
        <v/>
      </c>
      <c r="AE511" s="17">
        <f>IF(ISNUMBER(AC511),AC511*(1-AD511),"")</f>
        <v/>
      </c>
      <c r="AF511" s="17">
        <f>IF(AND(NOT(ISNUMBER(T511)),NOT(ISNUMBER(V511))),"",IF(ISNUMBER(T511),T511,0)+IF(ISNUMBER(V511),V511,0))</f>
        <v/>
      </c>
      <c r="AG511" s="17">
        <f>IF(E511="금융","",IF(AND(ISNUMBER(P511),ISNUMBER(AF511),ISNUMBER(R511)),P511+AF511-R511,""))</f>
        <v/>
      </c>
      <c r="AH511" s="17">
        <f>IF(E511="금융","",IF(NOT(ISNUMBER(AG511)),"",IF(ISNUMBER(AA511),(AG511+AA511)/2,AG511)))</f>
        <v/>
      </c>
      <c r="AI511" s="19">
        <f>IF(AND(ISNUMBER(AE511),ISNUMBER(AH511),AH511&gt;0),AE511/AH511,"")</f>
        <v/>
      </c>
      <c r="AJ511" s="17">
        <f>IF(E511="금융","",IF(AND(ISNUMBER(P511),ISNUMBER(AF511)),P511+AF511,""))</f>
        <v/>
      </c>
      <c r="AK511" s="19">
        <f>IF(OR(NOT(ISNUMBER(AE511)),NOT(ISNUMBER(AJ511)),AJ511&lt;=0),"",IF(AND(ISNUMBER(G511),AJ511&lt;0.1*G511),"",AE511/AJ511))</f>
        <v/>
      </c>
      <c r="AL511" s="17">
        <f>IF(NOT(ISNUMBER(P511)),"",IF(ISNUMBER(Q511),(P511+Q511)/2,P511))</f>
        <v/>
      </c>
      <c r="AM511" s="19">
        <f>IF(AND(ISNUMBER(L511),ISNUMBER(AL511),AL511&gt;0),L511/AL511,"")</f>
        <v/>
      </c>
      <c r="AN511" s="19">
        <f>IF(AND(ISNUMBER(AM511),ISNUMBER({ROIC})),AM511-{ROIC},"")</f>
        <v/>
      </c>
      <c r="AO511" s="17">
        <f>IF(AND(ISNUMBER(AC511),ISNUMBER(M511)),AC511+M511,"")</f>
        <v/>
      </c>
      <c r="AP511" s="20">
        <f>IF(AND(ISNUMBER(AF511),ISNUMBER(R511),ISNUMBER(AO511),AO511&gt;0),(AF511-R511)/AO511,"")</f>
        <v/>
      </c>
      <c r="AQ511" s="20">
        <f>IF(AND(ISNUMBER(AC511),ISNUMBER(I511),I511&lt;&gt;0,AC511&gt;0),AC511/I511,"")</f>
        <v/>
      </c>
      <c r="AR511" s="17">
        <f>IF(AND(ISNUMBER(W511),ISNUMBER(Y511)),W511-IF(ISNUMBER(R511),R511,0)-(Y511-IF(ISNUMBER(T511),T511,0)),"")</f>
        <v/>
      </c>
      <c r="AS511" s="17">
        <f>IF(AND(ISNUMBER(X511),ISNUMBER(Z511)),X511-IF(ISNUMBER(S511),S511,0)-(Z511-IF(ISNUMBER(U511),U511,0)),"")</f>
        <v/>
      </c>
      <c r="AT511" s="17">
        <f>IF(AND(ISNUMBER(AR511),ISNUMBER(AS511)),AR511-AS511,"")</f>
        <v/>
      </c>
      <c r="AU511" s="17">
        <f>IF(E511="금융","",IF(AND(ISNUMBER(L511),ISNUMBER(M511),ISNUMBER(N511),ISNUMBER(AT511)),L511+M511-N511-AT511,IF(AND(ISNUMBER(O511),ISNUMBER(N511)),O511-N511,"")))</f>
        <v/>
      </c>
      <c r="AV511" s="8">
        <f>IF(E511="금융","금융업 - 정의되지 않음",IF(AND(ISNUMBER(L511),ISNUMBER(M511),ISNUMBER(N511),ISNUMBER(AT511)),"순이익+감가상각-설비투자-운전자본증감",IF(AND(ISNUMBER(O511),ISNUMBER(N511)),"영업현금흐름-설비투자","산출불가")))</f>
        <v/>
      </c>
      <c r="AW511" s="19">
        <f>IF(AND(ISNUMBER(AU511),ISNUMBER(G511),G511&lt;&gt;0),AU511/G511,"")</f>
        <v/>
      </c>
      <c r="AX511" s="19">
        <f>IF(AND(ISNUMBER(AC511),ISNUMBER(G511),G511&lt;&gt;0),AC511/G511,"")</f>
        <v/>
      </c>
    </row>
    <row r="512">
      <c r="A512" s="8" t="inlineStr">
        <is>
          <t>WFC</t>
        </is>
      </c>
      <c r="B512" s="8" t="inlineStr">
        <is>
          <t>WELLS FARGO &amp; COMPANY/MN</t>
        </is>
      </c>
      <c r="C512" s="8" t="n">
        <v>2023</v>
      </c>
      <c r="D512" s="8" t="inlineStr">
        <is>
          <t>2023-12-31</t>
        </is>
      </c>
      <c r="E512" s="8" t="inlineStr">
        <is>
          <t>금융</t>
        </is>
      </c>
      <c r="F512" s="8" t="inlineStr">
        <is>
          <t>0000072971-26-000133</t>
        </is>
      </c>
      <c r="G512" s="15" t="n">
        <v>82.59699999999999</v>
      </c>
      <c r="H512" s="15" t="n">
        <v>21.636</v>
      </c>
      <c r="I512" s="15" t="n">
        <v>0.712</v>
      </c>
      <c r="J512" s="15" t="n">
        <v>2.607</v>
      </c>
      <c r="K512" s="15" t="n"/>
      <c r="L512" s="15" t="n">
        <v>19.142</v>
      </c>
      <c r="M512" s="15" t="n">
        <v>6.271</v>
      </c>
      <c r="N512" s="15" t="n"/>
      <c r="O512" s="15" t="n">
        <v>40.358</v>
      </c>
      <c r="P512" s="15" t="n">
        <v>185.735</v>
      </c>
      <c r="Q512" s="15" t="n">
        <v>180.227</v>
      </c>
      <c r="R512" s="15" t="n">
        <v>236.052</v>
      </c>
      <c r="S512" s="15" t="n">
        <v>159.157</v>
      </c>
      <c r="T512" s="15" t="n">
        <v>89.559</v>
      </c>
      <c r="U512" s="15" t="n">
        <v>51.145</v>
      </c>
      <c r="V512" s="15" t="n">
        <v>207.588</v>
      </c>
      <c r="W512" s="15" t="n"/>
      <c r="X512" s="15" t="n"/>
      <c r="Y512" s="15" t="n"/>
      <c r="Z512" s="15" t="n"/>
      <c r="AA512" s="15" t="n"/>
      <c r="AB512" s="16" t="n">
        <v>3720.4</v>
      </c>
      <c r="AC512" s="17">
        <f>IF(AND(ISNUMBER(H512),ISNUMBER(I512)),H512+I512,IF(ISNUMBER(K512),K512,IF(ISNUMBER(H512),H512,"")))</f>
        <v/>
      </c>
      <c r="AD512" s="18">
        <f>IF(OR(NOT(ISNUMBER(J512)),NOT(ISNUMBER(H512)),H512&lt;=0),기준표!$B$8,MIN(MAX(J512/H512,기준표!$B$6),기준표!$B$7))</f>
        <v/>
      </c>
      <c r="AE512" s="17">
        <f>IF(ISNUMBER(AC512),AC512*(1-AD512),"")</f>
        <v/>
      </c>
      <c r="AF512" s="17">
        <f>IF(AND(NOT(ISNUMBER(T512)),NOT(ISNUMBER(V512))),"",IF(ISNUMBER(T512),T512,0)+IF(ISNUMBER(V512),V512,0))</f>
        <v/>
      </c>
      <c r="AG512" s="17">
        <f>IF(E512="금융","",IF(AND(ISNUMBER(P512),ISNUMBER(AF512),ISNUMBER(R512)),P512+AF512-R512,""))</f>
        <v/>
      </c>
      <c r="AH512" s="17">
        <f>IF(E512="금융","",IF(NOT(ISNUMBER(AG512)),"",IF(ISNUMBER(AA512),(AG512+AA512)/2,AG512)))</f>
        <v/>
      </c>
      <c r="AI512" s="19">
        <f>IF(AND(ISNUMBER(AE512),ISNUMBER(AH512),AH512&gt;0),AE512/AH512,"")</f>
        <v/>
      </c>
      <c r="AJ512" s="17">
        <f>IF(E512="금융","",IF(AND(ISNUMBER(P512),ISNUMBER(AF512)),P512+AF512,""))</f>
        <v/>
      </c>
      <c r="AK512" s="19">
        <f>IF(OR(NOT(ISNUMBER(AE512)),NOT(ISNUMBER(AJ512)),AJ512&lt;=0),"",IF(AND(ISNUMBER(G512),AJ512&lt;0.1*G512),"",AE512/AJ512))</f>
        <v/>
      </c>
      <c r="AL512" s="17">
        <f>IF(NOT(ISNUMBER(P512)),"",IF(ISNUMBER(Q512),(P512+Q512)/2,P512))</f>
        <v/>
      </c>
      <c r="AM512" s="19">
        <f>IF(AND(ISNUMBER(L512),ISNUMBER(AL512),AL512&gt;0),L512/AL512,"")</f>
        <v/>
      </c>
      <c r="AN512" s="19">
        <f>IF(AND(ISNUMBER(AM512),ISNUMBER({ROIC})),AM512-{ROIC},"")</f>
        <v/>
      </c>
      <c r="AO512" s="17">
        <f>IF(AND(ISNUMBER(AC512),ISNUMBER(M512)),AC512+M512,"")</f>
        <v/>
      </c>
      <c r="AP512" s="20">
        <f>IF(AND(ISNUMBER(AF512),ISNUMBER(R512),ISNUMBER(AO512),AO512&gt;0),(AF512-R512)/AO512,"")</f>
        <v/>
      </c>
      <c r="AQ512" s="20">
        <f>IF(AND(ISNUMBER(AC512),ISNUMBER(I512),I512&lt;&gt;0,AC512&gt;0),AC512/I512,"")</f>
        <v/>
      </c>
      <c r="AR512" s="17">
        <f>IF(AND(ISNUMBER(W512),ISNUMBER(Y512)),W512-IF(ISNUMBER(R512),R512,0)-(Y512-IF(ISNUMBER(T512),T512,0)),"")</f>
        <v/>
      </c>
      <c r="AS512" s="17">
        <f>IF(AND(ISNUMBER(X512),ISNUMBER(Z512)),X512-IF(ISNUMBER(S512),S512,0)-(Z512-IF(ISNUMBER(U512),U512,0)),"")</f>
        <v/>
      </c>
      <c r="AT512" s="17">
        <f>IF(AND(ISNUMBER(AR512),ISNUMBER(AS512)),AR512-AS512,"")</f>
        <v/>
      </c>
      <c r="AU512" s="17">
        <f>IF(E512="금융","",IF(AND(ISNUMBER(L512),ISNUMBER(M512),ISNUMBER(N512),ISNUMBER(AT512)),L512+M512-N512-AT512,IF(AND(ISNUMBER(O512),ISNUMBER(N512)),O512-N512,"")))</f>
        <v/>
      </c>
      <c r="AV512" s="8">
        <f>IF(E512="금융","금융업 - 정의되지 않음",IF(AND(ISNUMBER(L512),ISNUMBER(M512),ISNUMBER(N512),ISNUMBER(AT512)),"순이익+감가상각-설비투자-운전자본증감",IF(AND(ISNUMBER(O512),ISNUMBER(N512)),"영업현금흐름-설비투자","산출불가")))</f>
        <v/>
      </c>
      <c r="AW512" s="19">
        <f>IF(AND(ISNUMBER(AU512),ISNUMBER(G512),G512&lt;&gt;0),AU512/G512,"")</f>
        <v/>
      </c>
      <c r="AX512" s="19">
        <f>IF(AND(ISNUMBER(AC512),ISNUMBER(G512),G512&lt;&gt;0),AC512/G512,"")</f>
        <v/>
      </c>
    </row>
    <row r="513">
      <c r="A513" s="8" t="inlineStr">
        <is>
          <t>WFC</t>
        </is>
      </c>
      <c r="B513" s="8" t="inlineStr">
        <is>
          <t>WELLS FARGO &amp; COMPANY/MN</t>
        </is>
      </c>
      <c r="C513" s="8" t="n">
        <v>2024</v>
      </c>
      <c r="D513" s="8" t="inlineStr">
        <is>
          <t>2024-12-31</t>
        </is>
      </c>
      <c r="E513" s="8" t="inlineStr">
        <is>
          <t>금융</t>
        </is>
      </c>
      <c r="F513" s="8" t="inlineStr">
        <is>
          <t>0000072971-26-000133</t>
        </is>
      </c>
      <c r="G513" s="15" t="n">
        <v>82.29600000000001</v>
      </c>
      <c r="H513" s="15" t="n">
        <v>23.364</v>
      </c>
      <c r="I513" s="15" t="n">
        <v>0.77</v>
      </c>
      <c r="J513" s="15" t="n">
        <v>3.399</v>
      </c>
      <c r="K513" s="15" t="n"/>
      <c r="L513" s="15" t="n">
        <v>19.722</v>
      </c>
      <c r="M513" s="15" t="n">
        <v>7.558</v>
      </c>
      <c r="N513" s="15" t="n"/>
      <c r="O513" s="15" t="n">
        <v>3.035</v>
      </c>
      <c r="P513" s="15" t="n">
        <v>179.12</v>
      </c>
      <c r="Q513" s="15" t="n">
        <v>185.735</v>
      </c>
      <c r="R513" s="15" t="n">
        <v>201.902</v>
      </c>
      <c r="S513" s="15" t="n">
        <v>236.052</v>
      </c>
      <c r="T513" s="15" t="n">
        <v>2.704</v>
      </c>
      <c r="U513" s="15" t="n">
        <v>89.559</v>
      </c>
      <c r="V513" s="15" t="n">
        <v>173.078</v>
      </c>
      <c r="W513" s="15" t="n"/>
      <c r="X513" s="15" t="n"/>
      <c r="Y513" s="15" t="n"/>
      <c r="Z513" s="15" t="n"/>
      <c r="AA513" s="15" t="n"/>
      <c r="AB513" s="16" t="n">
        <v>3467.6</v>
      </c>
      <c r="AC513" s="17">
        <f>IF(AND(ISNUMBER(H513),ISNUMBER(I513)),H513+I513,IF(ISNUMBER(K513),K513,IF(ISNUMBER(H513),H513,"")))</f>
        <v/>
      </c>
      <c r="AD513" s="18">
        <f>IF(OR(NOT(ISNUMBER(J513)),NOT(ISNUMBER(H513)),H513&lt;=0),기준표!$B$8,MIN(MAX(J513/H513,기준표!$B$6),기준표!$B$7))</f>
        <v/>
      </c>
      <c r="AE513" s="17">
        <f>IF(ISNUMBER(AC513),AC513*(1-AD513),"")</f>
        <v/>
      </c>
      <c r="AF513" s="17">
        <f>IF(AND(NOT(ISNUMBER(T513)),NOT(ISNUMBER(V513))),"",IF(ISNUMBER(T513),T513,0)+IF(ISNUMBER(V513),V513,0))</f>
        <v/>
      </c>
      <c r="AG513" s="17">
        <f>IF(E513="금융","",IF(AND(ISNUMBER(P513),ISNUMBER(AF513),ISNUMBER(R513)),P513+AF513-R513,""))</f>
        <v/>
      </c>
      <c r="AH513" s="17">
        <f>IF(E513="금융","",IF(NOT(ISNUMBER(AG513)),"",IF(ISNUMBER(AA513),(AG513+AA513)/2,AG513)))</f>
        <v/>
      </c>
      <c r="AI513" s="19">
        <f>IF(AND(ISNUMBER(AE513),ISNUMBER(AH513),AH513&gt;0),AE513/AH513,"")</f>
        <v/>
      </c>
      <c r="AJ513" s="17">
        <f>IF(E513="금융","",IF(AND(ISNUMBER(P513),ISNUMBER(AF513)),P513+AF513,""))</f>
        <v/>
      </c>
      <c r="AK513" s="19">
        <f>IF(OR(NOT(ISNUMBER(AE513)),NOT(ISNUMBER(AJ513)),AJ513&lt;=0),"",IF(AND(ISNUMBER(G513),AJ513&lt;0.1*G513),"",AE513/AJ513))</f>
        <v/>
      </c>
      <c r="AL513" s="17">
        <f>IF(NOT(ISNUMBER(P513)),"",IF(ISNUMBER(Q513),(P513+Q513)/2,P513))</f>
        <v/>
      </c>
      <c r="AM513" s="19">
        <f>IF(AND(ISNUMBER(L513),ISNUMBER(AL513),AL513&gt;0),L513/AL513,"")</f>
        <v/>
      </c>
      <c r="AN513" s="19">
        <f>IF(AND(ISNUMBER(AM513),ISNUMBER({ROIC})),AM513-{ROIC},"")</f>
        <v/>
      </c>
      <c r="AO513" s="17">
        <f>IF(AND(ISNUMBER(AC513),ISNUMBER(M513)),AC513+M513,"")</f>
        <v/>
      </c>
      <c r="AP513" s="20">
        <f>IF(AND(ISNUMBER(AF513),ISNUMBER(R513),ISNUMBER(AO513),AO513&gt;0),(AF513-R513)/AO513,"")</f>
        <v/>
      </c>
      <c r="AQ513" s="20">
        <f>IF(AND(ISNUMBER(AC513),ISNUMBER(I513),I513&lt;&gt;0,AC513&gt;0),AC513/I513,"")</f>
        <v/>
      </c>
      <c r="AR513" s="17">
        <f>IF(AND(ISNUMBER(W513),ISNUMBER(Y513)),W513-IF(ISNUMBER(R513),R513,0)-(Y513-IF(ISNUMBER(T513),T513,0)),"")</f>
        <v/>
      </c>
      <c r="AS513" s="17">
        <f>IF(AND(ISNUMBER(X513),ISNUMBER(Z513)),X513-IF(ISNUMBER(S513),S513,0)-(Z513-IF(ISNUMBER(U513),U513,0)),"")</f>
        <v/>
      </c>
      <c r="AT513" s="17">
        <f>IF(AND(ISNUMBER(AR513),ISNUMBER(AS513)),AR513-AS513,"")</f>
        <v/>
      </c>
      <c r="AU513" s="17">
        <f>IF(E513="금융","",IF(AND(ISNUMBER(L513),ISNUMBER(M513),ISNUMBER(N513),ISNUMBER(AT513)),L513+M513-N513-AT513,IF(AND(ISNUMBER(O513),ISNUMBER(N513)),O513-N513,"")))</f>
        <v/>
      </c>
      <c r="AV513" s="8">
        <f>IF(E513="금융","금융업 - 정의되지 않음",IF(AND(ISNUMBER(L513),ISNUMBER(M513),ISNUMBER(N513),ISNUMBER(AT513)),"순이익+감가상각-설비투자-운전자본증감",IF(AND(ISNUMBER(O513),ISNUMBER(N513)),"영업현금흐름-설비투자","산출불가")))</f>
        <v/>
      </c>
      <c r="AW513" s="19">
        <f>IF(AND(ISNUMBER(AU513),ISNUMBER(G513),G513&lt;&gt;0),AU513/G513,"")</f>
        <v/>
      </c>
      <c r="AX513" s="19">
        <f>IF(AND(ISNUMBER(AC513),ISNUMBER(G513),G513&lt;&gt;0),AC513/G513,"")</f>
        <v/>
      </c>
    </row>
    <row r="514">
      <c r="A514" s="8" t="inlineStr">
        <is>
          <t>WFC</t>
        </is>
      </c>
      <c r="B514" s="8" t="inlineStr">
        <is>
          <t>WELLS FARGO &amp; COMPANY/MN</t>
        </is>
      </c>
      <c r="C514" s="8" t="n">
        <v>2025</v>
      </c>
      <c r="D514" s="8" t="inlineStr">
        <is>
          <t>2025-12-31</t>
        </is>
      </c>
      <c r="E514" s="8" t="inlineStr">
        <is>
          <t>금융</t>
        </is>
      </c>
      <c r="F514" s="8" t="inlineStr">
        <is>
          <t>0000072971-26-000133</t>
        </is>
      </c>
      <c r="G514" s="15" t="n">
        <v>83.699</v>
      </c>
      <c r="H514" s="15" t="n">
        <v>25.199</v>
      </c>
      <c r="I514" s="15" t="n">
        <v>1.164</v>
      </c>
      <c r="J514" s="15" t="n">
        <v>3.841</v>
      </c>
      <c r="K514" s="15" t="n"/>
      <c r="L514" s="15" t="n">
        <v>21.338</v>
      </c>
      <c r="M514" s="15" t="n">
        <v>7.713</v>
      </c>
      <c r="N514" s="15" t="n"/>
      <c r="O514" s="15" t="n">
        <v>-19.001</v>
      </c>
      <c r="P514" s="15" t="n">
        <v>181.117</v>
      </c>
      <c r="Q514" s="15" t="n">
        <v>179.12</v>
      </c>
      <c r="R514" s="15" t="n">
        <v>172.593</v>
      </c>
      <c r="S514" s="15" t="n">
        <v>201.902</v>
      </c>
      <c r="T514" s="15" t="n">
        <v>18.323</v>
      </c>
      <c r="U514" s="15" t="n">
        <v>2.704</v>
      </c>
      <c r="V514" s="15" t="n">
        <v>174.712</v>
      </c>
      <c r="W514" s="15" t="n"/>
      <c r="X514" s="15" t="n"/>
      <c r="Y514" s="15" t="n"/>
      <c r="Z514" s="15" t="n"/>
      <c r="AA514" s="15" t="n"/>
      <c r="AB514" s="16" t="n">
        <v>3242.3</v>
      </c>
      <c r="AC514" s="17">
        <f>IF(AND(ISNUMBER(H514),ISNUMBER(I514)),H514+I514,IF(ISNUMBER(K514),K514,IF(ISNUMBER(H514),H514,"")))</f>
        <v/>
      </c>
      <c r="AD514" s="18">
        <f>IF(OR(NOT(ISNUMBER(J514)),NOT(ISNUMBER(H514)),H514&lt;=0),기준표!$B$8,MIN(MAX(J514/H514,기준표!$B$6),기준표!$B$7))</f>
        <v/>
      </c>
      <c r="AE514" s="17">
        <f>IF(ISNUMBER(AC514),AC514*(1-AD514),"")</f>
        <v/>
      </c>
      <c r="AF514" s="17">
        <f>IF(AND(NOT(ISNUMBER(T514)),NOT(ISNUMBER(V514))),"",IF(ISNUMBER(T514),T514,0)+IF(ISNUMBER(V514),V514,0))</f>
        <v/>
      </c>
      <c r="AG514" s="17">
        <f>IF(E514="금융","",IF(AND(ISNUMBER(P514),ISNUMBER(AF514),ISNUMBER(R514)),P514+AF514-R514,""))</f>
        <v/>
      </c>
      <c r="AH514" s="17">
        <f>IF(E514="금융","",IF(NOT(ISNUMBER(AG514)),"",IF(ISNUMBER(AA514),(AG514+AA514)/2,AG514)))</f>
        <v/>
      </c>
      <c r="AI514" s="19">
        <f>IF(AND(ISNUMBER(AE514),ISNUMBER(AH514),AH514&gt;0),AE514/AH514,"")</f>
        <v/>
      </c>
      <c r="AJ514" s="17">
        <f>IF(E514="금융","",IF(AND(ISNUMBER(P514),ISNUMBER(AF514)),P514+AF514,""))</f>
        <v/>
      </c>
      <c r="AK514" s="19">
        <f>IF(OR(NOT(ISNUMBER(AE514)),NOT(ISNUMBER(AJ514)),AJ514&lt;=0),"",IF(AND(ISNUMBER(G514),AJ514&lt;0.1*G514),"",AE514/AJ514))</f>
        <v/>
      </c>
      <c r="AL514" s="17">
        <f>IF(NOT(ISNUMBER(P514)),"",IF(ISNUMBER(Q514),(P514+Q514)/2,P514))</f>
        <v/>
      </c>
      <c r="AM514" s="19">
        <f>IF(AND(ISNUMBER(L514),ISNUMBER(AL514),AL514&gt;0),L514/AL514,"")</f>
        <v/>
      </c>
      <c r="AN514" s="19">
        <f>IF(AND(ISNUMBER(AM514),ISNUMBER({ROIC})),AM514-{ROIC},"")</f>
        <v/>
      </c>
      <c r="AO514" s="17">
        <f>IF(AND(ISNUMBER(AC514),ISNUMBER(M514)),AC514+M514,"")</f>
        <v/>
      </c>
      <c r="AP514" s="20">
        <f>IF(AND(ISNUMBER(AF514),ISNUMBER(R514),ISNUMBER(AO514),AO514&gt;0),(AF514-R514)/AO514,"")</f>
        <v/>
      </c>
      <c r="AQ514" s="20">
        <f>IF(AND(ISNUMBER(AC514),ISNUMBER(I514),I514&lt;&gt;0,AC514&gt;0),AC514/I514,"")</f>
        <v/>
      </c>
      <c r="AR514" s="17">
        <f>IF(AND(ISNUMBER(W514),ISNUMBER(Y514)),W514-IF(ISNUMBER(R514),R514,0)-(Y514-IF(ISNUMBER(T514),T514,0)),"")</f>
        <v/>
      </c>
      <c r="AS514" s="17">
        <f>IF(AND(ISNUMBER(X514),ISNUMBER(Z514)),X514-IF(ISNUMBER(S514),S514,0)-(Z514-IF(ISNUMBER(U514),U514,0)),"")</f>
        <v/>
      </c>
      <c r="AT514" s="17">
        <f>IF(AND(ISNUMBER(AR514),ISNUMBER(AS514)),AR514-AS514,"")</f>
        <v/>
      </c>
      <c r="AU514" s="17">
        <f>IF(E514="금융","",IF(AND(ISNUMBER(L514),ISNUMBER(M514),ISNUMBER(N514),ISNUMBER(AT514)),L514+M514-N514-AT514,IF(AND(ISNUMBER(O514),ISNUMBER(N514)),O514-N514,"")))</f>
        <v/>
      </c>
      <c r="AV514" s="8">
        <f>IF(E514="금융","금융업 - 정의되지 않음",IF(AND(ISNUMBER(L514),ISNUMBER(M514),ISNUMBER(N514),ISNUMBER(AT514)),"순이익+감가상각-설비투자-운전자본증감",IF(AND(ISNUMBER(O514),ISNUMBER(N514)),"영업현금흐름-설비투자","산출불가")))</f>
        <v/>
      </c>
      <c r="AW514" s="19">
        <f>IF(AND(ISNUMBER(AU514),ISNUMBER(G514),G514&lt;&gt;0),AU514/G514,"")</f>
        <v/>
      </c>
      <c r="AX514" s="19">
        <f>IF(AND(ISNUMBER(AC514),ISNUMBER(G514),G514&lt;&gt;0),AC514/G514,"")</f>
        <v/>
      </c>
    </row>
    <row r="515">
      <c r="A515" s="8" t="inlineStr">
        <is>
          <t>GEV</t>
        </is>
      </c>
      <c r="B515" s="8" t="inlineStr">
        <is>
          <t>GE Vernova Inc.</t>
        </is>
      </c>
      <c r="C515" s="8" t="n">
        <v>2022</v>
      </c>
      <c r="D515" s="8" t="inlineStr">
        <is>
          <t>2022-12-31</t>
        </is>
      </c>
      <c r="E515" s="8" t="inlineStr">
        <is>
          <t>일반</t>
        </is>
      </c>
      <c r="F515" s="8" t="inlineStr">
        <is>
          <t>0001996810-25-000011</t>
        </is>
      </c>
      <c r="G515" s="15" t="n">
        <v>29.654</v>
      </c>
      <c r="H515" s="15" t="n">
        <v>-2.474</v>
      </c>
      <c r="I515" s="15" t="n"/>
      <c r="J515" s="15" t="n">
        <v>0.248</v>
      </c>
      <c r="K515" s="15" t="n">
        <v>-2.881</v>
      </c>
      <c r="L515" s="15" t="n">
        <v>-2.736</v>
      </c>
      <c r="M515" s="15" t="n">
        <v>0.779</v>
      </c>
      <c r="N515" s="15" t="n">
        <v>0.513</v>
      </c>
      <c r="O515" s="15" t="n">
        <v>-0.114</v>
      </c>
      <c r="P515" s="15" t="n">
        <v>11.607</v>
      </c>
      <c r="Q515" s="15" t="n"/>
      <c r="R515" s="15" t="n">
        <v>2.067</v>
      </c>
      <c r="S515" s="15" t="n"/>
      <c r="T515" s="15" t="n"/>
      <c r="U515" s="15" t="n"/>
      <c r="V515" s="15" t="n"/>
      <c r="W515" s="15" t="n"/>
      <c r="X515" s="15" t="n"/>
      <c r="Y515" s="15" t="n"/>
      <c r="Z515" s="15" t="n"/>
      <c r="AA515" s="15" t="n"/>
      <c r="AB515" s="16" t="n">
        <v>274</v>
      </c>
      <c r="AC515" s="17">
        <f>IF(AND(ISNUMBER(H515),ISNUMBER(I515)),H515+I515,IF(ISNUMBER(K515),K515,IF(ISNUMBER(H515),H515,"")))</f>
        <v/>
      </c>
      <c r="AD515" s="18">
        <f>IF(OR(NOT(ISNUMBER(J515)),NOT(ISNUMBER(H515)),H515&lt;=0),기준표!$B$8,MIN(MAX(J515/H515,기준표!$B$6),기준표!$B$7))</f>
        <v/>
      </c>
      <c r="AE515" s="17">
        <f>IF(ISNUMBER(AC515),AC515*(1-AD515),"")</f>
        <v/>
      </c>
      <c r="AF515" s="17">
        <f>IF(AND(NOT(ISNUMBER(T515)),NOT(ISNUMBER(V515))),"",IF(ISNUMBER(T515),T515,0)+IF(ISNUMBER(V515),V515,0))</f>
        <v/>
      </c>
      <c r="AG515" s="17">
        <f>IF(E515="금융","",IF(AND(ISNUMBER(P515),ISNUMBER(AF515),ISNUMBER(R515)),P515+AF515-R515,""))</f>
        <v/>
      </c>
      <c r="AH515" s="17">
        <f>IF(E515="금융","",IF(NOT(ISNUMBER(AG515)),"",IF(ISNUMBER(AA515),(AG515+AA515)/2,AG515)))</f>
        <v/>
      </c>
      <c r="AI515" s="19">
        <f>IF(AND(ISNUMBER(AE515),ISNUMBER(AH515),AH515&gt;0),AE515/AH515,"")</f>
        <v/>
      </c>
      <c r="AJ515" s="17">
        <f>IF(E515="금융","",IF(AND(ISNUMBER(P515),ISNUMBER(AF515)),P515+AF515,""))</f>
        <v/>
      </c>
      <c r="AK515" s="19">
        <f>IF(OR(NOT(ISNUMBER(AE515)),NOT(ISNUMBER(AJ515)),AJ515&lt;=0),"",IF(AND(ISNUMBER(G515),AJ515&lt;0.1*G515),"",AE515/AJ515))</f>
        <v/>
      </c>
      <c r="AL515" s="17">
        <f>IF(NOT(ISNUMBER(P515)),"",IF(ISNUMBER(Q515),(P515+Q515)/2,P515))</f>
        <v/>
      </c>
      <c r="AM515" s="19">
        <f>IF(AND(ISNUMBER(L515),ISNUMBER(AL515),AL515&gt;0),L515/AL515,"")</f>
        <v/>
      </c>
      <c r="AN515" s="19">
        <f>IF(AND(ISNUMBER(AM515),ISNUMBER({ROIC})),AM515-{ROIC},"")</f>
        <v/>
      </c>
      <c r="AO515" s="17">
        <f>IF(AND(ISNUMBER(AC515),ISNUMBER(M515)),AC515+M515,"")</f>
        <v/>
      </c>
      <c r="AP515" s="20">
        <f>IF(AND(ISNUMBER(AF515),ISNUMBER(R515),ISNUMBER(AO515),AO515&gt;0),(AF515-R515)/AO515,"")</f>
        <v/>
      </c>
      <c r="AQ515" s="20">
        <f>IF(AND(ISNUMBER(AC515),ISNUMBER(I515),I515&lt;&gt;0,AC515&gt;0),AC515/I515,"")</f>
        <v/>
      </c>
      <c r="AR515" s="17">
        <f>IF(AND(ISNUMBER(W515),ISNUMBER(Y515)),W515-IF(ISNUMBER(R515),R515,0)-(Y515-IF(ISNUMBER(T515),T515,0)),"")</f>
        <v/>
      </c>
      <c r="AS515" s="17">
        <f>IF(AND(ISNUMBER(X515),ISNUMBER(Z515)),X515-IF(ISNUMBER(S515),S515,0)-(Z515-IF(ISNUMBER(U515),U515,0)),"")</f>
        <v/>
      </c>
      <c r="AT515" s="17">
        <f>IF(AND(ISNUMBER(AR515),ISNUMBER(AS515)),AR515-AS515,"")</f>
        <v/>
      </c>
      <c r="AU515" s="17">
        <f>IF(E515="금융","",IF(AND(ISNUMBER(L515),ISNUMBER(M515),ISNUMBER(N515),ISNUMBER(AT515)),L515+M515-N515-AT515,IF(AND(ISNUMBER(O515),ISNUMBER(N515)),O515-N515,"")))</f>
        <v/>
      </c>
      <c r="AV515" s="8">
        <f>IF(E515="금융","금융업 - 정의되지 않음",IF(AND(ISNUMBER(L515),ISNUMBER(M515),ISNUMBER(N515),ISNUMBER(AT515)),"순이익+감가상각-설비투자-운전자본증감",IF(AND(ISNUMBER(O515),ISNUMBER(N515)),"영업현금흐름-설비투자","산출불가")))</f>
        <v/>
      </c>
      <c r="AW515" s="19">
        <f>IF(AND(ISNUMBER(AU515),ISNUMBER(G515),G515&lt;&gt;0),AU515/G515,"")</f>
        <v/>
      </c>
      <c r="AX515" s="19">
        <f>IF(AND(ISNUMBER(AC515),ISNUMBER(G515),G515&lt;&gt;0),AC515/G515,"")</f>
        <v/>
      </c>
    </row>
    <row r="516">
      <c r="A516" s="8" t="inlineStr">
        <is>
          <t>GEV</t>
        </is>
      </c>
      <c r="B516" s="8" t="inlineStr">
        <is>
          <t>GE Vernova Inc.</t>
        </is>
      </c>
      <c r="C516" s="8" t="n">
        <v>2023</v>
      </c>
      <c r="D516" s="8" t="inlineStr">
        <is>
          <t>2023-12-31</t>
        </is>
      </c>
      <c r="E516" s="8" t="inlineStr">
        <is>
          <t>일반</t>
        </is>
      </c>
      <c r="F516" s="8" t="inlineStr">
        <is>
          <t>0001996810-26-000015</t>
        </is>
      </c>
      <c r="G516" s="15" t="n">
        <v>33.239</v>
      </c>
      <c r="H516" s="15" t="n">
        <v>-0.13</v>
      </c>
      <c r="I516" s="15" t="n"/>
      <c r="J516" s="15" t="n">
        <v>0.344</v>
      </c>
      <c r="K516" s="15" t="n">
        <v>-0.923</v>
      </c>
      <c r="L516" s="15" t="n">
        <v>-0.438</v>
      </c>
      <c r="M516" s="15" t="n">
        <v>0.724</v>
      </c>
      <c r="N516" s="15" t="n">
        <v>0.744</v>
      </c>
      <c r="O516" s="15" t="n">
        <v>1.186</v>
      </c>
      <c r="P516" s="15" t="n">
        <v>8.380000000000001</v>
      </c>
      <c r="Q516" s="15" t="n">
        <v>11.607</v>
      </c>
      <c r="R516" s="15" t="n">
        <v>4.2</v>
      </c>
      <c r="S516" s="15" t="n">
        <v>2.067</v>
      </c>
      <c r="T516" s="15" t="n">
        <v>0.145</v>
      </c>
      <c r="U516" s="15" t="n"/>
      <c r="V516" s="15" t="n"/>
      <c r="W516" s="15" t="n">
        <v>27.428</v>
      </c>
      <c r="X516" s="15" t="n"/>
      <c r="Y516" s="15" t="n">
        <v>29.306</v>
      </c>
      <c r="Z516" s="15" t="n"/>
      <c r="AA516" s="15" t="n"/>
      <c r="AB516" s="16" t="n">
        <v>274</v>
      </c>
      <c r="AC516" s="17">
        <f>IF(AND(ISNUMBER(H516),ISNUMBER(I516)),H516+I516,IF(ISNUMBER(K516),K516,IF(ISNUMBER(H516),H516,"")))</f>
        <v/>
      </c>
      <c r="AD516" s="18">
        <f>IF(OR(NOT(ISNUMBER(J516)),NOT(ISNUMBER(H516)),H516&lt;=0),기준표!$B$8,MIN(MAX(J516/H516,기준표!$B$6),기준표!$B$7))</f>
        <v/>
      </c>
      <c r="AE516" s="17">
        <f>IF(ISNUMBER(AC516),AC516*(1-AD516),"")</f>
        <v/>
      </c>
      <c r="AF516" s="17">
        <f>IF(AND(NOT(ISNUMBER(T516)),NOT(ISNUMBER(V516))),"",IF(ISNUMBER(T516),T516,0)+IF(ISNUMBER(V516),V516,0))</f>
        <v/>
      </c>
      <c r="AG516" s="17">
        <f>IF(E516="금융","",IF(AND(ISNUMBER(P516),ISNUMBER(AF516),ISNUMBER(R516)),P516+AF516-R516,""))</f>
        <v/>
      </c>
      <c r="AH516" s="17">
        <f>IF(E516="금융","",IF(NOT(ISNUMBER(AG516)),"",IF(ISNUMBER(AA516),(AG516+AA516)/2,AG516)))</f>
        <v/>
      </c>
      <c r="AI516" s="19">
        <f>IF(AND(ISNUMBER(AE516),ISNUMBER(AH516),AH516&gt;0),AE516/AH516,"")</f>
        <v/>
      </c>
      <c r="AJ516" s="17">
        <f>IF(E516="금융","",IF(AND(ISNUMBER(P516),ISNUMBER(AF516)),P516+AF516,""))</f>
        <v/>
      </c>
      <c r="AK516" s="19">
        <f>IF(OR(NOT(ISNUMBER(AE516)),NOT(ISNUMBER(AJ516)),AJ516&lt;=0),"",IF(AND(ISNUMBER(G516),AJ516&lt;0.1*G516),"",AE516/AJ516))</f>
        <v/>
      </c>
      <c r="AL516" s="17">
        <f>IF(NOT(ISNUMBER(P516)),"",IF(ISNUMBER(Q516),(P516+Q516)/2,P516))</f>
        <v/>
      </c>
      <c r="AM516" s="19">
        <f>IF(AND(ISNUMBER(L516),ISNUMBER(AL516),AL516&gt;0),L516/AL516,"")</f>
        <v/>
      </c>
      <c r="AN516" s="19">
        <f>IF(AND(ISNUMBER(AM516),ISNUMBER({ROIC})),AM516-{ROIC},"")</f>
        <v/>
      </c>
      <c r="AO516" s="17">
        <f>IF(AND(ISNUMBER(AC516),ISNUMBER(M516)),AC516+M516,"")</f>
        <v/>
      </c>
      <c r="AP516" s="20">
        <f>IF(AND(ISNUMBER(AF516),ISNUMBER(R516),ISNUMBER(AO516),AO516&gt;0),(AF516-R516)/AO516,"")</f>
        <v/>
      </c>
      <c r="AQ516" s="20">
        <f>IF(AND(ISNUMBER(AC516),ISNUMBER(I516),I516&lt;&gt;0,AC516&gt;0),AC516/I516,"")</f>
        <v/>
      </c>
      <c r="AR516" s="17">
        <f>IF(AND(ISNUMBER(W516),ISNUMBER(Y516)),W516-IF(ISNUMBER(R516),R516,0)-(Y516-IF(ISNUMBER(T516),T516,0)),"")</f>
        <v/>
      </c>
      <c r="AS516" s="17">
        <f>IF(AND(ISNUMBER(X516),ISNUMBER(Z516)),X516-IF(ISNUMBER(S516),S516,0)-(Z516-IF(ISNUMBER(U516),U516,0)),"")</f>
        <v/>
      </c>
      <c r="AT516" s="17">
        <f>IF(AND(ISNUMBER(AR516),ISNUMBER(AS516)),AR516-AS516,"")</f>
        <v/>
      </c>
      <c r="AU516" s="17">
        <f>IF(E516="금융","",IF(AND(ISNUMBER(L516),ISNUMBER(M516),ISNUMBER(N516),ISNUMBER(AT516)),L516+M516-N516-AT516,IF(AND(ISNUMBER(O516),ISNUMBER(N516)),O516-N516,"")))</f>
        <v/>
      </c>
      <c r="AV516" s="8">
        <f>IF(E516="금융","금융업 - 정의되지 않음",IF(AND(ISNUMBER(L516),ISNUMBER(M516),ISNUMBER(N516),ISNUMBER(AT516)),"순이익+감가상각-설비투자-운전자본증감",IF(AND(ISNUMBER(O516),ISNUMBER(N516)),"영업현금흐름-설비투자","산출불가")))</f>
        <v/>
      </c>
      <c r="AW516" s="19">
        <f>IF(AND(ISNUMBER(AU516),ISNUMBER(G516),G516&lt;&gt;0),AU516/G516,"")</f>
        <v/>
      </c>
      <c r="AX516" s="19">
        <f>IF(AND(ISNUMBER(AC516),ISNUMBER(G516),G516&lt;&gt;0),AC516/G516,"")</f>
        <v/>
      </c>
    </row>
    <row r="517">
      <c r="A517" s="8" t="inlineStr">
        <is>
          <t>GEV</t>
        </is>
      </c>
      <c r="B517" s="8" t="inlineStr">
        <is>
          <t>GE Vernova Inc.</t>
        </is>
      </c>
      <c r="C517" s="8" t="n">
        <v>2024</v>
      </c>
      <c r="D517" s="8" t="inlineStr">
        <is>
          <t>2024-12-31</t>
        </is>
      </c>
      <c r="E517" s="8" t="inlineStr">
        <is>
          <t>일반</t>
        </is>
      </c>
      <c r="F517" s="8" t="inlineStr">
        <is>
          <t>0001996810-26-000015</t>
        </is>
      </c>
      <c r="G517" s="15" t="n">
        <v>34.935</v>
      </c>
      <c r="H517" s="15" t="n">
        <v>2.498</v>
      </c>
      <c r="I517" s="15" t="n"/>
      <c r="J517" s="15" t="n">
        <v>0.9389999999999999</v>
      </c>
      <c r="K517" s="15" t="n">
        <v>0.471</v>
      </c>
      <c r="L517" s="15" t="n">
        <v>1.552</v>
      </c>
      <c r="M517" s="15" t="n">
        <v>0.895</v>
      </c>
      <c r="N517" s="15" t="n">
        <v>0.883</v>
      </c>
      <c r="O517" s="15" t="n">
        <v>2.583</v>
      </c>
      <c r="P517" s="15" t="n">
        <v>10.593</v>
      </c>
      <c r="Q517" s="15" t="n">
        <v>8.380000000000001</v>
      </c>
      <c r="R517" s="15" t="n">
        <v>8.205</v>
      </c>
      <c r="S517" s="15" t="n">
        <v>4.2</v>
      </c>
      <c r="T517" s="15" t="n">
        <v>0.06</v>
      </c>
      <c r="U517" s="15" t="n">
        <v>0.145</v>
      </c>
      <c r="V517" s="15" t="n"/>
      <c r="W517" s="15" t="n">
        <v>34.153</v>
      </c>
      <c r="X517" s="15" t="n">
        <v>27.428</v>
      </c>
      <c r="Y517" s="15" t="n">
        <v>31.685</v>
      </c>
      <c r="Z517" s="15" t="n">
        <v>29.306</v>
      </c>
      <c r="AA517" s="15" t="n">
        <v>4.325</v>
      </c>
      <c r="AB517" s="16" t="n">
        <v>278</v>
      </c>
      <c r="AC517" s="17">
        <f>IF(AND(ISNUMBER(H517),ISNUMBER(I517)),H517+I517,IF(ISNUMBER(K517),K517,IF(ISNUMBER(H517),H517,"")))</f>
        <v/>
      </c>
      <c r="AD517" s="18">
        <f>IF(OR(NOT(ISNUMBER(J517)),NOT(ISNUMBER(H517)),H517&lt;=0),기준표!$B$8,MIN(MAX(J517/H517,기준표!$B$6),기준표!$B$7))</f>
        <v/>
      </c>
      <c r="AE517" s="17">
        <f>IF(ISNUMBER(AC517),AC517*(1-AD517),"")</f>
        <v/>
      </c>
      <c r="AF517" s="17">
        <f>IF(AND(NOT(ISNUMBER(T517)),NOT(ISNUMBER(V517))),"",IF(ISNUMBER(T517),T517,0)+IF(ISNUMBER(V517),V517,0))</f>
        <v/>
      </c>
      <c r="AG517" s="17">
        <f>IF(E517="금융","",IF(AND(ISNUMBER(P517),ISNUMBER(AF517),ISNUMBER(R517)),P517+AF517-R517,""))</f>
        <v/>
      </c>
      <c r="AH517" s="17">
        <f>IF(E517="금융","",IF(NOT(ISNUMBER(AG517)),"",IF(ISNUMBER(AA517),(AG517+AA517)/2,AG517)))</f>
        <v/>
      </c>
      <c r="AI517" s="19">
        <f>IF(AND(ISNUMBER(AE517),ISNUMBER(AH517),AH517&gt;0),AE517/AH517,"")</f>
        <v/>
      </c>
      <c r="AJ517" s="17">
        <f>IF(E517="금융","",IF(AND(ISNUMBER(P517),ISNUMBER(AF517)),P517+AF517,""))</f>
        <v/>
      </c>
      <c r="AK517" s="19">
        <f>IF(OR(NOT(ISNUMBER(AE517)),NOT(ISNUMBER(AJ517)),AJ517&lt;=0),"",IF(AND(ISNUMBER(G517),AJ517&lt;0.1*G517),"",AE517/AJ517))</f>
        <v/>
      </c>
      <c r="AL517" s="17">
        <f>IF(NOT(ISNUMBER(P517)),"",IF(ISNUMBER(Q517),(P517+Q517)/2,P517))</f>
        <v/>
      </c>
      <c r="AM517" s="19">
        <f>IF(AND(ISNUMBER(L517),ISNUMBER(AL517),AL517&gt;0),L517/AL517,"")</f>
        <v/>
      </c>
      <c r="AN517" s="19">
        <f>IF(AND(ISNUMBER(AM517),ISNUMBER({ROIC})),AM517-{ROIC},"")</f>
        <v/>
      </c>
      <c r="AO517" s="17">
        <f>IF(AND(ISNUMBER(AC517),ISNUMBER(M517)),AC517+M517,"")</f>
        <v/>
      </c>
      <c r="AP517" s="20">
        <f>IF(AND(ISNUMBER(AF517),ISNUMBER(R517),ISNUMBER(AO517),AO517&gt;0),(AF517-R517)/AO517,"")</f>
        <v/>
      </c>
      <c r="AQ517" s="20">
        <f>IF(AND(ISNUMBER(AC517),ISNUMBER(I517),I517&lt;&gt;0,AC517&gt;0),AC517/I517,"")</f>
        <v/>
      </c>
      <c r="AR517" s="17">
        <f>IF(AND(ISNUMBER(W517),ISNUMBER(Y517)),W517-IF(ISNUMBER(R517),R517,0)-(Y517-IF(ISNUMBER(T517),T517,0)),"")</f>
        <v/>
      </c>
      <c r="AS517" s="17">
        <f>IF(AND(ISNUMBER(X517),ISNUMBER(Z517)),X517-IF(ISNUMBER(S517),S517,0)-(Z517-IF(ISNUMBER(U517),U517,0)),"")</f>
        <v/>
      </c>
      <c r="AT517" s="17">
        <f>IF(AND(ISNUMBER(AR517),ISNUMBER(AS517)),AR517-AS517,"")</f>
        <v/>
      </c>
      <c r="AU517" s="17">
        <f>IF(E517="금융","",IF(AND(ISNUMBER(L517),ISNUMBER(M517),ISNUMBER(N517),ISNUMBER(AT517)),L517+M517-N517-AT517,IF(AND(ISNUMBER(O517),ISNUMBER(N517)),O517-N517,"")))</f>
        <v/>
      </c>
      <c r="AV517" s="8">
        <f>IF(E517="금융","금융업 - 정의되지 않음",IF(AND(ISNUMBER(L517),ISNUMBER(M517),ISNUMBER(N517),ISNUMBER(AT517)),"순이익+감가상각-설비투자-운전자본증감",IF(AND(ISNUMBER(O517),ISNUMBER(N517)),"영업현금흐름-설비투자","산출불가")))</f>
        <v/>
      </c>
      <c r="AW517" s="19">
        <f>IF(AND(ISNUMBER(AU517),ISNUMBER(G517),G517&lt;&gt;0),AU517/G517,"")</f>
        <v/>
      </c>
      <c r="AX517" s="19">
        <f>IF(AND(ISNUMBER(AC517),ISNUMBER(G517),G517&lt;&gt;0),AC517/G517,"")</f>
        <v/>
      </c>
    </row>
    <row r="518">
      <c r="A518" s="8" t="inlineStr">
        <is>
          <t>GEV</t>
        </is>
      </c>
      <c r="B518" s="8" t="inlineStr">
        <is>
          <t>GE Vernova Inc.</t>
        </is>
      </c>
      <c r="C518" s="8" t="n">
        <v>2025</v>
      </c>
      <c r="D518" s="8" t="inlineStr">
        <is>
          <t>2025-12-31</t>
        </is>
      </c>
      <c r="E518" s="8" t="inlineStr">
        <is>
          <t>일반</t>
        </is>
      </c>
      <c r="F518" s="8" t="inlineStr">
        <is>
          <t>0001996810-26-000015</t>
        </is>
      </c>
      <c r="G518" s="15" t="n">
        <v>38.068</v>
      </c>
      <c r="H518" s="15" t="n">
        <v>2.828</v>
      </c>
      <c r="I518" s="15" t="n"/>
      <c r="J518" s="15" t="n">
        <v>-2.051</v>
      </c>
      <c r="K518" s="15" t="n">
        <v>1.388</v>
      </c>
      <c r="L518" s="15" t="n">
        <v>4.884</v>
      </c>
      <c r="M518" s="15" t="n">
        <v>0.615</v>
      </c>
      <c r="N518" s="15" t="n">
        <v>1.277</v>
      </c>
      <c r="O518" s="15" t="n">
        <v>4.987</v>
      </c>
      <c r="P518" s="15" t="n">
        <v>12.296</v>
      </c>
      <c r="Q518" s="15" t="n">
        <v>10.593</v>
      </c>
      <c r="R518" s="15" t="n">
        <v>8.848000000000001</v>
      </c>
      <c r="S518" s="15" t="n">
        <v>8.205</v>
      </c>
      <c r="T518" s="15" t="n">
        <v>0.063</v>
      </c>
      <c r="U518" s="15" t="n">
        <v>0.06</v>
      </c>
      <c r="V518" s="15" t="n"/>
      <c r="W518" s="15" t="n">
        <v>40.216</v>
      </c>
      <c r="X518" s="15" t="n">
        <v>34.153</v>
      </c>
      <c r="Y518" s="15" t="n">
        <v>40.972</v>
      </c>
      <c r="Z518" s="15" t="n">
        <v>31.685</v>
      </c>
      <c r="AA518" s="15" t="n">
        <v>2.448</v>
      </c>
      <c r="AB518" s="16" t="n">
        <v>276</v>
      </c>
      <c r="AC518" s="17">
        <f>IF(AND(ISNUMBER(H518),ISNUMBER(I518)),H518+I518,IF(ISNUMBER(K518),K518,IF(ISNUMBER(H518),H518,"")))</f>
        <v/>
      </c>
      <c r="AD518" s="18">
        <f>IF(OR(NOT(ISNUMBER(J518)),NOT(ISNUMBER(H518)),H518&lt;=0),기준표!$B$8,MIN(MAX(J518/H518,기준표!$B$6),기준표!$B$7))</f>
        <v/>
      </c>
      <c r="AE518" s="17">
        <f>IF(ISNUMBER(AC518),AC518*(1-AD518),"")</f>
        <v/>
      </c>
      <c r="AF518" s="17">
        <f>IF(AND(NOT(ISNUMBER(T518)),NOT(ISNUMBER(V518))),"",IF(ISNUMBER(T518),T518,0)+IF(ISNUMBER(V518),V518,0))</f>
        <v/>
      </c>
      <c r="AG518" s="17">
        <f>IF(E518="금융","",IF(AND(ISNUMBER(P518),ISNUMBER(AF518),ISNUMBER(R518)),P518+AF518-R518,""))</f>
        <v/>
      </c>
      <c r="AH518" s="17">
        <f>IF(E518="금융","",IF(NOT(ISNUMBER(AG518)),"",IF(ISNUMBER(AA518),(AG518+AA518)/2,AG518)))</f>
        <v/>
      </c>
      <c r="AI518" s="19">
        <f>IF(AND(ISNUMBER(AE518),ISNUMBER(AH518),AH518&gt;0),AE518/AH518,"")</f>
        <v/>
      </c>
      <c r="AJ518" s="17">
        <f>IF(E518="금융","",IF(AND(ISNUMBER(P518),ISNUMBER(AF518)),P518+AF518,""))</f>
        <v/>
      </c>
      <c r="AK518" s="19">
        <f>IF(OR(NOT(ISNUMBER(AE518)),NOT(ISNUMBER(AJ518)),AJ518&lt;=0),"",IF(AND(ISNUMBER(G518),AJ518&lt;0.1*G518),"",AE518/AJ518))</f>
        <v/>
      </c>
      <c r="AL518" s="17">
        <f>IF(NOT(ISNUMBER(P518)),"",IF(ISNUMBER(Q518),(P518+Q518)/2,P518))</f>
        <v/>
      </c>
      <c r="AM518" s="19">
        <f>IF(AND(ISNUMBER(L518),ISNUMBER(AL518),AL518&gt;0),L518/AL518,"")</f>
        <v/>
      </c>
      <c r="AN518" s="19">
        <f>IF(AND(ISNUMBER(AM518),ISNUMBER({ROIC})),AM518-{ROIC},"")</f>
        <v/>
      </c>
      <c r="AO518" s="17">
        <f>IF(AND(ISNUMBER(AC518),ISNUMBER(M518)),AC518+M518,"")</f>
        <v/>
      </c>
      <c r="AP518" s="20">
        <f>IF(AND(ISNUMBER(AF518),ISNUMBER(R518),ISNUMBER(AO518),AO518&gt;0),(AF518-R518)/AO518,"")</f>
        <v/>
      </c>
      <c r="AQ518" s="20">
        <f>IF(AND(ISNUMBER(AC518),ISNUMBER(I518),I518&lt;&gt;0,AC518&gt;0),AC518/I518,"")</f>
        <v/>
      </c>
      <c r="AR518" s="17">
        <f>IF(AND(ISNUMBER(W518),ISNUMBER(Y518)),W518-IF(ISNUMBER(R518),R518,0)-(Y518-IF(ISNUMBER(T518),T518,0)),"")</f>
        <v/>
      </c>
      <c r="AS518" s="17">
        <f>IF(AND(ISNUMBER(X518),ISNUMBER(Z518)),X518-IF(ISNUMBER(S518),S518,0)-(Z518-IF(ISNUMBER(U518),U518,0)),"")</f>
        <v/>
      </c>
      <c r="AT518" s="17">
        <f>IF(AND(ISNUMBER(AR518),ISNUMBER(AS518)),AR518-AS518,"")</f>
        <v/>
      </c>
      <c r="AU518" s="17">
        <f>IF(E518="금융","",IF(AND(ISNUMBER(L518),ISNUMBER(M518),ISNUMBER(N518),ISNUMBER(AT518)),L518+M518-N518-AT518,IF(AND(ISNUMBER(O518),ISNUMBER(N518)),O518-N518,"")))</f>
        <v/>
      </c>
      <c r="AV518" s="8">
        <f>IF(E518="금융","금융업 - 정의되지 않음",IF(AND(ISNUMBER(L518),ISNUMBER(M518),ISNUMBER(N518),ISNUMBER(AT518)),"순이익+감가상각-설비투자-운전자본증감",IF(AND(ISNUMBER(O518),ISNUMBER(N518)),"영업현금흐름-설비투자","산출불가")))</f>
        <v/>
      </c>
      <c r="AW518" s="19">
        <f>IF(AND(ISNUMBER(AU518),ISNUMBER(G518),G518&lt;&gt;0),AU518/G518,"")</f>
        <v/>
      </c>
      <c r="AX518" s="19">
        <f>IF(AND(ISNUMBER(AC518),ISNUMBER(G518),G518&lt;&gt;0),AC518/G518,"")</f>
        <v/>
      </c>
    </row>
    <row r="519">
      <c r="A519" s="8" t="inlineStr">
        <is>
          <t>TXN</t>
        </is>
      </c>
      <c r="B519" s="8" t="inlineStr">
        <is>
          <t>TEXAS INSTRUMENTS INC</t>
        </is>
      </c>
      <c r="C519" s="8" t="n">
        <v>2014</v>
      </c>
      <c r="D519" s="8" t="inlineStr">
        <is>
          <t>2014-12-31</t>
        </is>
      </c>
      <c r="E519" s="8" t="inlineStr">
        <is>
          <t>일반</t>
        </is>
      </c>
      <c r="F519" s="8" t="inlineStr">
        <is>
          <t>0001564590-17-002142</t>
        </is>
      </c>
      <c r="G519" s="15" t="n"/>
      <c r="H519" s="15" t="n">
        <v>3.874</v>
      </c>
      <c r="I519" s="15" t="n">
        <v>0.094</v>
      </c>
      <c r="J519" s="15" t="n">
        <v>1.053</v>
      </c>
      <c r="K519" s="15" t="n">
        <v>3.947</v>
      </c>
      <c r="L519" s="15" t="n">
        <v>2.821</v>
      </c>
      <c r="M519" s="15" t="n">
        <v>0.85</v>
      </c>
      <c r="N519" s="15" t="n">
        <v>0.385</v>
      </c>
      <c r="O519" s="15" t="n"/>
      <c r="P519" s="15" t="n">
        <v>10.39</v>
      </c>
      <c r="Q519" s="15" t="n"/>
      <c r="R519" s="15" t="n">
        <v>3.541</v>
      </c>
      <c r="S519" s="15" t="n"/>
      <c r="T519" s="15" t="n">
        <v>1.001</v>
      </c>
      <c r="U519" s="15" t="n"/>
      <c r="V519" s="15" t="n">
        <v>3.63</v>
      </c>
      <c r="W519" s="15" t="n">
        <v>7.421</v>
      </c>
      <c r="X519" s="15" t="n"/>
      <c r="Y519" s="15" t="n">
        <v>2.658</v>
      </c>
      <c r="Z519" s="15" t="n"/>
      <c r="AA519" s="15" t="n"/>
      <c r="AB519" s="16" t="n">
        <v>1080</v>
      </c>
      <c r="AC519" s="17">
        <f>IF(AND(ISNUMBER(H519),ISNUMBER(I519)),H519+I519,IF(ISNUMBER(K519),K519,IF(ISNUMBER(H519),H519,"")))</f>
        <v/>
      </c>
      <c r="AD519" s="18">
        <f>IF(OR(NOT(ISNUMBER(J519)),NOT(ISNUMBER(H519)),H519&lt;=0),기준표!$B$8,MIN(MAX(J519/H519,기준표!$B$6),기준표!$B$7))</f>
        <v/>
      </c>
      <c r="AE519" s="17">
        <f>IF(ISNUMBER(AC519),AC519*(1-AD519),"")</f>
        <v/>
      </c>
      <c r="AF519" s="17">
        <f>IF(AND(NOT(ISNUMBER(T519)),NOT(ISNUMBER(V519))),"",IF(ISNUMBER(T519),T519,0)+IF(ISNUMBER(V519),V519,0))</f>
        <v/>
      </c>
      <c r="AG519" s="17">
        <f>IF(E519="금융","",IF(AND(ISNUMBER(P519),ISNUMBER(AF519),ISNUMBER(R519)),P519+AF519-R519,""))</f>
        <v/>
      </c>
      <c r="AH519" s="17">
        <f>IF(E519="금융","",IF(NOT(ISNUMBER(AG519)),"",IF(ISNUMBER(AA519),(AG519+AA519)/2,AG519)))</f>
        <v/>
      </c>
      <c r="AI519" s="19">
        <f>IF(AND(ISNUMBER(AE519),ISNUMBER(AH519),AH519&gt;0),AE519/AH519,"")</f>
        <v/>
      </c>
      <c r="AJ519" s="17">
        <f>IF(E519="금융","",IF(AND(ISNUMBER(P519),ISNUMBER(AF519)),P519+AF519,""))</f>
        <v/>
      </c>
      <c r="AK519" s="19">
        <f>IF(OR(NOT(ISNUMBER(AE519)),NOT(ISNUMBER(AJ519)),AJ519&lt;=0),"",IF(AND(ISNUMBER(G519),AJ519&lt;0.1*G519),"",AE519/AJ519))</f>
        <v/>
      </c>
      <c r="AL519" s="17">
        <f>IF(NOT(ISNUMBER(P519)),"",IF(ISNUMBER(Q519),(P519+Q519)/2,P519))</f>
        <v/>
      </c>
      <c r="AM519" s="19">
        <f>IF(AND(ISNUMBER(L519),ISNUMBER(AL519),AL519&gt;0),L519/AL519,"")</f>
        <v/>
      </c>
      <c r="AN519" s="19">
        <f>IF(AND(ISNUMBER(AM519),ISNUMBER({ROIC})),AM519-{ROIC},"")</f>
        <v/>
      </c>
      <c r="AO519" s="17">
        <f>IF(AND(ISNUMBER(AC519),ISNUMBER(M519)),AC519+M519,"")</f>
        <v/>
      </c>
      <c r="AP519" s="20">
        <f>IF(AND(ISNUMBER(AF519),ISNUMBER(R519),ISNUMBER(AO519),AO519&gt;0),(AF519-R519)/AO519,"")</f>
        <v/>
      </c>
      <c r="AQ519" s="20">
        <f>IF(AND(ISNUMBER(AC519),ISNUMBER(I519),I519&lt;&gt;0,AC519&gt;0),AC519/I519,"")</f>
        <v/>
      </c>
      <c r="AR519" s="17">
        <f>IF(AND(ISNUMBER(W519),ISNUMBER(Y519)),W519-IF(ISNUMBER(R519),R519,0)-(Y519-IF(ISNUMBER(T519),T519,0)),"")</f>
        <v/>
      </c>
      <c r="AS519" s="17">
        <f>IF(AND(ISNUMBER(X519),ISNUMBER(Z519)),X519-IF(ISNUMBER(S519),S519,0)-(Z519-IF(ISNUMBER(U519),U519,0)),"")</f>
        <v/>
      </c>
      <c r="AT519" s="17">
        <f>IF(AND(ISNUMBER(AR519),ISNUMBER(AS519)),AR519-AS519,"")</f>
        <v/>
      </c>
      <c r="AU519" s="17">
        <f>IF(E519="금융","",IF(AND(ISNUMBER(L519),ISNUMBER(M519),ISNUMBER(N519),ISNUMBER(AT519)),L519+M519-N519-AT519,IF(AND(ISNUMBER(O519),ISNUMBER(N519)),O519-N519,"")))</f>
        <v/>
      </c>
      <c r="AV519" s="8">
        <f>IF(E519="금융","금융업 - 정의되지 않음",IF(AND(ISNUMBER(L519),ISNUMBER(M519),ISNUMBER(N519),ISNUMBER(AT519)),"순이익+감가상각-설비투자-운전자본증감",IF(AND(ISNUMBER(O519),ISNUMBER(N519)),"영업현금흐름-설비투자","산출불가")))</f>
        <v/>
      </c>
      <c r="AW519" s="19">
        <f>IF(AND(ISNUMBER(AU519),ISNUMBER(G519),G519&lt;&gt;0),AU519/G519,"")</f>
        <v/>
      </c>
      <c r="AX519" s="19">
        <f>IF(AND(ISNUMBER(AC519),ISNUMBER(G519),G519&lt;&gt;0),AC519/G519,"")</f>
        <v/>
      </c>
    </row>
    <row r="520">
      <c r="A520" s="8" t="inlineStr">
        <is>
          <t>TXN</t>
        </is>
      </c>
      <c r="B520" s="8" t="inlineStr">
        <is>
          <t>TEXAS INSTRUMENTS INC</t>
        </is>
      </c>
      <c r="C520" s="8" t="n">
        <v>2015</v>
      </c>
      <c r="D520" s="8" t="inlineStr">
        <is>
          <t>2015-12-31</t>
        </is>
      </c>
      <c r="E520" s="8" t="inlineStr">
        <is>
          <t>일반</t>
        </is>
      </c>
      <c r="F520" s="8" t="inlineStr">
        <is>
          <t>0001564590-18-002832</t>
        </is>
      </c>
      <c r="G520" s="15" t="n"/>
      <c r="H520" s="15" t="n">
        <v>4.216</v>
      </c>
      <c r="I520" s="15" t="n">
        <v>0.09</v>
      </c>
      <c r="J520" s="15" t="n">
        <v>1.23</v>
      </c>
      <c r="K520" s="15" t="n">
        <v>4.322</v>
      </c>
      <c r="L520" s="15" t="n">
        <v>2.986</v>
      </c>
      <c r="M520" s="15" t="n">
        <v>0.766</v>
      </c>
      <c r="N520" s="15" t="n">
        <v>0.551</v>
      </c>
      <c r="O520" s="15" t="n"/>
      <c r="P520" s="15" t="n">
        <v>9.946</v>
      </c>
      <c r="Q520" s="15" t="n">
        <v>10.39</v>
      </c>
      <c r="R520" s="15" t="n">
        <v>3.218</v>
      </c>
      <c r="S520" s="15" t="n">
        <v>3.541</v>
      </c>
      <c r="T520" s="15" t="n">
        <v>1</v>
      </c>
      <c r="U520" s="15" t="n">
        <v>1.001</v>
      </c>
      <c r="V520" s="15" t="n">
        <v>3.12</v>
      </c>
      <c r="W520" s="15" t="n">
        <v>7.074</v>
      </c>
      <c r="X520" s="15" t="n">
        <v>7.421</v>
      </c>
      <c r="Y520" s="15" t="n">
        <v>2.555</v>
      </c>
      <c r="Z520" s="15" t="n">
        <v>2.658</v>
      </c>
      <c r="AA520" s="15" t="n">
        <v>11.48</v>
      </c>
      <c r="AB520" s="16" t="n">
        <v>1043</v>
      </c>
      <c r="AC520" s="17">
        <f>IF(AND(ISNUMBER(H520),ISNUMBER(I520)),H520+I520,IF(ISNUMBER(K520),K520,IF(ISNUMBER(H520),H520,"")))</f>
        <v/>
      </c>
      <c r="AD520" s="18">
        <f>IF(OR(NOT(ISNUMBER(J520)),NOT(ISNUMBER(H520)),H520&lt;=0),기준표!$B$8,MIN(MAX(J520/H520,기준표!$B$6),기준표!$B$7))</f>
        <v/>
      </c>
      <c r="AE520" s="17">
        <f>IF(ISNUMBER(AC520),AC520*(1-AD520),"")</f>
        <v/>
      </c>
      <c r="AF520" s="17">
        <f>IF(AND(NOT(ISNUMBER(T520)),NOT(ISNUMBER(V520))),"",IF(ISNUMBER(T520),T520,0)+IF(ISNUMBER(V520),V520,0))</f>
        <v/>
      </c>
      <c r="AG520" s="17">
        <f>IF(E520="금융","",IF(AND(ISNUMBER(P520),ISNUMBER(AF520),ISNUMBER(R520)),P520+AF520-R520,""))</f>
        <v/>
      </c>
      <c r="AH520" s="17">
        <f>IF(E520="금융","",IF(NOT(ISNUMBER(AG520)),"",IF(ISNUMBER(AA520),(AG520+AA520)/2,AG520)))</f>
        <v/>
      </c>
      <c r="AI520" s="19">
        <f>IF(AND(ISNUMBER(AE520),ISNUMBER(AH520),AH520&gt;0),AE520/AH520,"")</f>
        <v/>
      </c>
      <c r="AJ520" s="17">
        <f>IF(E520="금융","",IF(AND(ISNUMBER(P520),ISNUMBER(AF520)),P520+AF520,""))</f>
        <v/>
      </c>
      <c r="AK520" s="19">
        <f>IF(OR(NOT(ISNUMBER(AE520)),NOT(ISNUMBER(AJ520)),AJ520&lt;=0),"",IF(AND(ISNUMBER(G520),AJ520&lt;0.1*G520),"",AE520/AJ520))</f>
        <v/>
      </c>
      <c r="AL520" s="17">
        <f>IF(NOT(ISNUMBER(P520)),"",IF(ISNUMBER(Q520),(P520+Q520)/2,P520))</f>
        <v/>
      </c>
      <c r="AM520" s="19">
        <f>IF(AND(ISNUMBER(L520),ISNUMBER(AL520),AL520&gt;0),L520/AL520,"")</f>
        <v/>
      </c>
      <c r="AN520" s="19">
        <f>IF(AND(ISNUMBER(AM520),ISNUMBER({ROIC})),AM520-{ROIC},"")</f>
        <v/>
      </c>
      <c r="AO520" s="17">
        <f>IF(AND(ISNUMBER(AC520),ISNUMBER(M520)),AC520+M520,"")</f>
        <v/>
      </c>
      <c r="AP520" s="20">
        <f>IF(AND(ISNUMBER(AF520),ISNUMBER(R520),ISNUMBER(AO520),AO520&gt;0),(AF520-R520)/AO520,"")</f>
        <v/>
      </c>
      <c r="AQ520" s="20">
        <f>IF(AND(ISNUMBER(AC520),ISNUMBER(I520),I520&lt;&gt;0,AC520&gt;0),AC520/I520,"")</f>
        <v/>
      </c>
      <c r="AR520" s="17">
        <f>IF(AND(ISNUMBER(W520),ISNUMBER(Y520)),W520-IF(ISNUMBER(R520),R520,0)-(Y520-IF(ISNUMBER(T520),T520,0)),"")</f>
        <v/>
      </c>
      <c r="AS520" s="17">
        <f>IF(AND(ISNUMBER(X520),ISNUMBER(Z520)),X520-IF(ISNUMBER(S520),S520,0)-(Z520-IF(ISNUMBER(U520),U520,0)),"")</f>
        <v/>
      </c>
      <c r="AT520" s="17">
        <f>IF(AND(ISNUMBER(AR520),ISNUMBER(AS520)),AR520-AS520,"")</f>
        <v/>
      </c>
      <c r="AU520" s="17">
        <f>IF(E520="금융","",IF(AND(ISNUMBER(L520),ISNUMBER(M520),ISNUMBER(N520),ISNUMBER(AT520)),L520+M520-N520-AT520,IF(AND(ISNUMBER(O520),ISNUMBER(N520)),O520-N520,"")))</f>
        <v/>
      </c>
      <c r="AV520" s="8">
        <f>IF(E520="금융","금융업 - 정의되지 않음",IF(AND(ISNUMBER(L520),ISNUMBER(M520),ISNUMBER(N520),ISNUMBER(AT520)),"순이익+감가상각-설비투자-운전자본증감",IF(AND(ISNUMBER(O520),ISNUMBER(N520)),"영업현금흐름-설비투자","산출불가")))</f>
        <v/>
      </c>
      <c r="AW520" s="19">
        <f>IF(AND(ISNUMBER(AU520),ISNUMBER(G520),G520&lt;&gt;0),AU520/G520,"")</f>
        <v/>
      </c>
      <c r="AX520" s="19">
        <f>IF(AND(ISNUMBER(AC520),ISNUMBER(G520),G520&lt;&gt;0),AC520/G520,"")</f>
        <v/>
      </c>
    </row>
    <row r="521">
      <c r="A521" s="8" t="inlineStr">
        <is>
          <t>TXN</t>
        </is>
      </c>
      <c r="B521" s="8" t="inlineStr">
        <is>
          <t>TEXAS INSTRUMENTS INC</t>
        </is>
      </c>
      <c r="C521" s="8" t="n">
        <v>2016</v>
      </c>
      <c r="D521" s="8" t="inlineStr">
        <is>
          <t>2016-12-31</t>
        </is>
      </c>
      <c r="E521" s="8" t="inlineStr">
        <is>
          <t>일반</t>
        </is>
      </c>
      <c r="F521" s="8" t="inlineStr">
        <is>
          <t>0001564590-19-003839</t>
        </is>
      </c>
      <c r="G521" s="15" t="n">
        <v>13.37</v>
      </c>
      <c r="H521" s="15" t="n">
        <v>4.93</v>
      </c>
      <c r="I521" s="15" t="n">
        <v>0.08</v>
      </c>
      <c r="J521" s="15" t="n">
        <v>1.335</v>
      </c>
      <c r="K521" s="15" t="n">
        <v>4.855</v>
      </c>
      <c r="L521" s="15" t="n">
        <v>3.595</v>
      </c>
      <c r="M521" s="15" t="n">
        <v>0.605</v>
      </c>
      <c r="N521" s="15" t="n">
        <v>0.531</v>
      </c>
      <c r="O521" s="15" t="n">
        <v>4.614</v>
      </c>
      <c r="P521" s="15" t="n">
        <v>10.473</v>
      </c>
      <c r="Q521" s="15" t="n">
        <v>9.946</v>
      </c>
      <c r="R521" s="15" t="n">
        <v>3.49</v>
      </c>
      <c r="S521" s="15" t="n">
        <v>3.218</v>
      </c>
      <c r="T521" s="15" t="n">
        <v>0.631</v>
      </c>
      <c r="U521" s="15" t="n">
        <v>1</v>
      </c>
      <c r="V521" s="15" t="n">
        <v>2.978</v>
      </c>
      <c r="W521" s="15" t="n">
        <v>7.457</v>
      </c>
      <c r="X521" s="15" t="n">
        <v>7.074</v>
      </c>
      <c r="Y521" s="15" t="n">
        <v>2.264</v>
      </c>
      <c r="Z521" s="15" t="n">
        <v>2.555</v>
      </c>
      <c r="AA521" s="15" t="n">
        <v>10.848</v>
      </c>
      <c r="AB521" s="16" t="n">
        <v>1021</v>
      </c>
      <c r="AC521" s="17">
        <f>IF(AND(ISNUMBER(H521),ISNUMBER(I521)),H521+I521,IF(ISNUMBER(K521),K521,IF(ISNUMBER(H521),H521,"")))</f>
        <v/>
      </c>
      <c r="AD521" s="18">
        <f>IF(OR(NOT(ISNUMBER(J521)),NOT(ISNUMBER(H521)),H521&lt;=0),기준표!$B$8,MIN(MAX(J521/H521,기준표!$B$6),기준표!$B$7))</f>
        <v/>
      </c>
      <c r="AE521" s="17">
        <f>IF(ISNUMBER(AC521),AC521*(1-AD521),"")</f>
        <v/>
      </c>
      <c r="AF521" s="17">
        <f>IF(AND(NOT(ISNUMBER(T521)),NOT(ISNUMBER(V521))),"",IF(ISNUMBER(T521),T521,0)+IF(ISNUMBER(V521),V521,0))</f>
        <v/>
      </c>
      <c r="AG521" s="17">
        <f>IF(E521="금융","",IF(AND(ISNUMBER(P521),ISNUMBER(AF521),ISNUMBER(R521)),P521+AF521-R521,""))</f>
        <v/>
      </c>
      <c r="AH521" s="17">
        <f>IF(E521="금융","",IF(NOT(ISNUMBER(AG521)),"",IF(ISNUMBER(AA521),(AG521+AA521)/2,AG521)))</f>
        <v/>
      </c>
      <c r="AI521" s="19">
        <f>IF(AND(ISNUMBER(AE521),ISNUMBER(AH521),AH521&gt;0),AE521/AH521,"")</f>
        <v/>
      </c>
      <c r="AJ521" s="17">
        <f>IF(E521="금융","",IF(AND(ISNUMBER(P521),ISNUMBER(AF521)),P521+AF521,""))</f>
        <v/>
      </c>
      <c r="AK521" s="19">
        <f>IF(OR(NOT(ISNUMBER(AE521)),NOT(ISNUMBER(AJ521)),AJ521&lt;=0),"",IF(AND(ISNUMBER(G521),AJ521&lt;0.1*G521),"",AE521/AJ521))</f>
        <v/>
      </c>
      <c r="AL521" s="17">
        <f>IF(NOT(ISNUMBER(P521)),"",IF(ISNUMBER(Q521),(P521+Q521)/2,P521))</f>
        <v/>
      </c>
      <c r="AM521" s="19">
        <f>IF(AND(ISNUMBER(L521),ISNUMBER(AL521),AL521&gt;0),L521/AL521,"")</f>
        <v/>
      </c>
      <c r="AN521" s="19">
        <f>IF(AND(ISNUMBER(AM521),ISNUMBER({ROIC})),AM521-{ROIC},"")</f>
        <v/>
      </c>
      <c r="AO521" s="17">
        <f>IF(AND(ISNUMBER(AC521),ISNUMBER(M521)),AC521+M521,"")</f>
        <v/>
      </c>
      <c r="AP521" s="20">
        <f>IF(AND(ISNUMBER(AF521),ISNUMBER(R521),ISNUMBER(AO521),AO521&gt;0),(AF521-R521)/AO521,"")</f>
        <v/>
      </c>
      <c r="AQ521" s="20">
        <f>IF(AND(ISNUMBER(AC521),ISNUMBER(I521),I521&lt;&gt;0,AC521&gt;0),AC521/I521,"")</f>
        <v/>
      </c>
      <c r="AR521" s="17">
        <f>IF(AND(ISNUMBER(W521),ISNUMBER(Y521)),W521-IF(ISNUMBER(R521),R521,0)-(Y521-IF(ISNUMBER(T521),T521,0)),"")</f>
        <v/>
      </c>
      <c r="AS521" s="17">
        <f>IF(AND(ISNUMBER(X521),ISNUMBER(Z521)),X521-IF(ISNUMBER(S521),S521,0)-(Z521-IF(ISNUMBER(U521),U521,0)),"")</f>
        <v/>
      </c>
      <c r="AT521" s="17">
        <f>IF(AND(ISNUMBER(AR521),ISNUMBER(AS521)),AR521-AS521,"")</f>
        <v/>
      </c>
      <c r="AU521" s="17">
        <f>IF(E521="금융","",IF(AND(ISNUMBER(L521),ISNUMBER(M521),ISNUMBER(N521),ISNUMBER(AT521)),L521+M521-N521-AT521,IF(AND(ISNUMBER(O521),ISNUMBER(N521)),O521-N521,"")))</f>
        <v/>
      </c>
      <c r="AV521" s="8">
        <f>IF(E521="금융","금융업 - 정의되지 않음",IF(AND(ISNUMBER(L521),ISNUMBER(M521),ISNUMBER(N521),ISNUMBER(AT521)),"순이익+감가상각-설비투자-운전자본증감",IF(AND(ISNUMBER(O521),ISNUMBER(N521)),"영업현금흐름-설비투자","산출불가")))</f>
        <v/>
      </c>
      <c r="AW521" s="19">
        <f>IF(AND(ISNUMBER(AU521),ISNUMBER(G521),G521&lt;&gt;0),AU521/G521,"")</f>
        <v/>
      </c>
      <c r="AX521" s="19">
        <f>IF(AND(ISNUMBER(AC521),ISNUMBER(G521),G521&lt;&gt;0),AC521/G521,"")</f>
        <v/>
      </c>
    </row>
    <row r="522">
      <c r="A522" s="8" t="inlineStr">
        <is>
          <t>TXN</t>
        </is>
      </c>
      <c r="B522" s="8" t="inlineStr">
        <is>
          <t>TEXAS INSTRUMENTS INC</t>
        </is>
      </c>
      <c r="C522" s="8" t="n">
        <v>2017</v>
      </c>
      <c r="D522" s="8" t="inlineStr">
        <is>
          <t>2017-12-31</t>
        </is>
      </c>
      <c r="E522" s="8" t="inlineStr">
        <is>
          <t>일반</t>
        </is>
      </c>
      <c r="F522" s="8" t="inlineStr">
        <is>
          <t>0000097476-20-000009</t>
        </is>
      </c>
      <c r="G522" s="15" t="n">
        <v>14.961</v>
      </c>
      <c r="H522" s="15" t="n">
        <v>6.08</v>
      </c>
      <c r="I522" s="15" t="n">
        <v>0.078</v>
      </c>
      <c r="J522" s="15" t="n">
        <v>2.398</v>
      </c>
      <c r="K522" s="15" t="n">
        <v>6.083</v>
      </c>
      <c r="L522" s="15" t="n">
        <v>3.682</v>
      </c>
      <c r="M522" s="15" t="n">
        <v>0.539</v>
      </c>
      <c r="N522" s="15" t="n">
        <v>0.695</v>
      </c>
      <c r="O522" s="15" t="n">
        <v>5.363</v>
      </c>
      <c r="P522" s="15" t="n">
        <v>10.337</v>
      </c>
      <c r="Q522" s="15" t="n">
        <v>10.473</v>
      </c>
      <c r="R522" s="15" t="n">
        <v>4.469</v>
      </c>
      <c r="S522" s="15" t="n">
        <v>3.49</v>
      </c>
      <c r="T522" s="15" t="n">
        <v>0.5</v>
      </c>
      <c r="U522" s="15" t="n">
        <v>0.631</v>
      </c>
      <c r="V522" s="15" t="n">
        <v>3.577</v>
      </c>
      <c r="W522" s="15" t="n">
        <v>8.734</v>
      </c>
      <c r="X522" s="15" t="n">
        <v>7.457</v>
      </c>
      <c r="Y522" s="15" t="n">
        <v>2.258</v>
      </c>
      <c r="Z522" s="15" t="n">
        <v>2.264</v>
      </c>
      <c r="AA522" s="15" t="n">
        <v>10.592</v>
      </c>
      <c r="AB522" s="16" t="n">
        <v>1012</v>
      </c>
      <c r="AC522" s="17">
        <f>IF(AND(ISNUMBER(H522),ISNUMBER(I522)),H522+I522,IF(ISNUMBER(K522),K522,IF(ISNUMBER(H522),H522,"")))</f>
        <v/>
      </c>
      <c r="AD522" s="18">
        <f>IF(OR(NOT(ISNUMBER(J522)),NOT(ISNUMBER(H522)),H522&lt;=0),기준표!$B$8,MIN(MAX(J522/H522,기준표!$B$6),기준표!$B$7))</f>
        <v/>
      </c>
      <c r="AE522" s="17">
        <f>IF(ISNUMBER(AC522),AC522*(1-AD522),"")</f>
        <v/>
      </c>
      <c r="AF522" s="17">
        <f>IF(AND(NOT(ISNUMBER(T522)),NOT(ISNUMBER(V522))),"",IF(ISNUMBER(T522),T522,0)+IF(ISNUMBER(V522),V522,0))</f>
        <v/>
      </c>
      <c r="AG522" s="17">
        <f>IF(E522="금융","",IF(AND(ISNUMBER(P522),ISNUMBER(AF522),ISNUMBER(R522)),P522+AF522-R522,""))</f>
        <v/>
      </c>
      <c r="AH522" s="17">
        <f>IF(E522="금융","",IF(NOT(ISNUMBER(AG522)),"",IF(ISNUMBER(AA522),(AG522+AA522)/2,AG522)))</f>
        <v/>
      </c>
      <c r="AI522" s="19">
        <f>IF(AND(ISNUMBER(AE522),ISNUMBER(AH522),AH522&gt;0),AE522/AH522,"")</f>
        <v/>
      </c>
      <c r="AJ522" s="17">
        <f>IF(E522="금융","",IF(AND(ISNUMBER(P522),ISNUMBER(AF522)),P522+AF522,""))</f>
        <v/>
      </c>
      <c r="AK522" s="19">
        <f>IF(OR(NOT(ISNUMBER(AE522)),NOT(ISNUMBER(AJ522)),AJ522&lt;=0),"",IF(AND(ISNUMBER(G522),AJ522&lt;0.1*G522),"",AE522/AJ522))</f>
        <v/>
      </c>
      <c r="AL522" s="17">
        <f>IF(NOT(ISNUMBER(P522)),"",IF(ISNUMBER(Q522),(P522+Q522)/2,P522))</f>
        <v/>
      </c>
      <c r="AM522" s="19">
        <f>IF(AND(ISNUMBER(L522),ISNUMBER(AL522),AL522&gt;0),L522/AL522,"")</f>
        <v/>
      </c>
      <c r="AN522" s="19">
        <f>IF(AND(ISNUMBER(AM522),ISNUMBER({ROIC})),AM522-{ROIC},"")</f>
        <v/>
      </c>
      <c r="AO522" s="17">
        <f>IF(AND(ISNUMBER(AC522),ISNUMBER(M522)),AC522+M522,"")</f>
        <v/>
      </c>
      <c r="AP522" s="20">
        <f>IF(AND(ISNUMBER(AF522),ISNUMBER(R522),ISNUMBER(AO522),AO522&gt;0),(AF522-R522)/AO522,"")</f>
        <v/>
      </c>
      <c r="AQ522" s="20">
        <f>IF(AND(ISNUMBER(AC522),ISNUMBER(I522),I522&lt;&gt;0,AC522&gt;0),AC522/I522,"")</f>
        <v/>
      </c>
      <c r="AR522" s="17">
        <f>IF(AND(ISNUMBER(W522),ISNUMBER(Y522)),W522-IF(ISNUMBER(R522),R522,0)-(Y522-IF(ISNUMBER(T522),T522,0)),"")</f>
        <v/>
      </c>
      <c r="AS522" s="17">
        <f>IF(AND(ISNUMBER(X522),ISNUMBER(Z522)),X522-IF(ISNUMBER(S522),S522,0)-(Z522-IF(ISNUMBER(U522),U522,0)),"")</f>
        <v/>
      </c>
      <c r="AT522" s="17">
        <f>IF(AND(ISNUMBER(AR522),ISNUMBER(AS522)),AR522-AS522,"")</f>
        <v/>
      </c>
      <c r="AU522" s="17">
        <f>IF(E522="금융","",IF(AND(ISNUMBER(L522),ISNUMBER(M522),ISNUMBER(N522),ISNUMBER(AT522)),L522+M522-N522-AT522,IF(AND(ISNUMBER(O522),ISNUMBER(N522)),O522-N522,"")))</f>
        <v/>
      </c>
      <c r="AV522" s="8">
        <f>IF(E522="금융","금융업 - 정의되지 않음",IF(AND(ISNUMBER(L522),ISNUMBER(M522),ISNUMBER(N522),ISNUMBER(AT522)),"순이익+감가상각-설비투자-운전자본증감",IF(AND(ISNUMBER(O522),ISNUMBER(N522)),"영업현금흐름-설비투자","산출불가")))</f>
        <v/>
      </c>
      <c r="AW522" s="19">
        <f>IF(AND(ISNUMBER(AU522),ISNUMBER(G522),G522&lt;&gt;0),AU522/G522,"")</f>
        <v/>
      </c>
      <c r="AX522" s="19">
        <f>IF(AND(ISNUMBER(AC522),ISNUMBER(G522),G522&lt;&gt;0),AC522/G522,"")</f>
        <v/>
      </c>
    </row>
    <row r="523">
      <c r="A523" s="8" t="inlineStr">
        <is>
          <t>TXN</t>
        </is>
      </c>
      <c r="B523" s="8" t="inlineStr">
        <is>
          <t>TEXAS INSTRUMENTS INC</t>
        </is>
      </c>
      <c r="C523" s="8" t="n">
        <v>2018</v>
      </c>
      <c r="D523" s="8" t="inlineStr">
        <is>
          <t>2018-12-31</t>
        </is>
      </c>
      <c r="E523" s="8" t="inlineStr">
        <is>
          <t>일반</t>
        </is>
      </c>
      <c r="F523" s="8" t="inlineStr">
        <is>
          <t>0000097476-21-000006</t>
        </is>
      </c>
      <c r="G523" s="15" t="n">
        <v>15.784</v>
      </c>
      <c r="H523" s="15" t="n">
        <v>6.686</v>
      </c>
      <c r="I523" s="15" t="n">
        <v>0.125</v>
      </c>
      <c r="J523" s="15" t="n">
        <v>1.106</v>
      </c>
      <c r="K523" s="15" t="n">
        <v>6.713</v>
      </c>
      <c r="L523" s="15" t="n">
        <v>5.58</v>
      </c>
      <c r="M523" s="15" t="n">
        <v>0.59</v>
      </c>
      <c r="N523" s="15" t="n">
        <v>1.131</v>
      </c>
      <c r="O523" s="15" t="n">
        <v>7.189</v>
      </c>
      <c r="P523" s="15" t="n">
        <v>8.994</v>
      </c>
      <c r="Q523" s="15" t="n">
        <v>10.337</v>
      </c>
      <c r="R523" s="15" t="n">
        <v>4.233</v>
      </c>
      <c r="S523" s="15" t="n">
        <v>4.469</v>
      </c>
      <c r="T523" s="15" t="n">
        <v>0.749</v>
      </c>
      <c r="U523" s="15" t="n">
        <v>0.5</v>
      </c>
      <c r="V523" s="15" t="n">
        <v>4.319</v>
      </c>
      <c r="W523" s="15" t="n">
        <v>8.097</v>
      </c>
      <c r="X523" s="15" t="n">
        <v>8.734</v>
      </c>
      <c r="Y523" s="15" t="n">
        <v>2.474</v>
      </c>
      <c r="Z523" s="15" t="n">
        <v>2.258</v>
      </c>
      <c r="AA523" s="15" t="n">
        <v>9.945</v>
      </c>
      <c r="AB523" s="16" t="n">
        <v>990</v>
      </c>
      <c r="AC523" s="17">
        <f>IF(AND(ISNUMBER(H523),ISNUMBER(I523)),H523+I523,IF(ISNUMBER(K523),K523,IF(ISNUMBER(H523),H523,"")))</f>
        <v/>
      </c>
      <c r="AD523" s="18">
        <f>IF(OR(NOT(ISNUMBER(J523)),NOT(ISNUMBER(H523)),H523&lt;=0),기준표!$B$8,MIN(MAX(J523/H523,기준표!$B$6),기준표!$B$7))</f>
        <v/>
      </c>
      <c r="AE523" s="17">
        <f>IF(ISNUMBER(AC523),AC523*(1-AD523),"")</f>
        <v/>
      </c>
      <c r="AF523" s="17">
        <f>IF(AND(NOT(ISNUMBER(T523)),NOT(ISNUMBER(V523))),"",IF(ISNUMBER(T523),T523,0)+IF(ISNUMBER(V523),V523,0))</f>
        <v/>
      </c>
      <c r="AG523" s="17">
        <f>IF(E523="금융","",IF(AND(ISNUMBER(P523),ISNUMBER(AF523),ISNUMBER(R523)),P523+AF523-R523,""))</f>
        <v/>
      </c>
      <c r="AH523" s="17">
        <f>IF(E523="금융","",IF(NOT(ISNUMBER(AG523)),"",IF(ISNUMBER(AA523),(AG523+AA523)/2,AG523)))</f>
        <v/>
      </c>
      <c r="AI523" s="19">
        <f>IF(AND(ISNUMBER(AE523),ISNUMBER(AH523),AH523&gt;0),AE523/AH523,"")</f>
        <v/>
      </c>
      <c r="AJ523" s="17">
        <f>IF(E523="금융","",IF(AND(ISNUMBER(P523),ISNUMBER(AF523)),P523+AF523,""))</f>
        <v/>
      </c>
      <c r="AK523" s="19">
        <f>IF(OR(NOT(ISNUMBER(AE523)),NOT(ISNUMBER(AJ523)),AJ523&lt;=0),"",IF(AND(ISNUMBER(G523),AJ523&lt;0.1*G523),"",AE523/AJ523))</f>
        <v/>
      </c>
      <c r="AL523" s="17">
        <f>IF(NOT(ISNUMBER(P523)),"",IF(ISNUMBER(Q523),(P523+Q523)/2,P523))</f>
        <v/>
      </c>
      <c r="AM523" s="19">
        <f>IF(AND(ISNUMBER(L523),ISNUMBER(AL523),AL523&gt;0),L523/AL523,"")</f>
        <v/>
      </c>
      <c r="AN523" s="19">
        <f>IF(AND(ISNUMBER(AM523),ISNUMBER({ROIC})),AM523-{ROIC},"")</f>
        <v/>
      </c>
      <c r="AO523" s="17">
        <f>IF(AND(ISNUMBER(AC523),ISNUMBER(M523)),AC523+M523,"")</f>
        <v/>
      </c>
      <c r="AP523" s="20">
        <f>IF(AND(ISNUMBER(AF523),ISNUMBER(R523),ISNUMBER(AO523),AO523&gt;0),(AF523-R523)/AO523,"")</f>
        <v/>
      </c>
      <c r="AQ523" s="20">
        <f>IF(AND(ISNUMBER(AC523),ISNUMBER(I523),I523&lt;&gt;0,AC523&gt;0),AC523/I523,"")</f>
        <v/>
      </c>
      <c r="AR523" s="17">
        <f>IF(AND(ISNUMBER(W523),ISNUMBER(Y523)),W523-IF(ISNUMBER(R523),R523,0)-(Y523-IF(ISNUMBER(T523),T523,0)),"")</f>
        <v/>
      </c>
      <c r="AS523" s="17">
        <f>IF(AND(ISNUMBER(X523),ISNUMBER(Z523)),X523-IF(ISNUMBER(S523),S523,0)-(Z523-IF(ISNUMBER(U523),U523,0)),"")</f>
        <v/>
      </c>
      <c r="AT523" s="17">
        <f>IF(AND(ISNUMBER(AR523),ISNUMBER(AS523)),AR523-AS523,"")</f>
        <v/>
      </c>
      <c r="AU523" s="17">
        <f>IF(E523="금융","",IF(AND(ISNUMBER(L523),ISNUMBER(M523),ISNUMBER(N523),ISNUMBER(AT523)),L523+M523-N523-AT523,IF(AND(ISNUMBER(O523),ISNUMBER(N523)),O523-N523,"")))</f>
        <v/>
      </c>
      <c r="AV523" s="8">
        <f>IF(E523="금융","금융업 - 정의되지 않음",IF(AND(ISNUMBER(L523),ISNUMBER(M523),ISNUMBER(N523),ISNUMBER(AT523)),"순이익+감가상각-설비투자-운전자본증감",IF(AND(ISNUMBER(O523),ISNUMBER(N523)),"영업현금흐름-설비투자","산출불가")))</f>
        <v/>
      </c>
      <c r="AW523" s="19">
        <f>IF(AND(ISNUMBER(AU523),ISNUMBER(G523),G523&lt;&gt;0),AU523/G523,"")</f>
        <v/>
      </c>
      <c r="AX523" s="19">
        <f>IF(AND(ISNUMBER(AC523),ISNUMBER(G523),G523&lt;&gt;0),AC523/G523,"")</f>
        <v/>
      </c>
    </row>
    <row r="524">
      <c r="A524" s="8" t="inlineStr">
        <is>
          <t>TXN</t>
        </is>
      </c>
      <c r="B524" s="8" t="inlineStr">
        <is>
          <t>TEXAS INSTRUMENTS INC</t>
        </is>
      </c>
      <c r="C524" s="8" t="n">
        <v>2019</v>
      </c>
      <c r="D524" s="8" t="inlineStr">
        <is>
          <t>2019-12-31</t>
        </is>
      </c>
      <c r="E524" s="8" t="inlineStr">
        <is>
          <t>일반</t>
        </is>
      </c>
      <c r="F524" s="8" t="inlineStr">
        <is>
          <t>0000097476-22-000009</t>
        </is>
      </c>
      <c r="G524" s="15" t="n">
        <v>14.383</v>
      </c>
      <c r="H524" s="15" t="n">
        <v>5.728</v>
      </c>
      <c r="I524" s="15" t="n">
        <v>0.17</v>
      </c>
      <c r="J524" s="15" t="n">
        <v>0.711</v>
      </c>
      <c r="K524" s="15" t="n">
        <v>5.723</v>
      </c>
      <c r="L524" s="15" t="n">
        <v>5.017</v>
      </c>
      <c r="M524" s="15" t="n">
        <v>0.708</v>
      </c>
      <c r="N524" s="15" t="n">
        <v>0.847</v>
      </c>
      <c r="O524" s="15" t="n">
        <v>6.649</v>
      </c>
      <c r="P524" s="15" t="n">
        <v>8.907</v>
      </c>
      <c r="Q524" s="15" t="n">
        <v>8.994</v>
      </c>
      <c r="R524" s="15" t="n">
        <v>5.387</v>
      </c>
      <c r="S524" s="15" t="n">
        <v>4.233</v>
      </c>
      <c r="T524" s="15" t="n">
        <v>0.5</v>
      </c>
      <c r="U524" s="15" t="n">
        <v>0.749</v>
      </c>
      <c r="V524" s="15" t="n">
        <v>5.303</v>
      </c>
      <c r="W524" s="15" t="n">
        <v>8.760999999999999</v>
      </c>
      <c r="X524" s="15" t="n">
        <v>8.097</v>
      </c>
      <c r="Y524" s="15" t="n">
        <v>2.123</v>
      </c>
      <c r="Z524" s="15" t="n">
        <v>2.474</v>
      </c>
      <c r="AA524" s="15" t="n">
        <v>9.829000000000001</v>
      </c>
      <c r="AB524" s="16" t="n">
        <v>952</v>
      </c>
      <c r="AC524" s="17">
        <f>IF(AND(ISNUMBER(H524),ISNUMBER(I524)),H524+I524,IF(ISNUMBER(K524),K524,IF(ISNUMBER(H524),H524,"")))</f>
        <v/>
      </c>
      <c r="AD524" s="18">
        <f>IF(OR(NOT(ISNUMBER(J524)),NOT(ISNUMBER(H524)),H524&lt;=0),기준표!$B$8,MIN(MAX(J524/H524,기준표!$B$6),기준표!$B$7))</f>
        <v/>
      </c>
      <c r="AE524" s="17">
        <f>IF(ISNUMBER(AC524),AC524*(1-AD524),"")</f>
        <v/>
      </c>
      <c r="AF524" s="17">
        <f>IF(AND(NOT(ISNUMBER(T524)),NOT(ISNUMBER(V524))),"",IF(ISNUMBER(T524),T524,0)+IF(ISNUMBER(V524),V524,0))</f>
        <v/>
      </c>
      <c r="AG524" s="17">
        <f>IF(E524="금융","",IF(AND(ISNUMBER(P524),ISNUMBER(AF524),ISNUMBER(R524)),P524+AF524-R524,""))</f>
        <v/>
      </c>
      <c r="AH524" s="17">
        <f>IF(E524="금융","",IF(NOT(ISNUMBER(AG524)),"",IF(ISNUMBER(AA524),(AG524+AA524)/2,AG524)))</f>
        <v/>
      </c>
      <c r="AI524" s="19">
        <f>IF(AND(ISNUMBER(AE524),ISNUMBER(AH524),AH524&gt;0),AE524/AH524,"")</f>
        <v/>
      </c>
      <c r="AJ524" s="17">
        <f>IF(E524="금융","",IF(AND(ISNUMBER(P524),ISNUMBER(AF524)),P524+AF524,""))</f>
        <v/>
      </c>
      <c r="AK524" s="19">
        <f>IF(OR(NOT(ISNUMBER(AE524)),NOT(ISNUMBER(AJ524)),AJ524&lt;=0),"",IF(AND(ISNUMBER(G524),AJ524&lt;0.1*G524),"",AE524/AJ524))</f>
        <v/>
      </c>
      <c r="AL524" s="17">
        <f>IF(NOT(ISNUMBER(P524)),"",IF(ISNUMBER(Q524),(P524+Q524)/2,P524))</f>
        <v/>
      </c>
      <c r="AM524" s="19">
        <f>IF(AND(ISNUMBER(L524),ISNUMBER(AL524),AL524&gt;0),L524/AL524,"")</f>
        <v/>
      </c>
      <c r="AN524" s="19">
        <f>IF(AND(ISNUMBER(AM524),ISNUMBER({ROIC})),AM524-{ROIC},"")</f>
        <v/>
      </c>
      <c r="AO524" s="17">
        <f>IF(AND(ISNUMBER(AC524),ISNUMBER(M524)),AC524+M524,"")</f>
        <v/>
      </c>
      <c r="AP524" s="20">
        <f>IF(AND(ISNUMBER(AF524),ISNUMBER(R524),ISNUMBER(AO524),AO524&gt;0),(AF524-R524)/AO524,"")</f>
        <v/>
      </c>
      <c r="AQ524" s="20">
        <f>IF(AND(ISNUMBER(AC524),ISNUMBER(I524),I524&lt;&gt;0,AC524&gt;0),AC524/I524,"")</f>
        <v/>
      </c>
      <c r="AR524" s="17">
        <f>IF(AND(ISNUMBER(W524),ISNUMBER(Y524)),W524-IF(ISNUMBER(R524),R524,0)-(Y524-IF(ISNUMBER(T524),T524,0)),"")</f>
        <v/>
      </c>
      <c r="AS524" s="17">
        <f>IF(AND(ISNUMBER(X524),ISNUMBER(Z524)),X524-IF(ISNUMBER(S524),S524,0)-(Z524-IF(ISNUMBER(U524),U524,0)),"")</f>
        <v/>
      </c>
      <c r="AT524" s="17">
        <f>IF(AND(ISNUMBER(AR524),ISNUMBER(AS524)),AR524-AS524,"")</f>
        <v/>
      </c>
      <c r="AU524" s="17">
        <f>IF(E524="금융","",IF(AND(ISNUMBER(L524),ISNUMBER(M524),ISNUMBER(N524),ISNUMBER(AT524)),L524+M524-N524-AT524,IF(AND(ISNUMBER(O524),ISNUMBER(N524)),O524-N524,"")))</f>
        <v/>
      </c>
      <c r="AV524" s="8">
        <f>IF(E524="금융","금융업 - 정의되지 않음",IF(AND(ISNUMBER(L524),ISNUMBER(M524),ISNUMBER(N524),ISNUMBER(AT524)),"순이익+감가상각-설비투자-운전자본증감",IF(AND(ISNUMBER(O524),ISNUMBER(N524)),"영업현금흐름-설비투자","산출불가")))</f>
        <v/>
      </c>
      <c r="AW524" s="19">
        <f>IF(AND(ISNUMBER(AU524),ISNUMBER(G524),G524&lt;&gt;0),AU524/G524,"")</f>
        <v/>
      </c>
      <c r="AX524" s="19">
        <f>IF(AND(ISNUMBER(AC524),ISNUMBER(G524),G524&lt;&gt;0),AC524/G524,"")</f>
        <v/>
      </c>
    </row>
    <row r="525">
      <c r="A525" s="8" t="inlineStr">
        <is>
          <t>TXN</t>
        </is>
      </c>
      <c r="B525" s="8" t="inlineStr">
        <is>
          <t>TEXAS INSTRUMENTS INC</t>
        </is>
      </c>
      <c r="C525" s="8" t="n">
        <v>2020</v>
      </c>
      <c r="D525" s="8" t="inlineStr">
        <is>
          <t>2020-12-31</t>
        </is>
      </c>
      <c r="E525" s="8" t="inlineStr">
        <is>
          <t>일반</t>
        </is>
      </c>
      <c r="F525" s="8" t="inlineStr">
        <is>
          <t>0000097476-23-000007</t>
        </is>
      </c>
      <c r="G525" s="15" t="n">
        <v>14.461</v>
      </c>
      <c r="H525" s="15" t="n">
        <v>6.017</v>
      </c>
      <c r="I525" s="15" t="n">
        <v>0.19</v>
      </c>
      <c r="J525" s="15" t="n">
        <v>0.422</v>
      </c>
      <c r="K525" s="15" t="n">
        <v>5.894</v>
      </c>
      <c r="L525" s="15" t="n">
        <v>5.595</v>
      </c>
      <c r="M525" s="15" t="n">
        <v>0.733</v>
      </c>
      <c r="N525" s="15" t="n">
        <v>0.649</v>
      </c>
      <c r="O525" s="15" t="n">
        <v>6.139</v>
      </c>
      <c r="P525" s="15" t="n">
        <v>9.186999999999999</v>
      </c>
      <c r="Q525" s="15" t="n">
        <v>8.907</v>
      </c>
      <c r="R525" s="15" t="n">
        <v>6.568</v>
      </c>
      <c r="S525" s="15" t="n">
        <v>5.387</v>
      </c>
      <c r="T525" s="15" t="n">
        <v>0.55</v>
      </c>
      <c r="U525" s="15" t="n">
        <v>0.5</v>
      </c>
      <c r="V525" s="15" t="n">
        <v>6.248</v>
      </c>
      <c r="W525" s="15" t="n">
        <v>10.239</v>
      </c>
      <c r="X525" s="15" t="n">
        <v>8.760999999999999</v>
      </c>
      <c r="Y525" s="15" t="n">
        <v>2.39</v>
      </c>
      <c r="Z525" s="15" t="n">
        <v>2.123</v>
      </c>
      <c r="AA525" s="15" t="n">
        <v>9.323</v>
      </c>
      <c r="AB525" s="16" t="n">
        <v>933</v>
      </c>
      <c r="AC525" s="17">
        <f>IF(AND(ISNUMBER(H525),ISNUMBER(I525)),H525+I525,IF(ISNUMBER(K525),K525,IF(ISNUMBER(H525),H525,"")))</f>
        <v/>
      </c>
      <c r="AD525" s="18">
        <f>IF(OR(NOT(ISNUMBER(J525)),NOT(ISNUMBER(H525)),H525&lt;=0),기준표!$B$8,MIN(MAX(J525/H525,기준표!$B$6),기준표!$B$7))</f>
        <v/>
      </c>
      <c r="AE525" s="17">
        <f>IF(ISNUMBER(AC525),AC525*(1-AD525),"")</f>
        <v/>
      </c>
      <c r="AF525" s="17">
        <f>IF(AND(NOT(ISNUMBER(T525)),NOT(ISNUMBER(V525))),"",IF(ISNUMBER(T525),T525,0)+IF(ISNUMBER(V525),V525,0))</f>
        <v/>
      </c>
      <c r="AG525" s="17">
        <f>IF(E525="금융","",IF(AND(ISNUMBER(P525),ISNUMBER(AF525),ISNUMBER(R525)),P525+AF525-R525,""))</f>
        <v/>
      </c>
      <c r="AH525" s="17">
        <f>IF(E525="금융","",IF(NOT(ISNUMBER(AG525)),"",IF(ISNUMBER(AA525),(AG525+AA525)/2,AG525)))</f>
        <v/>
      </c>
      <c r="AI525" s="19">
        <f>IF(AND(ISNUMBER(AE525),ISNUMBER(AH525),AH525&gt;0),AE525/AH525,"")</f>
        <v/>
      </c>
      <c r="AJ525" s="17">
        <f>IF(E525="금융","",IF(AND(ISNUMBER(P525),ISNUMBER(AF525)),P525+AF525,""))</f>
        <v/>
      </c>
      <c r="AK525" s="19">
        <f>IF(OR(NOT(ISNUMBER(AE525)),NOT(ISNUMBER(AJ525)),AJ525&lt;=0),"",IF(AND(ISNUMBER(G525),AJ525&lt;0.1*G525),"",AE525/AJ525))</f>
        <v/>
      </c>
      <c r="AL525" s="17">
        <f>IF(NOT(ISNUMBER(P525)),"",IF(ISNUMBER(Q525),(P525+Q525)/2,P525))</f>
        <v/>
      </c>
      <c r="AM525" s="19">
        <f>IF(AND(ISNUMBER(L525),ISNUMBER(AL525),AL525&gt;0),L525/AL525,"")</f>
        <v/>
      </c>
      <c r="AN525" s="19">
        <f>IF(AND(ISNUMBER(AM525),ISNUMBER({ROIC})),AM525-{ROIC},"")</f>
        <v/>
      </c>
      <c r="AO525" s="17">
        <f>IF(AND(ISNUMBER(AC525),ISNUMBER(M525)),AC525+M525,"")</f>
        <v/>
      </c>
      <c r="AP525" s="20">
        <f>IF(AND(ISNUMBER(AF525),ISNUMBER(R525),ISNUMBER(AO525),AO525&gt;0),(AF525-R525)/AO525,"")</f>
        <v/>
      </c>
      <c r="AQ525" s="20">
        <f>IF(AND(ISNUMBER(AC525),ISNUMBER(I525),I525&lt;&gt;0,AC525&gt;0),AC525/I525,"")</f>
        <v/>
      </c>
      <c r="AR525" s="17">
        <f>IF(AND(ISNUMBER(W525),ISNUMBER(Y525)),W525-IF(ISNUMBER(R525),R525,0)-(Y525-IF(ISNUMBER(T525),T525,0)),"")</f>
        <v/>
      </c>
      <c r="AS525" s="17">
        <f>IF(AND(ISNUMBER(X525),ISNUMBER(Z525)),X525-IF(ISNUMBER(S525),S525,0)-(Z525-IF(ISNUMBER(U525),U525,0)),"")</f>
        <v/>
      </c>
      <c r="AT525" s="17">
        <f>IF(AND(ISNUMBER(AR525),ISNUMBER(AS525)),AR525-AS525,"")</f>
        <v/>
      </c>
      <c r="AU525" s="17">
        <f>IF(E525="금융","",IF(AND(ISNUMBER(L525),ISNUMBER(M525),ISNUMBER(N525),ISNUMBER(AT525)),L525+M525-N525-AT525,IF(AND(ISNUMBER(O525),ISNUMBER(N525)),O525-N525,"")))</f>
        <v/>
      </c>
      <c r="AV525" s="8">
        <f>IF(E525="금융","금융업 - 정의되지 않음",IF(AND(ISNUMBER(L525),ISNUMBER(M525),ISNUMBER(N525),ISNUMBER(AT525)),"순이익+감가상각-설비투자-운전자본증감",IF(AND(ISNUMBER(O525),ISNUMBER(N525)),"영업현금흐름-설비투자","산출불가")))</f>
        <v/>
      </c>
      <c r="AW525" s="19">
        <f>IF(AND(ISNUMBER(AU525),ISNUMBER(G525),G525&lt;&gt;0),AU525/G525,"")</f>
        <v/>
      </c>
      <c r="AX525" s="19">
        <f>IF(AND(ISNUMBER(AC525),ISNUMBER(G525),G525&lt;&gt;0),AC525/G525,"")</f>
        <v/>
      </c>
    </row>
    <row r="526">
      <c r="A526" s="8" t="inlineStr">
        <is>
          <t>TXN</t>
        </is>
      </c>
      <c r="B526" s="8" t="inlineStr">
        <is>
          <t>TEXAS INSTRUMENTS INC</t>
        </is>
      </c>
      <c r="C526" s="8" t="n">
        <v>2021</v>
      </c>
      <c r="D526" s="8" t="inlineStr">
        <is>
          <t>2021-12-31</t>
        </is>
      </c>
      <c r="E526" s="8" t="inlineStr">
        <is>
          <t>일반</t>
        </is>
      </c>
      <c r="F526" s="8" t="inlineStr">
        <is>
          <t>0000097476-24-000007</t>
        </is>
      </c>
      <c r="G526" s="15" t="n">
        <v>18.344</v>
      </c>
      <c r="H526" s="15" t="n">
        <v>8.919</v>
      </c>
      <c r="I526" s="15" t="n">
        <v>0.184</v>
      </c>
      <c r="J526" s="15" t="n">
        <v>1.15</v>
      </c>
      <c r="K526" s="15" t="n">
        <v>8.960000000000001</v>
      </c>
      <c r="L526" s="15" t="n">
        <v>7.769</v>
      </c>
      <c r="M526" s="15" t="n">
        <v>0.755</v>
      </c>
      <c r="N526" s="15" t="n">
        <v>2.462</v>
      </c>
      <c r="O526" s="15" t="n">
        <v>8.756</v>
      </c>
      <c r="P526" s="15" t="n">
        <v>13.333</v>
      </c>
      <c r="Q526" s="15" t="n">
        <v>9.186999999999999</v>
      </c>
      <c r="R526" s="15" t="n">
        <v>9.739000000000001</v>
      </c>
      <c r="S526" s="15" t="n">
        <v>6.568</v>
      </c>
      <c r="T526" s="15" t="n">
        <v>0.5</v>
      </c>
      <c r="U526" s="15" t="n">
        <v>0.55</v>
      </c>
      <c r="V526" s="15" t="n">
        <v>7.241</v>
      </c>
      <c r="W526" s="15" t="n">
        <v>13.685</v>
      </c>
      <c r="X526" s="15" t="n">
        <v>10.239</v>
      </c>
      <c r="Y526" s="15" t="n">
        <v>2.569</v>
      </c>
      <c r="Z526" s="15" t="n">
        <v>2.39</v>
      </c>
      <c r="AA526" s="15" t="n">
        <v>9.417</v>
      </c>
      <c r="AB526" s="16" t="n">
        <v>936</v>
      </c>
      <c r="AC526" s="17">
        <f>IF(AND(ISNUMBER(H526),ISNUMBER(I526)),H526+I526,IF(ISNUMBER(K526),K526,IF(ISNUMBER(H526),H526,"")))</f>
        <v/>
      </c>
      <c r="AD526" s="18">
        <f>IF(OR(NOT(ISNUMBER(J526)),NOT(ISNUMBER(H526)),H526&lt;=0),기준표!$B$8,MIN(MAX(J526/H526,기준표!$B$6),기준표!$B$7))</f>
        <v/>
      </c>
      <c r="AE526" s="17">
        <f>IF(ISNUMBER(AC526),AC526*(1-AD526),"")</f>
        <v/>
      </c>
      <c r="AF526" s="17">
        <f>IF(AND(NOT(ISNUMBER(T526)),NOT(ISNUMBER(V526))),"",IF(ISNUMBER(T526),T526,0)+IF(ISNUMBER(V526),V526,0))</f>
        <v/>
      </c>
      <c r="AG526" s="17">
        <f>IF(E526="금융","",IF(AND(ISNUMBER(P526),ISNUMBER(AF526),ISNUMBER(R526)),P526+AF526-R526,""))</f>
        <v/>
      </c>
      <c r="AH526" s="17">
        <f>IF(E526="금융","",IF(NOT(ISNUMBER(AG526)),"",IF(ISNUMBER(AA526),(AG526+AA526)/2,AG526)))</f>
        <v/>
      </c>
      <c r="AI526" s="19">
        <f>IF(AND(ISNUMBER(AE526),ISNUMBER(AH526),AH526&gt;0),AE526/AH526,"")</f>
        <v/>
      </c>
      <c r="AJ526" s="17">
        <f>IF(E526="금융","",IF(AND(ISNUMBER(P526),ISNUMBER(AF526)),P526+AF526,""))</f>
        <v/>
      </c>
      <c r="AK526" s="19">
        <f>IF(OR(NOT(ISNUMBER(AE526)),NOT(ISNUMBER(AJ526)),AJ526&lt;=0),"",IF(AND(ISNUMBER(G526),AJ526&lt;0.1*G526),"",AE526/AJ526))</f>
        <v/>
      </c>
      <c r="AL526" s="17">
        <f>IF(NOT(ISNUMBER(P526)),"",IF(ISNUMBER(Q526),(P526+Q526)/2,P526))</f>
        <v/>
      </c>
      <c r="AM526" s="19">
        <f>IF(AND(ISNUMBER(L526),ISNUMBER(AL526),AL526&gt;0),L526/AL526,"")</f>
        <v/>
      </c>
      <c r="AN526" s="19">
        <f>IF(AND(ISNUMBER(AM526),ISNUMBER({ROIC})),AM526-{ROIC},"")</f>
        <v/>
      </c>
      <c r="AO526" s="17">
        <f>IF(AND(ISNUMBER(AC526),ISNUMBER(M526)),AC526+M526,"")</f>
        <v/>
      </c>
      <c r="AP526" s="20">
        <f>IF(AND(ISNUMBER(AF526),ISNUMBER(R526),ISNUMBER(AO526),AO526&gt;0),(AF526-R526)/AO526,"")</f>
        <v/>
      </c>
      <c r="AQ526" s="20">
        <f>IF(AND(ISNUMBER(AC526),ISNUMBER(I526),I526&lt;&gt;0,AC526&gt;0),AC526/I526,"")</f>
        <v/>
      </c>
      <c r="AR526" s="17">
        <f>IF(AND(ISNUMBER(W526),ISNUMBER(Y526)),W526-IF(ISNUMBER(R526),R526,0)-(Y526-IF(ISNUMBER(T526),T526,0)),"")</f>
        <v/>
      </c>
      <c r="AS526" s="17">
        <f>IF(AND(ISNUMBER(X526),ISNUMBER(Z526)),X526-IF(ISNUMBER(S526),S526,0)-(Z526-IF(ISNUMBER(U526),U526,0)),"")</f>
        <v/>
      </c>
      <c r="AT526" s="17">
        <f>IF(AND(ISNUMBER(AR526),ISNUMBER(AS526)),AR526-AS526,"")</f>
        <v/>
      </c>
      <c r="AU526" s="17">
        <f>IF(E526="금융","",IF(AND(ISNUMBER(L526),ISNUMBER(M526),ISNUMBER(N526),ISNUMBER(AT526)),L526+M526-N526-AT526,IF(AND(ISNUMBER(O526),ISNUMBER(N526)),O526-N526,"")))</f>
        <v/>
      </c>
      <c r="AV526" s="8">
        <f>IF(E526="금융","금융업 - 정의되지 않음",IF(AND(ISNUMBER(L526),ISNUMBER(M526),ISNUMBER(N526),ISNUMBER(AT526)),"순이익+감가상각-설비투자-운전자본증감",IF(AND(ISNUMBER(O526),ISNUMBER(N526)),"영업현금흐름-설비투자","산출불가")))</f>
        <v/>
      </c>
      <c r="AW526" s="19">
        <f>IF(AND(ISNUMBER(AU526),ISNUMBER(G526),G526&lt;&gt;0),AU526/G526,"")</f>
        <v/>
      </c>
      <c r="AX526" s="19">
        <f>IF(AND(ISNUMBER(AC526),ISNUMBER(G526),G526&lt;&gt;0),AC526/G526,"")</f>
        <v/>
      </c>
    </row>
    <row r="527">
      <c r="A527" s="8" t="inlineStr">
        <is>
          <t>TXN</t>
        </is>
      </c>
      <c r="B527" s="8" t="inlineStr">
        <is>
          <t>TEXAS INSTRUMENTS INC</t>
        </is>
      </c>
      <c r="C527" s="8" t="n">
        <v>2022</v>
      </c>
      <c r="D527" s="8" t="inlineStr">
        <is>
          <t>2022-12-31</t>
        </is>
      </c>
      <c r="E527" s="8" t="inlineStr">
        <is>
          <t>일반</t>
        </is>
      </c>
      <c r="F527" s="8" t="inlineStr">
        <is>
          <t>0000097476-25-000007</t>
        </is>
      </c>
      <c r="G527" s="15" t="n">
        <v>20.028</v>
      </c>
      <c r="H527" s="15" t="n">
        <v>10.032</v>
      </c>
      <c r="I527" s="15" t="n">
        <v>0.214</v>
      </c>
      <c r="J527" s="15" t="n">
        <v>1.283</v>
      </c>
      <c r="K527" s="15" t="n">
        <v>10.14</v>
      </c>
      <c r="L527" s="15" t="n">
        <v>8.749000000000001</v>
      </c>
      <c r="M527" s="15" t="n">
        <v>0.925</v>
      </c>
      <c r="N527" s="15" t="n">
        <v>2.797</v>
      </c>
      <c r="O527" s="15" t="n">
        <v>8.720000000000001</v>
      </c>
      <c r="P527" s="15" t="n">
        <v>14.577</v>
      </c>
      <c r="Q527" s="15" t="n">
        <v>13.333</v>
      </c>
      <c r="R527" s="15" t="n">
        <v>9.067</v>
      </c>
      <c r="S527" s="15" t="n">
        <v>9.739000000000001</v>
      </c>
      <c r="T527" s="15" t="n">
        <v>0.5</v>
      </c>
      <c r="U527" s="15" t="n">
        <v>0.5</v>
      </c>
      <c r="V527" s="15" t="n">
        <v>8.234999999999999</v>
      </c>
      <c r="W527" s="15" t="n">
        <v>14.021</v>
      </c>
      <c r="X527" s="15" t="n">
        <v>13.685</v>
      </c>
      <c r="Y527" s="15" t="n">
        <v>2.985</v>
      </c>
      <c r="Z527" s="15" t="n">
        <v>2.569</v>
      </c>
      <c r="AA527" s="15" t="n">
        <v>11.335</v>
      </c>
      <c r="AB527" s="16" t="n">
        <v>926</v>
      </c>
      <c r="AC527" s="17">
        <f>IF(AND(ISNUMBER(H527),ISNUMBER(I527)),H527+I527,IF(ISNUMBER(K527),K527,IF(ISNUMBER(H527),H527,"")))</f>
        <v/>
      </c>
      <c r="AD527" s="18">
        <f>IF(OR(NOT(ISNUMBER(J527)),NOT(ISNUMBER(H527)),H527&lt;=0),기준표!$B$8,MIN(MAX(J527/H527,기준표!$B$6),기준표!$B$7))</f>
        <v/>
      </c>
      <c r="AE527" s="17">
        <f>IF(ISNUMBER(AC527),AC527*(1-AD527),"")</f>
        <v/>
      </c>
      <c r="AF527" s="17">
        <f>IF(AND(NOT(ISNUMBER(T527)),NOT(ISNUMBER(V527))),"",IF(ISNUMBER(T527),T527,0)+IF(ISNUMBER(V527),V527,0))</f>
        <v/>
      </c>
      <c r="AG527" s="17">
        <f>IF(E527="금융","",IF(AND(ISNUMBER(P527),ISNUMBER(AF527),ISNUMBER(R527)),P527+AF527-R527,""))</f>
        <v/>
      </c>
      <c r="AH527" s="17">
        <f>IF(E527="금융","",IF(NOT(ISNUMBER(AG527)),"",IF(ISNUMBER(AA527),(AG527+AA527)/2,AG527)))</f>
        <v/>
      </c>
      <c r="AI527" s="19">
        <f>IF(AND(ISNUMBER(AE527),ISNUMBER(AH527),AH527&gt;0),AE527/AH527,"")</f>
        <v/>
      </c>
      <c r="AJ527" s="17">
        <f>IF(E527="금융","",IF(AND(ISNUMBER(P527),ISNUMBER(AF527)),P527+AF527,""))</f>
        <v/>
      </c>
      <c r="AK527" s="19">
        <f>IF(OR(NOT(ISNUMBER(AE527)),NOT(ISNUMBER(AJ527)),AJ527&lt;=0),"",IF(AND(ISNUMBER(G527),AJ527&lt;0.1*G527),"",AE527/AJ527))</f>
        <v/>
      </c>
      <c r="AL527" s="17">
        <f>IF(NOT(ISNUMBER(P527)),"",IF(ISNUMBER(Q527),(P527+Q527)/2,P527))</f>
        <v/>
      </c>
      <c r="AM527" s="19">
        <f>IF(AND(ISNUMBER(L527),ISNUMBER(AL527),AL527&gt;0),L527/AL527,"")</f>
        <v/>
      </c>
      <c r="AN527" s="19">
        <f>IF(AND(ISNUMBER(AM527),ISNUMBER({ROIC})),AM527-{ROIC},"")</f>
        <v/>
      </c>
      <c r="AO527" s="17">
        <f>IF(AND(ISNUMBER(AC527),ISNUMBER(M527)),AC527+M527,"")</f>
        <v/>
      </c>
      <c r="AP527" s="20">
        <f>IF(AND(ISNUMBER(AF527),ISNUMBER(R527),ISNUMBER(AO527),AO527&gt;0),(AF527-R527)/AO527,"")</f>
        <v/>
      </c>
      <c r="AQ527" s="20">
        <f>IF(AND(ISNUMBER(AC527),ISNUMBER(I527),I527&lt;&gt;0,AC527&gt;0),AC527/I527,"")</f>
        <v/>
      </c>
      <c r="AR527" s="17">
        <f>IF(AND(ISNUMBER(W527),ISNUMBER(Y527)),W527-IF(ISNUMBER(R527),R527,0)-(Y527-IF(ISNUMBER(T527),T527,0)),"")</f>
        <v/>
      </c>
      <c r="AS527" s="17">
        <f>IF(AND(ISNUMBER(X527),ISNUMBER(Z527)),X527-IF(ISNUMBER(S527),S527,0)-(Z527-IF(ISNUMBER(U527),U527,0)),"")</f>
        <v/>
      </c>
      <c r="AT527" s="17">
        <f>IF(AND(ISNUMBER(AR527),ISNUMBER(AS527)),AR527-AS527,"")</f>
        <v/>
      </c>
      <c r="AU527" s="17">
        <f>IF(E527="금융","",IF(AND(ISNUMBER(L527),ISNUMBER(M527),ISNUMBER(N527),ISNUMBER(AT527)),L527+M527-N527-AT527,IF(AND(ISNUMBER(O527),ISNUMBER(N527)),O527-N527,"")))</f>
        <v/>
      </c>
      <c r="AV527" s="8">
        <f>IF(E527="금융","금융업 - 정의되지 않음",IF(AND(ISNUMBER(L527),ISNUMBER(M527),ISNUMBER(N527),ISNUMBER(AT527)),"순이익+감가상각-설비투자-운전자본증감",IF(AND(ISNUMBER(O527),ISNUMBER(N527)),"영업현금흐름-설비투자","산출불가")))</f>
        <v/>
      </c>
      <c r="AW527" s="19">
        <f>IF(AND(ISNUMBER(AU527),ISNUMBER(G527),G527&lt;&gt;0),AU527/G527,"")</f>
        <v/>
      </c>
      <c r="AX527" s="19">
        <f>IF(AND(ISNUMBER(AC527),ISNUMBER(G527),G527&lt;&gt;0),AC527/G527,"")</f>
        <v/>
      </c>
    </row>
    <row r="528">
      <c r="A528" s="8" t="inlineStr">
        <is>
          <t>TXN</t>
        </is>
      </c>
      <c r="B528" s="8" t="inlineStr">
        <is>
          <t>TEXAS INSTRUMENTS INC</t>
        </is>
      </c>
      <c r="C528" s="8" t="n">
        <v>2023</v>
      </c>
      <c r="D528" s="8" t="inlineStr">
        <is>
          <t>2023-12-31</t>
        </is>
      </c>
      <c r="E528" s="8" t="inlineStr">
        <is>
          <t>일반</t>
        </is>
      </c>
      <c r="F528" s="8" t="inlineStr">
        <is>
          <t>0000097476-26-000059</t>
        </is>
      </c>
      <c r="G528" s="15" t="n">
        <v>17.519</v>
      </c>
      <c r="H528" s="15" t="n">
        <v>7.418</v>
      </c>
      <c r="I528" s="15" t="n">
        <v>0.353</v>
      </c>
      <c r="J528" s="15" t="n">
        <v>0.908</v>
      </c>
      <c r="K528" s="15" t="n">
        <v>7.331</v>
      </c>
      <c r="L528" s="15" t="n">
        <v>6.51</v>
      </c>
      <c r="M528" s="15" t="n">
        <v>1.175</v>
      </c>
      <c r="N528" s="15" t="n">
        <v>5.071</v>
      </c>
      <c r="O528" s="15" t="n">
        <v>6.42</v>
      </c>
      <c r="P528" s="15" t="n">
        <v>16.897</v>
      </c>
      <c r="Q528" s="15" t="n">
        <v>14.577</v>
      </c>
      <c r="R528" s="15" t="n">
        <v>8.574999999999999</v>
      </c>
      <c r="S528" s="15" t="n">
        <v>9.067</v>
      </c>
      <c r="T528" s="15" t="n">
        <v>0.599</v>
      </c>
      <c r="U528" s="15" t="n">
        <v>0.5</v>
      </c>
      <c r="V528" s="15" t="n">
        <v>10.624</v>
      </c>
      <c r="W528" s="15" t="n">
        <v>15.122</v>
      </c>
      <c r="X528" s="15" t="n">
        <v>14.021</v>
      </c>
      <c r="Y528" s="15" t="n">
        <v>3.32</v>
      </c>
      <c r="Z528" s="15" t="n">
        <v>2.985</v>
      </c>
      <c r="AA528" s="15" t="n">
        <v>14.245</v>
      </c>
      <c r="AB528" s="16" t="n">
        <v>916</v>
      </c>
      <c r="AC528" s="17">
        <f>IF(AND(ISNUMBER(H528),ISNUMBER(I528)),H528+I528,IF(ISNUMBER(K528),K528,IF(ISNUMBER(H528),H528,"")))</f>
        <v/>
      </c>
      <c r="AD528" s="18">
        <f>IF(OR(NOT(ISNUMBER(J528)),NOT(ISNUMBER(H528)),H528&lt;=0),기준표!$B$8,MIN(MAX(J528/H528,기준표!$B$6),기준표!$B$7))</f>
        <v/>
      </c>
      <c r="AE528" s="17">
        <f>IF(ISNUMBER(AC528),AC528*(1-AD528),"")</f>
        <v/>
      </c>
      <c r="AF528" s="17">
        <f>IF(AND(NOT(ISNUMBER(T528)),NOT(ISNUMBER(V528))),"",IF(ISNUMBER(T528),T528,0)+IF(ISNUMBER(V528),V528,0))</f>
        <v/>
      </c>
      <c r="AG528" s="17">
        <f>IF(E528="금융","",IF(AND(ISNUMBER(P528),ISNUMBER(AF528),ISNUMBER(R528)),P528+AF528-R528,""))</f>
        <v/>
      </c>
      <c r="AH528" s="17">
        <f>IF(E528="금융","",IF(NOT(ISNUMBER(AG528)),"",IF(ISNUMBER(AA528),(AG528+AA528)/2,AG528)))</f>
        <v/>
      </c>
      <c r="AI528" s="19">
        <f>IF(AND(ISNUMBER(AE528),ISNUMBER(AH528),AH528&gt;0),AE528/AH528,"")</f>
        <v/>
      </c>
      <c r="AJ528" s="17">
        <f>IF(E528="금융","",IF(AND(ISNUMBER(P528),ISNUMBER(AF528)),P528+AF528,""))</f>
        <v/>
      </c>
      <c r="AK528" s="19">
        <f>IF(OR(NOT(ISNUMBER(AE528)),NOT(ISNUMBER(AJ528)),AJ528&lt;=0),"",IF(AND(ISNUMBER(G528),AJ528&lt;0.1*G528),"",AE528/AJ528))</f>
        <v/>
      </c>
      <c r="AL528" s="17">
        <f>IF(NOT(ISNUMBER(P528)),"",IF(ISNUMBER(Q528),(P528+Q528)/2,P528))</f>
        <v/>
      </c>
      <c r="AM528" s="19">
        <f>IF(AND(ISNUMBER(L528),ISNUMBER(AL528),AL528&gt;0),L528/AL528,"")</f>
        <v/>
      </c>
      <c r="AN528" s="19">
        <f>IF(AND(ISNUMBER(AM528),ISNUMBER({ROIC})),AM528-{ROIC},"")</f>
        <v/>
      </c>
      <c r="AO528" s="17">
        <f>IF(AND(ISNUMBER(AC528),ISNUMBER(M528)),AC528+M528,"")</f>
        <v/>
      </c>
      <c r="AP528" s="20">
        <f>IF(AND(ISNUMBER(AF528),ISNUMBER(R528),ISNUMBER(AO528),AO528&gt;0),(AF528-R528)/AO528,"")</f>
        <v/>
      </c>
      <c r="AQ528" s="20">
        <f>IF(AND(ISNUMBER(AC528),ISNUMBER(I528),I528&lt;&gt;0,AC528&gt;0),AC528/I528,"")</f>
        <v/>
      </c>
      <c r="AR528" s="17">
        <f>IF(AND(ISNUMBER(W528),ISNUMBER(Y528)),W528-IF(ISNUMBER(R528),R528,0)-(Y528-IF(ISNUMBER(T528),T528,0)),"")</f>
        <v/>
      </c>
      <c r="AS528" s="17">
        <f>IF(AND(ISNUMBER(X528),ISNUMBER(Z528)),X528-IF(ISNUMBER(S528),S528,0)-(Z528-IF(ISNUMBER(U528),U528,0)),"")</f>
        <v/>
      </c>
      <c r="AT528" s="17">
        <f>IF(AND(ISNUMBER(AR528),ISNUMBER(AS528)),AR528-AS528,"")</f>
        <v/>
      </c>
      <c r="AU528" s="17">
        <f>IF(E528="금융","",IF(AND(ISNUMBER(L528),ISNUMBER(M528),ISNUMBER(N528),ISNUMBER(AT528)),L528+M528-N528-AT528,IF(AND(ISNUMBER(O528),ISNUMBER(N528)),O528-N528,"")))</f>
        <v/>
      </c>
      <c r="AV528" s="8">
        <f>IF(E528="금융","금융업 - 정의되지 않음",IF(AND(ISNUMBER(L528),ISNUMBER(M528),ISNUMBER(N528),ISNUMBER(AT528)),"순이익+감가상각-설비투자-운전자본증감",IF(AND(ISNUMBER(O528),ISNUMBER(N528)),"영업현금흐름-설비투자","산출불가")))</f>
        <v/>
      </c>
      <c r="AW528" s="19">
        <f>IF(AND(ISNUMBER(AU528),ISNUMBER(G528),G528&lt;&gt;0),AU528/G528,"")</f>
        <v/>
      </c>
      <c r="AX528" s="19">
        <f>IF(AND(ISNUMBER(AC528),ISNUMBER(G528),G528&lt;&gt;0),AC528/G528,"")</f>
        <v/>
      </c>
    </row>
    <row r="529">
      <c r="A529" s="8" t="inlineStr">
        <is>
          <t>TXN</t>
        </is>
      </c>
      <c r="B529" s="8" t="inlineStr">
        <is>
          <t>TEXAS INSTRUMENTS INC</t>
        </is>
      </c>
      <c r="C529" s="8" t="n">
        <v>2024</v>
      </c>
      <c r="D529" s="8" t="inlineStr">
        <is>
          <t>2024-12-31</t>
        </is>
      </c>
      <c r="E529" s="8" t="inlineStr">
        <is>
          <t>일반</t>
        </is>
      </c>
      <c r="F529" s="8" t="inlineStr">
        <is>
          <t>0000097476-26-000059</t>
        </is>
      </c>
      <c r="G529" s="15" t="n">
        <v>15.641</v>
      </c>
      <c r="H529" s="15" t="n">
        <v>5.453</v>
      </c>
      <c r="I529" s="15" t="n">
        <v>0.508</v>
      </c>
      <c r="J529" s="15" t="n">
        <v>0.654</v>
      </c>
      <c r="K529" s="15" t="n">
        <v>5.465</v>
      </c>
      <c r="L529" s="15" t="n">
        <v>4.799</v>
      </c>
      <c r="M529" s="15" t="n">
        <v>1.508</v>
      </c>
      <c r="N529" s="15" t="n">
        <v>4.82</v>
      </c>
      <c r="O529" s="15" t="n">
        <v>6.318</v>
      </c>
      <c r="P529" s="15" t="n">
        <v>16.903</v>
      </c>
      <c r="Q529" s="15" t="n">
        <v>16.897</v>
      </c>
      <c r="R529" s="15" t="n">
        <v>7.58</v>
      </c>
      <c r="S529" s="15" t="n">
        <v>8.574999999999999</v>
      </c>
      <c r="T529" s="15" t="n">
        <v>0.75</v>
      </c>
      <c r="U529" s="15" t="n">
        <v>0.599</v>
      </c>
      <c r="V529" s="15" t="n">
        <v>12.846</v>
      </c>
      <c r="W529" s="15" t="n">
        <v>15.026</v>
      </c>
      <c r="X529" s="15" t="n">
        <v>15.122</v>
      </c>
      <c r="Y529" s="15" t="n">
        <v>3.643</v>
      </c>
      <c r="Z529" s="15" t="n">
        <v>3.32</v>
      </c>
      <c r="AA529" s="15" t="n">
        <v>19.545</v>
      </c>
      <c r="AB529" s="16" t="n">
        <v>919</v>
      </c>
      <c r="AC529" s="17">
        <f>IF(AND(ISNUMBER(H529),ISNUMBER(I529)),H529+I529,IF(ISNUMBER(K529),K529,IF(ISNUMBER(H529),H529,"")))</f>
        <v/>
      </c>
      <c r="AD529" s="18">
        <f>IF(OR(NOT(ISNUMBER(J529)),NOT(ISNUMBER(H529)),H529&lt;=0),기준표!$B$8,MIN(MAX(J529/H529,기준표!$B$6),기준표!$B$7))</f>
        <v/>
      </c>
      <c r="AE529" s="17">
        <f>IF(ISNUMBER(AC529),AC529*(1-AD529),"")</f>
        <v/>
      </c>
      <c r="AF529" s="17">
        <f>IF(AND(NOT(ISNUMBER(T529)),NOT(ISNUMBER(V529))),"",IF(ISNUMBER(T529),T529,0)+IF(ISNUMBER(V529),V529,0))</f>
        <v/>
      </c>
      <c r="AG529" s="17">
        <f>IF(E529="금융","",IF(AND(ISNUMBER(P529),ISNUMBER(AF529),ISNUMBER(R529)),P529+AF529-R529,""))</f>
        <v/>
      </c>
      <c r="AH529" s="17">
        <f>IF(E529="금융","",IF(NOT(ISNUMBER(AG529)),"",IF(ISNUMBER(AA529),(AG529+AA529)/2,AG529)))</f>
        <v/>
      </c>
      <c r="AI529" s="19">
        <f>IF(AND(ISNUMBER(AE529),ISNUMBER(AH529),AH529&gt;0),AE529/AH529,"")</f>
        <v/>
      </c>
      <c r="AJ529" s="17">
        <f>IF(E529="금융","",IF(AND(ISNUMBER(P529),ISNUMBER(AF529)),P529+AF529,""))</f>
        <v/>
      </c>
      <c r="AK529" s="19">
        <f>IF(OR(NOT(ISNUMBER(AE529)),NOT(ISNUMBER(AJ529)),AJ529&lt;=0),"",IF(AND(ISNUMBER(G529),AJ529&lt;0.1*G529),"",AE529/AJ529))</f>
        <v/>
      </c>
      <c r="AL529" s="17">
        <f>IF(NOT(ISNUMBER(P529)),"",IF(ISNUMBER(Q529),(P529+Q529)/2,P529))</f>
        <v/>
      </c>
      <c r="AM529" s="19">
        <f>IF(AND(ISNUMBER(L529),ISNUMBER(AL529),AL529&gt;0),L529/AL529,"")</f>
        <v/>
      </c>
      <c r="AN529" s="19">
        <f>IF(AND(ISNUMBER(AM529),ISNUMBER({ROIC})),AM529-{ROIC},"")</f>
        <v/>
      </c>
      <c r="AO529" s="17">
        <f>IF(AND(ISNUMBER(AC529),ISNUMBER(M529)),AC529+M529,"")</f>
        <v/>
      </c>
      <c r="AP529" s="20">
        <f>IF(AND(ISNUMBER(AF529),ISNUMBER(R529),ISNUMBER(AO529),AO529&gt;0),(AF529-R529)/AO529,"")</f>
        <v/>
      </c>
      <c r="AQ529" s="20">
        <f>IF(AND(ISNUMBER(AC529),ISNUMBER(I529),I529&lt;&gt;0,AC529&gt;0),AC529/I529,"")</f>
        <v/>
      </c>
      <c r="AR529" s="17">
        <f>IF(AND(ISNUMBER(W529),ISNUMBER(Y529)),W529-IF(ISNUMBER(R529),R529,0)-(Y529-IF(ISNUMBER(T529),T529,0)),"")</f>
        <v/>
      </c>
      <c r="AS529" s="17">
        <f>IF(AND(ISNUMBER(X529),ISNUMBER(Z529)),X529-IF(ISNUMBER(S529),S529,0)-(Z529-IF(ISNUMBER(U529),U529,0)),"")</f>
        <v/>
      </c>
      <c r="AT529" s="17">
        <f>IF(AND(ISNUMBER(AR529),ISNUMBER(AS529)),AR529-AS529,"")</f>
        <v/>
      </c>
      <c r="AU529" s="17">
        <f>IF(E529="금융","",IF(AND(ISNUMBER(L529),ISNUMBER(M529),ISNUMBER(N529),ISNUMBER(AT529)),L529+M529-N529-AT529,IF(AND(ISNUMBER(O529),ISNUMBER(N529)),O529-N529,"")))</f>
        <v/>
      </c>
      <c r="AV529" s="8">
        <f>IF(E529="금융","금융업 - 정의되지 않음",IF(AND(ISNUMBER(L529),ISNUMBER(M529),ISNUMBER(N529),ISNUMBER(AT529)),"순이익+감가상각-설비투자-운전자본증감",IF(AND(ISNUMBER(O529),ISNUMBER(N529)),"영업현금흐름-설비투자","산출불가")))</f>
        <v/>
      </c>
      <c r="AW529" s="19">
        <f>IF(AND(ISNUMBER(AU529),ISNUMBER(G529),G529&lt;&gt;0),AU529/G529,"")</f>
        <v/>
      </c>
      <c r="AX529" s="19">
        <f>IF(AND(ISNUMBER(AC529),ISNUMBER(G529),G529&lt;&gt;0),AC529/G529,"")</f>
        <v/>
      </c>
    </row>
    <row r="530">
      <c r="A530" s="8" t="inlineStr">
        <is>
          <t>TXN</t>
        </is>
      </c>
      <c r="B530" s="8" t="inlineStr">
        <is>
          <t>TEXAS INSTRUMENTS INC</t>
        </is>
      </c>
      <c r="C530" s="8" t="n">
        <v>2025</v>
      </c>
      <c r="D530" s="8" t="inlineStr">
        <is>
          <t>2025-12-31</t>
        </is>
      </c>
      <c r="E530" s="8" t="inlineStr">
        <is>
          <t>일반</t>
        </is>
      </c>
      <c r="F530" s="8" t="inlineStr">
        <is>
          <t>0000097476-26-000059</t>
        </is>
      </c>
      <c r="G530" s="15" t="n">
        <v>17.682</v>
      </c>
      <c r="H530" s="15" t="n">
        <v>5.71</v>
      </c>
      <c r="I530" s="15" t="n">
        <v>0.543</v>
      </c>
      <c r="J530" s="15" t="n">
        <v>0.709</v>
      </c>
      <c r="K530" s="15" t="n">
        <v>6.023</v>
      </c>
      <c r="L530" s="15" t="n">
        <v>5.001</v>
      </c>
      <c r="M530" s="15" t="n">
        <v>1.918</v>
      </c>
      <c r="N530" s="15" t="n">
        <v>4.55</v>
      </c>
      <c r="O530" s="15" t="n">
        <v>7.153</v>
      </c>
      <c r="P530" s="15" t="n">
        <v>16.273</v>
      </c>
      <c r="Q530" s="15" t="n">
        <v>16.903</v>
      </c>
      <c r="R530" s="15" t="n">
        <v>4.881</v>
      </c>
      <c r="S530" s="15" t="n">
        <v>7.58</v>
      </c>
      <c r="T530" s="15" t="n">
        <v>0.5</v>
      </c>
      <c r="U530" s="15" t="n">
        <v>0.75</v>
      </c>
      <c r="V530" s="15" t="n">
        <v>13.548</v>
      </c>
      <c r="W530" s="15" t="n">
        <v>13.75</v>
      </c>
      <c r="X530" s="15" t="n">
        <v>15.026</v>
      </c>
      <c r="Y530" s="15" t="n">
        <v>3.159</v>
      </c>
      <c r="Z530" s="15" t="n">
        <v>3.643</v>
      </c>
      <c r="AA530" s="15" t="n">
        <v>22.919</v>
      </c>
      <c r="AB530" s="16" t="n">
        <v>913</v>
      </c>
      <c r="AC530" s="17">
        <f>IF(AND(ISNUMBER(H530),ISNUMBER(I530)),H530+I530,IF(ISNUMBER(K530),K530,IF(ISNUMBER(H530),H530,"")))</f>
        <v/>
      </c>
      <c r="AD530" s="18">
        <f>IF(OR(NOT(ISNUMBER(J530)),NOT(ISNUMBER(H530)),H530&lt;=0),기준표!$B$8,MIN(MAX(J530/H530,기준표!$B$6),기준표!$B$7))</f>
        <v/>
      </c>
      <c r="AE530" s="17">
        <f>IF(ISNUMBER(AC530),AC530*(1-AD530),"")</f>
        <v/>
      </c>
      <c r="AF530" s="17">
        <f>IF(AND(NOT(ISNUMBER(T530)),NOT(ISNUMBER(V530))),"",IF(ISNUMBER(T530),T530,0)+IF(ISNUMBER(V530),V530,0))</f>
        <v/>
      </c>
      <c r="AG530" s="17">
        <f>IF(E530="금융","",IF(AND(ISNUMBER(P530),ISNUMBER(AF530),ISNUMBER(R530)),P530+AF530-R530,""))</f>
        <v/>
      </c>
      <c r="AH530" s="17">
        <f>IF(E530="금융","",IF(NOT(ISNUMBER(AG530)),"",IF(ISNUMBER(AA530),(AG530+AA530)/2,AG530)))</f>
        <v/>
      </c>
      <c r="AI530" s="19">
        <f>IF(AND(ISNUMBER(AE530),ISNUMBER(AH530),AH530&gt;0),AE530/AH530,"")</f>
        <v/>
      </c>
      <c r="AJ530" s="17">
        <f>IF(E530="금융","",IF(AND(ISNUMBER(P530),ISNUMBER(AF530)),P530+AF530,""))</f>
        <v/>
      </c>
      <c r="AK530" s="19">
        <f>IF(OR(NOT(ISNUMBER(AE530)),NOT(ISNUMBER(AJ530)),AJ530&lt;=0),"",IF(AND(ISNUMBER(G530),AJ530&lt;0.1*G530),"",AE530/AJ530))</f>
        <v/>
      </c>
      <c r="AL530" s="17">
        <f>IF(NOT(ISNUMBER(P530)),"",IF(ISNUMBER(Q530),(P530+Q530)/2,P530))</f>
        <v/>
      </c>
      <c r="AM530" s="19">
        <f>IF(AND(ISNUMBER(L530),ISNUMBER(AL530),AL530&gt;0),L530/AL530,"")</f>
        <v/>
      </c>
      <c r="AN530" s="19">
        <f>IF(AND(ISNUMBER(AM530),ISNUMBER({ROIC})),AM530-{ROIC},"")</f>
        <v/>
      </c>
      <c r="AO530" s="17">
        <f>IF(AND(ISNUMBER(AC530),ISNUMBER(M530)),AC530+M530,"")</f>
        <v/>
      </c>
      <c r="AP530" s="20">
        <f>IF(AND(ISNUMBER(AF530),ISNUMBER(R530),ISNUMBER(AO530),AO530&gt;0),(AF530-R530)/AO530,"")</f>
        <v/>
      </c>
      <c r="AQ530" s="20">
        <f>IF(AND(ISNUMBER(AC530),ISNUMBER(I530),I530&lt;&gt;0,AC530&gt;0),AC530/I530,"")</f>
        <v/>
      </c>
      <c r="AR530" s="17">
        <f>IF(AND(ISNUMBER(W530),ISNUMBER(Y530)),W530-IF(ISNUMBER(R530),R530,0)-(Y530-IF(ISNUMBER(T530),T530,0)),"")</f>
        <v/>
      </c>
      <c r="AS530" s="17">
        <f>IF(AND(ISNUMBER(X530),ISNUMBER(Z530)),X530-IF(ISNUMBER(S530),S530,0)-(Z530-IF(ISNUMBER(U530),U530,0)),"")</f>
        <v/>
      </c>
      <c r="AT530" s="17">
        <f>IF(AND(ISNUMBER(AR530),ISNUMBER(AS530)),AR530-AS530,"")</f>
        <v/>
      </c>
      <c r="AU530" s="17">
        <f>IF(E530="금융","",IF(AND(ISNUMBER(L530),ISNUMBER(M530),ISNUMBER(N530),ISNUMBER(AT530)),L530+M530-N530-AT530,IF(AND(ISNUMBER(O530),ISNUMBER(N530)),O530-N530,"")))</f>
        <v/>
      </c>
      <c r="AV530" s="8">
        <f>IF(E530="금융","금융업 - 정의되지 않음",IF(AND(ISNUMBER(L530),ISNUMBER(M530),ISNUMBER(N530),ISNUMBER(AT530)),"순이익+감가상각-설비투자-운전자본증감",IF(AND(ISNUMBER(O530),ISNUMBER(N530)),"영업현금흐름-설비투자","산출불가")))</f>
        <v/>
      </c>
      <c r="AW530" s="19">
        <f>IF(AND(ISNUMBER(AU530),ISNUMBER(G530),G530&lt;&gt;0),AU530/G530,"")</f>
        <v/>
      </c>
      <c r="AX530" s="19">
        <f>IF(AND(ISNUMBER(AC530),ISNUMBER(G530),G530&lt;&gt;0),AC530/G530,"")</f>
        <v/>
      </c>
    </row>
    <row r="531">
      <c r="A531" s="8" t="inlineStr">
        <is>
          <t>KLAC</t>
        </is>
      </c>
      <c r="B531" s="8" t="inlineStr">
        <is>
          <t>KLA CORP</t>
        </is>
      </c>
      <c r="C531" s="8" t="n">
        <v>2015</v>
      </c>
      <c r="D531" s="8" t="inlineStr">
        <is>
          <t>2015-06-30</t>
        </is>
      </c>
      <c r="E531" s="8" t="inlineStr">
        <is>
          <t>일반</t>
        </is>
      </c>
      <c r="F531" s="8" t="inlineStr">
        <is>
          <t>0000319201-17-000034</t>
        </is>
      </c>
      <c r="G531" s="15" t="n"/>
      <c r="H531" s="15" t="n"/>
      <c r="I531" s="15" t="n"/>
      <c r="J531" s="15" t="n">
        <v>0.06797300000000001</v>
      </c>
      <c r="K531" s="15" t="n"/>
      <c r="L531" s="15" t="n">
        <v>0.366158</v>
      </c>
      <c r="M531" s="15" t="n">
        <v>0.080536</v>
      </c>
      <c r="N531" s="15" t="n">
        <v>0.045791</v>
      </c>
      <c r="O531" s="15" t="n">
        <v>0.6059059999999999</v>
      </c>
      <c r="P531" s="15" t="n">
        <v>0.421439</v>
      </c>
      <c r="Q531" s="15" t="n"/>
      <c r="R531" s="15" t="n">
        <v>0.838025</v>
      </c>
      <c r="S531" s="15" t="n"/>
      <c r="T531" s="15" t="n">
        <v>0.016981</v>
      </c>
      <c r="U531" s="15" t="n"/>
      <c r="V531" s="15" t="n">
        <v>3.190416</v>
      </c>
      <c r="W531" s="15" t="n">
        <v>3.904576</v>
      </c>
      <c r="X531" s="15" t="n"/>
      <c r="Y531" s="15" t="n">
        <v>1.001763</v>
      </c>
      <c r="Z531" s="15" t="n"/>
      <c r="AA531" s="15" t="n"/>
      <c r="AB531" s="16" t="n">
        <v>1578.51</v>
      </c>
      <c r="AC531" s="17">
        <f>IF(AND(ISNUMBER(H531),ISNUMBER(I531)),H531+I531,IF(ISNUMBER(K531),K531,IF(ISNUMBER(H531),H531,"")))</f>
        <v/>
      </c>
      <c r="AD531" s="18">
        <f>IF(OR(NOT(ISNUMBER(J531)),NOT(ISNUMBER(H531)),H531&lt;=0),기준표!$B$8,MIN(MAX(J531/H531,기준표!$B$6),기준표!$B$7))</f>
        <v/>
      </c>
      <c r="AE531" s="17">
        <f>IF(ISNUMBER(AC531),AC531*(1-AD531),"")</f>
        <v/>
      </c>
      <c r="AF531" s="17">
        <f>IF(AND(NOT(ISNUMBER(T531)),NOT(ISNUMBER(V531))),"",IF(ISNUMBER(T531),T531,0)+IF(ISNUMBER(V531),V531,0))</f>
        <v/>
      </c>
      <c r="AG531" s="17">
        <f>IF(E531="금융","",IF(AND(ISNUMBER(P531),ISNUMBER(AF531),ISNUMBER(R531)),P531+AF531-R531,""))</f>
        <v/>
      </c>
      <c r="AH531" s="17">
        <f>IF(E531="금융","",IF(NOT(ISNUMBER(AG531)),"",IF(ISNUMBER(AA531),(AG531+AA531)/2,AG531)))</f>
        <v/>
      </c>
      <c r="AI531" s="19">
        <f>IF(AND(ISNUMBER(AE531),ISNUMBER(AH531),AH531&gt;0),AE531/AH531,"")</f>
        <v/>
      </c>
      <c r="AJ531" s="17">
        <f>IF(E531="금융","",IF(AND(ISNUMBER(P531),ISNUMBER(AF531)),P531+AF531,""))</f>
        <v/>
      </c>
      <c r="AK531" s="19">
        <f>IF(OR(NOT(ISNUMBER(AE531)),NOT(ISNUMBER(AJ531)),AJ531&lt;=0),"",IF(AND(ISNUMBER(G531),AJ531&lt;0.1*G531),"",AE531/AJ531))</f>
        <v/>
      </c>
      <c r="AL531" s="17">
        <f>IF(NOT(ISNUMBER(P531)),"",IF(ISNUMBER(Q531),(P531+Q531)/2,P531))</f>
        <v/>
      </c>
      <c r="AM531" s="19">
        <f>IF(AND(ISNUMBER(L531),ISNUMBER(AL531),AL531&gt;0),L531/AL531,"")</f>
        <v/>
      </c>
      <c r="AN531" s="19">
        <f>IF(AND(ISNUMBER(AM531),ISNUMBER({ROIC})),AM531-{ROIC},"")</f>
        <v/>
      </c>
      <c r="AO531" s="17">
        <f>IF(AND(ISNUMBER(AC531),ISNUMBER(M531)),AC531+M531,"")</f>
        <v/>
      </c>
      <c r="AP531" s="20">
        <f>IF(AND(ISNUMBER(AF531),ISNUMBER(R531),ISNUMBER(AO531),AO531&gt;0),(AF531-R531)/AO531,"")</f>
        <v/>
      </c>
      <c r="AQ531" s="20">
        <f>IF(AND(ISNUMBER(AC531),ISNUMBER(I531),I531&lt;&gt;0,AC531&gt;0),AC531/I531,"")</f>
        <v/>
      </c>
      <c r="AR531" s="17">
        <f>IF(AND(ISNUMBER(W531),ISNUMBER(Y531)),W531-IF(ISNUMBER(R531),R531,0)-(Y531-IF(ISNUMBER(T531),T531,0)),"")</f>
        <v/>
      </c>
      <c r="AS531" s="17">
        <f>IF(AND(ISNUMBER(X531),ISNUMBER(Z531)),X531-IF(ISNUMBER(S531),S531,0)-(Z531-IF(ISNUMBER(U531),U531,0)),"")</f>
        <v/>
      </c>
      <c r="AT531" s="17">
        <f>IF(AND(ISNUMBER(AR531),ISNUMBER(AS531)),AR531-AS531,"")</f>
        <v/>
      </c>
      <c r="AU531" s="17">
        <f>IF(E531="금융","",IF(AND(ISNUMBER(L531),ISNUMBER(M531),ISNUMBER(N531),ISNUMBER(AT531)),L531+M531-N531-AT531,IF(AND(ISNUMBER(O531),ISNUMBER(N531)),O531-N531,"")))</f>
        <v/>
      </c>
      <c r="AV531" s="8">
        <f>IF(E531="금융","금융업 - 정의되지 않음",IF(AND(ISNUMBER(L531),ISNUMBER(M531),ISNUMBER(N531),ISNUMBER(AT531)),"순이익+감가상각-설비투자-운전자본증감",IF(AND(ISNUMBER(O531),ISNUMBER(N531)),"영업현금흐름-설비투자","산출불가")))</f>
        <v/>
      </c>
      <c r="AW531" s="19">
        <f>IF(AND(ISNUMBER(AU531),ISNUMBER(G531),G531&lt;&gt;0),AU531/G531,"")</f>
        <v/>
      </c>
      <c r="AX531" s="19">
        <f>IF(AND(ISNUMBER(AC531),ISNUMBER(G531),G531&lt;&gt;0),AC531/G531,"")</f>
        <v/>
      </c>
    </row>
    <row r="532">
      <c r="A532" s="8" t="inlineStr">
        <is>
          <t>KLAC</t>
        </is>
      </c>
      <c r="B532" s="8" t="inlineStr">
        <is>
          <t>KLA CORP</t>
        </is>
      </c>
      <c r="C532" s="8" t="n">
        <v>2016</v>
      </c>
      <c r="D532" s="8" t="inlineStr">
        <is>
          <t>2016-06-30</t>
        </is>
      </c>
      <c r="E532" s="8" t="inlineStr">
        <is>
          <t>일반</t>
        </is>
      </c>
      <c r="F532" s="8" t="inlineStr">
        <is>
          <t>0000319201-18-000045</t>
        </is>
      </c>
      <c r="G532" s="15" t="n"/>
      <c r="H532" s="15" t="n"/>
      <c r="I532" s="15" t="n"/>
      <c r="J532" s="15" t="n">
        <v>0.15377</v>
      </c>
      <c r="K532" s="15" t="n"/>
      <c r="L532" s="15" t="n">
        <v>0.704422</v>
      </c>
      <c r="M532" s="15" t="n">
        <v>0.06693200000000001</v>
      </c>
      <c r="N532" s="15" t="n">
        <v>0.031741</v>
      </c>
      <c r="O532" s="15" t="n">
        <v>0.759696</v>
      </c>
      <c r="P532" s="15" t="n">
        <v>0.689114</v>
      </c>
      <c r="Q532" s="15" t="n">
        <v>0.421439</v>
      </c>
      <c r="R532" s="15" t="n">
        <v>1.108488</v>
      </c>
      <c r="S532" s="15" t="n">
        <v>0.838025</v>
      </c>
      <c r="T532" s="15" t="n">
        <v>0</v>
      </c>
      <c r="U532" s="15" t="n">
        <v>0.016981</v>
      </c>
      <c r="V532" s="15" t="n">
        <v>3.057936</v>
      </c>
      <c r="W532" s="15" t="n">
        <v>3.868032</v>
      </c>
      <c r="X532" s="15" t="n">
        <v>3.904576</v>
      </c>
      <c r="Y532" s="15" t="n">
        <v>1.002423</v>
      </c>
      <c r="Z532" s="15" t="n">
        <v>1.001763</v>
      </c>
      <c r="AA532" s="15" t="n">
        <v>2.790811</v>
      </c>
      <c r="AB532" s="16" t="n">
        <v>1559.55</v>
      </c>
      <c r="AC532" s="17">
        <f>IF(AND(ISNUMBER(H532),ISNUMBER(I532)),H532+I532,IF(ISNUMBER(K532),K532,IF(ISNUMBER(H532),H532,"")))</f>
        <v/>
      </c>
      <c r="AD532" s="18">
        <f>IF(OR(NOT(ISNUMBER(J532)),NOT(ISNUMBER(H532)),H532&lt;=0),기준표!$B$8,MIN(MAX(J532/H532,기준표!$B$6),기준표!$B$7))</f>
        <v/>
      </c>
      <c r="AE532" s="17">
        <f>IF(ISNUMBER(AC532),AC532*(1-AD532),"")</f>
        <v/>
      </c>
      <c r="AF532" s="17">
        <f>IF(AND(NOT(ISNUMBER(T532)),NOT(ISNUMBER(V532))),"",IF(ISNUMBER(T532),T532,0)+IF(ISNUMBER(V532),V532,0))</f>
        <v/>
      </c>
      <c r="AG532" s="17">
        <f>IF(E532="금융","",IF(AND(ISNUMBER(P532),ISNUMBER(AF532),ISNUMBER(R532)),P532+AF532-R532,""))</f>
        <v/>
      </c>
      <c r="AH532" s="17">
        <f>IF(E532="금융","",IF(NOT(ISNUMBER(AG532)),"",IF(ISNUMBER(AA532),(AG532+AA532)/2,AG532)))</f>
        <v/>
      </c>
      <c r="AI532" s="19">
        <f>IF(AND(ISNUMBER(AE532),ISNUMBER(AH532),AH532&gt;0),AE532/AH532,"")</f>
        <v/>
      </c>
      <c r="AJ532" s="17">
        <f>IF(E532="금융","",IF(AND(ISNUMBER(P532),ISNUMBER(AF532)),P532+AF532,""))</f>
        <v/>
      </c>
      <c r="AK532" s="19">
        <f>IF(OR(NOT(ISNUMBER(AE532)),NOT(ISNUMBER(AJ532)),AJ532&lt;=0),"",IF(AND(ISNUMBER(G532),AJ532&lt;0.1*G532),"",AE532/AJ532))</f>
        <v/>
      </c>
      <c r="AL532" s="17">
        <f>IF(NOT(ISNUMBER(P532)),"",IF(ISNUMBER(Q532),(P532+Q532)/2,P532))</f>
        <v/>
      </c>
      <c r="AM532" s="19">
        <f>IF(AND(ISNUMBER(L532),ISNUMBER(AL532),AL532&gt;0),L532/AL532,"")</f>
        <v/>
      </c>
      <c r="AN532" s="19">
        <f>IF(AND(ISNUMBER(AM532),ISNUMBER({ROIC})),AM532-{ROIC},"")</f>
        <v/>
      </c>
      <c r="AO532" s="17">
        <f>IF(AND(ISNUMBER(AC532),ISNUMBER(M532)),AC532+M532,"")</f>
        <v/>
      </c>
      <c r="AP532" s="20">
        <f>IF(AND(ISNUMBER(AF532),ISNUMBER(R532),ISNUMBER(AO532),AO532&gt;0),(AF532-R532)/AO532,"")</f>
        <v/>
      </c>
      <c r="AQ532" s="20">
        <f>IF(AND(ISNUMBER(AC532),ISNUMBER(I532),I532&lt;&gt;0,AC532&gt;0),AC532/I532,"")</f>
        <v/>
      </c>
      <c r="AR532" s="17">
        <f>IF(AND(ISNUMBER(W532),ISNUMBER(Y532)),W532-IF(ISNUMBER(R532),R532,0)-(Y532-IF(ISNUMBER(T532),T532,0)),"")</f>
        <v/>
      </c>
      <c r="AS532" s="17">
        <f>IF(AND(ISNUMBER(X532),ISNUMBER(Z532)),X532-IF(ISNUMBER(S532),S532,0)-(Z532-IF(ISNUMBER(U532),U532,0)),"")</f>
        <v/>
      </c>
      <c r="AT532" s="17">
        <f>IF(AND(ISNUMBER(AR532),ISNUMBER(AS532)),AR532-AS532,"")</f>
        <v/>
      </c>
      <c r="AU532" s="17">
        <f>IF(E532="금융","",IF(AND(ISNUMBER(L532),ISNUMBER(M532),ISNUMBER(N532),ISNUMBER(AT532)),L532+M532-N532-AT532,IF(AND(ISNUMBER(O532),ISNUMBER(N532)),O532-N532,"")))</f>
        <v/>
      </c>
      <c r="AV532" s="8">
        <f>IF(E532="금융","금융업 - 정의되지 않음",IF(AND(ISNUMBER(L532),ISNUMBER(M532),ISNUMBER(N532),ISNUMBER(AT532)),"순이익+감가상각-설비투자-운전자본증감",IF(AND(ISNUMBER(O532),ISNUMBER(N532)),"영업현금흐름-설비투자","산출불가")))</f>
        <v/>
      </c>
      <c r="AW532" s="19">
        <f>IF(AND(ISNUMBER(AU532),ISNUMBER(G532),G532&lt;&gt;0),AU532/G532,"")</f>
        <v/>
      </c>
      <c r="AX532" s="19">
        <f>IF(AND(ISNUMBER(AC532),ISNUMBER(G532),G532&lt;&gt;0),AC532/G532,"")</f>
        <v/>
      </c>
    </row>
    <row r="533">
      <c r="A533" s="8" t="inlineStr">
        <is>
          <t>KLAC</t>
        </is>
      </c>
      <c r="B533" s="8" t="inlineStr">
        <is>
          <t>KLA CORP</t>
        </is>
      </c>
      <c r="C533" s="8" t="n">
        <v>2017</v>
      </c>
      <c r="D533" s="8" t="inlineStr">
        <is>
          <t>2017-06-30</t>
        </is>
      </c>
      <c r="E533" s="8" t="inlineStr">
        <is>
          <t>일반</t>
        </is>
      </c>
      <c r="F533" s="8" t="inlineStr">
        <is>
          <t>0000319201-19-000031</t>
        </is>
      </c>
      <c r="G533" s="15" t="n">
        <v>3.480014</v>
      </c>
      <c r="H533" s="15" t="n"/>
      <c r="I533" s="15" t="n"/>
      <c r="J533" s="15" t="n">
        <v>0.24717</v>
      </c>
      <c r="K533" s="15" t="n"/>
      <c r="L533" s="15" t="n">
        <v>0.926076</v>
      </c>
      <c r="M533" s="15" t="n">
        <v>0.057836</v>
      </c>
      <c r="N533" s="15" t="n">
        <v>0.038594</v>
      </c>
      <c r="O533" s="15" t="n">
        <v>1.079665</v>
      </c>
      <c r="P533" s="15" t="n">
        <v>1.326417</v>
      </c>
      <c r="Q533" s="15" t="n">
        <v>0.689114</v>
      </c>
      <c r="R533" s="15" t="n">
        <v>1.153051</v>
      </c>
      <c r="S533" s="15" t="n">
        <v>1.108488</v>
      </c>
      <c r="T533" s="15" t="n">
        <v>0.249983</v>
      </c>
      <c r="U533" s="15" t="n">
        <v>0</v>
      </c>
      <c r="V533" s="15" t="n">
        <v>2.930457</v>
      </c>
      <c r="W533" s="15" t="n">
        <v>4.392066</v>
      </c>
      <c r="X533" s="15" t="n">
        <v>3.868032</v>
      </c>
      <c r="Y533" s="15" t="n">
        <v>1.293162</v>
      </c>
      <c r="Z533" s="15" t="n">
        <v>1.002423</v>
      </c>
      <c r="AA533" s="15" t="n">
        <v>2.638562</v>
      </c>
      <c r="AB533" s="16" t="n">
        <v>1568.4</v>
      </c>
      <c r="AC533" s="17">
        <f>IF(AND(ISNUMBER(H533),ISNUMBER(I533)),H533+I533,IF(ISNUMBER(K533),K533,IF(ISNUMBER(H533),H533,"")))</f>
        <v/>
      </c>
      <c r="AD533" s="18">
        <f>IF(OR(NOT(ISNUMBER(J533)),NOT(ISNUMBER(H533)),H533&lt;=0),기준표!$B$8,MIN(MAX(J533/H533,기준표!$B$6),기준표!$B$7))</f>
        <v/>
      </c>
      <c r="AE533" s="17">
        <f>IF(ISNUMBER(AC533),AC533*(1-AD533),"")</f>
        <v/>
      </c>
      <c r="AF533" s="17">
        <f>IF(AND(NOT(ISNUMBER(T533)),NOT(ISNUMBER(V533))),"",IF(ISNUMBER(T533),T533,0)+IF(ISNUMBER(V533),V533,0))</f>
        <v/>
      </c>
      <c r="AG533" s="17">
        <f>IF(E533="금융","",IF(AND(ISNUMBER(P533),ISNUMBER(AF533),ISNUMBER(R533)),P533+AF533-R533,""))</f>
        <v/>
      </c>
      <c r="AH533" s="17">
        <f>IF(E533="금융","",IF(NOT(ISNUMBER(AG533)),"",IF(ISNUMBER(AA533),(AG533+AA533)/2,AG533)))</f>
        <v/>
      </c>
      <c r="AI533" s="19">
        <f>IF(AND(ISNUMBER(AE533),ISNUMBER(AH533),AH533&gt;0),AE533/AH533,"")</f>
        <v/>
      </c>
      <c r="AJ533" s="17">
        <f>IF(E533="금융","",IF(AND(ISNUMBER(P533),ISNUMBER(AF533)),P533+AF533,""))</f>
        <v/>
      </c>
      <c r="AK533" s="19">
        <f>IF(OR(NOT(ISNUMBER(AE533)),NOT(ISNUMBER(AJ533)),AJ533&lt;=0),"",IF(AND(ISNUMBER(G533),AJ533&lt;0.1*G533),"",AE533/AJ533))</f>
        <v/>
      </c>
      <c r="AL533" s="17">
        <f>IF(NOT(ISNUMBER(P533)),"",IF(ISNUMBER(Q533),(P533+Q533)/2,P533))</f>
        <v/>
      </c>
      <c r="AM533" s="19">
        <f>IF(AND(ISNUMBER(L533),ISNUMBER(AL533),AL533&gt;0),L533/AL533,"")</f>
        <v/>
      </c>
      <c r="AN533" s="19">
        <f>IF(AND(ISNUMBER(AM533),ISNUMBER({ROIC})),AM533-{ROIC},"")</f>
        <v/>
      </c>
      <c r="AO533" s="17">
        <f>IF(AND(ISNUMBER(AC533),ISNUMBER(M533)),AC533+M533,"")</f>
        <v/>
      </c>
      <c r="AP533" s="20">
        <f>IF(AND(ISNUMBER(AF533),ISNUMBER(R533),ISNUMBER(AO533),AO533&gt;0),(AF533-R533)/AO533,"")</f>
        <v/>
      </c>
      <c r="AQ533" s="20">
        <f>IF(AND(ISNUMBER(AC533),ISNUMBER(I533),I533&lt;&gt;0,AC533&gt;0),AC533/I533,"")</f>
        <v/>
      </c>
      <c r="AR533" s="17">
        <f>IF(AND(ISNUMBER(W533),ISNUMBER(Y533)),W533-IF(ISNUMBER(R533),R533,0)-(Y533-IF(ISNUMBER(T533),T533,0)),"")</f>
        <v/>
      </c>
      <c r="AS533" s="17">
        <f>IF(AND(ISNUMBER(X533),ISNUMBER(Z533)),X533-IF(ISNUMBER(S533),S533,0)-(Z533-IF(ISNUMBER(U533),U533,0)),"")</f>
        <v/>
      </c>
      <c r="AT533" s="17">
        <f>IF(AND(ISNUMBER(AR533),ISNUMBER(AS533)),AR533-AS533,"")</f>
        <v/>
      </c>
      <c r="AU533" s="17">
        <f>IF(E533="금융","",IF(AND(ISNUMBER(L533),ISNUMBER(M533),ISNUMBER(N533),ISNUMBER(AT533)),L533+M533-N533-AT533,IF(AND(ISNUMBER(O533),ISNUMBER(N533)),O533-N533,"")))</f>
        <v/>
      </c>
      <c r="AV533" s="8">
        <f>IF(E533="금융","금융업 - 정의되지 않음",IF(AND(ISNUMBER(L533),ISNUMBER(M533),ISNUMBER(N533),ISNUMBER(AT533)),"순이익+감가상각-설비투자-운전자본증감",IF(AND(ISNUMBER(O533),ISNUMBER(N533)),"영업현금흐름-설비투자","산출불가")))</f>
        <v/>
      </c>
      <c r="AW533" s="19">
        <f>IF(AND(ISNUMBER(AU533),ISNUMBER(G533),G533&lt;&gt;0),AU533/G533,"")</f>
        <v/>
      </c>
      <c r="AX533" s="19">
        <f>IF(AND(ISNUMBER(AC533),ISNUMBER(G533),G533&lt;&gt;0),AC533/G533,"")</f>
        <v/>
      </c>
    </row>
    <row r="534">
      <c r="A534" s="8" t="inlineStr">
        <is>
          <t>KLAC</t>
        </is>
      </c>
      <c r="B534" s="8" t="inlineStr">
        <is>
          <t>KLA CORP</t>
        </is>
      </c>
      <c r="C534" s="8" t="n">
        <v>2018</v>
      </c>
      <c r="D534" s="8" t="inlineStr">
        <is>
          <t>2018-06-30</t>
        </is>
      </c>
      <c r="E534" s="8" t="inlineStr">
        <is>
          <t>일반</t>
        </is>
      </c>
      <c r="F534" s="8" t="inlineStr">
        <is>
          <t>0000319201-20-000047</t>
        </is>
      </c>
      <c r="G534" s="15" t="n">
        <v>4.036701</v>
      </c>
      <c r="H534" s="15" t="n"/>
      <c r="I534" s="15" t="n"/>
      <c r="J534" s="15" t="n">
        <v>0.653666</v>
      </c>
      <c r="K534" s="15" t="n"/>
      <c r="L534" s="15" t="n">
        <v>0.802265</v>
      </c>
      <c r="M534" s="15" t="n">
        <v>0.062684</v>
      </c>
      <c r="N534" s="15" t="n">
        <v>0.06694700000000001</v>
      </c>
      <c r="O534" s="15" t="n">
        <v>1.22912</v>
      </c>
      <c r="P534" s="15" t="n">
        <v>1.620511</v>
      </c>
      <c r="Q534" s="15" t="n">
        <v>1.326417</v>
      </c>
      <c r="R534" s="15" t="n">
        <v>2.880318</v>
      </c>
      <c r="S534" s="15" t="n">
        <v>1.153051</v>
      </c>
      <c r="T534" s="15" t="n">
        <v>0</v>
      </c>
      <c r="U534" s="15" t="n">
        <v>0.249983</v>
      </c>
      <c r="V534" s="15" t="n">
        <v>2.237402</v>
      </c>
      <c r="W534" s="15" t="n">
        <v>4.549</v>
      </c>
      <c r="X534" s="15" t="n">
        <v>4.392066</v>
      </c>
      <c r="Y534" s="15" t="n">
        <v>1.21427</v>
      </c>
      <c r="Z534" s="15" t="n">
        <v>1.293162</v>
      </c>
      <c r="AA534" s="15" t="n">
        <v>3.353806</v>
      </c>
      <c r="AB534" s="16" t="n">
        <v>1560.48</v>
      </c>
      <c r="AC534" s="17">
        <f>IF(AND(ISNUMBER(H534),ISNUMBER(I534)),H534+I534,IF(ISNUMBER(K534),K534,IF(ISNUMBER(H534),H534,"")))</f>
        <v/>
      </c>
      <c r="AD534" s="18">
        <f>IF(OR(NOT(ISNUMBER(J534)),NOT(ISNUMBER(H534)),H534&lt;=0),기준표!$B$8,MIN(MAX(J534/H534,기준표!$B$6),기준표!$B$7))</f>
        <v/>
      </c>
      <c r="AE534" s="17">
        <f>IF(ISNUMBER(AC534),AC534*(1-AD534),"")</f>
        <v/>
      </c>
      <c r="AF534" s="17">
        <f>IF(AND(NOT(ISNUMBER(T534)),NOT(ISNUMBER(V534))),"",IF(ISNUMBER(T534),T534,0)+IF(ISNUMBER(V534),V534,0))</f>
        <v/>
      </c>
      <c r="AG534" s="17">
        <f>IF(E534="금융","",IF(AND(ISNUMBER(P534),ISNUMBER(AF534),ISNUMBER(R534)),P534+AF534-R534,""))</f>
        <v/>
      </c>
      <c r="AH534" s="17">
        <f>IF(E534="금융","",IF(NOT(ISNUMBER(AG534)),"",IF(ISNUMBER(AA534),(AG534+AA534)/2,AG534)))</f>
        <v/>
      </c>
      <c r="AI534" s="19">
        <f>IF(AND(ISNUMBER(AE534),ISNUMBER(AH534),AH534&gt;0),AE534/AH534,"")</f>
        <v/>
      </c>
      <c r="AJ534" s="17">
        <f>IF(E534="금융","",IF(AND(ISNUMBER(P534),ISNUMBER(AF534)),P534+AF534,""))</f>
        <v/>
      </c>
      <c r="AK534" s="19">
        <f>IF(OR(NOT(ISNUMBER(AE534)),NOT(ISNUMBER(AJ534)),AJ534&lt;=0),"",IF(AND(ISNUMBER(G534),AJ534&lt;0.1*G534),"",AE534/AJ534))</f>
        <v/>
      </c>
      <c r="AL534" s="17">
        <f>IF(NOT(ISNUMBER(P534)),"",IF(ISNUMBER(Q534),(P534+Q534)/2,P534))</f>
        <v/>
      </c>
      <c r="AM534" s="19">
        <f>IF(AND(ISNUMBER(L534),ISNUMBER(AL534),AL534&gt;0),L534/AL534,"")</f>
        <v/>
      </c>
      <c r="AN534" s="19">
        <f>IF(AND(ISNUMBER(AM534),ISNUMBER({ROIC})),AM534-{ROIC},"")</f>
        <v/>
      </c>
      <c r="AO534" s="17">
        <f>IF(AND(ISNUMBER(AC534),ISNUMBER(M534)),AC534+M534,"")</f>
        <v/>
      </c>
      <c r="AP534" s="20">
        <f>IF(AND(ISNUMBER(AF534),ISNUMBER(R534),ISNUMBER(AO534),AO534&gt;0),(AF534-R534)/AO534,"")</f>
        <v/>
      </c>
      <c r="AQ534" s="20">
        <f>IF(AND(ISNUMBER(AC534),ISNUMBER(I534),I534&lt;&gt;0,AC534&gt;0),AC534/I534,"")</f>
        <v/>
      </c>
      <c r="AR534" s="17">
        <f>IF(AND(ISNUMBER(W534),ISNUMBER(Y534)),W534-IF(ISNUMBER(R534),R534,0)-(Y534-IF(ISNUMBER(T534),T534,0)),"")</f>
        <v/>
      </c>
      <c r="AS534" s="17">
        <f>IF(AND(ISNUMBER(X534),ISNUMBER(Z534)),X534-IF(ISNUMBER(S534),S534,0)-(Z534-IF(ISNUMBER(U534),U534,0)),"")</f>
        <v/>
      </c>
      <c r="AT534" s="17">
        <f>IF(AND(ISNUMBER(AR534),ISNUMBER(AS534)),AR534-AS534,"")</f>
        <v/>
      </c>
      <c r="AU534" s="17">
        <f>IF(E534="금융","",IF(AND(ISNUMBER(L534),ISNUMBER(M534),ISNUMBER(N534),ISNUMBER(AT534)),L534+M534-N534-AT534,IF(AND(ISNUMBER(O534),ISNUMBER(N534)),O534-N534,"")))</f>
        <v/>
      </c>
      <c r="AV534" s="8">
        <f>IF(E534="금융","금융업 - 정의되지 않음",IF(AND(ISNUMBER(L534),ISNUMBER(M534),ISNUMBER(N534),ISNUMBER(AT534)),"순이익+감가상각-설비투자-운전자본증감",IF(AND(ISNUMBER(O534),ISNUMBER(N534)),"영업현금흐름-설비투자","산출불가")))</f>
        <v/>
      </c>
      <c r="AW534" s="19">
        <f>IF(AND(ISNUMBER(AU534),ISNUMBER(G534),G534&lt;&gt;0),AU534/G534,"")</f>
        <v/>
      </c>
      <c r="AX534" s="19">
        <f>IF(AND(ISNUMBER(AC534),ISNUMBER(G534),G534&lt;&gt;0),AC534/G534,"")</f>
        <v/>
      </c>
    </row>
    <row r="535">
      <c r="A535" s="8" t="inlineStr">
        <is>
          <t>KLAC</t>
        </is>
      </c>
      <c r="B535" s="8" t="inlineStr">
        <is>
          <t>KLA CORP</t>
        </is>
      </c>
      <c r="C535" s="8" t="n">
        <v>2019</v>
      </c>
      <c r="D535" s="8" t="inlineStr">
        <is>
          <t>2019-06-30</t>
        </is>
      </c>
      <c r="E535" s="8" t="inlineStr">
        <is>
          <t>일반</t>
        </is>
      </c>
      <c r="F535" s="8" t="inlineStr">
        <is>
          <t>0000319201-21-000029</t>
        </is>
      </c>
      <c r="G535" s="15" t="n">
        <v>4.568904</v>
      </c>
      <c r="H535" s="15" t="n"/>
      <c r="I535" s="15" t="n"/>
      <c r="J535" s="15" t="n">
        <v>0.121214</v>
      </c>
      <c r="K535" s="15" t="n"/>
      <c r="L535" s="15" t="n">
        <v>1.175617</v>
      </c>
      <c r="M535" s="15" t="n">
        <v>0.233224</v>
      </c>
      <c r="N535" s="15" t="n">
        <v>0.130498</v>
      </c>
      <c r="O535" s="15" t="n">
        <v>1.152632</v>
      </c>
      <c r="P535" s="15" t="n">
        <v>2.659108</v>
      </c>
      <c r="Q535" s="15" t="n">
        <v>1.620511</v>
      </c>
      <c r="R535" s="15" t="n">
        <v>1.739385</v>
      </c>
      <c r="S535" s="15" t="n">
        <v>2.880318</v>
      </c>
      <c r="T535" s="15" t="n">
        <v>0.249999</v>
      </c>
      <c r="U535" s="15" t="n">
        <v>0</v>
      </c>
      <c r="V535" s="15" t="n">
        <v>3.423382</v>
      </c>
      <c r="W535" s="15" t="n">
        <v>4.315075</v>
      </c>
      <c r="X535" s="15" t="n">
        <v>4.549</v>
      </c>
      <c r="Y535" s="15" t="n">
        <v>1.768486</v>
      </c>
      <c r="Z535" s="15" t="n">
        <v>1.21427</v>
      </c>
      <c r="AA535" s="15" t="n">
        <v>0.977595</v>
      </c>
      <c r="AB535" s="16" t="n">
        <v>1594.75</v>
      </c>
      <c r="AC535" s="17">
        <f>IF(AND(ISNUMBER(H535),ISNUMBER(I535)),H535+I535,IF(ISNUMBER(K535),K535,IF(ISNUMBER(H535),H535,"")))</f>
        <v/>
      </c>
      <c r="AD535" s="18">
        <f>IF(OR(NOT(ISNUMBER(J535)),NOT(ISNUMBER(H535)),H535&lt;=0),기준표!$B$8,MIN(MAX(J535/H535,기준표!$B$6),기준표!$B$7))</f>
        <v/>
      </c>
      <c r="AE535" s="17">
        <f>IF(ISNUMBER(AC535),AC535*(1-AD535),"")</f>
        <v/>
      </c>
      <c r="AF535" s="17">
        <f>IF(AND(NOT(ISNUMBER(T535)),NOT(ISNUMBER(V535))),"",IF(ISNUMBER(T535),T535,0)+IF(ISNUMBER(V535),V535,0))</f>
        <v/>
      </c>
      <c r="AG535" s="17">
        <f>IF(E535="금융","",IF(AND(ISNUMBER(P535),ISNUMBER(AF535),ISNUMBER(R535)),P535+AF535-R535,""))</f>
        <v/>
      </c>
      <c r="AH535" s="17">
        <f>IF(E535="금융","",IF(NOT(ISNUMBER(AG535)),"",IF(ISNUMBER(AA535),(AG535+AA535)/2,AG535)))</f>
        <v/>
      </c>
      <c r="AI535" s="19">
        <f>IF(AND(ISNUMBER(AE535),ISNUMBER(AH535),AH535&gt;0),AE535/AH535,"")</f>
        <v/>
      </c>
      <c r="AJ535" s="17">
        <f>IF(E535="금융","",IF(AND(ISNUMBER(P535),ISNUMBER(AF535)),P535+AF535,""))</f>
        <v/>
      </c>
      <c r="AK535" s="19">
        <f>IF(OR(NOT(ISNUMBER(AE535)),NOT(ISNUMBER(AJ535)),AJ535&lt;=0),"",IF(AND(ISNUMBER(G535),AJ535&lt;0.1*G535),"",AE535/AJ535))</f>
        <v/>
      </c>
      <c r="AL535" s="17">
        <f>IF(NOT(ISNUMBER(P535)),"",IF(ISNUMBER(Q535),(P535+Q535)/2,P535))</f>
        <v/>
      </c>
      <c r="AM535" s="19">
        <f>IF(AND(ISNUMBER(L535),ISNUMBER(AL535),AL535&gt;0),L535/AL535,"")</f>
        <v/>
      </c>
      <c r="AN535" s="19">
        <f>IF(AND(ISNUMBER(AM535),ISNUMBER({ROIC})),AM535-{ROIC},"")</f>
        <v/>
      </c>
      <c r="AO535" s="17">
        <f>IF(AND(ISNUMBER(AC535),ISNUMBER(M535)),AC535+M535,"")</f>
        <v/>
      </c>
      <c r="AP535" s="20">
        <f>IF(AND(ISNUMBER(AF535),ISNUMBER(R535),ISNUMBER(AO535),AO535&gt;0),(AF535-R535)/AO535,"")</f>
        <v/>
      </c>
      <c r="AQ535" s="20">
        <f>IF(AND(ISNUMBER(AC535),ISNUMBER(I535),I535&lt;&gt;0,AC535&gt;0),AC535/I535,"")</f>
        <v/>
      </c>
      <c r="AR535" s="17">
        <f>IF(AND(ISNUMBER(W535),ISNUMBER(Y535)),W535-IF(ISNUMBER(R535),R535,0)-(Y535-IF(ISNUMBER(T535),T535,0)),"")</f>
        <v/>
      </c>
      <c r="AS535" s="17">
        <f>IF(AND(ISNUMBER(X535),ISNUMBER(Z535)),X535-IF(ISNUMBER(S535),S535,0)-(Z535-IF(ISNUMBER(U535),U535,0)),"")</f>
        <v/>
      </c>
      <c r="AT535" s="17">
        <f>IF(AND(ISNUMBER(AR535),ISNUMBER(AS535)),AR535-AS535,"")</f>
        <v/>
      </c>
      <c r="AU535" s="17">
        <f>IF(E535="금융","",IF(AND(ISNUMBER(L535),ISNUMBER(M535),ISNUMBER(N535),ISNUMBER(AT535)),L535+M535-N535-AT535,IF(AND(ISNUMBER(O535),ISNUMBER(N535)),O535-N535,"")))</f>
        <v/>
      </c>
      <c r="AV535" s="8">
        <f>IF(E535="금융","금융업 - 정의되지 않음",IF(AND(ISNUMBER(L535),ISNUMBER(M535),ISNUMBER(N535),ISNUMBER(AT535)),"순이익+감가상각-설비투자-운전자본증감",IF(AND(ISNUMBER(O535),ISNUMBER(N535)),"영업현금흐름-설비투자","산출불가")))</f>
        <v/>
      </c>
      <c r="AW535" s="19">
        <f>IF(AND(ISNUMBER(AU535),ISNUMBER(G535),G535&lt;&gt;0),AU535/G535,"")</f>
        <v/>
      </c>
      <c r="AX535" s="19">
        <f>IF(AND(ISNUMBER(AC535),ISNUMBER(G535),G535&lt;&gt;0),AC535/G535,"")</f>
        <v/>
      </c>
    </row>
    <row r="536">
      <c r="A536" s="8" t="inlineStr">
        <is>
          <t>KLAC</t>
        </is>
      </c>
      <c r="B536" s="8" t="inlineStr">
        <is>
          <t>KLA CORP</t>
        </is>
      </c>
      <c r="C536" s="8" t="n">
        <v>2020</v>
      </c>
      <c r="D536" s="8" t="inlineStr">
        <is>
          <t>2020-06-30</t>
        </is>
      </c>
      <c r="E536" s="8" t="inlineStr">
        <is>
          <t>일반</t>
        </is>
      </c>
      <c r="F536" s="8" t="inlineStr">
        <is>
          <t>0000319201-22-000023</t>
        </is>
      </c>
      <c r="G536" s="15" t="n">
        <v>5.806424</v>
      </c>
      <c r="H536" s="15" t="n">
        <v>1.316711</v>
      </c>
      <c r="I536" s="15" t="n"/>
      <c r="J536" s="15" t="n">
        <v>0.101686</v>
      </c>
      <c r="K536" s="15" t="n"/>
      <c r="L536" s="15" t="n">
        <v>1.216785</v>
      </c>
      <c r="M536" s="15" t="n">
        <v>0.348049</v>
      </c>
      <c r="N536" s="15" t="n">
        <v>0.152675</v>
      </c>
      <c r="O536" s="15" t="n">
        <v>1.77885</v>
      </c>
      <c r="P536" s="15" t="n">
        <v>2.665424</v>
      </c>
      <c r="Q536" s="15" t="n">
        <v>2.659108</v>
      </c>
      <c r="R536" s="15" t="n">
        <v>1.980472</v>
      </c>
      <c r="S536" s="15" t="n">
        <v>1.739385</v>
      </c>
      <c r="T536" s="15" t="n">
        <v>0</v>
      </c>
      <c r="U536" s="15" t="n">
        <v>0.249999</v>
      </c>
      <c r="V536" s="15" t="n">
        <v>3.46967</v>
      </c>
      <c r="W536" s="15" t="n">
        <v>4.723545</v>
      </c>
      <c r="X536" s="15" t="n">
        <v>4.315075</v>
      </c>
      <c r="Y536" s="15" t="n">
        <v>1.699786</v>
      </c>
      <c r="Z536" s="15" t="n">
        <v>1.768486</v>
      </c>
      <c r="AA536" s="15" t="n">
        <v>4.593104</v>
      </c>
      <c r="AB536" s="16" t="n">
        <v>1554.61</v>
      </c>
      <c r="AC536" s="17">
        <f>IF(AND(ISNUMBER(H536),ISNUMBER(I536)),H536+I536,IF(ISNUMBER(K536),K536,IF(ISNUMBER(H536),H536,"")))</f>
        <v/>
      </c>
      <c r="AD536" s="18">
        <f>IF(OR(NOT(ISNUMBER(J536)),NOT(ISNUMBER(H536)),H536&lt;=0),기준표!$B$8,MIN(MAX(J536/H536,기준표!$B$6),기준표!$B$7))</f>
        <v/>
      </c>
      <c r="AE536" s="17">
        <f>IF(ISNUMBER(AC536),AC536*(1-AD536),"")</f>
        <v/>
      </c>
      <c r="AF536" s="17">
        <f>IF(AND(NOT(ISNUMBER(T536)),NOT(ISNUMBER(V536))),"",IF(ISNUMBER(T536),T536,0)+IF(ISNUMBER(V536),V536,0))</f>
        <v/>
      </c>
      <c r="AG536" s="17">
        <f>IF(E536="금융","",IF(AND(ISNUMBER(P536),ISNUMBER(AF536),ISNUMBER(R536)),P536+AF536-R536,""))</f>
        <v/>
      </c>
      <c r="AH536" s="17">
        <f>IF(E536="금융","",IF(NOT(ISNUMBER(AG536)),"",IF(ISNUMBER(AA536),(AG536+AA536)/2,AG536)))</f>
        <v/>
      </c>
      <c r="AI536" s="19">
        <f>IF(AND(ISNUMBER(AE536),ISNUMBER(AH536),AH536&gt;0),AE536/AH536,"")</f>
        <v/>
      </c>
      <c r="AJ536" s="17">
        <f>IF(E536="금융","",IF(AND(ISNUMBER(P536),ISNUMBER(AF536)),P536+AF536,""))</f>
        <v/>
      </c>
      <c r="AK536" s="19">
        <f>IF(OR(NOT(ISNUMBER(AE536)),NOT(ISNUMBER(AJ536)),AJ536&lt;=0),"",IF(AND(ISNUMBER(G536),AJ536&lt;0.1*G536),"",AE536/AJ536))</f>
        <v/>
      </c>
      <c r="AL536" s="17">
        <f>IF(NOT(ISNUMBER(P536)),"",IF(ISNUMBER(Q536),(P536+Q536)/2,P536))</f>
        <v/>
      </c>
      <c r="AM536" s="19">
        <f>IF(AND(ISNUMBER(L536),ISNUMBER(AL536),AL536&gt;0),L536/AL536,"")</f>
        <v/>
      </c>
      <c r="AN536" s="19">
        <f>IF(AND(ISNUMBER(AM536),ISNUMBER({ROIC})),AM536-{ROIC},"")</f>
        <v/>
      </c>
      <c r="AO536" s="17">
        <f>IF(AND(ISNUMBER(AC536),ISNUMBER(M536)),AC536+M536,"")</f>
        <v/>
      </c>
      <c r="AP536" s="20">
        <f>IF(AND(ISNUMBER(AF536),ISNUMBER(R536),ISNUMBER(AO536),AO536&gt;0),(AF536-R536)/AO536,"")</f>
        <v/>
      </c>
      <c r="AQ536" s="20">
        <f>IF(AND(ISNUMBER(AC536),ISNUMBER(I536),I536&lt;&gt;0,AC536&gt;0),AC536/I536,"")</f>
        <v/>
      </c>
      <c r="AR536" s="17">
        <f>IF(AND(ISNUMBER(W536),ISNUMBER(Y536)),W536-IF(ISNUMBER(R536),R536,0)-(Y536-IF(ISNUMBER(T536),T536,0)),"")</f>
        <v/>
      </c>
      <c r="AS536" s="17">
        <f>IF(AND(ISNUMBER(X536),ISNUMBER(Z536)),X536-IF(ISNUMBER(S536),S536,0)-(Z536-IF(ISNUMBER(U536),U536,0)),"")</f>
        <v/>
      </c>
      <c r="AT536" s="17">
        <f>IF(AND(ISNUMBER(AR536),ISNUMBER(AS536)),AR536-AS536,"")</f>
        <v/>
      </c>
      <c r="AU536" s="17">
        <f>IF(E536="금융","",IF(AND(ISNUMBER(L536),ISNUMBER(M536),ISNUMBER(N536),ISNUMBER(AT536)),L536+M536-N536-AT536,IF(AND(ISNUMBER(O536),ISNUMBER(N536)),O536-N536,"")))</f>
        <v/>
      </c>
      <c r="AV536" s="8">
        <f>IF(E536="금융","금융업 - 정의되지 않음",IF(AND(ISNUMBER(L536),ISNUMBER(M536),ISNUMBER(N536),ISNUMBER(AT536)),"순이익+감가상각-설비투자-운전자본증감",IF(AND(ISNUMBER(O536),ISNUMBER(N536)),"영업현금흐름-설비투자","산출불가")))</f>
        <v/>
      </c>
      <c r="AW536" s="19">
        <f>IF(AND(ISNUMBER(AU536),ISNUMBER(G536),G536&lt;&gt;0),AU536/G536,"")</f>
        <v/>
      </c>
      <c r="AX536" s="19">
        <f>IF(AND(ISNUMBER(AC536),ISNUMBER(G536),G536&lt;&gt;0),AC536/G536,"")</f>
        <v/>
      </c>
    </row>
    <row r="537">
      <c r="A537" s="8" t="inlineStr">
        <is>
          <t>KLAC</t>
        </is>
      </c>
      <c r="B537" s="8" t="inlineStr">
        <is>
          <t>KLA CORP</t>
        </is>
      </c>
      <c r="C537" s="8" t="n">
        <v>2021</v>
      </c>
      <c r="D537" s="8" t="inlineStr">
        <is>
          <t>2021-06-30</t>
        </is>
      </c>
      <c r="E537" s="8" t="inlineStr">
        <is>
          <t>일반</t>
        </is>
      </c>
      <c r="F537" s="8" t="inlineStr">
        <is>
          <t>0000319201-23-000031</t>
        </is>
      </c>
      <c r="G537" s="15" t="n">
        <v>6.918734</v>
      </c>
      <c r="H537" s="15" t="n">
        <v>2.360454</v>
      </c>
      <c r="I537" s="15" t="n"/>
      <c r="J537" s="15" t="n">
        <v>0.283101</v>
      </c>
      <c r="K537" s="15" t="n"/>
      <c r="L537" s="15" t="n">
        <v>2.078292</v>
      </c>
      <c r="M537" s="15" t="n">
        <v>0.333335</v>
      </c>
      <c r="N537" s="15" t="n">
        <v>0.231628</v>
      </c>
      <c r="O537" s="15" t="n">
        <v>2.185026</v>
      </c>
      <c r="P537" s="15" t="n">
        <v>3.377554</v>
      </c>
      <c r="Q537" s="15" t="n">
        <v>2.665424</v>
      </c>
      <c r="R537" s="15" t="n">
        <v>1.43461</v>
      </c>
      <c r="S537" s="15" t="n">
        <v>1.980472</v>
      </c>
      <c r="T537" s="15" t="n"/>
      <c r="U537" s="15" t="n">
        <v>0</v>
      </c>
      <c r="V537" s="15" t="n">
        <v>3.422767</v>
      </c>
      <c r="W537" s="15" t="n">
        <v>5.696248</v>
      </c>
      <c r="X537" s="15" t="n">
        <v>4.723545</v>
      </c>
      <c r="Y537" s="15" t="n">
        <v>2.103227</v>
      </c>
      <c r="Z537" s="15" t="n">
        <v>1.699786</v>
      </c>
      <c r="AA537" s="15" t="n">
        <v>4.154622</v>
      </c>
      <c r="AB537" s="16" t="n">
        <v>1527.76</v>
      </c>
      <c r="AC537" s="17">
        <f>IF(AND(ISNUMBER(H537),ISNUMBER(I537)),H537+I537,IF(ISNUMBER(K537),K537,IF(ISNUMBER(H537),H537,"")))</f>
        <v/>
      </c>
      <c r="AD537" s="18">
        <f>IF(OR(NOT(ISNUMBER(J537)),NOT(ISNUMBER(H537)),H537&lt;=0),기준표!$B$8,MIN(MAX(J537/H537,기준표!$B$6),기준표!$B$7))</f>
        <v/>
      </c>
      <c r="AE537" s="17">
        <f>IF(ISNUMBER(AC537),AC537*(1-AD537),"")</f>
        <v/>
      </c>
      <c r="AF537" s="17">
        <f>IF(AND(NOT(ISNUMBER(T537)),NOT(ISNUMBER(V537))),"",IF(ISNUMBER(T537),T537,0)+IF(ISNUMBER(V537),V537,0))</f>
        <v/>
      </c>
      <c r="AG537" s="17">
        <f>IF(E537="금융","",IF(AND(ISNUMBER(P537),ISNUMBER(AF537),ISNUMBER(R537)),P537+AF537-R537,""))</f>
        <v/>
      </c>
      <c r="AH537" s="17">
        <f>IF(E537="금융","",IF(NOT(ISNUMBER(AG537)),"",IF(ISNUMBER(AA537),(AG537+AA537)/2,AG537)))</f>
        <v/>
      </c>
      <c r="AI537" s="19">
        <f>IF(AND(ISNUMBER(AE537),ISNUMBER(AH537),AH537&gt;0),AE537/AH537,"")</f>
        <v/>
      </c>
      <c r="AJ537" s="17">
        <f>IF(E537="금융","",IF(AND(ISNUMBER(P537),ISNUMBER(AF537)),P537+AF537,""))</f>
        <v/>
      </c>
      <c r="AK537" s="19">
        <f>IF(OR(NOT(ISNUMBER(AE537)),NOT(ISNUMBER(AJ537)),AJ537&lt;=0),"",IF(AND(ISNUMBER(G537),AJ537&lt;0.1*G537),"",AE537/AJ537))</f>
        <v/>
      </c>
      <c r="AL537" s="17">
        <f>IF(NOT(ISNUMBER(P537)),"",IF(ISNUMBER(Q537),(P537+Q537)/2,P537))</f>
        <v/>
      </c>
      <c r="AM537" s="19">
        <f>IF(AND(ISNUMBER(L537),ISNUMBER(AL537),AL537&gt;0),L537/AL537,"")</f>
        <v/>
      </c>
      <c r="AN537" s="19">
        <f>IF(AND(ISNUMBER(AM537),ISNUMBER({ROIC})),AM537-{ROIC},"")</f>
        <v/>
      </c>
      <c r="AO537" s="17">
        <f>IF(AND(ISNUMBER(AC537),ISNUMBER(M537)),AC537+M537,"")</f>
        <v/>
      </c>
      <c r="AP537" s="20">
        <f>IF(AND(ISNUMBER(AF537),ISNUMBER(R537),ISNUMBER(AO537),AO537&gt;0),(AF537-R537)/AO537,"")</f>
        <v/>
      </c>
      <c r="AQ537" s="20">
        <f>IF(AND(ISNUMBER(AC537),ISNUMBER(I537),I537&lt;&gt;0,AC537&gt;0),AC537/I537,"")</f>
        <v/>
      </c>
      <c r="AR537" s="17">
        <f>IF(AND(ISNUMBER(W537),ISNUMBER(Y537)),W537-IF(ISNUMBER(R537),R537,0)-(Y537-IF(ISNUMBER(T537),T537,0)),"")</f>
        <v/>
      </c>
      <c r="AS537" s="17">
        <f>IF(AND(ISNUMBER(X537),ISNUMBER(Z537)),X537-IF(ISNUMBER(S537),S537,0)-(Z537-IF(ISNUMBER(U537),U537,0)),"")</f>
        <v/>
      </c>
      <c r="AT537" s="17">
        <f>IF(AND(ISNUMBER(AR537),ISNUMBER(AS537)),AR537-AS537,"")</f>
        <v/>
      </c>
      <c r="AU537" s="17">
        <f>IF(E537="금융","",IF(AND(ISNUMBER(L537),ISNUMBER(M537),ISNUMBER(N537),ISNUMBER(AT537)),L537+M537-N537-AT537,IF(AND(ISNUMBER(O537),ISNUMBER(N537)),O537-N537,"")))</f>
        <v/>
      </c>
      <c r="AV537" s="8">
        <f>IF(E537="금융","금융업 - 정의되지 않음",IF(AND(ISNUMBER(L537),ISNUMBER(M537),ISNUMBER(N537),ISNUMBER(AT537)),"순이익+감가상각-설비투자-운전자본증감",IF(AND(ISNUMBER(O537),ISNUMBER(N537)),"영업현금흐름-설비투자","산출불가")))</f>
        <v/>
      </c>
      <c r="AW537" s="19">
        <f>IF(AND(ISNUMBER(AU537),ISNUMBER(G537),G537&lt;&gt;0),AU537/G537,"")</f>
        <v/>
      </c>
      <c r="AX537" s="19">
        <f>IF(AND(ISNUMBER(AC537),ISNUMBER(G537),G537&lt;&gt;0),AC537/G537,"")</f>
        <v/>
      </c>
    </row>
    <row r="538">
      <c r="A538" s="8" t="inlineStr">
        <is>
          <t>KLAC</t>
        </is>
      </c>
      <c r="B538" s="8" t="inlineStr">
        <is>
          <t>KLA CORP</t>
        </is>
      </c>
      <c r="C538" s="8" t="n">
        <v>2022</v>
      </c>
      <c r="D538" s="8" t="inlineStr">
        <is>
          <t>2022-06-30</t>
        </is>
      </c>
      <c r="E538" s="8" t="inlineStr">
        <is>
          <t>일반</t>
        </is>
      </c>
      <c r="F538" s="8" t="inlineStr">
        <is>
          <t>0000319201-24-000021</t>
        </is>
      </c>
      <c r="G538" s="15" t="n">
        <v>9.211883</v>
      </c>
      <c r="H538" s="15" t="n">
        <v>3.489237</v>
      </c>
      <c r="I538" s="15" t="n">
        <v>0.160339</v>
      </c>
      <c r="J538" s="15" t="n">
        <v>0.167177</v>
      </c>
      <c r="K538" s="15" t="n"/>
      <c r="L538" s="15" t="n">
        <v>3.321807</v>
      </c>
      <c r="M538" s="15" t="n">
        <v>0.363344</v>
      </c>
      <c r="N538" s="15" t="n">
        <v>0.30732</v>
      </c>
      <c r="O538" s="15" t="n">
        <v>3.312702</v>
      </c>
      <c r="P538" s="15" t="n">
        <v>1.401351</v>
      </c>
      <c r="Q538" s="15" t="n">
        <v>3.377554</v>
      </c>
      <c r="R538" s="15" t="n">
        <v>1.584908</v>
      </c>
      <c r="S538" s="15" t="n">
        <v>1.43461</v>
      </c>
      <c r="T538" s="15" t="n"/>
      <c r="U538" s="15" t="n"/>
      <c r="V538" s="15" t="n">
        <v>6.660718</v>
      </c>
      <c r="W538" s="15" t="n">
        <v>7.168911</v>
      </c>
      <c r="X538" s="15" t="n">
        <v>5.696248</v>
      </c>
      <c r="Y538" s="15" t="n">
        <v>2.871083</v>
      </c>
      <c r="Z538" s="15" t="n">
        <v>2.103227</v>
      </c>
      <c r="AA538" s="15" t="n">
        <v>5.365711</v>
      </c>
      <c r="AB538" s="16" t="n">
        <v>1418.04</v>
      </c>
      <c r="AC538" s="17">
        <f>IF(AND(ISNUMBER(H538),ISNUMBER(I538)),H538+I538,IF(ISNUMBER(K538),K538,IF(ISNUMBER(H538),H538,"")))</f>
        <v/>
      </c>
      <c r="AD538" s="18">
        <f>IF(OR(NOT(ISNUMBER(J538)),NOT(ISNUMBER(H538)),H538&lt;=0),기준표!$B$8,MIN(MAX(J538/H538,기준표!$B$6),기준표!$B$7))</f>
        <v/>
      </c>
      <c r="AE538" s="17">
        <f>IF(ISNUMBER(AC538),AC538*(1-AD538),"")</f>
        <v/>
      </c>
      <c r="AF538" s="17">
        <f>IF(AND(NOT(ISNUMBER(T538)),NOT(ISNUMBER(V538))),"",IF(ISNUMBER(T538),T538,0)+IF(ISNUMBER(V538),V538,0))</f>
        <v/>
      </c>
      <c r="AG538" s="17">
        <f>IF(E538="금융","",IF(AND(ISNUMBER(P538),ISNUMBER(AF538),ISNUMBER(R538)),P538+AF538-R538,""))</f>
        <v/>
      </c>
      <c r="AH538" s="17">
        <f>IF(E538="금융","",IF(NOT(ISNUMBER(AG538)),"",IF(ISNUMBER(AA538),(AG538+AA538)/2,AG538)))</f>
        <v/>
      </c>
      <c r="AI538" s="19">
        <f>IF(AND(ISNUMBER(AE538),ISNUMBER(AH538),AH538&gt;0),AE538/AH538,"")</f>
        <v/>
      </c>
      <c r="AJ538" s="17">
        <f>IF(E538="금융","",IF(AND(ISNUMBER(P538),ISNUMBER(AF538)),P538+AF538,""))</f>
        <v/>
      </c>
      <c r="AK538" s="19">
        <f>IF(OR(NOT(ISNUMBER(AE538)),NOT(ISNUMBER(AJ538)),AJ538&lt;=0),"",IF(AND(ISNUMBER(G538),AJ538&lt;0.1*G538),"",AE538/AJ538))</f>
        <v/>
      </c>
      <c r="AL538" s="17">
        <f>IF(NOT(ISNUMBER(P538)),"",IF(ISNUMBER(Q538),(P538+Q538)/2,P538))</f>
        <v/>
      </c>
      <c r="AM538" s="19">
        <f>IF(AND(ISNUMBER(L538),ISNUMBER(AL538),AL538&gt;0),L538/AL538,"")</f>
        <v/>
      </c>
      <c r="AN538" s="19">
        <f>IF(AND(ISNUMBER(AM538),ISNUMBER({ROIC})),AM538-{ROIC},"")</f>
        <v/>
      </c>
      <c r="AO538" s="17">
        <f>IF(AND(ISNUMBER(AC538),ISNUMBER(M538)),AC538+M538,"")</f>
        <v/>
      </c>
      <c r="AP538" s="20">
        <f>IF(AND(ISNUMBER(AF538),ISNUMBER(R538),ISNUMBER(AO538),AO538&gt;0),(AF538-R538)/AO538,"")</f>
        <v/>
      </c>
      <c r="AQ538" s="20">
        <f>IF(AND(ISNUMBER(AC538),ISNUMBER(I538),I538&lt;&gt;0,AC538&gt;0),AC538/I538,"")</f>
        <v/>
      </c>
      <c r="AR538" s="17">
        <f>IF(AND(ISNUMBER(W538),ISNUMBER(Y538)),W538-IF(ISNUMBER(R538),R538,0)-(Y538-IF(ISNUMBER(T538),T538,0)),"")</f>
        <v/>
      </c>
      <c r="AS538" s="17">
        <f>IF(AND(ISNUMBER(X538),ISNUMBER(Z538)),X538-IF(ISNUMBER(S538),S538,0)-(Z538-IF(ISNUMBER(U538),U538,0)),"")</f>
        <v/>
      </c>
      <c r="AT538" s="17">
        <f>IF(AND(ISNUMBER(AR538),ISNUMBER(AS538)),AR538-AS538,"")</f>
        <v/>
      </c>
      <c r="AU538" s="17">
        <f>IF(E538="금융","",IF(AND(ISNUMBER(L538),ISNUMBER(M538),ISNUMBER(N538),ISNUMBER(AT538)),L538+M538-N538-AT538,IF(AND(ISNUMBER(O538),ISNUMBER(N538)),O538-N538,"")))</f>
        <v/>
      </c>
      <c r="AV538" s="8">
        <f>IF(E538="금융","금융업 - 정의되지 않음",IF(AND(ISNUMBER(L538),ISNUMBER(M538),ISNUMBER(N538),ISNUMBER(AT538)),"순이익+감가상각-설비투자-운전자본증감",IF(AND(ISNUMBER(O538),ISNUMBER(N538)),"영업현금흐름-설비투자","산출불가")))</f>
        <v/>
      </c>
      <c r="AW538" s="19">
        <f>IF(AND(ISNUMBER(AU538),ISNUMBER(G538),G538&lt;&gt;0),AU538/G538,"")</f>
        <v/>
      </c>
      <c r="AX538" s="19">
        <f>IF(AND(ISNUMBER(AC538),ISNUMBER(G538),G538&lt;&gt;0),AC538/G538,"")</f>
        <v/>
      </c>
    </row>
    <row r="539">
      <c r="A539" s="8" t="inlineStr">
        <is>
          <t>KLAC</t>
        </is>
      </c>
      <c r="B539" s="8" t="inlineStr">
        <is>
          <t>KLA CORP</t>
        </is>
      </c>
      <c r="C539" s="8" t="n">
        <v>2023</v>
      </c>
      <c r="D539" s="8" t="inlineStr">
        <is>
          <t>2023-06-30</t>
        </is>
      </c>
      <c r="E539" s="8" t="inlineStr">
        <is>
          <t>일반</t>
        </is>
      </c>
      <c r="F539" s="8" t="inlineStr">
        <is>
          <t>0000319201-25-000024</t>
        </is>
      </c>
      <c r="G539" s="15" t="n">
        <v>10.496056</v>
      </c>
      <c r="H539" s="15" t="n">
        <v>3.78919</v>
      </c>
      <c r="I539" s="15" t="n">
        <v>0.29694</v>
      </c>
      <c r="J539" s="15" t="n">
        <v>0.401839</v>
      </c>
      <c r="K539" s="15" t="n"/>
      <c r="L539" s="15" t="n">
        <v>3.387277</v>
      </c>
      <c r="M539" s="15" t="n">
        <v>0.415113</v>
      </c>
      <c r="N539" s="15" t="n">
        <v>0.341591</v>
      </c>
      <c r="O539" s="15" t="n">
        <v>3.669805</v>
      </c>
      <c r="P539" s="15" t="n">
        <v>2.919753</v>
      </c>
      <c r="Q539" s="15" t="n">
        <v>1.401351</v>
      </c>
      <c r="R539" s="15" t="n">
        <v>1.927865</v>
      </c>
      <c r="S539" s="15" t="n">
        <v>1.584908</v>
      </c>
      <c r="T539" s="15" t="n">
        <v>0</v>
      </c>
      <c r="U539" s="15" t="n"/>
      <c r="V539" s="15" t="n">
        <v>5.890736</v>
      </c>
      <c r="W539" s="15" t="n">
        <v>8.372032000000001</v>
      </c>
      <c r="X539" s="15" t="n">
        <v>7.168911</v>
      </c>
      <c r="Y539" s="15" t="n">
        <v>3.742842</v>
      </c>
      <c r="Z539" s="15" t="n">
        <v>2.871083</v>
      </c>
      <c r="AA539" s="15" t="n">
        <v>6.477161</v>
      </c>
      <c r="AB539" s="16" t="n">
        <v>1367.5</v>
      </c>
      <c r="AC539" s="17">
        <f>IF(AND(ISNUMBER(H539),ISNUMBER(I539)),H539+I539,IF(ISNUMBER(K539),K539,IF(ISNUMBER(H539),H539,"")))</f>
        <v/>
      </c>
      <c r="AD539" s="18">
        <f>IF(OR(NOT(ISNUMBER(J539)),NOT(ISNUMBER(H539)),H539&lt;=0),기준표!$B$8,MIN(MAX(J539/H539,기준표!$B$6),기준표!$B$7))</f>
        <v/>
      </c>
      <c r="AE539" s="17">
        <f>IF(ISNUMBER(AC539),AC539*(1-AD539),"")</f>
        <v/>
      </c>
      <c r="AF539" s="17">
        <f>IF(AND(NOT(ISNUMBER(T539)),NOT(ISNUMBER(V539))),"",IF(ISNUMBER(T539),T539,0)+IF(ISNUMBER(V539),V539,0))</f>
        <v/>
      </c>
      <c r="AG539" s="17">
        <f>IF(E539="금융","",IF(AND(ISNUMBER(P539),ISNUMBER(AF539),ISNUMBER(R539)),P539+AF539-R539,""))</f>
        <v/>
      </c>
      <c r="AH539" s="17">
        <f>IF(E539="금융","",IF(NOT(ISNUMBER(AG539)),"",IF(ISNUMBER(AA539),(AG539+AA539)/2,AG539)))</f>
        <v/>
      </c>
      <c r="AI539" s="19">
        <f>IF(AND(ISNUMBER(AE539),ISNUMBER(AH539),AH539&gt;0),AE539/AH539,"")</f>
        <v/>
      </c>
      <c r="AJ539" s="17">
        <f>IF(E539="금융","",IF(AND(ISNUMBER(P539),ISNUMBER(AF539)),P539+AF539,""))</f>
        <v/>
      </c>
      <c r="AK539" s="19">
        <f>IF(OR(NOT(ISNUMBER(AE539)),NOT(ISNUMBER(AJ539)),AJ539&lt;=0),"",IF(AND(ISNUMBER(G539),AJ539&lt;0.1*G539),"",AE539/AJ539))</f>
        <v/>
      </c>
      <c r="AL539" s="17">
        <f>IF(NOT(ISNUMBER(P539)),"",IF(ISNUMBER(Q539),(P539+Q539)/2,P539))</f>
        <v/>
      </c>
      <c r="AM539" s="19">
        <f>IF(AND(ISNUMBER(L539),ISNUMBER(AL539),AL539&gt;0),L539/AL539,"")</f>
        <v/>
      </c>
      <c r="AN539" s="19">
        <f>IF(AND(ISNUMBER(AM539),ISNUMBER({ROIC})),AM539-{ROIC},"")</f>
        <v/>
      </c>
      <c r="AO539" s="17">
        <f>IF(AND(ISNUMBER(AC539),ISNUMBER(M539)),AC539+M539,"")</f>
        <v/>
      </c>
      <c r="AP539" s="20">
        <f>IF(AND(ISNUMBER(AF539),ISNUMBER(R539),ISNUMBER(AO539),AO539&gt;0),(AF539-R539)/AO539,"")</f>
        <v/>
      </c>
      <c r="AQ539" s="20">
        <f>IF(AND(ISNUMBER(AC539),ISNUMBER(I539),I539&lt;&gt;0,AC539&gt;0),AC539/I539,"")</f>
        <v/>
      </c>
      <c r="AR539" s="17">
        <f>IF(AND(ISNUMBER(W539),ISNUMBER(Y539)),W539-IF(ISNUMBER(R539),R539,0)-(Y539-IF(ISNUMBER(T539),T539,0)),"")</f>
        <v/>
      </c>
      <c r="AS539" s="17">
        <f>IF(AND(ISNUMBER(X539),ISNUMBER(Z539)),X539-IF(ISNUMBER(S539),S539,0)-(Z539-IF(ISNUMBER(U539),U539,0)),"")</f>
        <v/>
      </c>
      <c r="AT539" s="17">
        <f>IF(AND(ISNUMBER(AR539),ISNUMBER(AS539)),AR539-AS539,"")</f>
        <v/>
      </c>
      <c r="AU539" s="17">
        <f>IF(E539="금융","",IF(AND(ISNUMBER(L539),ISNUMBER(M539),ISNUMBER(N539),ISNUMBER(AT539)),L539+M539-N539-AT539,IF(AND(ISNUMBER(O539),ISNUMBER(N539)),O539-N539,"")))</f>
        <v/>
      </c>
      <c r="AV539" s="8">
        <f>IF(E539="금융","금융업 - 정의되지 않음",IF(AND(ISNUMBER(L539),ISNUMBER(M539),ISNUMBER(N539),ISNUMBER(AT539)),"순이익+감가상각-설비투자-운전자본증감",IF(AND(ISNUMBER(O539),ISNUMBER(N539)),"영업현금흐름-설비투자","산출불가")))</f>
        <v/>
      </c>
      <c r="AW539" s="19">
        <f>IF(AND(ISNUMBER(AU539),ISNUMBER(G539),G539&lt;&gt;0),AU539/G539,"")</f>
        <v/>
      </c>
      <c r="AX539" s="19">
        <f>IF(AND(ISNUMBER(AC539),ISNUMBER(G539),G539&lt;&gt;0),AC539/G539,"")</f>
        <v/>
      </c>
    </row>
    <row r="540">
      <c r="A540" s="8" t="inlineStr">
        <is>
          <t>KLAC</t>
        </is>
      </c>
      <c r="B540" s="8" t="inlineStr">
        <is>
          <t>KLA CORP</t>
        </is>
      </c>
      <c r="C540" s="8" t="n">
        <v>2024</v>
      </c>
      <c r="D540" s="8" t="inlineStr">
        <is>
          <t>2024-06-30</t>
        </is>
      </c>
      <c r="E540" s="8" t="inlineStr">
        <is>
          <t>일반</t>
        </is>
      </c>
      <c r="F540" s="8" t="inlineStr">
        <is>
          <t>0000319201-26-000027</t>
        </is>
      </c>
      <c r="G540" s="15" t="n">
        <v>9.812246999999999</v>
      </c>
      <c r="H540" s="15" t="n">
        <v>3.190032</v>
      </c>
      <c r="I540" s="15" t="n">
        <v>0.311253</v>
      </c>
      <c r="J540" s="15" t="n">
        <v>0.428136</v>
      </c>
      <c r="K540" s="15" t="n"/>
      <c r="L540" s="15" t="n">
        <v>2.761896</v>
      </c>
      <c r="M540" s="15" t="n">
        <v>0.40173</v>
      </c>
      <c r="N540" s="15" t="n">
        <v>0.277384</v>
      </c>
      <c r="O540" s="15" t="n">
        <v>3.308575</v>
      </c>
      <c r="P540" s="15" t="n">
        <v>3.368328</v>
      </c>
      <c r="Q540" s="15" t="n">
        <v>2.919753</v>
      </c>
      <c r="R540" s="15" t="n">
        <v>1.977129</v>
      </c>
      <c r="S540" s="15" t="n">
        <v>1.927865</v>
      </c>
      <c r="T540" s="15" t="n">
        <v>0.749936</v>
      </c>
      <c r="U540" s="15" t="n">
        <v>0</v>
      </c>
      <c r="V540" s="15" t="n">
        <v>5.880199</v>
      </c>
      <c r="W540" s="15" t="n">
        <v>10.031144</v>
      </c>
      <c r="X540" s="15" t="n">
        <v>8.372032000000001</v>
      </c>
      <c r="Y540" s="15" t="n">
        <v>4.660774</v>
      </c>
      <c r="Z540" s="15" t="n">
        <v>3.742842</v>
      </c>
      <c r="AA540" s="15" t="n">
        <v>6.882624</v>
      </c>
      <c r="AB540" s="16" t="n">
        <v>1344.25</v>
      </c>
      <c r="AC540" s="17">
        <f>IF(AND(ISNUMBER(H540),ISNUMBER(I540)),H540+I540,IF(ISNUMBER(K540),K540,IF(ISNUMBER(H540),H540,"")))</f>
        <v/>
      </c>
      <c r="AD540" s="18">
        <f>IF(OR(NOT(ISNUMBER(J540)),NOT(ISNUMBER(H540)),H540&lt;=0),기준표!$B$8,MIN(MAX(J540/H540,기준표!$B$6),기준표!$B$7))</f>
        <v/>
      </c>
      <c r="AE540" s="17">
        <f>IF(ISNUMBER(AC540),AC540*(1-AD540),"")</f>
        <v/>
      </c>
      <c r="AF540" s="17">
        <f>IF(AND(NOT(ISNUMBER(T540)),NOT(ISNUMBER(V540))),"",IF(ISNUMBER(T540),T540,0)+IF(ISNUMBER(V540),V540,0))</f>
        <v/>
      </c>
      <c r="AG540" s="17">
        <f>IF(E540="금융","",IF(AND(ISNUMBER(P540),ISNUMBER(AF540),ISNUMBER(R540)),P540+AF540-R540,""))</f>
        <v/>
      </c>
      <c r="AH540" s="17">
        <f>IF(E540="금융","",IF(NOT(ISNUMBER(AG540)),"",IF(ISNUMBER(AA540),(AG540+AA540)/2,AG540)))</f>
        <v/>
      </c>
      <c r="AI540" s="19">
        <f>IF(AND(ISNUMBER(AE540),ISNUMBER(AH540),AH540&gt;0),AE540/AH540,"")</f>
        <v/>
      </c>
      <c r="AJ540" s="17">
        <f>IF(E540="금융","",IF(AND(ISNUMBER(P540),ISNUMBER(AF540)),P540+AF540,""))</f>
        <v/>
      </c>
      <c r="AK540" s="19">
        <f>IF(OR(NOT(ISNUMBER(AE540)),NOT(ISNUMBER(AJ540)),AJ540&lt;=0),"",IF(AND(ISNUMBER(G540),AJ540&lt;0.1*G540),"",AE540/AJ540))</f>
        <v/>
      </c>
      <c r="AL540" s="17">
        <f>IF(NOT(ISNUMBER(P540)),"",IF(ISNUMBER(Q540),(P540+Q540)/2,P540))</f>
        <v/>
      </c>
      <c r="AM540" s="19">
        <f>IF(AND(ISNUMBER(L540),ISNUMBER(AL540),AL540&gt;0),L540/AL540,"")</f>
        <v/>
      </c>
      <c r="AN540" s="19">
        <f>IF(AND(ISNUMBER(AM540),ISNUMBER({ROIC})),AM540-{ROIC},"")</f>
        <v/>
      </c>
      <c r="AO540" s="17">
        <f>IF(AND(ISNUMBER(AC540),ISNUMBER(M540)),AC540+M540,"")</f>
        <v/>
      </c>
      <c r="AP540" s="20">
        <f>IF(AND(ISNUMBER(AF540),ISNUMBER(R540),ISNUMBER(AO540),AO540&gt;0),(AF540-R540)/AO540,"")</f>
        <v/>
      </c>
      <c r="AQ540" s="20">
        <f>IF(AND(ISNUMBER(AC540),ISNUMBER(I540),I540&lt;&gt;0,AC540&gt;0),AC540/I540,"")</f>
        <v/>
      </c>
      <c r="AR540" s="17">
        <f>IF(AND(ISNUMBER(W540),ISNUMBER(Y540)),W540-IF(ISNUMBER(R540),R540,0)-(Y540-IF(ISNUMBER(T540),T540,0)),"")</f>
        <v/>
      </c>
      <c r="AS540" s="17">
        <f>IF(AND(ISNUMBER(X540),ISNUMBER(Z540)),X540-IF(ISNUMBER(S540),S540,0)-(Z540-IF(ISNUMBER(U540),U540,0)),"")</f>
        <v/>
      </c>
      <c r="AT540" s="17">
        <f>IF(AND(ISNUMBER(AR540),ISNUMBER(AS540)),AR540-AS540,"")</f>
        <v/>
      </c>
      <c r="AU540" s="17">
        <f>IF(E540="금융","",IF(AND(ISNUMBER(L540),ISNUMBER(M540),ISNUMBER(N540),ISNUMBER(AT540)),L540+M540-N540-AT540,IF(AND(ISNUMBER(O540),ISNUMBER(N540)),O540-N540,"")))</f>
        <v/>
      </c>
      <c r="AV540" s="8">
        <f>IF(E540="금융","금융업 - 정의되지 않음",IF(AND(ISNUMBER(L540),ISNUMBER(M540),ISNUMBER(N540),ISNUMBER(AT540)),"순이익+감가상각-설비투자-운전자본증감",IF(AND(ISNUMBER(O540),ISNUMBER(N540)),"영업현금흐름-설비투자","산출불가")))</f>
        <v/>
      </c>
      <c r="AW540" s="19">
        <f>IF(AND(ISNUMBER(AU540),ISNUMBER(G540),G540&lt;&gt;0),AU540/G540,"")</f>
        <v/>
      </c>
      <c r="AX540" s="19">
        <f>IF(AND(ISNUMBER(AC540),ISNUMBER(G540),G540&lt;&gt;0),AC540/G540,"")</f>
        <v/>
      </c>
    </row>
    <row r="541">
      <c r="A541" s="8" t="inlineStr">
        <is>
          <t>KLAC</t>
        </is>
      </c>
      <c r="B541" s="8" t="inlineStr">
        <is>
          <t>KLA CORP</t>
        </is>
      </c>
      <c r="C541" s="8" t="n">
        <v>2025</v>
      </c>
      <c r="D541" s="8" t="inlineStr">
        <is>
          <t>2025-06-30</t>
        </is>
      </c>
      <c r="E541" s="8" t="inlineStr">
        <is>
          <t>일반</t>
        </is>
      </c>
      <c r="F541" s="8" t="inlineStr">
        <is>
          <t>0000319201-26-000027</t>
        </is>
      </c>
      <c r="G541" s="15" t="n">
        <v>12.156162</v>
      </c>
      <c r="H541" s="15" t="n">
        <v>4.644448</v>
      </c>
      <c r="I541" s="15" t="n">
        <v>0.302166</v>
      </c>
      <c r="J541" s="15" t="n">
        <v>0.582805</v>
      </c>
      <c r="K541" s="15" t="n"/>
      <c r="L541" s="15" t="n">
        <v>4.061643</v>
      </c>
      <c r="M541" s="15" t="n">
        <v>0.394088</v>
      </c>
      <c r="N541" s="15" t="n">
        <v>0.335259</v>
      </c>
      <c r="O541" s="15" t="n">
        <v>4.081903</v>
      </c>
      <c r="P541" s="15" t="n">
        <v>4.692453</v>
      </c>
      <c r="Q541" s="15" t="n">
        <v>3.368328</v>
      </c>
      <c r="R541" s="15" t="n">
        <v>2.078908</v>
      </c>
      <c r="S541" s="15" t="n">
        <v>1.977129</v>
      </c>
      <c r="T541" s="15" t="n">
        <v>0</v>
      </c>
      <c r="U541" s="15" t="n">
        <v>0.749936</v>
      </c>
      <c r="V541" s="15" t="n">
        <v>5.884257</v>
      </c>
      <c r="W541" s="15" t="n">
        <v>10.698789</v>
      </c>
      <c r="X541" s="15" t="n">
        <v>10.031144</v>
      </c>
      <c r="Y541" s="15" t="n">
        <v>4.085795</v>
      </c>
      <c r="Z541" s="15" t="n">
        <v>4.660774</v>
      </c>
      <c r="AA541" s="15" t="n">
        <v>8.021334</v>
      </c>
      <c r="AB541" s="16" t="n">
        <v>1320.227</v>
      </c>
      <c r="AC541" s="17">
        <f>IF(AND(ISNUMBER(H541),ISNUMBER(I541)),H541+I541,IF(ISNUMBER(K541),K541,IF(ISNUMBER(H541),H541,"")))</f>
        <v/>
      </c>
      <c r="AD541" s="18">
        <f>IF(OR(NOT(ISNUMBER(J541)),NOT(ISNUMBER(H541)),H541&lt;=0),기준표!$B$8,MIN(MAX(J541/H541,기준표!$B$6),기준표!$B$7))</f>
        <v/>
      </c>
      <c r="AE541" s="17">
        <f>IF(ISNUMBER(AC541),AC541*(1-AD541),"")</f>
        <v/>
      </c>
      <c r="AF541" s="17">
        <f>IF(AND(NOT(ISNUMBER(T541)),NOT(ISNUMBER(V541))),"",IF(ISNUMBER(T541),T541,0)+IF(ISNUMBER(V541),V541,0))</f>
        <v/>
      </c>
      <c r="AG541" s="17">
        <f>IF(E541="금융","",IF(AND(ISNUMBER(P541),ISNUMBER(AF541),ISNUMBER(R541)),P541+AF541-R541,""))</f>
        <v/>
      </c>
      <c r="AH541" s="17">
        <f>IF(E541="금융","",IF(NOT(ISNUMBER(AG541)),"",IF(ISNUMBER(AA541),(AG541+AA541)/2,AG541)))</f>
        <v/>
      </c>
      <c r="AI541" s="19">
        <f>IF(AND(ISNUMBER(AE541),ISNUMBER(AH541),AH541&gt;0),AE541/AH541,"")</f>
        <v/>
      </c>
      <c r="AJ541" s="17">
        <f>IF(E541="금융","",IF(AND(ISNUMBER(P541),ISNUMBER(AF541)),P541+AF541,""))</f>
        <v/>
      </c>
      <c r="AK541" s="19">
        <f>IF(OR(NOT(ISNUMBER(AE541)),NOT(ISNUMBER(AJ541)),AJ541&lt;=0),"",IF(AND(ISNUMBER(G541),AJ541&lt;0.1*G541),"",AE541/AJ541))</f>
        <v/>
      </c>
      <c r="AL541" s="17">
        <f>IF(NOT(ISNUMBER(P541)),"",IF(ISNUMBER(Q541),(P541+Q541)/2,P541))</f>
        <v/>
      </c>
      <c r="AM541" s="19">
        <f>IF(AND(ISNUMBER(L541),ISNUMBER(AL541),AL541&gt;0),L541/AL541,"")</f>
        <v/>
      </c>
      <c r="AN541" s="19">
        <f>IF(AND(ISNUMBER(AM541),ISNUMBER({ROIC})),AM541-{ROIC},"")</f>
        <v/>
      </c>
      <c r="AO541" s="17">
        <f>IF(AND(ISNUMBER(AC541),ISNUMBER(M541)),AC541+M541,"")</f>
        <v/>
      </c>
      <c r="AP541" s="20">
        <f>IF(AND(ISNUMBER(AF541),ISNUMBER(R541),ISNUMBER(AO541),AO541&gt;0),(AF541-R541)/AO541,"")</f>
        <v/>
      </c>
      <c r="AQ541" s="20">
        <f>IF(AND(ISNUMBER(AC541),ISNUMBER(I541),I541&lt;&gt;0,AC541&gt;0),AC541/I541,"")</f>
        <v/>
      </c>
      <c r="AR541" s="17">
        <f>IF(AND(ISNUMBER(W541),ISNUMBER(Y541)),W541-IF(ISNUMBER(R541),R541,0)-(Y541-IF(ISNUMBER(T541),T541,0)),"")</f>
        <v/>
      </c>
      <c r="AS541" s="17">
        <f>IF(AND(ISNUMBER(X541),ISNUMBER(Z541)),X541-IF(ISNUMBER(S541),S541,0)-(Z541-IF(ISNUMBER(U541),U541,0)),"")</f>
        <v/>
      </c>
      <c r="AT541" s="17">
        <f>IF(AND(ISNUMBER(AR541),ISNUMBER(AS541)),AR541-AS541,"")</f>
        <v/>
      </c>
      <c r="AU541" s="17">
        <f>IF(E541="금융","",IF(AND(ISNUMBER(L541),ISNUMBER(M541),ISNUMBER(N541),ISNUMBER(AT541)),L541+M541-N541-AT541,IF(AND(ISNUMBER(O541),ISNUMBER(N541)),O541-N541,"")))</f>
        <v/>
      </c>
      <c r="AV541" s="8">
        <f>IF(E541="금융","금융업 - 정의되지 않음",IF(AND(ISNUMBER(L541),ISNUMBER(M541),ISNUMBER(N541),ISNUMBER(AT541)),"순이익+감가상각-설비투자-운전자본증감",IF(AND(ISNUMBER(O541),ISNUMBER(N541)),"영업현금흐름-설비투자","산출불가")))</f>
        <v/>
      </c>
      <c r="AW541" s="19">
        <f>IF(AND(ISNUMBER(AU541),ISNUMBER(G541),G541&lt;&gt;0),AU541/G541,"")</f>
        <v/>
      </c>
      <c r="AX541" s="19">
        <f>IF(AND(ISNUMBER(AC541),ISNUMBER(G541),G541&lt;&gt;0),AC541/G541,"")</f>
        <v/>
      </c>
    </row>
    <row r="542">
      <c r="A542" s="8" t="inlineStr">
        <is>
          <t>KLAC</t>
        </is>
      </c>
      <c r="B542" s="8" t="inlineStr">
        <is>
          <t>KLA CORP</t>
        </is>
      </c>
      <c r="C542" s="8" t="n">
        <v>2026</v>
      </c>
      <c r="D542" s="8" t="inlineStr">
        <is>
          <t>2026-06-30</t>
        </is>
      </c>
      <c r="E542" s="8" t="inlineStr">
        <is>
          <t>일반</t>
        </is>
      </c>
      <c r="F542" s="8" t="inlineStr">
        <is>
          <t>0000319201-26-000027</t>
        </is>
      </c>
      <c r="G542" s="15" t="n">
        <v>13.579476</v>
      </c>
      <c r="H542" s="15" t="n">
        <v>5.605925</v>
      </c>
      <c r="I542" s="15" t="n">
        <v>0.28444</v>
      </c>
      <c r="J542" s="15" t="n">
        <v>0.775154</v>
      </c>
      <c r="K542" s="15" t="n"/>
      <c r="L542" s="15" t="n">
        <v>4.830771</v>
      </c>
      <c r="M542" s="15" t="n">
        <v>0.393978</v>
      </c>
      <c r="N542" s="15" t="n">
        <v>0.375945</v>
      </c>
      <c r="O542" s="15" t="n">
        <v>4.143079</v>
      </c>
      <c r="P542" s="15" t="n">
        <v>6.34982</v>
      </c>
      <c r="Q542" s="15" t="n">
        <v>4.692453</v>
      </c>
      <c r="R542" s="15" t="n">
        <v>1.649842</v>
      </c>
      <c r="S542" s="15" t="n">
        <v>2.078908</v>
      </c>
      <c r="T542" s="15" t="n"/>
      <c r="U542" s="15" t="n">
        <v>0</v>
      </c>
      <c r="V542" s="15" t="n">
        <v>5.887415</v>
      </c>
      <c r="W542" s="15" t="n">
        <v>12.38179</v>
      </c>
      <c r="X542" s="15" t="n">
        <v>10.698789</v>
      </c>
      <c r="Y542" s="15" t="n">
        <v>4.304927</v>
      </c>
      <c r="Z542" s="15" t="n">
        <v>4.085795</v>
      </c>
      <c r="AA542" s="15" t="n">
        <v>8.497802</v>
      </c>
      <c r="AB542" s="16" t="n">
        <v>1306.983</v>
      </c>
      <c r="AC542" s="17">
        <f>IF(AND(ISNUMBER(H542),ISNUMBER(I542)),H542+I542,IF(ISNUMBER(K542),K542,IF(ISNUMBER(H542),H542,"")))</f>
        <v/>
      </c>
      <c r="AD542" s="18">
        <f>IF(OR(NOT(ISNUMBER(J542)),NOT(ISNUMBER(H542)),H542&lt;=0),기준표!$B$8,MIN(MAX(J542/H542,기준표!$B$6),기준표!$B$7))</f>
        <v/>
      </c>
      <c r="AE542" s="17">
        <f>IF(ISNUMBER(AC542),AC542*(1-AD542),"")</f>
        <v/>
      </c>
      <c r="AF542" s="17">
        <f>IF(AND(NOT(ISNUMBER(T542)),NOT(ISNUMBER(V542))),"",IF(ISNUMBER(T542),T542,0)+IF(ISNUMBER(V542),V542,0))</f>
        <v/>
      </c>
      <c r="AG542" s="17">
        <f>IF(E542="금융","",IF(AND(ISNUMBER(P542),ISNUMBER(AF542),ISNUMBER(R542)),P542+AF542-R542,""))</f>
        <v/>
      </c>
      <c r="AH542" s="17">
        <f>IF(E542="금융","",IF(NOT(ISNUMBER(AG542)),"",IF(ISNUMBER(AA542),(AG542+AA542)/2,AG542)))</f>
        <v/>
      </c>
      <c r="AI542" s="19">
        <f>IF(AND(ISNUMBER(AE542),ISNUMBER(AH542),AH542&gt;0),AE542/AH542,"")</f>
        <v/>
      </c>
      <c r="AJ542" s="17">
        <f>IF(E542="금융","",IF(AND(ISNUMBER(P542),ISNUMBER(AF542)),P542+AF542,""))</f>
        <v/>
      </c>
      <c r="AK542" s="19">
        <f>IF(OR(NOT(ISNUMBER(AE542)),NOT(ISNUMBER(AJ542)),AJ542&lt;=0),"",IF(AND(ISNUMBER(G542),AJ542&lt;0.1*G542),"",AE542/AJ542))</f>
        <v/>
      </c>
      <c r="AL542" s="17">
        <f>IF(NOT(ISNUMBER(P542)),"",IF(ISNUMBER(Q542),(P542+Q542)/2,P542))</f>
        <v/>
      </c>
      <c r="AM542" s="19">
        <f>IF(AND(ISNUMBER(L542),ISNUMBER(AL542),AL542&gt;0),L542/AL542,"")</f>
        <v/>
      </c>
      <c r="AN542" s="19">
        <f>IF(AND(ISNUMBER(AM542),ISNUMBER({ROIC})),AM542-{ROIC},"")</f>
        <v/>
      </c>
      <c r="AO542" s="17">
        <f>IF(AND(ISNUMBER(AC542),ISNUMBER(M542)),AC542+M542,"")</f>
        <v/>
      </c>
      <c r="AP542" s="20">
        <f>IF(AND(ISNUMBER(AF542),ISNUMBER(R542),ISNUMBER(AO542),AO542&gt;0),(AF542-R542)/AO542,"")</f>
        <v/>
      </c>
      <c r="AQ542" s="20">
        <f>IF(AND(ISNUMBER(AC542),ISNUMBER(I542),I542&lt;&gt;0,AC542&gt;0),AC542/I542,"")</f>
        <v/>
      </c>
      <c r="AR542" s="17">
        <f>IF(AND(ISNUMBER(W542),ISNUMBER(Y542)),W542-IF(ISNUMBER(R542),R542,0)-(Y542-IF(ISNUMBER(T542),T542,0)),"")</f>
        <v/>
      </c>
      <c r="AS542" s="17">
        <f>IF(AND(ISNUMBER(X542),ISNUMBER(Z542)),X542-IF(ISNUMBER(S542),S542,0)-(Z542-IF(ISNUMBER(U542),U542,0)),"")</f>
        <v/>
      </c>
      <c r="AT542" s="17">
        <f>IF(AND(ISNUMBER(AR542),ISNUMBER(AS542)),AR542-AS542,"")</f>
        <v/>
      </c>
      <c r="AU542" s="17">
        <f>IF(E542="금융","",IF(AND(ISNUMBER(L542),ISNUMBER(M542),ISNUMBER(N542),ISNUMBER(AT542)),L542+M542-N542-AT542,IF(AND(ISNUMBER(O542),ISNUMBER(N542)),O542-N542,"")))</f>
        <v/>
      </c>
      <c r="AV542" s="8">
        <f>IF(E542="금융","금융업 - 정의되지 않음",IF(AND(ISNUMBER(L542),ISNUMBER(M542),ISNUMBER(N542),ISNUMBER(AT542)),"순이익+감가상각-설비투자-운전자본증감",IF(AND(ISNUMBER(O542),ISNUMBER(N542)),"영업현금흐름-설비투자","산출불가")))</f>
        <v/>
      </c>
      <c r="AW542" s="19">
        <f>IF(AND(ISNUMBER(AU542),ISNUMBER(G542),G542&lt;&gt;0),AU542/G542,"")</f>
        <v/>
      </c>
      <c r="AX542" s="19">
        <f>IF(AND(ISNUMBER(AC542),ISNUMBER(G542),G542&lt;&gt;0),AC542/G542,"")</f>
        <v/>
      </c>
    </row>
    <row r="543">
      <c r="A543" s="8" t="inlineStr">
        <is>
          <t>ANET</t>
        </is>
      </c>
      <c r="B543" s="8" t="inlineStr">
        <is>
          <t>Arista Networks, Inc.</t>
        </is>
      </c>
      <c r="C543" s="8" t="n">
        <v>2014</v>
      </c>
      <c r="D543" s="8" t="inlineStr">
        <is>
          <t>2014-12-31</t>
        </is>
      </c>
      <c r="E543" s="8" t="inlineStr">
        <is>
          <t>일반</t>
        </is>
      </c>
      <c r="F543" s="8" t="inlineStr">
        <is>
          <t>0001596532-17-000019</t>
        </is>
      </c>
      <c r="G543" s="15" t="n"/>
      <c r="H543" s="15" t="n">
        <v>0.121508</v>
      </c>
      <c r="I543" s="15" t="n"/>
      <c r="J543" s="15" t="n">
        <v>0.034658</v>
      </c>
      <c r="K543" s="15" t="n">
        <v>0.125513</v>
      </c>
      <c r="L543" s="15" t="n">
        <v>0.08685</v>
      </c>
      <c r="M543" s="15" t="n">
        <v>0.010021</v>
      </c>
      <c r="N543" s="15" t="n"/>
      <c r="O543" s="15" t="n">
        <v>0.131875</v>
      </c>
      <c r="P543" s="15" t="n">
        <v>0.555658</v>
      </c>
      <c r="Q543" s="15" t="n"/>
      <c r="R543" s="15" t="n">
        <v>0.449457</v>
      </c>
      <c r="S543" s="15" t="n"/>
      <c r="T543" s="15" t="n">
        <v>0</v>
      </c>
      <c r="U543" s="15" t="n"/>
      <c r="V543" s="15" t="n"/>
      <c r="W543" s="15" t="n">
        <v>0.6794790000000001</v>
      </c>
      <c r="X543" s="15" t="n"/>
      <c r="Y543" s="15" t="n">
        <v>0.144373</v>
      </c>
      <c r="Z543" s="15" t="n"/>
      <c r="AA543" s="15" t="n"/>
      <c r="AB543" s="16" t="n">
        <v>1048.448</v>
      </c>
      <c r="AC543" s="17">
        <f>IF(AND(ISNUMBER(H543),ISNUMBER(I543)),H543+I543,IF(ISNUMBER(K543),K543,IF(ISNUMBER(H543),H543,"")))</f>
        <v/>
      </c>
      <c r="AD543" s="18">
        <f>IF(OR(NOT(ISNUMBER(J543)),NOT(ISNUMBER(H543)),H543&lt;=0),기준표!$B$8,MIN(MAX(J543/H543,기준표!$B$6),기준표!$B$7))</f>
        <v/>
      </c>
      <c r="AE543" s="17">
        <f>IF(ISNUMBER(AC543),AC543*(1-AD543),"")</f>
        <v/>
      </c>
      <c r="AF543" s="17">
        <f>IF(AND(NOT(ISNUMBER(T543)),NOT(ISNUMBER(V543))),"",IF(ISNUMBER(T543),T543,0)+IF(ISNUMBER(V543),V543,0))</f>
        <v/>
      </c>
      <c r="AG543" s="17">
        <f>IF(E543="금융","",IF(AND(ISNUMBER(P543),ISNUMBER(AF543),ISNUMBER(R543)),P543+AF543-R543,""))</f>
        <v/>
      </c>
      <c r="AH543" s="17">
        <f>IF(E543="금융","",IF(NOT(ISNUMBER(AG543)),"",IF(ISNUMBER(AA543),(AG543+AA543)/2,AG543)))</f>
        <v/>
      </c>
      <c r="AI543" s="19">
        <f>IF(AND(ISNUMBER(AE543),ISNUMBER(AH543),AH543&gt;0),AE543/AH543,"")</f>
        <v/>
      </c>
      <c r="AJ543" s="17">
        <f>IF(E543="금융","",IF(AND(ISNUMBER(P543),ISNUMBER(AF543)),P543+AF543,""))</f>
        <v/>
      </c>
      <c r="AK543" s="19">
        <f>IF(OR(NOT(ISNUMBER(AE543)),NOT(ISNUMBER(AJ543)),AJ543&lt;=0),"",IF(AND(ISNUMBER(G543),AJ543&lt;0.1*G543),"",AE543/AJ543))</f>
        <v/>
      </c>
      <c r="AL543" s="17">
        <f>IF(NOT(ISNUMBER(P543)),"",IF(ISNUMBER(Q543),(P543+Q543)/2,P543))</f>
        <v/>
      </c>
      <c r="AM543" s="19">
        <f>IF(AND(ISNUMBER(L543),ISNUMBER(AL543),AL543&gt;0),L543/AL543,"")</f>
        <v/>
      </c>
      <c r="AN543" s="19">
        <f>IF(AND(ISNUMBER(AM543),ISNUMBER({ROIC})),AM543-{ROIC},"")</f>
        <v/>
      </c>
      <c r="AO543" s="17">
        <f>IF(AND(ISNUMBER(AC543),ISNUMBER(M543)),AC543+M543,"")</f>
        <v/>
      </c>
      <c r="AP543" s="20">
        <f>IF(AND(ISNUMBER(AF543),ISNUMBER(R543),ISNUMBER(AO543),AO543&gt;0),(AF543-R543)/AO543,"")</f>
        <v/>
      </c>
      <c r="AQ543" s="20">
        <f>IF(AND(ISNUMBER(AC543),ISNUMBER(I543),I543&lt;&gt;0,AC543&gt;0),AC543/I543,"")</f>
        <v/>
      </c>
      <c r="AR543" s="17">
        <f>IF(AND(ISNUMBER(W543),ISNUMBER(Y543)),W543-IF(ISNUMBER(R543),R543,0)-(Y543-IF(ISNUMBER(T543),T543,0)),"")</f>
        <v/>
      </c>
      <c r="AS543" s="17">
        <f>IF(AND(ISNUMBER(X543),ISNUMBER(Z543)),X543-IF(ISNUMBER(S543),S543,0)-(Z543-IF(ISNUMBER(U543),U543,0)),"")</f>
        <v/>
      </c>
      <c r="AT543" s="17">
        <f>IF(AND(ISNUMBER(AR543),ISNUMBER(AS543)),AR543-AS543,"")</f>
        <v/>
      </c>
      <c r="AU543" s="17">
        <f>IF(E543="금융","",IF(AND(ISNUMBER(L543),ISNUMBER(M543),ISNUMBER(N543),ISNUMBER(AT543)),L543+M543-N543-AT543,IF(AND(ISNUMBER(O543),ISNUMBER(N543)),O543-N543,"")))</f>
        <v/>
      </c>
      <c r="AV543" s="8">
        <f>IF(E543="금융","금융업 - 정의되지 않음",IF(AND(ISNUMBER(L543),ISNUMBER(M543),ISNUMBER(N543),ISNUMBER(AT543)),"순이익+감가상각-설비투자-운전자본증감",IF(AND(ISNUMBER(O543),ISNUMBER(N543)),"영업현금흐름-설비투자","산출불가")))</f>
        <v/>
      </c>
      <c r="AW543" s="19">
        <f>IF(AND(ISNUMBER(AU543),ISNUMBER(G543),G543&lt;&gt;0),AU543/G543,"")</f>
        <v/>
      </c>
      <c r="AX543" s="19">
        <f>IF(AND(ISNUMBER(AC543),ISNUMBER(G543),G543&lt;&gt;0),AC543/G543,"")</f>
        <v/>
      </c>
    </row>
    <row r="544">
      <c r="A544" s="8" t="inlineStr">
        <is>
          <t>ANET</t>
        </is>
      </c>
      <c r="B544" s="8" t="inlineStr">
        <is>
          <t>Arista Networks, Inc.</t>
        </is>
      </c>
      <c r="C544" s="8" t="n">
        <v>2015</v>
      </c>
      <c r="D544" s="8" t="inlineStr">
        <is>
          <t>2015-12-31</t>
        </is>
      </c>
      <c r="E544" s="8" t="inlineStr">
        <is>
          <t>일반</t>
        </is>
      </c>
      <c r="F544" s="8" t="inlineStr">
        <is>
          <t>0001596532-18-000018</t>
        </is>
      </c>
      <c r="G544" s="15" t="n"/>
      <c r="H544" s="15" t="n">
        <v>0.146009</v>
      </c>
      <c r="I544" s="15" t="n"/>
      <c r="J544" s="15" t="n">
        <v>0.024907</v>
      </c>
      <c r="K544" s="15" t="n">
        <v>0.149308</v>
      </c>
      <c r="L544" s="15" t="n">
        <v>0.121102</v>
      </c>
      <c r="M544" s="15" t="n">
        <v>0.013671</v>
      </c>
      <c r="N544" s="15" t="n"/>
      <c r="O544" s="15" t="n">
        <v>0.237784</v>
      </c>
      <c r="P544" s="15" t="n">
        <v>0.788152</v>
      </c>
      <c r="Q544" s="15" t="n">
        <v>0.555658</v>
      </c>
      <c r="R544" s="15" t="n">
        <v>0.687326</v>
      </c>
      <c r="S544" s="15" t="n">
        <v>0.449457</v>
      </c>
      <c r="T544" s="15" t="n">
        <v>0</v>
      </c>
      <c r="U544" s="15" t="n">
        <v>0</v>
      </c>
      <c r="V544" s="15" t="n"/>
      <c r="W544" s="15" t="n">
        <v>0.974328</v>
      </c>
      <c r="X544" s="15" t="n">
        <v>0.6794790000000001</v>
      </c>
      <c r="Y544" s="15" t="n">
        <v>0.235011</v>
      </c>
      <c r="Z544" s="15" t="n">
        <v>0.144373</v>
      </c>
      <c r="AA544" s="15" t="n">
        <v>0.106201</v>
      </c>
      <c r="AB544" s="16" t="n">
        <v>1090.112</v>
      </c>
      <c r="AC544" s="17">
        <f>IF(AND(ISNUMBER(H544),ISNUMBER(I544)),H544+I544,IF(ISNUMBER(K544),K544,IF(ISNUMBER(H544),H544,"")))</f>
        <v/>
      </c>
      <c r="AD544" s="18">
        <f>IF(OR(NOT(ISNUMBER(J544)),NOT(ISNUMBER(H544)),H544&lt;=0),기준표!$B$8,MIN(MAX(J544/H544,기준표!$B$6),기준표!$B$7))</f>
        <v/>
      </c>
      <c r="AE544" s="17">
        <f>IF(ISNUMBER(AC544),AC544*(1-AD544),"")</f>
        <v/>
      </c>
      <c r="AF544" s="17">
        <f>IF(AND(NOT(ISNUMBER(T544)),NOT(ISNUMBER(V544))),"",IF(ISNUMBER(T544),T544,0)+IF(ISNUMBER(V544),V544,0))</f>
        <v/>
      </c>
      <c r="AG544" s="17">
        <f>IF(E544="금융","",IF(AND(ISNUMBER(P544),ISNUMBER(AF544),ISNUMBER(R544)),P544+AF544-R544,""))</f>
        <v/>
      </c>
      <c r="AH544" s="17">
        <f>IF(E544="금융","",IF(NOT(ISNUMBER(AG544)),"",IF(ISNUMBER(AA544),(AG544+AA544)/2,AG544)))</f>
        <v/>
      </c>
      <c r="AI544" s="19">
        <f>IF(AND(ISNUMBER(AE544),ISNUMBER(AH544),AH544&gt;0),AE544/AH544,"")</f>
        <v/>
      </c>
      <c r="AJ544" s="17">
        <f>IF(E544="금융","",IF(AND(ISNUMBER(P544),ISNUMBER(AF544)),P544+AF544,""))</f>
        <v/>
      </c>
      <c r="AK544" s="19">
        <f>IF(OR(NOT(ISNUMBER(AE544)),NOT(ISNUMBER(AJ544)),AJ544&lt;=0),"",IF(AND(ISNUMBER(G544),AJ544&lt;0.1*G544),"",AE544/AJ544))</f>
        <v/>
      </c>
      <c r="AL544" s="17">
        <f>IF(NOT(ISNUMBER(P544)),"",IF(ISNUMBER(Q544),(P544+Q544)/2,P544))</f>
        <v/>
      </c>
      <c r="AM544" s="19">
        <f>IF(AND(ISNUMBER(L544),ISNUMBER(AL544),AL544&gt;0),L544/AL544,"")</f>
        <v/>
      </c>
      <c r="AN544" s="19">
        <f>IF(AND(ISNUMBER(AM544),ISNUMBER({ROIC})),AM544-{ROIC},"")</f>
        <v/>
      </c>
      <c r="AO544" s="17">
        <f>IF(AND(ISNUMBER(AC544),ISNUMBER(M544)),AC544+M544,"")</f>
        <v/>
      </c>
      <c r="AP544" s="20">
        <f>IF(AND(ISNUMBER(AF544),ISNUMBER(R544),ISNUMBER(AO544),AO544&gt;0),(AF544-R544)/AO544,"")</f>
        <v/>
      </c>
      <c r="AQ544" s="20">
        <f>IF(AND(ISNUMBER(AC544),ISNUMBER(I544),I544&lt;&gt;0,AC544&gt;0),AC544/I544,"")</f>
        <v/>
      </c>
      <c r="AR544" s="17">
        <f>IF(AND(ISNUMBER(W544),ISNUMBER(Y544)),W544-IF(ISNUMBER(R544),R544,0)-(Y544-IF(ISNUMBER(T544),T544,0)),"")</f>
        <v/>
      </c>
      <c r="AS544" s="17">
        <f>IF(AND(ISNUMBER(X544),ISNUMBER(Z544)),X544-IF(ISNUMBER(S544),S544,0)-(Z544-IF(ISNUMBER(U544),U544,0)),"")</f>
        <v/>
      </c>
      <c r="AT544" s="17">
        <f>IF(AND(ISNUMBER(AR544),ISNUMBER(AS544)),AR544-AS544,"")</f>
        <v/>
      </c>
      <c r="AU544" s="17">
        <f>IF(E544="금융","",IF(AND(ISNUMBER(L544),ISNUMBER(M544),ISNUMBER(N544),ISNUMBER(AT544)),L544+M544-N544-AT544,IF(AND(ISNUMBER(O544),ISNUMBER(N544)),O544-N544,"")))</f>
        <v/>
      </c>
      <c r="AV544" s="8">
        <f>IF(E544="금융","금융업 - 정의되지 않음",IF(AND(ISNUMBER(L544),ISNUMBER(M544),ISNUMBER(N544),ISNUMBER(AT544)),"순이익+감가상각-설비투자-운전자본증감",IF(AND(ISNUMBER(O544),ISNUMBER(N544)),"영업현금흐름-설비투자","산출불가")))</f>
        <v/>
      </c>
      <c r="AW544" s="19">
        <f>IF(AND(ISNUMBER(AU544),ISNUMBER(G544),G544&lt;&gt;0),AU544/G544,"")</f>
        <v/>
      </c>
      <c r="AX544" s="19">
        <f>IF(AND(ISNUMBER(AC544),ISNUMBER(G544),G544&lt;&gt;0),AC544/G544,"")</f>
        <v/>
      </c>
    </row>
    <row r="545">
      <c r="A545" s="8" t="inlineStr">
        <is>
          <t>ANET</t>
        </is>
      </c>
      <c r="B545" s="8" t="inlineStr">
        <is>
          <t>Arista Networks, Inc.</t>
        </is>
      </c>
      <c r="C545" s="8" t="n">
        <v>2016</v>
      </c>
      <c r="D545" s="8" t="inlineStr">
        <is>
          <t>2016-12-31</t>
        </is>
      </c>
      <c r="E545" s="8" t="inlineStr">
        <is>
          <t>일반</t>
        </is>
      </c>
      <c r="F545" s="8" t="inlineStr">
        <is>
          <t>0001596532-19-000027</t>
        </is>
      </c>
      <c r="G545" s="15" t="n">
        <v>1.129167</v>
      </c>
      <c r="H545" s="15" t="n">
        <v>0.242225</v>
      </c>
      <c r="I545" s="15" t="n">
        <v>0.003136</v>
      </c>
      <c r="J545" s="15" t="n">
        <v>0.058036</v>
      </c>
      <c r="K545" s="15" t="n">
        <v>0.243409</v>
      </c>
      <c r="L545" s="15" t="n">
        <v>0.184189</v>
      </c>
      <c r="M545" s="15" t="n">
        <v>0.019749</v>
      </c>
      <c r="N545" s="15" t="n"/>
      <c r="O545" s="15" t="n">
        <v>0.174295</v>
      </c>
      <c r="P545" s="15" t="n">
        <v>1.10782</v>
      </c>
      <c r="Q545" s="15" t="n">
        <v>0.788152</v>
      </c>
      <c r="R545" s="15" t="n">
        <v>0.867833</v>
      </c>
      <c r="S545" s="15" t="n">
        <v>0.687326</v>
      </c>
      <c r="T545" s="15" t="n">
        <v>0</v>
      </c>
      <c r="U545" s="15" t="n">
        <v>0</v>
      </c>
      <c r="V545" s="15" t="n"/>
      <c r="W545" s="15" t="n">
        <v>1.526126</v>
      </c>
      <c r="X545" s="15" t="n">
        <v>0.974328</v>
      </c>
      <c r="Y545" s="15" t="n">
        <v>0.459553</v>
      </c>
      <c r="Z545" s="15" t="n">
        <v>0.235011</v>
      </c>
      <c r="AA545" s="15" t="n">
        <v>0.100826</v>
      </c>
      <c r="AB545" s="16" t="n">
        <v>1132.976</v>
      </c>
      <c r="AC545" s="17">
        <f>IF(AND(ISNUMBER(H545),ISNUMBER(I545)),H545+I545,IF(ISNUMBER(K545),K545,IF(ISNUMBER(H545),H545,"")))</f>
        <v/>
      </c>
      <c r="AD545" s="18">
        <f>IF(OR(NOT(ISNUMBER(J545)),NOT(ISNUMBER(H545)),H545&lt;=0),기준표!$B$8,MIN(MAX(J545/H545,기준표!$B$6),기준표!$B$7))</f>
        <v/>
      </c>
      <c r="AE545" s="17">
        <f>IF(ISNUMBER(AC545),AC545*(1-AD545),"")</f>
        <v/>
      </c>
      <c r="AF545" s="17">
        <f>IF(AND(NOT(ISNUMBER(T545)),NOT(ISNUMBER(V545))),"",IF(ISNUMBER(T545),T545,0)+IF(ISNUMBER(V545),V545,0))</f>
        <v/>
      </c>
      <c r="AG545" s="17">
        <f>IF(E545="금융","",IF(AND(ISNUMBER(P545),ISNUMBER(AF545),ISNUMBER(R545)),P545+AF545-R545,""))</f>
        <v/>
      </c>
      <c r="AH545" s="17">
        <f>IF(E545="금융","",IF(NOT(ISNUMBER(AG545)),"",IF(ISNUMBER(AA545),(AG545+AA545)/2,AG545)))</f>
        <v/>
      </c>
      <c r="AI545" s="19">
        <f>IF(AND(ISNUMBER(AE545),ISNUMBER(AH545),AH545&gt;0),AE545/AH545,"")</f>
        <v/>
      </c>
      <c r="AJ545" s="17">
        <f>IF(E545="금융","",IF(AND(ISNUMBER(P545),ISNUMBER(AF545)),P545+AF545,""))</f>
        <v/>
      </c>
      <c r="AK545" s="19">
        <f>IF(OR(NOT(ISNUMBER(AE545)),NOT(ISNUMBER(AJ545)),AJ545&lt;=0),"",IF(AND(ISNUMBER(G545),AJ545&lt;0.1*G545),"",AE545/AJ545))</f>
        <v/>
      </c>
      <c r="AL545" s="17">
        <f>IF(NOT(ISNUMBER(P545)),"",IF(ISNUMBER(Q545),(P545+Q545)/2,P545))</f>
        <v/>
      </c>
      <c r="AM545" s="19">
        <f>IF(AND(ISNUMBER(L545),ISNUMBER(AL545),AL545&gt;0),L545/AL545,"")</f>
        <v/>
      </c>
      <c r="AN545" s="19">
        <f>IF(AND(ISNUMBER(AM545),ISNUMBER({ROIC})),AM545-{ROIC},"")</f>
        <v/>
      </c>
      <c r="AO545" s="17">
        <f>IF(AND(ISNUMBER(AC545),ISNUMBER(M545)),AC545+M545,"")</f>
        <v/>
      </c>
      <c r="AP545" s="20">
        <f>IF(AND(ISNUMBER(AF545),ISNUMBER(R545),ISNUMBER(AO545),AO545&gt;0),(AF545-R545)/AO545,"")</f>
        <v/>
      </c>
      <c r="AQ545" s="20">
        <f>IF(AND(ISNUMBER(AC545),ISNUMBER(I545),I545&lt;&gt;0,AC545&gt;0),AC545/I545,"")</f>
        <v/>
      </c>
      <c r="AR545" s="17">
        <f>IF(AND(ISNUMBER(W545),ISNUMBER(Y545)),W545-IF(ISNUMBER(R545),R545,0)-(Y545-IF(ISNUMBER(T545),T545,0)),"")</f>
        <v/>
      </c>
      <c r="AS545" s="17">
        <f>IF(AND(ISNUMBER(X545),ISNUMBER(Z545)),X545-IF(ISNUMBER(S545),S545,0)-(Z545-IF(ISNUMBER(U545),U545,0)),"")</f>
        <v/>
      </c>
      <c r="AT545" s="17">
        <f>IF(AND(ISNUMBER(AR545),ISNUMBER(AS545)),AR545-AS545,"")</f>
        <v/>
      </c>
      <c r="AU545" s="17">
        <f>IF(E545="금융","",IF(AND(ISNUMBER(L545),ISNUMBER(M545),ISNUMBER(N545),ISNUMBER(AT545)),L545+M545-N545-AT545,IF(AND(ISNUMBER(O545),ISNUMBER(N545)),O545-N545,"")))</f>
        <v/>
      </c>
      <c r="AV545" s="8">
        <f>IF(E545="금융","금융업 - 정의되지 않음",IF(AND(ISNUMBER(L545),ISNUMBER(M545),ISNUMBER(N545),ISNUMBER(AT545)),"순이익+감가상각-설비투자-운전자본증감",IF(AND(ISNUMBER(O545),ISNUMBER(N545)),"영업현금흐름-설비투자","산출불가")))</f>
        <v/>
      </c>
      <c r="AW545" s="19">
        <f>IF(AND(ISNUMBER(AU545),ISNUMBER(G545),G545&lt;&gt;0),AU545/G545,"")</f>
        <v/>
      </c>
      <c r="AX545" s="19">
        <f>IF(AND(ISNUMBER(AC545),ISNUMBER(G545),G545&lt;&gt;0),AC545/G545,"")</f>
        <v/>
      </c>
    </row>
    <row r="546">
      <c r="A546" s="8" t="inlineStr">
        <is>
          <t>ANET</t>
        </is>
      </c>
      <c r="B546" s="8" t="inlineStr">
        <is>
          <t>Arista Networks, Inc.</t>
        </is>
      </c>
      <c r="C546" s="8" t="n">
        <v>2017</v>
      </c>
      <c r="D546" s="8" t="inlineStr">
        <is>
          <t>2017-12-31</t>
        </is>
      </c>
      <c r="E546" s="8" t="inlineStr">
        <is>
          <t>일반</t>
        </is>
      </c>
      <c r="F546" s="8" t="inlineStr">
        <is>
          <t>0001596532-20-000024</t>
        </is>
      </c>
      <c r="G546" s="15" t="n">
        <v>1.646186</v>
      </c>
      <c r="H546" s="15" t="n">
        <v>0.47476</v>
      </c>
      <c r="I546" s="15" t="n">
        <v>0.00278</v>
      </c>
      <c r="J546" s="15" t="n">
        <v>0.051559</v>
      </c>
      <c r="K546" s="15" t="n">
        <v>0.470272</v>
      </c>
      <c r="L546" s="15" t="n">
        <v>0.423201</v>
      </c>
      <c r="M546" s="15" t="n">
        <v>0.02064</v>
      </c>
      <c r="N546" s="15" t="n"/>
      <c r="O546" s="15" t="n">
        <v>0.631627</v>
      </c>
      <c r="P546" s="15" t="n">
        <v>1.661914</v>
      </c>
      <c r="Q546" s="15" t="n">
        <v>1.10782</v>
      </c>
      <c r="R546" s="15" t="n">
        <v>1.535555</v>
      </c>
      <c r="S546" s="15" t="n">
        <v>0.867833</v>
      </c>
      <c r="T546" s="15" t="n">
        <v>0</v>
      </c>
      <c r="U546" s="15" t="n">
        <v>0</v>
      </c>
      <c r="V546" s="15" t="n"/>
      <c r="W546" s="15" t="n">
        <v>2.266429</v>
      </c>
      <c r="X546" s="15" t="n">
        <v>1.526126</v>
      </c>
      <c r="Y546" s="15" t="n">
        <v>0.529905</v>
      </c>
      <c r="Z546" s="15" t="n">
        <v>0.459553</v>
      </c>
      <c r="AA546" s="15" t="n">
        <v>0.239987</v>
      </c>
      <c r="AB546" s="16" t="n">
        <v>1179.296</v>
      </c>
      <c r="AC546" s="17">
        <f>IF(AND(ISNUMBER(H546),ISNUMBER(I546)),H546+I546,IF(ISNUMBER(K546),K546,IF(ISNUMBER(H546),H546,"")))</f>
        <v/>
      </c>
      <c r="AD546" s="18">
        <f>IF(OR(NOT(ISNUMBER(J546)),NOT(ISNUMBER(H546)),H546&lt;=0),기준표!$B$8,MIN(MAX(J546/H546,기준표!$B$6),기준표!$B$7))</f>
        <v/>
      </c>
      <c r="AE546" s="17">
        <f>IF(ISNUMBER(AC546),AC546*(1-AD546),"")</f>
        <v/>
      </c>
      <c r="AF546" s="17">
        <f>IF(AND(NOT(ISNUMBER(T546)),NOT(ISNUMBER(V546))),"",IF(ISNUMBER(T546),T546,0)+IF(ISNUMBER(V546),V546,0))</f>
        <v/>
      </c>
      <c r="AG546" s="17">
        <f>IF(E546="금융","",IF(AND(ISNUMBER(P546),ISNUMBER(AF546),ISNUMBER(R546)),P546+AF546-R546,""))</f>
        <v/>
      </c>
      <c r="AH546" s="17">
        <f>IF(E546="금융","",IF(NOT(ISNUMBER(AG546)),"",IF(ISNUMBER(AA546),(AG546+AA546)/2,AG546)))</f>
        <v/>
      </c>
      <c r="AI546" s="19">
        <f>IF(AND(ISNUMBER(AE546),ISNUMBER(AH546),AH546&gt;0),AE546/AH546,"")</f>
        <v/>
      </c>
      <c r="AJ546" s="17">
        <f>IF(E546="금융","",IF(AND(ISNUMBER(P546),ISNUMBER(AF546)),P546+AF546,""))</f>
        <v/>
      </c>
      <c r="AK546" s="19">
        <f>IF(OR(NOT(ISNUMBER(AE546)),NOT(ISNUMBER(AJ546)),AJ546&lt;=0),"",IF(AND(ISNUMBER(G546),AJ546&lt;0.1*G546),"",AE546/AJ546))</f>
        <v/>
      </c>
      <c r="AL546" s="17">
        <f>IF(NOT(ISNUMBER(P546)),"",IF(ISNUMBER(Q546),(P546+Q546)/2,P546))</f>
        <v/>
      </c>
      <c r="AM546" s="19">
        <f>IF(AND(ISNUMBER(L546),ISNUMBER(AL546),AL546&gt;0),L546/AL546,"")</f>
        <v/>
      </c>
      <c r="AN546" s="19">
        <f>IF(AND(ISNUMBER(AM546),ISNUMBER({ROIC})),AM546-{ROIC},"")</f>
        <v/>
      </c>
      <c r="AO546" s="17">
        <f>IF(AND(ISNUMBER(AC546),ISNUMBER(M546)),AC546+M546,"")</f>
        <v/>
      </c>
      <c r="AP546" s="20">
        <f>IF(AND(ISNUMBER(AF546),ISNUMBER(R546),ISNUMBER(AO546),AO546&gt;0),(AF546-R546)/AO546,"")</f>
        <v/>
      </c>
      <c r="AQ546" s="20">
        <f>IF(AND(ISNUMBER(AC546),ISNUMBER(I546),I546&lt;&gt;0,AC546&gt;0),AC546/I546,"")</f>
        <v/>
      </c>
      <c r="AR546" s="17">
        <f>IF(AND(ISNUMBER(W546),ISNUMBER(Y546)),W546-IF(ISNUMBER(R546),R546,0)-(Y546-IF(ISNUMBER(T546),T546,0)),"")</f>
        <v/>
      </c>
      <c r="AS546" s="17">
        <f>IF(AND(ISNUMBER(X546),ISNUMBER(Z546)),X546-IF(ISNUMBER(S546),S546,0)-(Z546-IF(ISNUMBER(U546),U546,0)),"")</f>
        <v/>
      </c>
      <c r="AT546" s="17">
        <f>IF(AND(ISNUMBER(AR546),ISNUMBER(AS546)),AR546-AS546,"")</f>
        <v/>
      </c>
      <c r="AU546" s="17">
        <f>IF(E546="금융","",IF(AND(ISNUMBER(L546),ISNUMBER(M546),ISNUMBER(N546),ISNUMBER(AT546)),L546+M546-N546-AT546,IF(AND(ISNUMBER(O546),ISNUMBER(N546)),O546-N546,"")))</f>
        <v/>
      </c>
      <c r="AV546" s="8">
        <f>IF(E546="금융","금융업 - 정의되지 않음",IF(AND(ISNUMBER(L546),ISNUMBER(M546),ISNUMBER(N546),ISNUMBER(AT546)),"순이익+감가상각-설비투자-운전자본증감",IF(AND(ISNUMBER(O546),ISNUMBER(N546)),"영업현금흐름-설비투자","산출불가")))</f>
        <v/>
      </c>
      <c r="AW546" s="19">
        <f>IF(AND(ISNUMBER(AU546),ISNUMBER(G546),G546&lt;&gt;0),AU546/G546,"")</f>
        <v/>
      </c>
      <c r="AX546" s="19">
        <f>IF(AND(ISNUMBER(AC546),ISNUMBER(G546),G546&lt;&gt;0),AC546/G546,"")</f>
        <v/>
      </c>
    </row>
    <row r="547">
      <c r="A547" s="8" t="inlineStr">
        <is>
          <t>ANET</t>
        </is>
      </c>
      <c r="B547" s="8" t="inlineStr">
        <is>
          <t>Arista Networks, Inc.</t>
        </is>
      </c>
      <c r="C547" s="8" t="n">
        <v>2018</v>
      </c>
      <c r="D547" s="8" t="inlineStr">
        <is>
          <t>2018-12-31</t>
        </is>
      </c>
      <c r="E547" s="8" t="inlineStr">
        <is>
          <t>일반</t>
        </is>
      </c>
      <c r="F547" s="8" t="inlineStr">
        <is>
          <t>0001596532-21-000049</t>
        </is>
      </c>
      <c r="G547" s="15" t="n">
        <v>2.151369</v>
      </c>
      <c r="H547" s="15" t="n">
        <v>0.288801</v>
      </c>
      <c r="I547" s="15" t="n">
        <v>0.002701</v>
      </c>
      <c r="J547" s="15" t="n">
        <v>-0.039314</v>
      </c>
      <c r="K547" s="15" t="n">
        <v>0.273347</v>
      </c>
      <c r="L547" s="15" t="n">
        <v>0.328115</v>
      </c>
      <c r="M547" s="15" t="n">
        <v>0.027671</v>
      </c>
      <c r="N547" s="15" t="n">
        <v>0.02383</v>
      </c>
      <c r="O547" s="15" t="n">
        <v>0.503119</v>
      </c>
      <c r="P547" s="15" t="n">
        <v>2.143389</v>
      </c>
      <c r="Q547" s="15" t="n">
        <v>1.661914</v>
      </c>
      <c r="R547" s="15" t="n">
        <v>1.956147</v>
      </c>
      <c r="S547" s="15" t="n">
        <v>1.535555</v>
      </c>
      <c r="T547" s="15" t="n">
        <v>0</v>
      </c>
      <c r="U547" s="15" t="n">
        <v>0</v>
      </c>
      <c r="V547" s="15" t="n"/>
      <c r="W547" s="15" t="n">
        <v>2.714802</v>
      </c>
      <c r="X547" s="15" t="n">
        <v>2.266429</v>
      </c>
      <c r="Y547" s="15" t="n">
        <v>0.606504</v>
      </c>
      <c r="Z547" s="15" t="n">
        <v>0.529905</v>
      </c>
      <c r="AA547" s="15" t="n">
        <v>0.126359</v>
      </c>
      <c r="AB547" s="16" t="n">
        <v>1210.688</v>
      </c>
      <c r="AC547" s="17">
        <f>IF(AND(ISNUMBER(H547),ISNUMBER(I547)),H547+I547,IF(ISNUMBER(K547),K547,IF(ISNUMBER(H547),H547,"")))</f>
        <v/>
      </c>
      <c r="AD547" s="18">
        <f>IF(OR(NOT(ISNUMBER(J547)),NOT(ISNUMBER(H547)),H547&lt;=0),기준표!$B$8,MIN(MAX(J547/H547,기준표!$B$6),기준표!$B$7))</f>
        <v/>
      </c>
      <c r="AE547" s="17">
        <f>IF(ISNUMBER(AC547),AC547*(1-AD547),"")</f>
        <v/>
      </c>
      <c r="AF547" s="17">
        <f>IF(AND(NOT(ISNUMBER(T547)),NOT(ISNUMBER(V547))),"",IF(ISNUMBER(T547),T547,0)+IF(ISNUMBER(V547),V547,0))</f>
        <v/>
      </c>
      <c r="AG547" s="17">
        <f>IF(E547="금융","",IF(AND(ISNUMBER(P547),ISNUMBER(AF547),ISNUMBER(R547)),P547+AF547-R547,""))</f>
        <v/>
      </c>
      <c r="AH547" s="17">
        <f>IF(E547="금융","",IF(NOT(ISNUMBER(AG547)),"",IF(ISNUMBER(AA547),(AG547+AA547)/2,AG547)))</f>
        <v/>
      </c>
      <c r="AI547" s="19">
        <f>IF(AND(ISNUMBER(AE547),ISNUMBER(AH547),AH547&gt;0),AE547/AH547,"")</f>
        <v/>
      </c>
      <c r="AJ547" s="17">
        <f>IF(E547="금융","",IF(AND(ISNUMBER(P547),ISNUMBER(AF547)),P547+AF547,""))</f>
        <v/>
      </c>
      <c r="AK547" s="19">
        <f>IF(OR(NOT(ISNUMBER(AE547)),NOT(ISNUMBER(AJ547)),AJ547&lt;=0),"",IF(AND(ISNUMBER(G547),AJ547&lt;0.1*G547),"",AE547/AJ547))</f>
        <v/>
      </c>
      <c r="AL547" s="17">
        <f>IF(NOT(ISNUMBER(P547)),"",IF(ISNUMBER(Q547),(P547+Q547)/2,P547))</f>
        <v/>
      </c>
      <c r="AM547" s="19">
        <f>IF(AND(ISNUMBER(L547),ISNUMBER(AL547),AL547&gt;0),L547/AL547,"")</f>
        <v/>
      </c>
      <c r="AN547" s="19">
        <f>IF(AND(ISNUMBER(AM547),ISNUMBER({ROIC})),AM547-{ROIC},"")</f>
        <v/>
      </c>
      <c r="AO547" s="17">
        <f>IF(AND(ISNUMBER(AC547),ISNUMBER(M547)),AC547+M547,"")</f>
        <v/>
      </c>
      <c r="AP547" s="20">
        <f>IF(AND(ISNUMBER(AF547),ISNUMBER(R547),ISNUMBER(AO547),AO547&gt;0),(AF547-R547)/AO547,"")</f>
        <v/>
      </c>
      <c r="AQ547" s="20">
        <f>IF(AND(ISNUMBER(AC547),ISNUMBER(I547),I547&lt;&gt;0,AC547&gt;0),AC547/I547,"")</f>
        <v/>
      </c>
      <c r="AR547" s="17">
        <f>IF(AND(ISNUMBER(W547),ISNUMBER(Y547)),W547-IF(ISNUMBER(R547),R547,0)-(Y547-IF(ISNUMBER(T547),T547,0)),"")</f>
        <v/>
      </c>
      <c r="AS547" s="17">
        <f>IF(AND(ISNUMBER(X547),ISNUMBER(Z547)),X547-IF(ISNUMBER(S547),S547,0)-(Z547-IF(ISNUMBER(U547),U547,0)),"")</f>
        <v/>
      </c>
      <c r="AT547" s="17">
        <f>IF(AND(ISNUMBER(AR547),ISNUMBER(AS547)),AR547-AS547,"")</f>
        <v/>
      </c>
      <c r="AU547" s="17">
        <f>IF(E547="금융","",IF(AND(ISNUMBER(L547),ISNUMBER(M547),ISNUMBER(N547),ISNUMBER(AT547)),L547+M547-N547-AT547,IF(AND(ISNUMBER(O547),ISNUMBER(N547)),O547-N547,"")))</f>
        <v/>
      </c>
      <c r="AV547" s="8">
        <f>IF(E547="금융","금융업 - 정의되지 않음",IF(AND(ISNUMBER(L547),ISNUMBER(M547),ISNUMBER(N547),ISNUMBER(AT547)),"순이익+감가상각-설비투자-운전자본증감",IF(AND(ISNUMBER(O547),ISNUMBER(N547)),"영업현금흐름-설비투자","산출불가")))</f>
        <v/>
      </c>
      <c r="AW547" s="19">
        <f>IF(AND(ISNUMBER(AU547),ISNUMBER(G547),G547&lt;&gt;0),AU547/G547,"")</f>
        <v/>
      </c>
      <c r="AX547" s="19">
        <f>IF(AND(ISNUMBER(AC547),ISNUMBER(G547),G547&lt;&gt;0),AC547/G547,"")</f>
        <v/>
      </c>
    </row>
    <row r="548">
      <c r="A548" s="8" t="inlineStr">
        <is>
          <t>ANET</t>
        </is>
      </c>
      <c r="B548" s="8" t="inlineStr">
        <is>
          <t>Arista Networks, Inc.</t>
        </is>
      </c>
      <c r="C548" s="8" t="n">
        <v>2019</v>
      </c>
      <c r="D548" s="8" t="inlineStr">
        <is>
          <t>2019-12-31</t>
        </is>
      </c>
      <c r="E548" s="8" t="inlineStr">
        <is>
          <t>일반</t>
        </is>
      </c>
      <c r="F548" s="8" t="inlineStr">
        <is>
          <t>0001596532-22-000026</t>
        </is>
      </c>
      <c r="G548" s="15" t="n">
        <v>2.410706</v>
      </c>
      <c r="H548" s="15" t="n">
        <v>0.86227</v>
      </c>
      <c r="I548" s="15" t="n">
        <v>0</v>
      </c>
      <c r="J548" s="15" t="n">
        <v>0.002403</v>
      </c>
      <c r="K548" s="15" t="n">
        <v>0.805774</v>
      </c>
      <c r="L548" s="15" t="n">
        <v>0.859867</v>
      </c>
      <c r="M548" s="15" t="n">
        <v>0.032849</v>
      </c>
      <c r="N548" s="15" t="n">
        <v>0.015751</v>
      </c>
      <c r="O548" s="15" t="n">
        <v>0.9630339999999999</v>
      </c>
      <c r="P548" s="15" t="n">
        <v>2.894686</v>
      </c>
      <c r="Q548" s="15" t="n">
        <v>2.143389</v>
      </c>
      <c r="R548" s="15" t="n">
        <v>2.724368</v>
      </c>
      <c r="S548" s="15" t="n">
        <v>1.956147</v>
      </c>
      <c r="T548" s="15" t="n">
        <v>0</v>
      </c>
      <c r="U548" s="15" t="n">
        <v>0</v>
      </c>
      <c r="V548" s="15" t="n"/>
      <c r="W548" s="15" t="n">
        <v>3.471636</v>
      </c>
      <c r="X548" s="15" t="n">
        <v>2.714802</v>
      </c>
      <c r="Y548" s="15" t="n">
        <v>0.597074</v>
      </c>
      <c r="Z548" s="15" t="n">
        <v>0.606504</v>
      </c>
      <c r="AA548" s="15" t="n">
        <v>0.187242</v>
      </c>
      <c r="AB548" s="16" t="n">
        <v>1222.224</v>
      </c>
      <c r="AC548" s="17">
        <f>IF(AND(ISNUMBER(H548),ISNUMBER(I548)),H548+I548,IF(ISNUMBER(K548),K548,IF(ISNUMBER(H548),H548,"")))</f>
        <v/>
      </c>
      <c r="AD548" s="18">
        <f>IF(OR(NOT(ISNUMBER(J548)),NOT(ISNUMBER(H548)),H548&lt;=0),기준표!$B$8,MIN(MAX(J548/H548,기준표!$B$6),기준표!$B$7))</f>
        <v/>
      </c>
      <c r="AE548" s="17">
        <f>IF(ISNUMBER(AC548),AC548*(1-AD548),"")</f>
        <v/>
      </c>
      <c r="AF548" s="17">
        <f>IF(AND(NOT(ISNUMBER(T548)),NOT(ISNUMBER(V548))),"",IF(ISNUMBER(T548),T548,0)+IF(ISNUMBER(V548),V548,0))</f>
        <v/>
      </c>
      <c r="AG548" s="17">
        <f>IF(E548="금융","",IF(AND(ISNUMBER(P548),ISNUMBER(AF548),ISNUMBER(R548)),P548+AF548-R548,""))</f>
        <v/>
      </c>
      <c r="AH548" s="17">
        <f>IF(E548="금융","",IF(NOT(ISNUMBER(AG548)),"",IF(ISNUMBER(AA548),(AG548+AA548)/2,AG548)))</f>
        <v/>
      </c>
      <c r="AI548" s="19">
        <f>IF(AND(ISNUMBER(AE548),ISNUMBER(AH548),AH548&gt;0),AE548/AH548,"")</f>
        <v/>
      </c>
      <c r="AJ548" s="17">
        <f>IF(E548="금융","",IF(AND(ISNUMBER(P548),ISNUMBER(AF548)),P548+AF548,""))</f>
        <v/>
      </c>
      <c r="AK548" s="19">
        <f>IF(OR(NOT(ISNUMBER(AE548)),NOT(ISNUMBER(AJ548)),AJ548&lt;=0),"",IF(AND(ISNUMBER(G548),AJ548&lt;0.1*G548),"",AE548/AJ548))</f>
        <v/>
      </c>
      <c r="AL548" s="17">
        <f>IF(NOT(ISNUMBER(P548)),"",IF(ISNUMBER(Q548),(P548+Q548)/2,P548))</f>
        <v/>
      </c>
      <c r="AM548" s="19">
        <f>IF(AND(ISNUMBER(L548),ISNUMBER(AL548),AL548&gt;0),L548/AL548,"")</f>
        <v/>
      </c>
      <c r="AN548" s="19">
        <f>IF(AND(ISNUMBER(AM548),ISNUMBER({ROIC})),AM548-{ROIC},"")</f>
        <v/>
      </c>
      <c r="AO548" s="17">
        <f>IF(AND(ISNUMBER(AC548),ISNUMBER(M548)),AC548+M548,"")</f>
        <v/>
      </c>
      <c r="AP548" s="20">
        <f>IF(AND(ISNUMBER(AF548),ISNUMBER(R548),ISNUMBER(AO548),AO548&gt;0),(AF548-R548)/AO548,"")</f>
        <v/>
      </c>
      <c r="AQ548" s="20">
        <f>IF(AND(ISNUMBER(AC548),ISNUMBER(I548),I548&lt;&gt;0,AC548&gt;0),AC548/I548,"")</f>
        <v/>
      </c>
      <c r="AR548" s="17">
        <f>IF(AND(ISNUMBER(W548),ISNUMBER(Y548)),W548-IF(ISNUMBER(R548),R548,0)-(Y548-IF(ISNUMBER(T548),T548,0)),"")</f>
        <v/>
      </c>
      <c r="AS548" s="17">
        <f>IF(AND(ISNUMBER(X548),ISNUMBER(Z548)),X548-IF(ISNUMBER(S548),S548,0)-(Z548-IF(ISNUMBER(U548),U548,0)),"")</f>
        <v/>
      </c>
      <c r="AT548" s="17">
        <f>IF(AND(ISNUMBER(AR548),ISNUMBER(AS548)),AR548-AS548,"")</f>
        <v/>
      </c>
      <c r="AU548" s="17">
        <f>IF(E548="금융","",IF(AND(ISNUMBER(L548),ISNUMBER(M548),ISNUMBER(N548),ISNUMBER(AT548)),L548+M548-N548-AT548,IF(AND(ISNUMBER(O548),ISNUMBER(N548)),O548-N548,"")))</f>
        <v/>
      </c>
      <c r="AV548" s="8">
        <f>IF(E548="금융","금융업 - 정의되지 않음",IF(AND(ISNUMBER(L548),ISNUMBER(M548),ISNUMBER(N548),ISNUMBER(AT548)),"순이익+감가상각-설비투자-운전자본증감",IF(AND(ISNUMBER(O548),ISNUMBER(N548)),"영업현금흐름-설비투자","산출불가")))</f>
        <v/>
      </c>
      <c r="AW548" s="19">
        <f>IF(AND(ISNUMBER(AU548),ISNUMBER(G548),G548&lt;&gt;0),AU548/G548,"")</f>
        <v/>
      </c>
      <c r="AX548" s="19">
        <f>IF(AND(ISNUMBER(AC548),ISNUMBER(G548),G548&lt;&gt;0),AC548/G548,"")</f>
        <v/>
      </c>
    </row>
    <row r="549">
      <c r="A549" s="8" t="inlineStr">
        <is>
          <t>ANET</t>
        </is>
      </c>
      <c r="B549" s="8" t="inlineStr">
        <is>
          <t>Arista Networks, Inc.</t>
        </is>
      </c>
      <c r="C549" s="8" t="n">
        <v>2020</v>
      </c>
      <c r="D549" s="8" t="inlineStr">
        <is>
          <t>2020-12-31</t>
        </is>
      </c>
      <c r="E549" s="8" t="inlineStr">
        <is>
          <t>일반</t>
        </is>
      </c>
      <c r="F549" s="8" t="inlineStr">
        <is>
          <t>0001596532-23-000016</t>
        </is>
      </c>
      <c r="G549" s="15" t="n">
        <v>2.317512</v>
      </c>
      <c r="H549" s="15" t="n">
        <v>0.738863</v>
      </c>
      <c r="I549" s="15" t="n">
        <v>0</v>
      </c>
      <c r="J549" s="15" t="n">
        <v>0.104306</v>
      </c>
      <c r="K549" s="15" t="n">
        <v>0.699684</v>
      </c>
      <c r="L549" s="15" t="n">
        <v>0.634557</v>
      </c>
      <c r="M549" s="15" t="n">
        <v>0.035158</v>
      </c>
      <c r="N549" s="15" t="n">
        <v>0.015384</v>
      </c>
      <c r="O549" s="15" t="n">
        <v>0.735114</v>
      </c>
      <c r="P549" s="15" t="n">
        <v>3.320291</v>
      </c>
      <c r="Q549" s="15" t="n">
        <v>2.894686</v>
      </c>
      <c r="R549" s="15" t="n">
        <v>2.872868</v>
      </c>
      <c r="S549" s="15" t="n">
        <v>2.724368</v>
      </c>
      <c r="T549" s="15" t="n">
        <v>0</v>
      </c>
      <c r="U549" s="15" t="n">
        <v>0</v>
      </c>
      <c r="V549" s="15" t="n"/>
      <c r="W549" s="15" t="n">
        <v>3.836998</v>
      </c>
      <c r="X549" s="15" t="n">
        <v>3.471636</v>
      </c>
      <c r="Y549" s="15" t="n">
        <v>0.768243</v>
      </c>
      <c r="Z549" s="15" t="n">
        <v>0.597074</v>
      </c>
      <c r="AA549" s="15" t="n">
        <v>0.170318</v>
      </c>
      <c r="AB549" s="16" t="n">
        <v>1218.784</v>
      </c>
      <c r="AC549" s="17">
        <f>IF(AND(ISNUMBER(H549),ISNUMBER(I549)),H549+I549,IF(ISNUMBER(K549),K549,IF(ISNUMBER(H549),H549,"")))</f>
        <v/>
      </c>
      <c r="AD549" s="18">
        <f>IF(OR(NOT(ISNUMBER(J549)),NOT(ISNUMBER(H549)),H549&lt;=0),기준표!$B$8,MIN(MAX(J549/H549,기준표!$B$6),기준표!$B$7))</f>
        <v/>
      </c>
      <c r="AE549" s="17">
        <f>IF(ISNUMBER(AC549),AC549*(1-AD549),"")</f>
        <v/>
      </c>
      <c r="AF549" s="17">
        <f>IF(AND(NOT(ISNUMBER(T549)),NOT(ISNUMBER(V549))),"",IF(ISNUMBER(T549),T549,0)+IF(ISNUMBER(V549),V549,0))</f>
        <v/>
      </c>
      <c r="AG549" s="17">
        <f>IF(E549="금융","",IF(AND(ISNUMBER(P549),ISNUMBER(AF549),ISNUMBER(R549)),P549+AF549-R549,""))</f>
        <v/>
      </c>
      <c r="AH549" s="17">
        <f>IF(E549="금융","",IF(NOT(ISNUMBER(AG549)),"",IF(ISNUMBER(AA549),(AG549+AA549)/2,AG549)))</f>
        <v/>
      </c>
      <c r="AI549" s="19">
        <f>IF(AND(ISNUMBER(AE549),ISNUMBER(AH549),AH549&gt;0),AE549/AH549,"")</f>
        <v/>
      </c>
      <c r="AJ549" s="17">
        <f>IF(E549="금융","",IF(AND(ISNUMBER(P549),ISNUMBER(AF549)),P549+AF549,""))</f>
        <v/>
      </c>
      <c r="AK549" s="19">
        <f>IF(OR(NOT(ISNUMBER(AE549)),NOT(ISNUMBER(AJ549)),AJ549&lt;=0),"",IF(AND(ISNUMBER(G549),AJ549&lt;0.1*G549),"",AE549/AJ549))</f>
        <v/>
      </c>
      <c r="AL549" s="17">
        <f>IF(NOT(ISNUMBER(P549)),"",IF(ISNUMBER(Q549),(P549+Q549)/2,P549))</f>
        <v/>
      </c>
      <c r="AM549" s="19">
        <f>IF(AND(ISNUMBER(L549),ISNUMBER(AL549),AL549&gt;0),L549/AL549,"")</f>
        <v/>
      </c>
      <c r="AN549" s="19">
        <f>IF(AND(ISNUMBER(AM549),ISNUMBER({ROIC})),AM549-{ROIC},"")</f>
        <v/>
      </c>
      <c r="AO549" s="17">
        <f>IF(AND(ISNUMBER(AC549),ISNUMBER(M549)),AC549+M549,"")</f>
        <v/>
      </c>
      <c r="AP549" s="20">
        <f>IF(AND(ISNUMBER(AF549),ISNUMBER(R549),ISNUMBER(AO549),AO549&gt;0),(AF549-R549)/AO549,"")</f>
        <v/>
      </c>
      <c r="AQ549" s="20">
        <f>IF(AND(ISNUMBER(AC549),ISNUMBER(I549),I549&lt;&gt;0,AC549&gt;0),AC549/I549,"")</f>
        <v/>
      </c>
      <c r="AR549" s="17">
        <f>IF(AND(ISNUMBER(W549),ISNUMBER(Y549)),W549-IF(ISNUMBER(R549),R549,0)-(Y549-IF(ISNUMBER(T549),T549,0)),"")</f>
        <v/>
      </c>
      <c r="AS549" s="17">
        <f>IF(AND(ISNUMBER(X549),ISNUMBER(Z549)),X549-IF(ISNUMBER(S549),S549,0)-(Z549-IF(ISNUMBER(U549),U549,0)),"")</f>
        <v/>
      </c>
      <c r="AT549" s="17">
        <f>IF(AND(ISNUMBER(AR549),ISNUMBER(AS549)),AR549-AS549,"")</f>
        <v/>
      </c>
      <c r="AU549" s="17">
        <f>IF(E549="금융","",IF(AND(ISNUMBER(L549),ISNUMBER(M549),ISNUMBER(N549),ISNUMBER(AT549)),L549+M549-N549-AT549,IF(AND(ISNUMBER(O549),ISNUMBER(N549)),O549-N549,"")))</f>
        <v/>
      </c>
      <c r="AV549" s="8">
        <f>IF(E549="금융","금융업 - 정의되지 않음",IF(AND(ISNUMBER(L549),ISNUMBER(M549),ISNUMBER(N549),ISNUMBER(AT549)),"순이익+감가상각-설비투자-운전자본증감",IF(AND(ISNUMBER(O549),ISNUMBER(N549)),"영업현금흐름-설비투자","산출불가")))</f>
        <v/>
      </c>
      <c r="AW549" s="19">
        <f>IF(AND(ISNUMBER(AU549),ISNUMBER(G549),G549&lt;&gt;0),AU549/G549,"")</f>
        <v/>
      </c>
      <c r="AX549" s="19">
        <f>IF(AND(ISNUMBER(AC549),ISNUMBER(G549),G549&lt;&gt;0),AC549/G549,"")</f>
        <v/>
      </c>
    </row>
    <row r="550">
      <c r="A550" s="8" t="inlineStr">
        <is>
          <t>ANET</t>
        </is>
      </c>
      <c r="B550" s="8" t="inlineStr">
        <is>
          <t>Arista Networks, Inc.</t>
        </is>
      </c>
      <c r="C550" s="8" t="n">
        <v>2021</v>
      </c>
      <c r="D550" s="8" t="inlineStr">
        <is>
          <t>2021-12-31</t>
        </is>
      </c>
      <c r="E550" s="8" t="inlineStr">
        <is>
          <t>일반</t>
        </is>
      </c>
      <c r="F550" s="8" t="inlineStr">
        <is>
          <t>0001596532-24-000043</t>
        </is>
      </c>
      <c r="G550" s="15" t="n">
        <v>2.948037</v>
      </c>
      <c r="H550" s="15" t="n">
        <v>0.930879</v>
      </c>
      <c r="I550" s="15" t="n"/>
      <c r="J550" s="15" t="n">
        <v>0.09002499999999999</v>
      </c>
      <c r="K550" s="15" t="n">
        <v>0.924739</v>
      </c>
      <c r="L550" s="15" t="n">
        <v>0.840854</v>
      </c>
      <c r="M550" s="15" t="n">
        <v>0.050334</v>
      </c>
      <c r="N550" s="15" t="n">
        <v>0.064736</v>
      </c>
      <c r="O550" s="15" t="n">
        <v>1.015856</v>
      </c>
      <c r="P550" s="15" t="n">
        <v>3.9786</v>
      </c>
      <c r="Q550" s="15" t="n">
        <v>3.320291</v>
      </c>
      <c r="R550" s="15" t="n">
        <v>3.408315</v>
      </c>
      <c r="S550" s="15" t="n">
        <v>2.872868</v>
      </c>
      <c r="T550" s="15" t="n">
        <v>0</v>
      </c>
      <c r="U550" s="15" t="n">
        <v>0</v>
      </c>
      <c r="V550" s="15" t="n"/>
      <c r="W550" s="15" t="n">
        <v>4.812676</v>
      </c>
      <c r="X550" s="15" t="n">
        <v>3.836998</v>
      </c>
      <c r="Y550" s="15" t="n">
        <v>1.109829</v>
      </c>
      <c r="Z550" s="15" t="n">
        <v>0.768243</v>
      </c>
      <c r="AA550" s="15" t="n">
        <v>0.447423</v>
      </c>
      <c r="AB550" s="16" t="n">
        <v>1230.724</v>
      </c>
      <c r="AC550" s="17">
        <f>IF(AND(ISNUMBER(H550),ISNUMBER(I550)),H550+I550,IF(ISNUMBER(K550),K550,IF(ISNUMBER(H550),H550,"")))</f>
        <v/>
      </c>
      <c r="AD550" s="18">
        <f>IF(OR(NOT(ISNUMBER(J550)),NOT(ISNUMBER(H550)),H550&lt;=0),기준표!$B$8,MIN(MAX(J550/H550,기준표!$B$6),기준표!$B$7))</f>
        <v/>
      </c>
      <c r="AE550" s="17">
        <f>IF(ISNUMBER(AC550),AC550*(1-AD550),"")</f>
        <v/>
      </c>
      <c r="AF550" s="17">
        <f>IF(AND(NOT(ISNUMBER(T550)),NOT(ISNUMBER(V550))),"",IF(ISNUMBER(T550),T550,0)+IF(ISNUMBER(V550),V550,0))</f>
        <v/>
      </c>
      <c r="AG550" s="17">
        <f>IF(E550="금융","",IF(AND(ISNUMBER(P550),ISNUMBER(AF550),ISNUMBER(R550)),P550+AF550-R550,""))</f>
        <v/>
      </c>
      <c r="AH550" s="17">
        <f>IF(E550="금융","",IF(NOT(ISNUMBER(AG550)),"",IF(ISNUMBER(AA550),(AG550+AA550)/2,AG550)))</f>
        <v/>
      </c>
      <c r="AI550" s="19">
        <f>IF(AND(ISNUMBER(AE550),ISNUMBER(AH550),AH550&gt;0),AE550/AH550,"")</f>
        <v/>
      </c>
      <c r="AJ550" s="17">
        <f>IF(E550="금융","",IF(AND(ISNUMBER(P550),ISNUMBER(AF550)),P550+AF550,""))</f>
        <v/>
      </c>
      <c r="AK550" s="19">
        <f>IF(OR(NOT(ISNUMBER(AE550)),NOT(ISNUMBER(AJ550)),AJ550&lt;=0),"",IF(AND(ISNUMBER(G550),AJ550&lt;0.1*G550),"",AE550/AJ550))</f>
        <v/>
      </c>
      <c r="AL550" s="17">
        <f>IF(NOT(ISNUMBER(P550)),"",IF(ISNUMBER(Q550),(P550+Q550)/2,P550))</f>
        <v/>
      </c>
      <c r="AM550" s="19">
        <f>IF(AND(ISNUMBER(L550),ISNUMBER(AL550),AL550&gt;0),L550/AL550,"")</f>
        <v/>
      </c>
      <c r="AN550" s="19">
        <f>IF(AND(ISNUMBER(AM550),ISNUMBER({ROIC})),AM550-{ROIC},"")</f>
        <v/>
      </c>
      <c r="AO550" s="17">
        <f>IF(AND(ISNUMBER(AC550),ISNUMBER(M550)),AC550+M550,"")</f>
        <v/>
      </c>
      <c r="AP550" s="20">
        <f>IF(AND(ISNUMBER(AF550),ISNUMBER(R550),ISNUMBER(AO550),AO550&gt;0),(AF550-R550)/AO550,"")</f>
        <v/>
      </c>
      <c r="AQ550" s="20">
        <f>IF(AND(ISNUMBER(AC550),ISNUMBER(I550),I550&lt;&gt;0,AC550&gt;0),AC550/I550,"")</f>
        <v/>
      </c>
      <c r="AR550" s="17">
        <f>IF(AND(ISNUMBER(W550),ISNUMBER(Y550)),W550-IF(ISNUMBER(R550),R550,0)-(Y550-IF(ISNUMBER(T550),T550,0)),"")</f>
        <v/>
      </c>
      <c r="AS550" s="17">
        <f>IF(AND(ISNUMBER(X550),ISNUMBER(Z550)),X550-IF(ISNUMBER(S550),S550,0)-(Z550-IF(ISNUMBER(U550),U550,0)),"")</f>
        <v/>
      </c>
      <c r="AT550" s="17">
        <f>IF(AND(ISNUMBER(AR550),ISNUMBER(AS550)),AR550-AS550,"")</f>
        <v/>
      </c>
      <c r="AU550" s="17">
        <f>IF(E550="금융","",IF(AND(ISNUMBER(L550),ISNUMBER(M550),ISNUMBER(N550),ISNUMBER(AT550)),L550+M550-N550-AT550,IF(AND(ISNUMBER(O550),ISNUMBER(N550)),O550-N550,"")))</f>
        <v/>
      </c>
      <c r="AV550" s="8">
        <f>IF(E550="금융","금융업 - 정의되지 않음",IF(AND(ISNUMBER(L550),ISNUMBER(M550),ISNUMBER(N550),ISNUMBER(AT550)),"순이익+감가상각-설비투자-운전자본증감",IF(AND(ISNUMBER(O550),ISNUMBER(N550)),"영업현금흐름-설비투자","산출불가")))</f>
        <v/>
      </c>
      <c r="AW550" s="19">
        <f>IF(AND(ISNUMBER(AU550),ISNUMBER(G550),G550&lt;&gt;0),AU550/G550,"")</f>
        <v/>
      </c>
      <c r="AX550" s="19">
        <f>IF(AND(ISNUMBER(AC550),ISNUMBER(G550),G550&lt;&gt;0),AC550/G550,"")</f>
        <v/>
      </c>
    </row>
    <row r="551">
      <c r="A551" s="8" t="inlineStr">
        <is>
          <t>ANET</t>
        </is>
      </c>
      <c r="B551" s="8" t="inlineStr">
        <is>
          <t>Arista Networks, Inc.</t>
        </is>
      </c>
      <c r="C551" s="8" t="n">
        <v>2022</v>
      </c>
      <c r="D551" s="8" t="inlineStr">
        <is>
          <t>2022-12-31</t>
        </is>
      </c>
      <c r="E551" s="8" t="inlineStr">
        <is>
          <t>일반</t>
        </is>
      </c>
      <c r="F551" s="8" t="inlineStr">
        <is>
          <t>0001596532-25-000028</t>
        </is>
      </c>
      <c r="G551" s="15" t="n">
        <v>4.38131</v>
      </c>
      <c r="H551" s="15" t="n">
        <v>1.581796</v>
      </c>
      <c r="I551" s="15" t="n"/>
      <c r="J551" s="15" t="n">
        <v>0.22935</v>
      </c>
      <c r="K551" s="15" t="n">
        <v>1.527106</v>
      </c>
      <c r="L551" s="15" t="n">
        <v>1.352446</v>
      </c>
      <c r="M551" s="15" t="n">
        <v>0.06270000000000001</v>
      </c>
      <c r="N551" s="15" t="n">
        <v>0.044644</v>
      </c>
      <c r="O551" s="15" t="n">
        <v>0.492813</v>
      </c>
      <c r="P551" s="15" t="n">
        <v>4.8858</v>
      </c>
      <c r="Q551" s="15" t="n">
        <v>3.9786</v>
      </c>
      <c r="R551" s="15" t="n">
        <v>3.023729</v>
      </c>
      <c r="S551" s="15" t="n">
        <v>3.408315</v>
      </c>
      <c r="T551" s="15" t="n">
        <v>0</v>
      </c>
      <c r="U551" s="15" t="n">
        <v>0</v>
      </c>
      <c r="V551" s="15" t="n"/>
      <c r="W551" s="15" t="n">
        <v>5.550748</v>
      </c>
      <c r="X551" s="15" t="n">
        <v>4.812676</v>
      </c>
      <c r="Y551" s="15" t="n">
        <v>1.293531</v>
      </c>
      <c r="Z551" s="15" t="n">
        <v>1.109829</v>
      </c>
      <c r="AA551" s="15" t="n">
        <v>0.570285</v>
      </c>
      <c r="AB551" s="16" t="n">
        <v>1227.56</v>
      </c>
      <c r="AC551" s="17">
        <f>IF(AND(ISNUMBER(H551),ISNUMBER(I551)),H551+I551,IF(ISNUMBER(K551),K551,IF(ISNUMBER(H551),H551,"")))</f>
        <v/>
      </c>
      <c r="AD551" s="18">
        <f>IF(OR(NOT(ISNUMBER(J551)),NOT(ISNUMBER(H551)),H551&lt;=0),기준표!$B$8,MIN(MAX(J551/H551,기준표!$B$6),기준표!$B$7))</f>
        <v/>
      </c>
      <c r="AE551" s="17">
        <f>IF(ISNUMBER(AC551),AC551*(1-AD551),"")</f>
        <v/>
      </c>
      <c r="AF551" s="17">
        <f>IF(AND(NOT(ISNUMBER(T551)),NOT(ISNUMBER(V551))),"",IF(ISNUMBER(T551),T551,0)+IF(ISNUMBER(V551),V551,0))</f>
        <v/>
      </c>
      <c r="AG551" s="17">
        <f>IF(E551="금융","",IF(AND(ISNUMBER(P551),ISNUMBER(AF551),ISNUMBER(R551)),P551+AF551-R551,""))</f>
        <v/>
      </c>
      <c r="AH551" s="17">
        <f>IF(E551="금융","",IF(NOT(ISNUMBER(AG551)),"",IF(ISNUMBER(AA551),(AG551+AA551)/2,AG551)))</f>
        <v/>
      </c>
      <c r="AI551" s="19">
        <f>IF(AND(ISNUMBER(AE551),ISNUMBER(AH551),AH551&gt;0),AE551/AH551,"")</f>
        <v/>
      </c>
      <c r="AJ551" s="17">
        <f>IF(E551="금융","",IF(AND(ISNUMBER(P551),ISNUMBER(AF551)),P551+AF551,""))</f>
        <v/>
      </c>
      <c r="AK551" s="19">
        <f>IF(OR(NOT(ISNUMBER(AE551)),NOT(ISNUMBER(AJ551)),AJ551&lt;=0),"",IF(AND(ISNUMBER(G551),AJ551&lt;0.1*G551),"",AE551/AJ551))</f>
        <v/>
      </c>
      <c r="AL551" s="17">
        <f>IF(NOT(ISNUMBER(P551)),"",IF(ISNUMBER(Q551),(P551+Q551)/2,P551))</f>
        <v/>
      </c>
      <c r="AM551" s="19">
        <f>IF(AND(ISNUMBER(L551),ISNUMBER(AL551),AL551&gt;0),L551/AL551,"")</f>
        <v/>
      </c>
      <c r="AN551" s="19">
        <f>IF(AND(ISNUMBER(AM551),ISNUMBER({ROIC})),AM551-{ROIC},"")</f>
        <v/>
      </c>
      <c r="AO551" s="17">
        <f>IF(AND(ISNUMBER(AC551),ISNUMBER(M551)),AC551+M551,"")</f>
        <v/>
      </c>
      <c r="AP551" s="20">
        <f>IF(AND(ISNUMBER(AF551),ISNUMBER(R551),ISNUMBER(AO551),AO551&gt;0),(AF551-R551)/AO551,"")</f>
        <v/>
      </c>
      <c r="AQ551" s="20">
        <f>IF(AND(ISNUMBER(AC551),ISNUMBER(I551),I551&lt;&gt;0,AC551&gt;0),AC551/I551,"")</f>
        <v/>
      </c>
      <c r="AR551" s="17">
        <f>IF(AND(ISNUMBER(W551),ISNUMBER(Y551)),W551-IF(ISNUMBER(R551),R551,0)-(Y551-IF(ISNUMBER(T551),T551,0)),"")</f>
        <v/>
      </c>
      <c r="AS551" s="17">
        <f>IF(AND(ISNUMBER(X551),ISNUMBER(Z551)),X551-IF(ISNUMBER(S551),S551,0)-(Z551-IF(ISNUMBER(U551),U551,0)),"")</f>
        <v/>
      </c>
      <c r="AT551" s="17">
        <f>IF(AND(ISNUMBER(AR551),ISNUMBER(AS551)),AR551-AS551,"")</f>
        <v/>
      </c>
      <c r="AU551" s="17">
        <f>IF(E551="금융","",IF(AND(ISNUMBER(L551),ISNUMBER(M551),ISNUMBER(N551),ISNUMBER(AT551)),L551+M551-N551-AT551,IF(AND(ISNUMBER(O551),ISNUMBER(N551)),O551-N551,"")))</f>
        <v/>
      </c>
      <c r="AV551" s="8">
        <f>IF(E551="금융","금융업 - 정의되지 않음",IF(AND(ISNUMBER(L551),ISNUMBER(M551),ISNUMBER(N551),ISNUMBER(AT551)),"순이익+감가상각-설비투자-운전자본증감",IF(AND(ISNUMBER(O551),ISNUMBER(N551)),"영업현금흐름-설비투자","산출불가")))</f>
        <v/>
      </c>
      <c r="AW551" s="19">
        <f>IF(AND(ISNUMBER(AU551),ISNUMBER(G551),G551&lt;&gt;0),AU551/G551,"")</f>
        <v/>
      </c>
      <c r="AX551" s="19">
        <f>IF(AND(ISNUMBER(AC551),ISNUMBER(G551),G551&lt;&gt;0),AC551/G551,"")</f>
        <v/>
      </c>
    </row>
    <row r="552">
      <c r="A552" s="8" t="inlineStr">
        <is>
          <t>ANET</t>
        </is>
      </c>
      <c r="B552" s="8" t="inlineStr">
        <is>
          <t>Arista Networks, Inc.</t>
        </is>
      </c>
      <c r="C552" s="8" t="n">
        <v>2023</v>
      </c>
      <c r="D552" s="8" t="inlineStr">
        <is>
          <t>2023-12-31</t>
        </is>
      </c>
      <c r="E552" s="8" t="inlineStr">
        <is>
          <t>일반</t>
        </is>
      </c>
      <c r="F552" s="8" t="inlineStr">
        <is>
          <t>0001596532-26-000013</t>
        </is>
      </c>
      <c r="G552" s="15" t="n">
        <v>5.8602</v>
      </c>
      <c r="H552" s="15" t="n">
        <v>2.422</v>
      </c>
      <c r="I552" s="15" t="n"/>
      <c r="J552" s="15" t="n">
        <v>0.3347</v>
      </c>
      <c r="K552" s="15" t="n">
        <v>2.2573</v>
      </c>
      <c r="L552" s="15" t="n">
        <v>2.0873</v>
      </c>
      <c r="M552" s="15" t="n">
        <v>0.0706</v>
      </c>
      <c r="N552" s="15" t="n">
        <v>0.0344</v>
      </c>
      <c r="O552" s="15" t="n">
        <v>2.034</v>
      </c>
      <c r="P552" s="15" t="n">
        <v>7.219</v>
      </c>
      <c r="Q552" s="15" t="n">
        <v>4.8858</v>
      </c>
      <c r="R552" s="15" t="n">
        <v>5.007968</v>
      </c>
      <c r="S552" s="15" t="n">
        <v>3.023729</v>
      </c>
      <c r="T552" s="15" t="n">
        <v>0</v>
      </c>
      <c r="U552" s="15" t="n">
        <v>0</v>
      </c>
      <c r="V552" s="15" t="n"/>
      <c r="W552" s="15" t="n">
        <v>8.400064</v>
      </c>
      <c r="X552" s="15" t="n">
        <v>5.550748</v>
      </c>
      <c r="Y552" s="15" t="n">
        <v>1.919435</v>
      </c>
      <c r="Z552" s="15" t="n">
        <v>1.293531</v>
      </c>
      <c r="AA552" s="15" t="n">
        <v>1.862071</v>
      </c>
      <c r="AB552" s="16" t="n">
        <v>1248.982</v>
      </c>
      <c r="AC552" s="17">
        <f>IF(AND(ISNUMBER(H552),ISNUMBER(I552)),H552+I552,IF(ISNUMBER(K552),K552,IF(ISNUMBER(H552),H552,"")))</f>
        <v/>
      </c>
      <c r="AD552" s="18">
        <f>IF(OR(NOT(ISNUMBER(J552)),NOT(ISNUMBER(H552)),H552&lt;=0),기준표!$B$8,MIN(MAX(J552/H552,기준표!$B$6),기준표!$B$7))</f>
        <v/>
      </c>
      <c r="AE552" s="17">
        <f>IF(ISNUMBER(AC552),AC552*(1-AD552),"")</f>
        <v/>
      </c>
      <c r="AF552" s="17">
        <f>IF(AND(NOT(ISNUMBER(T552)),NOT(ISNUMBER(V552))),"",IF(ISNUMBER(T552),T552,0)+IF(ISNUMBER(V552),V552,0))</f>
        <v/>
      </c>
      <c r="AG552" s="17">
        <f>IF(E552="금융","",IF(AND(ISNUMBER(P552),ISNUMBER(AF552),ISNUMBER(R552)),P552+AF552-R552,""))</f>
        <v/>
      </c>
      <c r="AH552" s="17">
        <f>IF(E552="금융","",IF(NOT(ISNUMBER(AG552)),"",IF(ISNUMBER(AA552),(AG552+AA552)/2,AG552)))</f>
        <v/>
      </c>
      <c r="AI552" s="19">
        <f>IF(AND(ISNUMBER(AE552),ISNUMBER(AH552),AH552&gt;0),AE552/AH552,"")</f>
        <v/>
      </c>
      <c r="AJ552" s="17">
        <f>IF(E552="금융","",IF(AND(ISNUMBER(P552),ISNUMBER(AF552)),P552+AF552,""))</f>
        <v/>
      </c>
      <c r="AK552" s="19">
        <f>IF(OR(NOT(ISNUMBER(AE552)),NOT(ISNUMBER(AJ552)),AJ552&lt;=0),"",IF(AND(ISNUMBER(G552),AJ552&lt;0.1*G552),"",AE552/AJ552))</f>
        <v/>
      </c>
      <c r="AL552" s="17">
        <f>IF(NOT(ISNUMBER(P552)),"",IF(ISNUMBER(Q552),(P552+Q552)/2,P552))</f>
        <v/>
      </c>
      <c r="AM552" s="19">
        <f>IF(AND(ISNUMBER(L552),ISNUMBER(AL552),AL552&gt;0),L552/AL552,"")</f>
        <v/>
      </c>
      <c r="AN552" s="19">
        <f>IF(AND(ISNUMBER(AM552),ISNUMBER({ROIC})),AM552-{ROIC},"")</f>
        <v/>
      </c>
      <c r="AO552" s="17">
        <f>IF(AND(ISNUMBER(AC552),ISNUMBER(M552)),AC552+M552,"")</f>
        <v/>
      </c>
      <c r="AP552" s="20">
        <f>IF(AND(ISNUMBER(AF552),ISNUMBER(R552),ISNUMBER(AO552),AO552&gt;0),(AF552-R552)/AO552,"")</f>
        <v/>
      </c>
      <c r="AQ552" s="20">
        <f>IF(AND(ISNUMBER(AC552),ISNUMBER(I552),I552&lt;&gt;0,AC552&gt;0),AC552/I552,"")</f>
        <v/>
      </c>
      <c r="AR552" s="17">
        <f>IF(AND(ISNUMBER(W552),ISNUMBER(Y552)),W552-IF(ISNUMBER(R552),R552,0)-(Y552-IF(ISNUMBER(T552),T552,0)),"")</f>
        <v/>
      </c>
      <c r="AS552" s="17">
        <f>IF(AND(ISNUMBER(X552),ISNUMBER(Z552)),X552-IF(ISNUMBER(S552),S552,0)-(Z552-IF(ISNUMBER(U552),U552,0)),"")</f>
        <v/>
      </c>
      <c r="AT552" s="17">
        <f>IF(AND(ISNUMBER(AR552),ISNUMBER(AS552)),AR552-AS552,"")</f>
        <v/>
      </c>
      <c r="AU552" s="17">
        <f>IF(E552="금융","",IF(AND(ISNUMBER(L552),ISNUMBER(M552),ISNUMBER(N552),ISNUMBER(AT552)),L552+M552-N552-AT552,IF(AND(ISNUMBER(O552),ISNUMBER(N552)),O552-N552,"")))</f>
        <v/>
      </c>
      <c r="AV552" s="8">
        <f>IF(E552="금융","금융업 - 정의되지 않음",IF(AND(ISNUMBER(L552),ISNUMBER(M552),ISNUMBER(N552),ISNUMBER(AT552)),"순이익+감가상각-설비투자-운전자본증감",IF(AND(ISNUMBER(O552),ISNUMBER(N552)),"영업현금흐름-설비투자","산출불가")))</f>
        <v/>
      </c>
      <c r="AW552" s="19">
        <f>IF(AND(ISNUMBER(AU552),ISNUMBER(G552),G552&lt;&gt;0),AU552/G552,"")</f>
        <v/>
      </c>
      <c r="AX552" s="19">
        <f>IF(AND(ISNUMBER(AC552),ISNUMBER(G552),G552&lt;&gt;0),AC552/G552,"")</f>
        <v/>
      </c>
    </row>
    <row r="553">
      <c r="A553" s="8" t="inlineStr">
        <is>
          <t>ANET</t>
        </is>
      </c>
      <c r="B553" s="8" t="inlineStr">
        <is>
          <t>Arista Networks, Inc.</t>
        </is>
      </c>
      <c r="C553" s="8" t="n">
        <v>2024</v>
      </c>
      <c r="D553" s="8" t="inlineStr">
        <is>
          <t>2024-12-31</t>
        </is>
      </c>
      <c r="E553" s="8" t="inlineStr">
        <is>
          <t>일반</t>
        </is>
      </c>
      <c r="F553" s="8" t="inlineStr">
        <is>
          <t>0001596532-26-000013</t>
        </is>
      </c>
      <c r="G553" s="15" t="n">
        <v>7.0031</v>
      </c>
      <c r="H553" s="15" t="n">
        <v>3.2651</v>
      </c>
      <c r="I553" s="15" t="n"/>
      <c r="J553" s="15" t="n">
        <v>0.413</v>
      </c>
      <c r="K553" s="15" t="n">
        <v>2.9446</v>
      </c>
      <c r="L553" s="15" t="n">
        <v>2.8521</v>
      </c>
      <c r="M553" s="15" t="n">
        <v>0.062</v>
      </c>
      <c r="N553" s="15" t="n">
        <v>0.032</v>
      </c>
      <c r="O553" s="15" t="n">
        <v>3.7082</v>
      </c>
      <c r="P553" s="15" t="n">
        <v>9.9948</v>
      </c>
      <c r="Q553" s="15" t="n">
        <v>7.219</v>
      </c>
      <c r="R553" s="15" t="n">
        <v>8.3035</v>
      </c>
      <c r="S553" s="15" t="n">
        <v>5.007968</v>
      </c>
      <c r="T553" s="15" t="n">
        <v>0</v>
      </c>
      <c r="U553" s="15" t="n">
        <v>0</v>
      </c>
      <c r="V553" s="15" t="n"/>
      <c r="W553" s="15" t="n">
        <v>11.9109</v>
      </c>
      <c r="X553" s="15" t="n">
        <v>8.400064</v>
      </c>
      <c r="Y553" s="15" t="n">
        <v>2.7322</v>
      </c>
      <c r="Z553" s="15" t="n">
        <v>1.919435</v>
      </c>
      <c r="AA553" s="15" t="n">
        <v>2.211032</v>
      </c>
      <c r="AB553" s="16" t="n">
        <v>1261.3</v>
      </c>
      <c r="AC553" s="17">
        <f>IF(AND(ISNUMBER(H553),ISNUMBER(I553)),H553+I553,IF(ISNUMBER(K553),K553,IF(ISNUMBER(H553),H553,"")))</f>
        <v/>
      </c>
      <c r="AD553" s="18">
        <f>IF(OR(NOT(ISNUMBER(J553)),NOT(ISNUMBER(H553)),H553&lt;=0),기준표!$B$8,MIN(MAX(J553/H553,기준표!$B$6),기준표!$B$7))</f>
        <v/>
      </c>
      <c r="AE553" s="17">
        <f>IF(ISNUMBER(AC553),AC553*(1-AD553),"")</f>
        <v/>
      </c>
      <c r="AF553" s="17">
        <f>IF(AND(NOT(ISNUMBER(T553)),NOT(ISNUMBER(V553))),"",IF(ISNUMBER(T553),T553,0)+IF(ISNUMBER(V553),V553,0))</f>
        <v/>
      </c>
      <c r="AG553" s="17">
        <f>IF(E553="금융","",IF(AND(ISNUMBER(P553),ISNUMBER(AF553),ISNUMBER(R553)),P553+AF553-R553,""))</f>
        <v/>
      </c>
      <c r="AH553" s="17">
        <f>IF(E553="금융","",IF(NOT(ISNUMBER(AG553)),"",IF(ISNUMBER(AA553),(AG553+AA553)/2,AG553)))</f>
        <v/>
      </c>
      <c r="AI553" s="19">
        <f>IF(AND(ISNUMBER(AE553),ISNUMBER(AH553),AH553&gt;0),AE553/AH553,"")</f>
        <v/>
      </c>
      <c r="AJ553" s="17">
        <f>IF(E553="금융","",IF(AND(ISNUMBER(P553),ISNUMBER(AF553)),P553+AF553,""))</f>
        <v/>
      </c>
      <c r="AK553" s="19">
        <f>IF(OR(NOT(ISNUMBER(AE553)),NOT(ISNUMBER(AJ553)),AJ553&lt;=0),"",IF(AND(ISNUMBER(G553),AJ553&lt;0.1*G553),"",AE553/AJ553))</f>
        <v/>
      </c>
      <c r="AL553" s="17">
        <f>IF(NOT(ISNUMBER(P553)),"",IF(ISNUMBER(Q553),(P553+Q553)/2,P553))</f>
        <v/>
      </c>
      <c r="AM553" s="19">
        <f>IF(AND(ISNUMBER(L553),ISNUMBER(AL553),AL553&gt;0),L553/AL553,"")</f>
        <v/>
      </c>
      <c r="AN553" s="19">
        <f>IF(AND(ISNUMBER(AM553),ISNUMBER({ROIC})),AM553-{ROIC},"")</f>
        <v/>
      </c>
      <c r="AO553" s="17">
        <f>IF(AND(ISNUMBER(AC553),ISNUMBER(M553)),AC553+M553,"")</f>
        <v/>
      </c>
      <c r="AP553" s="20">
        <f>IF(AND(ISNUMBER(AF553),ISNUMBER(R553),ISNUMBER(AO553),AO553&gt;0),(AF553-R553)/AO553,"")</f>
        <v/>
      </c>
      <c r="AQ553" s="20">
        <f>IF(AND(ISNUMBER(AC553),ISNUMBER(I553),I553&lt;&gt;0,AC553&gt;0),AC553/I553,"")</f>
        <v/>
      </c>
      <c r="AR553" s="17">
        <f>IF(AND(ISNUMBER(W553),ISNUMBER(Y553)),W553-IF(ISNUMBER(R553),R553,0)-(Y553-IF(ISNUMBER(T553),T553,0)),"")</f>
        <v/>
      </c>
      <c r="AS553" s="17">
        <f>IF(AND(ISNUMBER(X553),ISNUMBER(Z553)),X553-IF(ISNUMBER(S553),S553,0)-(Z553-IF(ISNUMBER(U553),U553,0)),"")</f>
        <v/>
      </c>
      <c r="AT553" s="17">
        <f>IF(AND(ISNUMBER(AR553),ISNUMBER(AS553)),AR553-AS553,"")</f>
        <v/>
      </c>
      <c r="AU553" s="17">
        <f>IF(E553="금융","",IF(AND(ISNUMBER(L553),ISNUMBER(M553),ISNUMBER(N553),ISNUMBER(AT553)),L553+M553-N553-AT553,IF(AND(ISNUMBER(O553),ISNUMBER(N553)),O553-N553,"")))</f>
        <v/>
      </c>
      <c r="AV553" s="8">
        <f>IF(E553="금융","금융업 - 정의되지 않음",IF(AND(ISNUMBER(L553),ISNUMBER(M553),ISNUMBER(N553),ISNUMBER(AT553)),"순이익+감가상각-설비투자-운전자본증감",IF(AND(ISNUMBER(O553),ISNUMBER(N553)),"영업현금흐름-설비투자","산출불가")))</f>
        <v/>
      </c>
      <c r="AW553" s="19">
        <f>IF(AND(ISNUMBER(AU553),ISNUMBER(G553),G553&lt;&gt;0),AU553/G553,"")</f>
        <v/>
      </c>
      <c r="AX553" s="19">
        <f>IF(AND(ISNUMBER(AC553),ISNUMBER(G553),G553&lt;&gt;0),AC553/G553,"")</f>
        <v/>
      </c>
    </row>
    <row r="554">
      <c r="A554" s="8" t="inlineStr">
        <is>
          <t>ANET</t>
        </is>
      </c>
      <c r="B554" s="8" t="inlineStr">
        <is>
          <t>Arista Networks, Inc.</t>
        </is>
      </c>
      <c r="C554" s="8" t="n">
        <v>2025</v>
      </c>
      <c r="D554" s="8" t="inlineStr">
        <is>
          <t>2025-12-31</t>
        </is>
      </c>
      <c r="E554" s="8" t="inlineStr">
        <is>
          <t>일반</t>
        </is>
      </c>
      <c r="F554" s="8" t="inlineStr">
        <is>
          <t>0001596532-26-000013</t>
        </is>
      </c>
      <c r="G554" s="15" t="n">
        <v>9.005699999999999</v>
      </c>
      <c r="H554" s="15" t="n">
        <v>4.2497</v>
      </c>
      <c r="I554" s="15" t="n"/>
      <c r="J554" s="15" t="n">
        <v>0.7383</v>
      </c>
      <c r="K554" s="15" t="n">
        <v>3.8561</v>
      </c>
      <c r="L554" s="15" t="n">
        <v>3.5114</v>
      </c>
      <c r="M554" s="15" t="n">
        <v>0.0726</v>
      </c>
      <c r="N554" s="15" t="n">
        <v>0.1195</v>
      </c>
      <c r="O554" s="15" t="n">
        <v>4.3719</v>
      </c>
      <c r="P554" s="15" t="n">
        <v>12.3705</v>
      </c>
      <c r="Q554" s="15" t="n">
        <v>9.9948</v>
      </c>
      <c r="R554" s="15" t="n">
        <v>10.743</v>
      </c>
      <c r="S554" s="15" t="n">
        <v>8.3035</v>
      </c>
      <c r="T554" s="15" t="n">
        <v>0</v>
      </c>
      <c r="U554" s="15" t="n">
        <v>0</v>
      </c>
      <c r="V554" s="15" t="n"/>
      <c r="W554" s="15" t="n">
        <v>16.387</v>
      </c>
      <c r="X554" s="15" t="n">
        <v>11.9109</v>
      </c>
      <c r="Y554" s="15" t="n">
        <v>5.3765</v>
      </c>
      <c r="Z554" s="15" t="n">
        <v>2.7322</v>
      </c>
      <c r="AA554" s="15" t="n">
        <v>1.6913</v>
      </c>
      <c r="AB554" s="16" t="n">
        <v>1256.5</v>
      </c>
      <c r="AC554" s="17">
        <f>IF(AND(ISNUMBER(H554),ISNUMBER(I554)),H554+I554,IF(ISNUMBER(K554),K554,IF(ISNUMBER(H554),H554,"")))</f>
        <v/>
      </c>
      <c r="AD554" s="18">
        <f>IF(OR(NOT(ISNUMBER(J554)),NOT(ISNUMBER(H554)),H554&lt;=0),기준표!$B$8,MIN(MAX(J554/H554,기준표!$B$6),기준표!$B$7))</f>
        <v/>
      </c>
      <c r="AE554" s="17">
        <f>IF(ISNUMBER(AC554),AC554*(1-AD554),"")</f>
        <v/>
      </c>
      <c r="AF554" s="17">
        <f>IF(AND(NOT(ISNUMBER(T554)),NOT(ISNUMBER(V554))),"",IF(ISNUMBER(T554),T554,0)+IF(ISNUMBER(V554),V554,0))</f>
        <v/>
      </c>
      <c r="AG554" s="17">
        <f>IF(E554="금융","",IF(AND(ISNUMBER(P554),ISNUMBER(AF554),ISNUMBER(R554)),P554+AF554-R554,""))</f>
        <v/>
      </c>
      <c r="AH554" s="17">
        <f>IF(E554="금융","",IF(NOT(ISNUMBER(AG554)),"",IF(ISNUMBER(AA554),(AG554+AA554)/2,AG554)))</f>
        <v/>
      </c>
      <c r="AI554" s="19">
        <f>IF(AND(ISNUMBER(AE554),ISNUMBER(AH554),AH554&gt;0),AE554/AH554,"")</f>
        <v/>
      </c>
      <c r="AJ554" s="17">
        <f>IF(E554="금융","",IF(AND(ISNUMBER(P554),ISNUMBER(AF554)),P554+AF554,""))</f>
        <v/>
      </c>
      <c r="AK554" s="19">
        <f>IF(OR(NOT(ISNUMBER(AE554)),NOT(ISNUMBER(AJ554)),AJ554&lt;=0),"",IF(AND(ISNUMBER(G554),AJ554&lt;0.1*G554),"",AE554/AJ554))</f>
        <v/>
      </c>
      <c r="AL554" s="17">
        <f>IF(NOT(ISNUMBER(P554)),"",IF(ISNUMBER(Q554),(P554+Q554)/2,P554))</f>
        <v/>
      </c>
      <c r="AM554" s="19">
        <f>IF(AND(ISNUMBER(L554),ISNUMBER(AL554),AL554&gt;0),L554/AL554,"")</f>
        <v/>
      </c>
      <c r="AN554" s="19">
        <f>IF(AND(ISNUMBER(AM554),ISNUMBER({ROIC})),AM554-{ROIC},"")</f>
        <v/>
      </c>
      <c r="AO554" s="17">
        <f>IF(AND(ISNUMBER(AC554),ISNUMBER(M554)),AC554+M554,"")</f>
        <v/>
      </c>
      <c r="AP554" s="20">
        <f>IF(AND(ISNUMBER(AF554),ISNUMBER(R554),ISNUMBER(AO554),AO554&gt;0),(AF554-R554)/AO554,"")</f>
        <v/>
      </c>
      <c r="AQ554" s="20">
        <f>IF(AND(ISNUMBER(AC554),ISNUMBER(I554),I554&lt;&gt;0,AC554&gt;0),AC554/I554,"")</f>
        <v/>
      </c>
      <c r="AR554" s="17">
        <f>IF(AND(ISNUMBER(W554),ISNUMBER(Y554)),W554-IF(ISNUMBER(R554),R554,0)-(Y554-IF(ISNUMBER(T554),T554,0)),"")</f>
        <v/>
      </c>
      <c r="AS554" s="17">
        <f>IF(AND(ISNUMBER(X554),ISNUMBER(Z554)),X554-IF(ISNUMBER(S554),S554,0)-(Z554-IF(ISNUMBER(U554),U554,0)),"")</f>
        <v/>
      </c>
      <c r="AT554" s="17">
        <f>IF(AND(ISNUMBER(AR554),ISNUMBER(AS554)),AR554-AS554,"")</f>
        <v/>
      </c>
      <c r="AU554" s="17">
        <f>IF(E554="금융","",IF(AND(ISNUMBER(L554),ISNUMBER(M554),ISNUMBER(N554),ISNUMBER(AT554)),L554+M554-N554-AT554,IF(AND(ISNUMBER(O554),ISNUMBER(N554)),O554-N554,"")))</f>
        <v/>
      </c>
      <c r="AV554" s="8">
        <f>IF(E554="금융","금융업 - 정의되지 않음",IF(AND(ISNUMBER(L554),ISNUMBER(M554),ISNUMBER(N554),ISNUMBER(AT554)),"순이익+감가상각-설비투자-운전자본증감",IF(AND(ISNUMBER(O554),ISNUMBER(N554)),"영업현금흐름-설비투자","산출불가")))</f>
        <v/>
      </c>
      <c r="AW554" s="19">
        <f>IF(AND(ISNUMBER(AU554),ISNUMBER(G554),G554&lt;&gt;0),AU554/G554,"")</f>
        <v/>
      </c>
      <c r="AX554" s="19">
        <f>IF(AND(ISNUMBER(AC554),ISNUMBER(G554),G554&lt;&gt;0),AC554/G554,"")</f>
        <v/>
      </c>
    </row>
    <row r="555">
      <c r="A555" s="8" t="inlineStr">
        <is>
          <t>AXP</t>
        </is>
      </c>
      <c r="B555" s="8" t="inlineStr">
        <is>
          <t>AMERICAN EXPRESS CO</t>
        </is>
      </c>
      <c r="C555" s="8" t="n">
        <v>2014</v>
      </c>
      <c r="D555" s="8" t="inlineStr">
        <is>
          <t>2014-12-31</t>
        </is>
      </c>
      <c r="E555" s="8" t="inlineStr">
        <is>
          <t>금융</t>
        </is>
      </c>
      <c r="F555" s="8" t="inlineStr">
        <is>
          <t>0001193125-17-047588</t>
        </is>
      </c>
      <c r="G555" s="15" t="n"/>
      <c r="H555" s="15" t="n"/>
      <c r="I555" s="15" t="n">
        <v>5.472</v>
      </c>
      <c r="J555" s="15" t="n">
        <v>3.106</v>
      </c>
      <c r="K555" s="15" t="n"/>
      <c r="L555" s="15" t="n">
        <v>5.885</v>
      </c>
      <c r="M555" s="15" t="n">
        <v>1.012</v>
      </c>
      <c r="N555" s="15" t="n">
        <v>1.195</v>
      </c>
      <c r="O555" s="15" t="n"/>
      <c r="P555" s="15" t="n">
        <v>20.673</v>
      </c>
      <c r="Q555" s="15" t="n"/>
      <c r="R555" s="15" t="n"/>
      <c r="S555" s="15" t="n"/>
      <c r="T555" s="15" t="n">
        <v>3.48</v>
      </c>
      <c r="U555" s="15" t="n"/>
      <c r="V555" s="15" t="n">
        <v>57.955</v>
      </c>
      <c r="W555" s="15" t="n"/>
      <c r="X555" s="15" t="n"/>
      <c r="Y555" s="15" t="n"/>
      <c r="Z555" s="15" t="n"/>
      <c r="AA555" s="15" t="n"/>
      <c r="AB555" s="16" t="n">
        <v>1023</v>
      </c>
      <c r="AC555" s="17">
        <f>IF(AND(ISNUMBER(H555),ISNUMBER(I555)),H555+I555,IF(ISNUMBER(K555),K555,IF(ISNUMBER(H555),H555,"")))</f>
        <v/>
      </c>
      <c r="AD555" s="18">
        <f>IF(OR(NOT(ISNUMBER(J555)),NOT(ISNUMBER(H555)),H555&lt;=0),기준표!$B$8,MIN(MAX(J555/H555,기준표!$B$6),기준표!$B$7))</f>
        <v/>
      </c>
      <c r="AE555" s="17">
        <f>IF(ISNUMBER(AC555),AC555*(1-AD555),"")</f>
        <v/>
      </c>
      <c r="AF555" s="17">
        <f>IF(AND(NOT(ISNUMBER(T555)),NOT(ISNUMBER(V555))),"",IF(ISNUMBER(T555),T555,0)+IF(ISNUMBER(V555),V555,0))</f>
        <v/>
      </c>
      <c r="AG555" s="17">
        <f>IF(E555="금융","",IF(AND(ISNUMBER(P555),ISNUMBER(AF555),ISNUMBER(R555)),P555+AF555-R555,""))</f>
        <v/>
      </c>
      <c r="AH555" s="17">
        <f>IF(E555="금융","",IF(NOT(ISNUMBER(AG555)),"",IF(ISNUMBER(AA555),(AG555+AA555)/2,AG555)))</f>
        <v/>
      </c>
      <c r="AI555" s="19">
        <f>IF(AND(ISNUMBER(AE555),ISNUMBER(AH555),AH555&gt;0),AE555/AH555,"")</f>
        <v/>
      </c>
      <c r="AJ555" s="17">
        <f>IF(E555="금융","",IF(AND(ISNUMBER(P555),ISNUMBER(AF555)),P555+AF555,""))</f>
        <v/>
      </c>
      <c r="AK555" s="19">
        <f>IF(OR(NOT(ISNUMBER(AE555)),NOT(ISNUMBER(AJ555)),AJ555&lt;=0),"",IF(AND(ISNUMBER(G555),AJ555&lt;0.1*G555),"",AE555/AJ555))</f>
        <v/>
      </c>
      <c r="AL555" s="17">
        <f>IF(NOT(ISNUMBER(P555)),"",IF(ISNUMBER(Q555),(P555+Q555)/2,P555))</f>
        <v/>
      </c>
      <c r="AM555" s="19">
        <f>IF(AND(ISNUMBER(L555),ISNUMBER(AL555),AL555&gt;0),L555/AL555,"")</f>
        <v/>
      </c>
      <c r="AN555" s="19">
        <f>IF(AND(ISNUMBER(AM555),ISNUMBER({ROIC})),AM555-{ROIC},"")</f>
        <v/>
      </c>
      <c r="AO555" s="17">
        <f>IF(AND(ISNUMBER(AC555),ISNUMBER(M555)),AC555+M555,"")</f>
        <v/>
      </c>
      <c r="AP555" s="20">
        <f>IF(AND(ISNUMBER(AF555),ISNUMBER(R555),ISNUMBER(AO555),AO555&gt;0),(AF555-R555)/AO555,"")</f>
        <v/>
      </c>
      <c r="AQ555" s="20">
        <f>IF(AND(ISNUMBER(AC555),ISNUMBER(I555),I555&lt;&gt;0,AC555&gt;0),AC555/I555,"")</f>
        <v/>
      </c>
      <c r="AR555" s="17">
        <f>IF(AND(ISNUMBER(W555),ISNUMBER(Y555)),W555-IF(ISNUMBER(R555),R555,0)-(Y555-IF(ISNUMBER(T555),T555,0)),"")</f>
        <v/>
      </c>
      <c r="AS555" s="17">
        <f>IF(AND(ISNUMBER(X555),ISNUMBER(Z555)),X555-IF(ISNUMBER(S555),S555,0)-(Z555-IF(ISNUMBER(U555),U555,0)),"")</f>
        <v/>
      </c>
      <c r="AT555" s="17">
        <f>IF(AND(ISNUMBER(AR555),ISNUMBER(AS555)),AR555-AS555,"")</f>
        <v/>
      </c>
      <c r="AU555" s="17">
        <f>IF(E555="금융","",IF(AND(ISNUMBER(L555),ISNUMBER(M555),ISNUMBER(N555),ISNUMBER(AT555)),L555+M555-N555-AT555,IF(AND(ISNUMBER(O555),ISNUMBER(N555)),O555-N555,"")))</f>
        <v/>
      </c>
      <c r="AV555" s="8">
        <f>IF(E555="금융","금융업 - 정의되지 않음",IF(AND(ISNUMBER(L555),ISNUMBER(M555),ISNUMBER(N555),ISNUMBER(AT555)),"순이익+감가상각-설비투자-운전자본증감",IF(AND(ISNUMBER(O555),ISNUMBER(N555)),"영업현금흐름-설비투자","산출불가")))</f>
        <v/>
      </c>
      <c r="AW555" s="19">
        <f>IF(AND(ISNUMBER(AU555),ISNUMBER(G555),G555&lt;&gt;0),AU555/G555,"")</f>
        <v/>
      </c>
      <c r="AX555" s="19">
        <f>IF(AND(ISNUMBER(AC555),ISNUMBER(G555),G555&lt;&gt;0),AC555/G555,"")</f>
        <v/>
      </c>
    </row>
    <row r="556">
      <c r="A556" s="8" t="inlineStr">
        <is>
          <t>AXP</t>
        </is>
      </c>
      <c r="B556" s="8" t="inlineStr">
        <is>
          <t>AMERICAN EXPRESS CO</t>
        </is>
      </c>
      <c r="C556" s="8" t="n">
        <v>2015</v>
      </c>
      <c r="D556" s="8" t="inlineStr">
        <is>
          <t>2015-12-31</t>
        </is>
      </c>
      <c r="E556" s="8" t="inlineStr">
        <is>
          <t>금융</t>
        </is>
      </c>
      <c r="F556" s="8" t="inlineStr">
        <is>
          <t>0000004962-18-000032</t>
        </is>
      </c>
      <c r="G556" s="15" t="n">
        <v>32.818</v>
      </c>
      <c r="H556" s="15" t="n"/>
      <c r="I556" s="15" t="n">
        <v>5.922</v>
      </c>
      <c r="J556" s="15" t="n">
        <v>2.775</v>
      </c>
      <c r="K556" s="15" t="n"/>
      <c r="L556" s="15" t="n">
        <v>5.163</v>
      </c>
      <c r="M556" s="15" t="n">
        <v>1.043</v>
      </c>
      <c r="N556" s="15" t="n">
        <v>1.341</v>
      </c>
      <c r="O556" s="15" t="n"/>
      <c r="P556" s="15" t="n">
        <v>20.673</v>
      </c>
      <c r="Q556" s="15" t="n">
        <v>20.673</v>
      </c>
      <c r="R556" s="15" t="n">
        <v>23.239</v>
      </c>
      <c r="S556" s="15" t="n"/>
      <c r="T556" s="15" t="n">
        <v>4.812</v>
      </c>
      <c r="U556" s="15" t="n">
        <v>3.48</v>
      </c>
      <c r="V556" s="15" t="n">
        <v>48.061</v>
      </c>
      <c r="W556" s="15" t="n"/>
      <c r="X556" s="15" t="n"/>
      <c r="Y556" s="15" t="n"/>
      <c r="Z556" s="15" t="n"/>
      <c r="AA556" s="15" t="n"/>
      <c r="AB556" s="16" t="n">
        <v>969</v>
      </c>
      <c r="AC556" s="17">
        <f>IF(AND(ISNUMBER(H556),ISNUMBER(I556)),H556+I556,IF(ISNUMBER(K556),K556,IF(ISNUMBER(H556),H556,"")))</f>
        <v/>
      </c>
      <c r="AD556" s="18">
        <f>IF(OR(NOT(ISNUMBER(J556)),NOT(ISNUMBER(H556)),H556&lt;=0),기준표!$B$8,MIN(MAX(J556/H556,기준표!$B$6),기준표!$B$7))</f>
        <v/>
      </c>
      <c r="AE556" s="17">
        <f>IF(ISNUMBER(AC556),AC556*(1-AD556),"")</f>
        <v/>
      </c>
      <c r="AF556" s="17">
        <f>IF(AND(NOT(ISNUMBER(T556)),NOT(ISNUMBER(V556))),"",IF(ISNUMBER(T556),T556,0)+IF(ISNUMBER(V556),V556,0))</f>
        <v/>
      </c>
      <c r="AG556" s="17">
        <f>IF(E556="금융","",IF(AND(ISNUMBER(P556),ISNUMBER(AF556),ISNUMBER(R556)),P556+AF556-R556,""))</f>
        <v/>
      </c>
      <c r="AH556" s="17">
        <f>IF(E556="금융","",IF(NOT(ISNUMBER(AG556)),"",IF(ISNUMBER(AA556),(AG556+AA556)/2,AG556)))</f>
        <v/>
      </c>
      <c r="AI556" s="19">
        <f>IF(AND(ISNUMBER(AE556),ISNUMBER(AH556),AH556&gt;0),AE556/AH556,"")</f>
        <v/>
      </c>
      <c r="AJ556" s="17">
        <f>IF(E556="금융","",IF(AND(ISNUMBER(P556),ISNUMBER(AF556)),P556+AF556,""))</f>
        <v/>
      </c>
      <c r="AK556" s="19">
        <f>IF(OR(NOT(ISNUMBER(AE556)),NOT(ISNUMBER(AJ556)),AJ556&lt;=0),"",IF(AND(ISNUMBER(G556),AJ556&lt;0.1*G556),"",AE556/AJ556))</f>
        <v/>
      </c>
      <c r="AL556" s="17">
        <f>IF(NOT(ISNUMBER(P556)),"",IF(ISNUMBER(Q556),(P556+Q556)/2,P556))</f>
        <v/>
      </c>
      <c r="AM556" s="19">
        <f>IF(AND(ISNUMBER(L556),ISNUMBER(AL556),AL556&gt;0),L556/AL556,"")</f>
        <v/>
      </c>
      <c r="AN556" s="19">
        <f>IF(AND(ISNUMBER(AM556),ISNUMBER({ROIC})),AM556-{ROIC},"")</f>
        <v/>
      </c>
      <c r="AO556" s="17">
        <f>IF(AND(ISNUMBER(AC556),ISNUMBER(M556)),AC556+M556,"")</f>
        <v/>
      </c>
      <c r="AP556" s="20">
        <f>IF(AND(ISNUMBER(AF556),ISNUMBER(R556),ISNUMBER(AO556),AO556&gt;0),(AF556-R556)/AO556,"")</f>
        <v/>
      </c>
      <c r="AQ556" s="20">
        <f>IF(AND(ISNUMBER(AC556),ISNUMBER(I556),I556&lt;&gt;0,AC556&gt;0),AC556/I556,"")</f>
        <v/>
      </c>
      <c r="AR556" s="17">
        <f>IF(AND(ISNUMBER(W556),ISNUMBER(Y556)),W556-IF(ISNUMBER(R556),R556,0)-(Y556-IF(ISNUMBER(T556),T556,0)),"")</f>
        <v/>
      </c>
      <c r="AS556" s="17">
        <f>IF(AND(ISNUMBER(X556),ISNUMBER(Z556)),X556-IF(ISNUMBER(S556),S556,0)-(Z556-IF(ISNUMBER(U556),U556,0)),"")</f>
        <v/>
      </c>
      <c r="AT556" s="17">
        <f>IF(AND(ISNUMBER(AR556),ISNUMBER(AS556)),AR556-AS556,"")</f>
        <v/>
      </c>
      <c r="AU556" s="17">
        <f>IF(E556="금융","",IF(AND(ISNUMBER(L556),ISNUMBER(M556),ISNUMBER(N556),ISNUMBER(AT556)),L556+M556-N556-AT556,IF(AND(ISNUMBER(O556),ISNUMBER(N556)),O556-N556,"")))</f>
        <v/>
      </c>
      <c r="AV556" s="8">
        <f>IF(E556="금융","금융업 - 정의되지 않음",IF(AND(ISNUMBER(L556),ISNUMBER(M556),ISNUMBER(N556),ISNUMBER(AT556)),"순이익+감가상각-설비투자-운전자본증감",IF(AND(ISNUMBER(O556),ISNUMBER(N556)),"영업현금흐름-설비투자","산출불가")))</f>
        <v/>
      </c>
      <c r="AW556" s="19">
        <f>IF(AND(ISNUMBER(AU556),ISNUMBER(G556),G556&lt;&gt;0),AU556/G556,"")</f>
        <v/>
      </c>
      <c r="AX556" s="19">
        <f>IF(AND(ISNUMBER(AC556),ISNUMBER(G556),G556&lt;&gt;0),AC556/G556,"")</f>
        <v/>
      </c>
    </row>
    <row r="557">
      <c r="A557" s="8" t="inlineStr">
        <is>
          <t>AXP</t>
        </is>
      </c>
      <c r="B557" s="8" t="inlineStr">
        <is>
          <t>AMERICAN EXPRESS CO</t>
        </is>
      </c>
      <c r="C557" s="8" t="n">
        <v>2016</v>
      </c>
      <c r="D557" s="8" t="inlineStr">
        <is>
          <t>2016-12-31</t>
        </is>
      </c>
      <c r="E557" s="8" t="inlineStr">
        <is>
          <t>금융</t>
        </is>
      </c>
      <c r="F557" s="8" t="inlineStr">
        <is>
          <t>0000004962-19-000018</t>
        </is>
      </c>
      <c r="G557" s="15" t="n">
        <v>35.438</v>
      </c>
      <c r="H557" s="15" t="n"/>
      <c r="I557" s="15" t="n">
        <v>5.779</v>
      </c>
      <c r="J557" s="15" t="n">
        <v>2.667</v>
      </c>
      <c r="K557" s="15" t="n"/>
      <c r="L557" s="15" t="n">
        <v>5.375</v>
      </c>
      <c r="M557" s="15" t="n">
        <v>1.095</v>
      </c>
      <c r="N557" s="15" t="n">
        <v>1.375</v>
      </c>
      <c r="O557" s="15" t="n"/>
      <c r="P557" s="15" t="n">
        <v>20.523</v>
      </c>
      <c r="Q557" s="15" t="n">
        <v>20.673</v>
      </c>
      <c r="R557" s="15" t="n">
        <v>25.494</v>
      </c>
      <c r="S557" s="15" t="n">
        <v>23.239</v>
      </c>
      <c r="T557" s="15" t="n">
        <v>5.581</v>
      </c>
      <c r="U557" s="15" t="n">
        <v>4.812</v>
      </c>
      <c r="V557" s="15" t="n">
        <v>46.99</v>
      </c>
      <c r="W557" s="15" t="n"/>
      <c r="X557" s="15" t="n"/>
      <c r="Y557" s="15" t="n"/>
      <c r="Z557" s="15" t="n"/>
      <c r="AA557" s="15" t="n"/>
      <c r="AB557" s="16" t="n">
        <v>904</v>
      </c>
      <c r="AC557" s="17">
        <f>IF(AND(ISNUMBER(H557),ISNUMBER(I557)),H557+I557,IF(ISNUMBER(K557),K557,IF(ISNUMBER(H557),H557,"")))</f>
        <v/>
      </c>
      <c r="AD557" s="18">
        <f>IF(OR(NOT(ISNUMBER(J557)),NOT(ISNUMBER(H557)),H557&lt;=0),기준표!$B$8,MIN(MAX(J557/H557,기준표!$B$6),기준표!$B$7))</f>
        <v/>
      </c>
      <c r="AE557" s="17">
        <f>IF(ISNUMBER(AC557),AC557*(1-AD557),"")</f>
        <v/>
      </c>
      <c r="AF557" s="17">
        <f>IF(AND(NOT(ISNUMBER(T557)),NOT(ISNUMBER(V557))),"",IF(ISNUMBER(T557),T557,0)+IF(ISNUMBER(V557),V557,0))</f>
        <v/>
      </c>
      <c r="AG557" s="17">
        <f>IF(E557="금융","",IF(AND(ISNUMBER(P557),ISNUMBER(AF557),ISNUMBER(R557)),P557+AF557-R557,""))</f>
        <v/>
      </c>
      <c r="AH557" s="17">
        <f>IF(E557="금융","",IF(NOT(ISNUMBER(AG557)),"",IF(ISNUMBER(AA557),(AG557+AA557)/2,AG557)))</f>
        <v/>
      </c>
      <c r="AI557" s="19">
        <f>IF(AND(ISNUMBER(AE557),ISNUMBER(AH557),AH557&gt;0),AE557/AH557,"")</f>
        <v/>
      </c>
      <c r="AJ557" s="17">
        <f>IF(E557="금융","",IF(AND(ISNUMBER(P557),ISNUMBER(AF557)),P557+AF557,""))</f>
        <v/>
      </c>
      <c r="AK557" s="19">
        <f>IF(OR(NOT(ISNUMBER(AE557)),NOT(ISNUMBER(AJ557)),AJ557&lt;=0),"",IF(AND(ISNUMBER(G557),AJ557&lt;0.1*G557),"",AE557/AJ557))</f>
        <v/>
      </c>
      <c r="AL557" s="17">
        <f>IF(NOT(ISNUMBER(P557)),"",IF(ISNUMBER(Q557),(P557+Q557)/2,P557))</f>
        <v/>
      </c>
      <c r="AM557" s="19">
        <f>IF(AND(ISNUMBER(L557),ISNUMBER(AL557),AL557&gt;0),L557/AL557,"")</f>
        <v/>
      </c>
      <c r="AN557" s="19">
        <f>IF(AND(ISNUMBER(AM557),ISNUMBER({ROIC})),AM557-{ROIC},"")</f>
        <v/>
      </c>
      <c r="AO557" s="17">
        <f>IF(AND(ISNUMBER(AC557),ISNUMBER(M557)),AC557+M557,"")</f>
        <v/>
      </c>
      <c r="AP557" s="20">
        <f>IF(AND(ISNUMBER(AF557),ISNUMBER(R557),ISNUMBER(AO557),AO557&gt;0),(AF557-R557)/AO557,"")</f>
        <v/>
      </c>
      <c r="AQ557" s="20">
        <f>IF(AND(ISNUMBER(AC557),ISNUMBER(I557),I557&lt;&gt;0,AC557&gt;0),AC557/I557,"")</f>
        <v/>
      </c>
      <c r="AR557" s="17">
        <f>IF(AND(ISNUMBER(W557),ISNUMBER(Y557)),W557-IF(ISNUMBER(R557),R557,0)-(Y557-IF(ISNUMBER(T557),T557,0)),"")</f>
        <v/>
      </c>
      <c r="AS557" s="17">
        <f>IF(AND(ISNUMBER(X557),ISNUMBER(Z557)),X557-IF(ISNUMBER(S557),S557,0)-(Z557-IF(ISNUMBER(U557),U557,0)),"")</f>
        <v/>
      </c>
      <c r="AT557" s="17">
        <f>IF(AND(ISNUMBER(AR557),ISNUMBER(AS557)),AR557-AS557,"")</f>
        <v/>
      </c>
      <c r="AU557" s="17">
        <f>IF(E557="금융","",IF(AND(ISNUMBER(L557),ISNUMBER(M557),ISNUMBER(N557),ISNUMBER(AT557)),L557+M557-N557-AT557,IF(AND(ISNUMBER(O557),ISNUMBER(N557)),O557-N557,"")))</f>
        <v/>
      </c>
      <c r="AV557" s="8">
        <f>IF(E557="금융","금융업 - 정의되지 않음",IF(AND(ISNUMBER(L557),ISNUMBER(M557),ISNUMBER(N557),ISNUMBER(AT557)),"순이익+감가상각-설비투자-운전자본증감",IF(AND(ISNUMBER(O557),ISNUMBER(N557)),"영업현금흐름-설비투자","산출불가")))</f>
        <v/>
      </c>
      <c r="AW557" s="19">
        <f>IF(AND(ISNUMBER(AU557),ISNUMBER(G557),G557&lt;&gt;0),AU557/G557,"")</f>
        <v/>
      </c>
      <c r="AX557" s="19">
        <f>IF(AND(ISNUMBER(AC557),ISNUMBER(G557),G557&lt;&gt;0),AC557/G557,"")</f>
        <v/>
      </c>
    </row>
    <row r="558">
      <c r="A558" s="8" t="inlineStr">
        <is>
          <t>AXP</t>
        </is>
      </c>
      <c r="B558" s="8" t="inlineStr">
        <is>
          <t>AMERICAN EXPRESS CO</t>
        </is>
      </c>
      <c r="C558" s="8" t="n">
        <v>2017</v>
      </c>
      <c r="D558" s="8" t="inlineStr">
        <is>
          <t>2017-12-31</t>
        </is>
      </c>
      <c r="E558" s="8" t="inlineStr">
        <is>
          <t>금융</t>
        </is>
      </c>
      <c r="F558" s="8" t="inlineStr">
        <is>
          <t>0000004962-20-000030</t>
        </is>
      </c>
      <c r="G558" s="15" t="n">
        <v>36.878</v>
      </c>
      <c r="H558" s="15" t="n"/>
      <c r="I558" s="15" t="n">
        <v>6.451</v>
      </c>
      <c r="J558" s="15" t="n">
        <v>4.677</v>
      </c>
      <c r="K558" s="15" t="n"/>
      <c r="L558" s="15" t="n">
        <v>2.748</v>
      </c>
      <c r="M558" s="15" t="n">
        <v>1.321</v>
      </c>
      <c r="N558" s="15" t="n">
        <v>1.062</v>
      </c>
      <c r="O558" s="15" t="n">
        <v>13.54</v>
      </c>
      <c r="P558" s="15" t="n">
        <v>18.261</v>
      </c>
      <c r="Q558" s="15" t="n">
        <v>20.523</v>
      </c>
      <c r="R558" s="15" t="n">
        <v>33.333</v>
      </c>
      <c r="S558" s="15" t="n">
        <v>25.494</v>
      </c>
      <c r="T558" s="15" t="n">
        <v>3.278</v>
      </c>
      <c r="U558" s="15" t="n">
        <v>5.581</v>
      </c>
      <c r="V558" s="15" t="n">
        <v>55.804</v>
      </c>
      <c r="W558" s="15" t="n"/>
      <c r="X558" s="15" t="n"/>
      <c r="Y558" s="15" t="n"/>
      <c r="Z558" s="15" t="n"/>
      <c r="AA558" s="15" t="n"/>
      <c r="AB558" s="16" t="n">
        <v>859</v>
      </c>
      <c r="AC558" s="17">
        <f>IF(AND(ISNUMBER(H558),ISNUMBER(I558)),H558+I558,IF(ISNUMBER(K558),K558,IF(ISNUMBER(H558),H558,"")))</f>
        <v/>
      </c>
      <c r="AD558" s="18">
        <f>IF(OR(NOT(ISNUMBER(J558)),NOT(ISNUMBER(H558)),H558&lt;=0),기준표!$B$8,MIN(MAX(J558/H558,기준표!$B$6),기준표!$B$7))</f>
        <v/>
      </c>
      <c r="AE558" s="17">
        <f>IF(ISNUMBER(AC558),AC558*(1-AD558),"")</f>
        <v/>
      </c>
      <c r="AF558" s="17">
        <f>IF(AND(NOT(ISNUMBER(T558)),NOT(ISNUMBER(V558))),"",IF(ISNUMBER(T558),T558,0)+IF(ISNUMBER(V558),V558,0))</f>
        <v/>
      </c>
      <c r="AG558" s="17">
        <f>IF(E558="금융","",IF(AND(ISNUMBER(P558),ISNUMBER(AF558),ISNUMBER(R558)),P558+AF558-R558,""))</f>
        <v/>
      </c>
      <c r="AH558" s="17">
        <f>IF(E558="금융","",IF(NOT(ISNUMBER(AG558)),"",IF(ISNUMBER(AA558),(AG558+AA558)/2,AG558)))</f>
        <v/>
      </c>
      <c r="AI558" s="19">
        <f>IF(AND(ISNUMBER(AE558),ISNUMBER(AH558),AH558&gt;0),AE558/AH558,"")</f>
        <v/>
      </c>
      <c r="AJ558" s="17">
        <f>IF(E558="금융","",IF(AND(ISNUMBER(P558),ISNUMBER(AF558)),P558+AF558,""))</f>
        <v/>
      </c>
      <c r="AK558" s="19">
        <f>IF(OR(NOT(ISNUMBER(AE558)),NOT(ISNUMBER(AJ558)),AJ558&lt;=0),"",IF(AND(ISNUMBER(G558),AJ558&lt;0.1*G558),"",AE558/AJ558))</f>
        <v/>
      </c>
      <c r="AL558" s="17">
        <f>IF(NOT(ISNUMBER(P558)),"",IF(ISNUMBER(Q558),(P558+Q558)/2,P558))</f>
        <v/>
      </c>
      <c r="AM558" s="19">
        <f>IF(AND(ISNUMBER(L558),ISNUMBER(AL558),AL558&gt;0),L558/AL558,"")</f>
        <v/>
      </c>
      <c r="AN558" s="19">
        <f>IF(AND(ISNUMBER(AM558),ISNUMBER({ROIC})),AM558-{ROIC},"")</f>
        <v/>
      </c>
      <c r="AO558" s="17">
        <f>IF(AND(ISNUMBER(AC558),ISNUMBER(M558)),AC558+M558,"")</f>
        <v/>
      </c>
      <c r="AP558" s="20">
        <f>IF(AND(ISNUMBER(AF558),ISNUMBER(R558),ISNUMBER(AO558),AO558&gt;0),(AF558-R558)/AO558,"")</f>
        <v/>
      </c>
      <c r="AQ558" s="20">
        <f>IF(AND(ISNUMBER(AC558),ISNUMBER(I558),I558&lt;&gt;0,AC558&gt;0),AC558/I558,"")</f>
        <v/>
      </c>
      <c r="AR558" s="17">
        <f>IF(AND(ISNUMBER(W558),ISNUMBER(Y558)),W558-IF(ISNUMBER(R558),R558,0)-(Y558-IF(ISNUMBER(T558),T558,0)),"")</f>
        <v/>
      </c>
      <c r="AS558" s="17">
        <f>IF(AND(ISNUMBER(X558),ISNUMBER(Z558)),X558-IF(ISNUMBER(S558),S558,0)-(Z558-IF(ISNUMBER(U558),U558,0)),"")</f>
        <v/>
      </c>
      <c r="AT558" s="17">
        <f>IF(AND(ISNUMBER(AR558),ISNUMBER(AS558)),AR558-AS558,"")</f>
        <v/>
      </c>
      <c r="AU558" s="17">
        <f>IF(E558="금융","",IF(AND(ISNUMBER(L558),ISNUMBER(M558),ISNUMBER(N558),ISNUMBER(AT558)),L558+M558-N558-AT558,IF(AND(ISNUMBER(O558),ISNUMBER(N558)),O558-N558,"")))</f>
        <v/>
      </c>
      <c r="AV558" s="8">
        <f>IF(E558="금융","금융업 - 정의되지 않음",IF(AND(ISNUMBER(L558),ISNUMBER(M558),ISNUMBER(N558),ISNUMBER(AT558)),"순이익+감가상각-설비투자-운전자본증감",IF(AND(ISNUMBER(O558),ISNUMBER(N558)),"영업현금흐름-설비투자","산출불가")))</f>
        <v/>
      </c>
      <c r="AW558" s="19">
        <f>IF(AND(ISNUMBER(AU558),ISNUMBER(G558),G558&lt;&gt;0),AU558/G558,"")</f>
        <v/>
      </c>
      <c r="AX558" s="19">
        <f>IF(AND(ISNUMBER(AC558),ISNUMBER(G558),G558&lt;&gt;0),AC558/G558,"")</f>
        <v/>
      </c>
    </row>
    <row r="559">
      <c r="A559" s="8" t="inlineStr">
        <is>
          <t>AXP</t>
        </is>
      </c>
      <c r="B559" s="8" t="inlineStr">
        <is>
          <t>AMERICAN EXPRESS CO</t>
        </is>
      </c>
      <c r="C559" s="8" t="n">
        <v>2018</v>
      </c>
      <c r="D559" s="8" t="inlineStr">
        <is>
          <t>2018-12-31</t>
        </is>
      </c>
      <c r="E559" s="8" t="inlineStr">
        <is>
          <t>금융</t>
        </is>
      </c>
      <c r="F559" s="8" t="inlineStr">
        <is>
          <t>0000004962-21-000013</t>
        </is>
      </c>
      <c r="G559" s="15" t="n">
        <v>40.338</v>
      </c>
      <c r="H559" s="15" t="n"/>
      <c r="I559" s="15" t="n">
        <v>7.663</v>
      </c>
      <c r="J559" s="15" t="n">
        <v>1.201</v>
      </c>
      <c r="K559" s="15" t="n"/>
      <c r="L559" s="15" t="n">
        <v>6.921</v>
      </c>
      <c r="M559" s="15" t="n">
        <v>1.293</v>
      </c>
      <c r="N559" s="15" t="n">
        <v>1.31</v>
      </c>
      <c r="O559" s="15" t="n">
        <v>8.93</v>
      </c>
      <c r="P559" s="15" t="n">
        <v>22.29</v>
      </c>
      <c r="Q559" s="15" t="n">
        <v>18.261</v>
      </c>
      <c r="R559" s="15" t="n">
        <v>27.974</v>
      </c>
      <c r="S559" s="15" t="n">
        <v>33.333</v>
      </c>
      <c r="T559" s="15" t="n">
        <v>3.1</v>
      </c>
      <c r="U559" s="15" t="n">
        <v>3.278</v>
      </c>
      <c r="V559" s="15" t="n">
        <v>58.423</v>
      </c>
      <c r="W559" s="15" t="n"/>
      <c r="X559" s="15" t="n"/>
      <c r="Y559" s="15" t="n"/>
      <c r="Z559" s="15" t="n"/>
      <c r="AA559" s="15" t="n"/>
      <c r="AB559" s="16" t="n">
        <v>847</v>
      </c>
      <c r="AC559" s="17">
        <f>IF(AND(ISNUMBER(H559),ISNUMBER(I559)),H559+I559,IF(ISNUMBER(K559),K559,IF(ISNUMBER(H559),H559,"")))</f>
        <v/>
      </c>
      <c r="AD559" s="18">
        <f>IF(OR(NOT(ISNUMBER(J559)),NOT(ISNUMBER(H559)),H559&lt;=0),기준표!$B$8,MIN(MAX(J559/H559,기준표!$B$6),기준표!$B$7))</f>
        <v/>
      </c>
      <c r="AE559" s="17">
        <f>IF(ISNUMBER(AC559),AC559*(1-AD559),"")</f>
        <v/>
      </c>
      <c r="AF559" s="17">
        <f>IF(AND(NOT(ISNUMBER(T559)),NOT(ISNUMBER(V559))),"",IF(ISNUMBER(T559),T559,0)+IF(ISNUMBER(V559),V559,0))</f>
        <v/>
      </c>
      <c r="AG559" s="17">
        <f>IF(E559="금융","",IF(AND(ISNUMBER(P559),ISNUMBER(AF559),ISNUMBER(R559)),P559+AF559-R559,""))</f>
        <v/>
      </c>
      <c r="AH559" s="17">
        <f>IF(E559="금융","",IF(NOT(ISNUMBER(AG559)),"",IF(ISNUMBER(AA559),(AG559+AA559)/2,AG559)))</f>
        <v/>
      </c>
      <c r="AI559" s="19">
        <f>IF(AND(ISNUMBER(AE559),ISNUMBER(AH559),AH559&gt;0),AE559/AH559,"")</f>
        <v/>
      </c>
      <c r="AJ559" s="17">
        <f>IF(E559="금융","",IF(AND(ISNUMBER(P559),ISNUMBER(AF559)),P559+AF559,""))</f>
        <v/>
      </c>
      <c r="AK559" s="19">
        <f>IF(OR(NOT(ISNUMBER(AE559)),NOT(ISNUMBER(AJ559)),AJ559&lt;=0),"",IF(AND(ISNUMBER(G559),AJ559&lt;0.1*G559),"",AE559/AJ559))</f>
        <v/>
      </c>
      <c r="AL559" s="17">
        <f>IF(NOT(ISNUMBER(P559)),"",IF(ISNUMBER(Q559),(P559+Q559)/2,P559))</f>
        <v/>
      </c>
      <c r="AM559" s="19">
        <f>IF(AND(ISNUMBER(L559),ISNUMBER(AL559),AL559&gt;0),L559/AL559,"")</f>
        <v/>
      </c>
      <c r="AN559" s="19">
        <f>IF(AND(ISNUMBER(AM559),ISNUMBER({ROIC})),AM559-{ROIC},"")</f>
        <v/>
      </c>
      <c r="AO559" s="17">
        <f>IF(AND(ISNUMBER(AC559),ISNUMBER(M559)),AC559+M559,"")</f>
        <v/>
      </c>
      <c r="AP559" s="20">
        <f>IF(AND(ISNUMBER(AF559),ISNUMBER(R559),ISNUMBER(AO559),AO559&gt;0),(AF559-R559)/AO559,"")</f>
        <v/>
      </c>
      <c r="AQ559" s="20">
        <f>IF(AND(ISNUMBER(AC559),ISNUMBER(I559),I559&lt;&gt;0,AC559&gt;0),AC559/I559,"")</f>
        <v/>
      </c>
      <c r="AR559" s="17">
        <f>IF(AND(ISNUMBER(W559),ISNUMBER(Y559)),W559-IF(ISNUMBER(R559),R559,0)-(Y559-IF(ISNUMBER(T559),T559,0)),"")</f>
        <v/>
      </c>
      <c r="AS559" s="17">
        <f>IF(AND(ISNUMBER(X559),ISNUMBER(Z559)),X559-IF(ISNUMBER(S559),S559,0)-(Z559-IF(ISNUMBER(U559),U559,0)),"")</f>
        <v/>
      </c>
      <c r="AT559" s="17">
        <f>IF(AND(ISNUMBER(AR559),ISNUMBER(AS559)),AR559-AS559,"")</f>
        <v/>
      </c>
      <c r="AU559" s="17">
        <f>IF(E559="금융","",IF(AND(ISNUMBER(L559),ISNUMBER(M559),ISNUMBER(N559),ISNUMBER(AT559)),L559+M559-N559-AT559,IF(AND(ISNUMBER(O559),ISNUMBER(N559)),O559-N559,"")))</f>
        <v/>
      </c>
      <c r="AV559" s="8">
        <f>IF(E559="금융","금융업 - 정의되지 않음",IF(AND(ISNUMBER(L559),ISNUMBER(M559),ISNUMBER(N559),ISNUMBER(AT559)),"순이익+감가상각-설비투자-운전자본증감",IF(AND(ISNUMBER(O559),ISNUMBER(N559)),"영업현금흐름-설비투자","산출불가")))</f>
        <v/>
      </c>
      <c r="AW559" s="19">
        <f>IF(AND(ISNUMBER(AU559),ISNUMBER(G559),G559&lt;&gt;0),AU559/G559,"")</f>
        <v/>
      </c>
      <c r="AX559" s="19">
        <f>IF(AND(ISNUMBER(AC559),ISNUMBER(G559),G559&lt;&gt;0),AC559/G559,"")</f>
        <v/>
      </c>
    </row>
    <row r="560">
      <c r="A560" s="8" t="inlineStr">
        <is>
          <t>AXP</t>
        </is>
      </c>
      <c r="B560" s="8" t="inlineStr">
        <is>
          <t>AMERICAN EXPRESS CO</t>
        </is>
      </c>
      <c r="C560" s="8" t="n">
        <v>2019</v>
      </c>
      <c r="D560" s="8" t="inlineStr">
        <is>
          <t>2019-12-31</t>
        </is>
      </c>
      <c r="E560" s="8" t="inlineStr">
        <is>
          <t>금융</t>
        </is>
      </c>
      <c r="F560" s="8" t="inlineStr">
        <is>
          <t>0000004962-22-000008</t>
        </is>
      </c>
      <c r="G560" s="15" t="n">
        <v>43.556</v>
      </c>
      <c r="H560" s="15" t="n">
        <v>8.429</v>
      </c>
      <c r="I560" s="15" t="n">
        <v>8.619999999999999</v>
      </c>
      <c r="J560" s="15" t="n">
        <v>1.67</v>
      </c>
      <c r="K560" s="15" t="n"/>
      <c r="L560" s="15" t="n">
        <v>6.759</v>
      </c>
      <c r="M560" s="15" t="n">
        <v>1.188</v>
      </c>
      <c r="N560" s="15" t="n">
        <v>1.645</v>
      </c>
      <c r="O560" s="15" t="n">
        <v>13.632</v>
      </c>
      <c r="P560" s="15" t="n">
        <v>23.071</v>
      </c>
      <c r="Q560" s="15" t="n">
        <v>22.29</v>
      </c>
      <c r="R560" s="15" t="n">
        <v>24.669</v>
      </c>
      <c r="S560" s="15" t="n">
        <v>27.974</v>
      </c>
      <c r="T560" s="15" t="n">
        <v>6.442</v>
      </c>
      <c r="U560" s="15" t="n">
        <v>3.1</v>
      </c>
      <c r="V560" s="15" t="n">
        <v>57.835</v>
      </c>
      <c r="W560" s="15" t="n"/>
      <c r="X560" s="15" t="n"/>
      <c r="Y560" s="15" t="n"/>
      <c r="Z560" s="15" t="n"/>
      <c r="AA560" s="15" t="n"/>
      <c r="AB560" s="16" t="n">
        <v>810</v>
      </c>
      <c r="AC560" s="17">
        <f>IF(AND(ISNUMBER(H560),ISNUMBER(I560)),H560+I560,IF(ISNUMBER(K560),K560,IF(ISNUMBER(H560),H560,"")))</f>
        <v/>
      </c>
      <c r="AD560" s="18">
        <f>IF(OR(NOT(ISNUMBER(J560)),NOT(ISNUMBER(H560)),H560&lt;=0),기준표!$B$8,MIN(MAX(J560/H560,기준표!$B$6),기준표!$B$7))</f>
        <v/>
      </c>
      <c r="AE560" s="17">
        <f>IF(ISNUMBER(AC560),AC560*(1-AD560),"")</f>
        <v/>
      </c>
      <c r="AF560" s="17">
        <f>IF(AND(NOT(ISNUMBER(T560)),NOT(ISNUMBER(V560))),"",IF(ISNUMBER(T560),T560,0)+IF(ISNUMBER(V560),V560,0))</f>
        <v/>
      </c>
      <c r="AG560" s="17">
        <f>IF(E560="금융","",IF(AND(ISNUMBER(P560),ISNUMBER(AF560),ISNUMBER(R560)),P560+AF560-R560,""))</f>
        <v/>
      </c>
      <c r="AH560" s="17">
        <f>IF(E560="금융","",IF(NOT(ISNUMBER(AG560)),"",IF(ISNUMBER(AA560),(AG560+AA560)/2,AG560)))</f>
        <v/>
      </c>
      <c r="AI560" s="19">
        <f>IF(AND(ISNUMBER(AE560),ISNUMBER(AH560),AH560&gt;0),AE560/AH560,"")</f>
        <v/>
      </c>
      <c r="AJ560" s="17">
        <f>IF(E560="금융","",IF(AND(ISNUMBER(P560),ISNUMBER(AF560)),P560+AF560,""))</f>
        <v/>
      </c>
      <c r="AK560" s="19">
        <f>IF(OR(NOT(ISNUMBER(AE560)),NOT(ISNUMBER(AJ560)),AJ560&lt;=0),"",IF(AND(ISNUMBER(G560),AJ560&lt;0.1*G560),"",AE560/AJ560))</f>
        <v/>
      </c>
      <c r="AL560" s="17">
        <f>IF(NOT(ISNUMBER(P560)),"",IF(ISNUMBER(Q560),(P560+Q560)/2,P560))</f>
        <v/>
      </c>
      <c r="AM560" s="19">
        <f>IF(AND(ISNUMBER(L560),ISNUMBER(AL560),AL560&gt;0),L560/AL560,"")</f>
        <v/>
      </c>
      <c r="AN560" s="19">
        <f>IF(AND(ISNUMBER(AM560),ISNUMBER({ROIC})),AM560-{ROIC},"")</f>
        <v/>
      </c>
      <c r="AO560" s="17">
        <f>IF(AND(ISNUMBER(AC560),ISNUMBER(M560)),AC560+M560,"")</f>
        <v/>
      </c>
      <c r="AP560" s="20">
        <f>IF(AND(ISNUMBER(AF560),ISNUMBER(R560),ISNUMBER(AO560),AO560&gt;0),(AF560-R560)/AO560,"")</f>
        <v/>
      </c>
      <c r="AQ560" s="20">
        <f>IF(AND(ISNUMBER(AC560),ISNUMBER(I560),I560&lt;&gt;0,AC560&gt;0),AC560/I560,"")</f>
        <v/>
      </c>
      <c r="AR560" s="17">
        <f>IF(AND(ISNUMBER(W560),ISNUMBER(Y560)),W560-IF(ISNUMBER(R560),R560,0)-(Y560-IF(ISNUMBER(T560),T560,0)),"")</f>
        <v/>
      </c>
      <c r="AS560" s="17">
        <f>IF(AND(ISNUMBER(X560),ISNUMBER(Z560)),X560-IF(ISNUMBER(S560),S560,0)-(Z560-IF(ISNUMBER(U560),U560,0)),"")</f>
        <v/>
      </c>
      <c r="AT560" s="17">
        <f>IF(AND(ISNUMBER(AR560),ISNUMBER(AS560)),AR560-AS560,"")</f>
        <v/>
      </c>
      <c r="AU560" s="17">
        <f>IF(E560="금융","",IF(AND(ISNUMBER(L560),ISNUMBER(M560),ISNUMBER(N560),ISNUMBER(AT560)),L560+M560-N560-AT560,IF(AND(ISNUMBER(O560),ISNUMBER(N560)),O560-N560,"")))</f>
        <v/>
      </c>
      <c r="AV560" s="8">
        <f>IF(E560="금융","금융업 - 정의되지 않음",IF(AND(ISNUMBER(L560),ISNUMBER(M560),ISNUMBER(N560),ISNUMBER(AT560)),"순이익+감가상각-설비투자-운전자본증감",IF(AND(ISNUMBER(O560),ISNUMBER(N560)),"영업현금흐름-설비투자","산출불가")))</f>
        <v/>
      </c>
      <c r="AW560" s="19">
        <f>IF(AND(ISNUMBER(AU560),ISNUMBER(G560),G560&lt;&gt;0),AU560/G560,"")</f>
        <v/>
      </c>
      <c r="AX560" s="19">
        <f>IF(AND(ISNUMBER(AC560),ISNUMBER(G560),G560&lt;&gt;0),AC560/G560,"")</f>
        <v/>
      </c>
    </row>
    <row r="561">
      <c r="A561" s="8" t="inlineStr">
        <is>
          <t>AXP</t>
        </is>
      </c>
      <c r="B561" s="8" t="inlineStr">
        <is>
          <t>AMERICAN EXPRESS CO</t>
        </is>
      </c>
      <c r="C561" s="8" t="n">
        <v>2020</v>
      </c>
      <c r="D561" s="8" t="inlineStr">
        <is>
          <t>2020-12-31</t>
        </is>
      </c>
      <c r="E561" s="8" t="inlineStr">
        <is>
          <t>금융</t>
        </is>
      </c>
      <c r="F561" s="8" t="inlineStr">
        <is>
          <t>0000004962-23-000006</t>
        </is>
      </c>
      <c r="G561" s="15" t="n">
        <v>36.087</v>
      </c>
      <c r="H561" s="15" t="n">
        <v>4.296</v>
      </c>
      <c r="I561" s="15" t="n">
        <v>7.985</v>
      </c>
      <c r="J561" s="15" t="n">
        <v>1.161</v>
      </c>
      <c r="K561" s="15" t="n"/>
      <c r="L561" s="15" t="n">
        <v>3.135</v>
      </c>
      <c r="M561" s="15" t="n">
        <v>1.543</v>
      </c>
      <c r="N561" s="15" t="n">
        <v>1.478</v>
      </c>
      <c r="O561" s="15" t="n">
        <v>5.591</v>
      </c>
      <c r="P561" s="15" t="n">
        <v>22.984</v>
      </c>
      <c r="Q561" s="15" t="n">
        <v>23.071</v>
      </c>
      <c r="R561" s="15" t="n">
        <v>33.122</v>
      </c>
      <c r="S561" s="15" t="n">
        <v>24.669</v>
      </c>
      <c r="T561" s="15" t="n">
        <v>1.878</v>
      </c>
      <c r="U561" s="15" t="n">
        <v>6.442</v>
      </c>
      <c r="V561" s="15" t="n">
        <v>42.952</v>
      </c>
      <c r="W561" s="15" t="n"/>
      <c r="X561" s="15" t="n"/>
      <c r="Y561" s="15" t="n"/>
      <c r="Z561" s="15" t="n"/>
      <c r="AA561" s="15" t="n"/>
      <c r="AB561" s="16" t="n">
        <v>805</v>
      </c>
      <c r="AC561" s="17">
        <f>IF(AND(ISNUMBER(H561),ISNUMBER(I561)),H561+I561,IF(ISNUMBER(K561),K561,IF(ISNUMBER(H561),H561,"")))</f>
        <v/>
      </c>
      <c r="AD561" s="18">
        <f>IF(OR(NOT(ISNUMBER(J561)),NOT(ISNUMBER(H561)),H561&lt;=0),기준표!$B$8,MIN(MAX(J561/H561,기준표!$B$6),기준표!$B$7))</f>
        <v/>
      </c>
      <c r="AE561" s="17">
        <f>IF(ISNUMBER(AC561),AC561*(1-AD561),"")</f>
        <v/>
      </c>
      <c r="AF561" s="17">
        <f>IF(AND(NOT(ISNUMBER(T561)),NOT(ISNUMBER(V561))),"",IF(ISNUMBER(T561),T561,0)+IF(ISNUMBER(V561),V561,0))</f>
        <v/>
      </c>
      <c r="AG561" s="17">
        <f>IF(E561="금융","",IF(AND(ISNUMBER(P561),ISNUMBER(AF561),ISNUMBER(R561)),P561+AF561-R561,""))</f>
        <v/>
      </c>
      <c r="AH561" s="17">
        <f>IF(E561="금융","",IF(NOT(ISNUMBER(AG561)),"",IF(ISNUMBER(AA561),(AG561+AA561)/2,AG561)))</f>
        <v/>
      </c>
      <c r="AI561" s="19">
        <f>IF(AND(ISNUMBER(AE561),ISNUMBER(AH561),AH561&gt;0),AE561/AH561,"")</f>
        <v/>
      </c>
      <c r="AJ561" s="17">
        <f>IF(E561="금융","",IF(AND(ISNUMBER(P561),ISNUMBER(AF561)),P561+AF561,""))</f>
        <v/>
      </c>
      <c r="AK561" s="19">
        <f>IF(OR(NOT(ISNUMBER(AE561)),NOT(ISNUMBER(AJ561)),AJ561&lt;=0),"",IF(AND(ISNUMBER(G561),AJ561&lt;0.1*G561),"",AE561/AJ561))</f>
        <v/>
      </c>
      <c r="AL561" s="17">
        <f>IF(NOT(ISNUMBER(P561)),"",IF(ISNUMBER(Q561),(P561+Q561)/2,P561))</f>
        <v/>
      </c>
      <c r="AM561" s="19">
        <f>IF(AND(ISNUMBER(L561),ISNUMBER(AL561),AL561&gt;0),L561/AL561,"")</f>
        <v/>
      </c>
      <c r="AN561" s="19">
        <f>IF(AND(ISNUMBER(AM561),ISNUMBER({ROIC})),AM561-{ROIC},"")</f>
        <v/>
      </c>
      <c r="AO561" s="17">
        <f>IF(AND(ISNUMBER(AC561),ISNUMBER(M561)),AC561+M561,"")</f>
        <v/>
      </c>
      <c r="AP561" s="20">
        <f>IF(AND(ISNUMBER(AF561),ISNUMBER(R561),ISNUMBER(AO561),AO561&gt;0),(AF561-R561)/AO561,"")</f>
        <v/>
      </c>
      <c r="AQ561" s="20">
        <f>IF(AND(ISNUMBER(AC561),ISNUMBER(I561),I561&lt;&gt;0,AC561&gt;0),AC561/I561,"")</f>
        <v/>
      </c>
      <c r="AR561" s="17">
        <f>IF(AND(ISNUMBER(W561),ISNUMBER(Y561)),W561-IF(ISNUMBER(R561),R561,0)-(Y561-IF(ISNUMBER(T561),T561,0)),"")</f>
        <v/>
      </c>
      <c r="AS561" s="17">
        <f>IF(AND(ISNUMBER(X561),ISNUMBER(Z561)),X561-IF(ISNUMBER(S561),S561,0)-(Z561-IF(ISNUMBER(U561),U561,0)),"")</f>
        <v/>
      </c>
      <c r="AT561" s="17">
        <f>IF(AND(ISNUMBER(AR561),ISNUMBER(AS561)),AR561-AS561,"")</f>
        <v/>
      </c>
      <c r="AU561" s="17">
        <f>IF(E561="금융","",IF(AND(ISNUMBER(L561),ISNUMBER(M561),ISNUMBER(N561),ISNUMBER(AT561)),L561+M561-N561-AT561,IF(AND(ISNUMBER(O561),ISNUMBER(N561)),O561-N561,"")))</f>
        <v/>
      </c>
      <c r="AV561" s="8">
        <f>IF(E561="금융","금융업 - 정의되지 않음",IF(AND(ISNUMBER(L561),ISNUMBER(M561),ISNUMBER(N561),ISNUMBER(AT561)),"순이익+감가상각-설비투자-운전자본증감",IF(AND(ISNUMBER(O561),ISNUMBER(N561)),"영업현금흐름-설비투자","산출불가")))</f>
        <v/>
      </c>
      <c r="AW561" s="19">
        <f>IF(AND(ISNUMBER(AU561),ISNUMBER(G561),G561&lt;&gt;0),AU561/G561,"")</f>
        <v/>
      </c>
      <c r="AX561" s="19">
        <f>IF(AND(ISNUMBER(AC561),ISNUMBER(G561),G561&lt;&gt;0),AC561/G561,"")</f>
        <v/>
      </c>
    </row>
    <row r="562">
      <c r="A562" s="8" t="inlineStr">
        <is>
          <t>AXP</t>
        </is>
      </c>
      <c r="B562" s="8" t="inlineStr">
        <is>
          <t>AMERICAN EXPRESS CO</t>
        </is>
      </c>
      <c r="C562" s="8" t="n">
        <v>2021</v>
      </c>
      <c r="D562" s="8" t="inlineStr">
        <is>
          <t>2021-12-31</t>
        </is>
      </c>
      <c r="E562" s="8" t="inlineStr">
        <is>
          <t>금융</t>
        </is>
      </c>
      <c r="F562" s="8" t="inlineStr">
        <is>
          <t>0000004962-24-000013</t>
        </is>
      </c>
      <c r="G562" s="15" t="n">
        <v>42.38</v>
      </c>
      <c r="H562" s="15" t="n">
        <v>10.689</v>
      </c>
      <c r="I562" s="15" t="n">
        <v>7.75</v>
      </c>
      <c r="J562" s="15" t="n">
        <v>2.629</v>
      </c>
      <c r="K562" s="15" t="n"/>
      <c r="L562" s="15" t="n">
        <v>8.06</v>
      </c>
      <c r="M562" s="15" t="n">
        <v>1.695</v>
      </c>
      <c r="N562" s="15" t="n">
        <v>1.55</v>
      </c>
      <c r="O562" s="15" t="n">
        <v>14.645</v>
      </c>
      <c r="P562" s="15" t="n">
        <v>22.177</v>
      </c>
      <c r="Q562" s="15" t="n">
        <v>22.984</v>
      </c>
      <c r="R562" s="15" t="n">
        <v>22.216</v>
      </c>
      <c r="S562" s="15" t="n">
        <v>33.122</v>
      </c>
      <c r="T562" s="15" t="n">
        <v>2.243</v>
      </c>
      <c r="U562" s="15" t="n">
        <v>1.878</v>
      </c>
      <c r="V562" s="15" t="n">
        <v>38.675</v>
      </c>
      <c r="W562" s="15" t="n"/>
      <c r="X562" s="15" t="n"/>
      <c r="Y562" s="15" t="n"/>
      <c r="Z562" s="15" t="n"/>
      <c r="AA562" s="15" t="n"/>
      <c r="AB562" s="16" t="n">
        <v>761</v>
      </c>
      <c r="AC562" s="17">
        <f>IF(AND(ISNUMBER(H562),ISNUMBER(I562)),H562+I562,IF(ISNUMBER(K562),K562,IF(ISNUMBER(H562),H562,"")))</f>
        <v/>
      </c>
      <c r="AD562" s="18">
        <f>IF(OR(NOT(ISNUMBER(J562)),NOT(ISNUMBER(H562)),H562&lt;=0),기준표!$B$8,MIN(MAX(J562/H562,기준표!$B$6),기준표!$B$7))</f>
        <v/>
      </c>
      <c r="AE562" s="17">
        <f>IF(ISNUMBER(AC562),AC562*(1-AD562),"")</f>
        <v/>
      </c>
      <c r="AF562" s="17">
        <f>IF(AND(NOT(ISNUMBER(T562)),NOT(ISNUMBER(V562))),"",IF(ISNUMBER(T562),T562,0)+IF(ISNUMBER(V562),V562,0))</f>
        <v/>
      </c>
      <c r="AG562" s="17">
        <f>IF(E562="금융","",IF(AND(ISNUMBER(P562),ISNUMBER(AF562),ISNUMBER(R562)),P562+AF562-R562,""))</f>
        <v/>
      </c>
      <c r="AH562" s="17">
        <f>IF(E562="금융","",IF(NOT(ISNUMBER(AG562)),"",IF(ISNUMBER(AA562),(AG562+AA562)/2,AG562)))</f>
        <v/>
      </c>
      <c r="AI562" s="19">
        <f>IF(AND(ISNUMBER(AE562),ISNUMBER(AH562),AH562&gt;0),AE562/AH562,"")</f>
        <v/>
      </c>
      <c r="AJ562" s="17">
        <f>IF(E562="금융","",IF(AND(ISNUMBER(P562),ISNUMBER(AF562)),P562+AF562,""))</f>
        <v/>
      </c>
      <c r="AK562" s="19">
        <f>IF(OR(NOT(ISNUMBER(AE562)),NOT(ISNUMBER(AJ562)),AJ562&lt;=0),"",IF(AND(ISNUMBER(G562),AJ562&lt;0.1*G562),"",AE562/AJ562))</f>
        <v/>
      </c>
      <c r="AL562" s="17">
        <f>IF(NOT(ISNUMBER(P562)),"",IF(ISNUMBER(Q562),(P562+Q562)/2,P562))</f>
        <v/>
      </c>
      <c r="AM562" s="19">
        <f>IF(AND(ISNUMBER(L562),ISNUMBER(AL562),AL562&gt;0),L562/AL562,"")</f>
        <v/>
      </c>
      <c r="AN562" s="19">
        <f>IF(AND(ISNUMBER(AM562),ISNUMBER({ROIC})),AM562-{ROIC},"")</f>
        <v/>
      </c>
      <c r="AO562" s="17">
        <f>IF(AND(ISNUMBER(AC562),ISNUMBER(M562)),AC562+M562,"")</f>
        <v/>
      </c>
      <c r="AP562" s="20">
        <f>IF(AND(ISNUMBER(AF562),ISNUMBER(R562),ISNUMBER(AO562),AO562&gt;0),(AF562-R562)/AO562,"")</f>
        <v/>
      </c>
      <c r="AQ562" s="20">
        <f>IF(AND(ISNUMBER(AC562),ISNUMBER(I562),I562&lt;&gt;0,AC562&gt;0),AC562/I562,"")</f>
        <v/>
      </c>
      <c r="AR562" s="17">
        <f>IF(AND(ISNUMBER(W562),ISNUMBER(Y562)),W562-IF(ISNUMBER(R562),R562,0)-(Y562-IF(ISNUMBER(T562),T562,0)),"")</f>
        <v/>
      </c>
      <c r="AS562" s="17">
        <f>IF(AND(ISNUMBER(X562),ISNUMBER(Z562)),X562-IF(ISNUMBER(S562),S562,0)-(Z562-IF(ISNUMBER(U562),U562,0)),"")</f>
        <v/>
      </c>
      <c r="AT562" s="17">
        <f>IF(AND(ISNUMBER(AR562),ISNUMBER(AS562)),AR562-AS562,"")</f>
        <v/>
      </c>
      <c r="AU562" s="17">
        <f>IF(E562="금융","",IF(AND(ISNUMBER(L562),ISNUMBER(M562),ISNUMBER(N562),ISNUMBER(AT562)),L562+M562-N562-AT562,IF(AND(ISNUMBER(O562),ISNUMBER(N562)),O562-N562,"")))</f>
        <v/>
      </c>
      <c r="AV562" s="8">
        <f>IF(E562="금융","금융업 - 정의되지 않음",IF(AND(ISNUMBER(L562),ISNUMBER(M562),ISNUMBER(N562),ISNUMBER(AT562)),"순이익+감가상각-설비투자-운전자본증감",IF(AND(ISNUMBER(O562),ISNUMBER(N562)),"영업현금흐름-설비투자","산출불가")))</f>
        <v/>
      </c>
      <c r="AW562" s="19">
        <f>IF(AND(ISNUMBER(AU562),ISNUMBER(G562),G562&lt;&gt;0),AU562/G562,"")</f>
        <v/>
      </c>
      <c r="AX562" s="19">
        <f>IF(AND(ISNUMBER(AC562),ISNUMBER(G562),G562&lt;&gt;0),AC562/G562,"")</f>
        <v/>
      </c>
    </row>
    <row r="563">
      <c r="A563" s="8" t="inlineStr">
        <is>
          <t>AXP</t>
        </is>
      </c>
      <c r="B563" s="8" t="inlineStr">
        <is>
          <t>AMERICAN EXPRESS CO</t>
        </is>
      </c>
      <c r="C563" s="8" t="n">
        <v>2022</v>
      </c>
      <c r="D563" s="8" t="inlineStr">
        <is>
          <t>2022-12-31</t>
        </is>
      </c>
      <c r="E563" s="8" t="inlineStr">
        <is>
          <t>금융</t>
        </is>
      </c>
      <c r="F563" s="8" t="inlineStr">
        <is>
          <t>0000004962-25-000016</t>
        </is>
      </c>
      <c r="G563" s="15" t="n">
        <v>52.862</v>
      </c>
      <c r="H563" s="15" t="n">
        <v>9.585000000000001</v>
      </c>
      <c r="I563" s="15" t="n">
        <v>9.895</v>
      </c>
      <c r="J563" s="15" t="n">
        <v>2.071</v>
      </c>
      <c r="K563" s="15" t="n"/>
      <c r="L563" s="15" t="n">
        <v>7.514</v>
      </c>
      <c r="M563" s="15" t="n">
        <v>1.626</v>
      </c>
      <c r="N563" s="15" t="n">
        <v>1.855</v>
      </c>
      <c r="O563" s="15" t="n">
        <v>21.079</v>
      </c>
      <c r="P563" s="15" t="n">
        <v>24.711</v>
      </c>
      <c r="Q563" s="15" t="n">
        <v>22.177</v>
      </c>
      <c r="R563" s="15" t="n">
        <v>34.221</v>
      </c>
      <c r="S563" s="15" t="n">
        <v>22.216</v>
      </c>
      <c r="T563" s="15" t="n">
        <v>1.348</v>
      </c>
      <c r="U563" s="15" t="n">
        <v>2.243</v>
      </c>
      <c r="V563" s="15" t="n">
        <v>42.573</v>
      </c>
      <c r="W563" s="15" t="n"/>
      <c r="X563" s="15" t="n"/>
      <c r="Y563" s="15" t="n"/>
      <c r="Z563" s="15" t="n"/>
      <c r="AA563" s="15" t="n"/>
      <c r="AB563" s="16" t="n">
        <v>743</v>
      </c>
      <c r="AC563" s="17">
        <f>IF(AND(ISNUMBER(H563),ISNUMBER(I563)),H563+I563,IF(ISNUMBER(K563),K563,IF(ISNUMBER(H563),H563,"")))</f>
        <v/>
      </c>
      <c r="AD563" s="18">
        <f>IF(OR(NOT(ISNUMBER(J563)),NOT(ISNUMBER(H563)),H563&lt;=0),기준표!$B$8,MIN(MAX(J563/H563,기준표!$B$6),기준표!$B$7))</f>
        <v/>
      </c>
      <c r="AE563" s="17">
        <f>IF(ISNUMBER(AC563),AC563*(1-AD563),"")</f>
        <v/>
      </c>
      <c r="AF563" s="17">
        <f>IF(AND(NOT(ISNUMBER(T563)),NOT(ISNUMBER(V563))),"",IF(ISNUMBER(T563),T563,0)+IF(ISNUMBER(V563),V563,0))</f>
        <v/>
      </c>
      <c r="AG563" s="17">
        <f>IF(E563="금융","",IF(AND(ISNUMBER(P563),ISNUMBER(AF563),ISNUMBER(R563)),P563+AF563-R563,""))</f>
        <v/>
      </c>
      <c r="AH563" s="17">
        <f>IF(E563="금융","",IF(NOT(ISNUMBER(AG563)),"",IF(ISNUMBER(AA563),(AG563+AA563)/2,AG563)))</f>
        <v/>
      </c>
      <c r="AI563" s="19">
        <f>IF(AND(ISNUMBER(AE563),ISNUMBER(AH563),AH563&gt;0),AE563/AH563,"")</f>
        <v/>
      </c>
      <c r="AJ563" s="17">
        <f>IF(E563="금융","",IF(AND(ISNUMBER(P563),ISNUMBER(AF563)),P563+AF563,""))</f>
        <v/>
      </c>
      <c r="AK563" s="19">
        <f>IF(OR(NOT(ISNUMBER(AE563)),NOT(ISNUMBER(AJ563)),AJ563&lt;=0),"",IF(AND(ISNUMBER(G563),AJ563&lt;0.1*G563),"",AE563/AJ563))</f>
        <v/>
      </c>
      <c r="AL563" s="17">
        <f>IF(NOT(ISNUMBER(P563)),"",IF(ISNUMBER(Q563),(P563+Q563)/2,P563))</f>
        <v/>
      </c>
      <c r="AM563" s="19">
        <f>IF(AND(ISNUMBER(L563),ISNUMBER(AL563),AL563&gt;0),L563/AL563,"")</f>
        <v/>
      </c>
      <c r="AN563" s="19">
        <f>IF(AND(ISNUMBER(AM563),ISNUMBER({ROIC})),AM563-{ROIC},"")</f>
        <v/>
      </c>
      <c r="AO563" s="17">
        <f>IF(AND(ISNUMBER(AC563),ISNUMBER(M563)),AC563+M563,"")</f>
        <v/>
      </c>
      <c r="AP563" s="20">
        <f>IF(AND(ISNUMBER(AF563),ISNUMBER(R563),ISNUMBER(AO563),AO563&gt;0),(AF563-R563)/AO563,"")</f>
        <v/>
      </c>
      <c r="AQ563" s="20">
        <f>IF(AND(ISNUMBER(AC563),ISNUMBER(I563),I563&lt;&gt;0,AC563&gt;0),AC563/I563,"")</f>
        <v/>
      </c>
      <c r="AR563" s="17">
        <f>IF(AND(ISNUMBER(W563),ISNUMBER(Y563)),W563-IF(ISNUMBER(R563),R563,0)-(Y563-IF(ISNUMBER(T563),T563,0)),"")</f>
        <v/>
      </c>
      <c r="AS563" s="17">
        <f>IF(AND(ISNUMBER(X563),ISNUMBER(Z563)),X563-IF(ISNUMBER(S563),S563,0)-(Z563-IF(ISNUMBER(U563),U563,0)),"")</f>
        <v/>
      </c>
      <c r="AT563" s="17">
        <f>IF(AND(ISNUMBER(AR563),ISNUMBER(AS563)),AR563-AS563,"")</f>
        <v/>
      </c>
      <c r="AU563" s="17">
        <f>IF(E563="금융","",IF(AND(ISNUMBER(L563),ISNUMBER(M563),ISNUMBER(N563),ISNUMBER(AT563)),L563+M563-N563-AT563,IF(AND(ISNUMBER(O563),ISNUMBER(N563)),O563-N563,"")))</f>
        <v/>
      </c>
      <c r="AV563" s="8">
        <f>IF(E563="금융","금융업 - 정의되지 않음",IF(AND(ISNUMBER(L563),ISNUMBER(M563),ISNUMBER(N563),ISNUMBER(AT563)),"순이익+감가상각-설비투자-운전자본증감",IF(AND(ISNUMBER(O563),ISNUMBER(N563)),"영업현금흐름-설비투자","산출불가")))</f>
        <v/>
      </c>
      <c r="AW563" s="19">
        <f>IF(AND(ISNUMBER(AU563),ISNUMBER(G563),G563&lt;&gt;0),AU563/G563,"")</f>
        <v/>
      </c>
      <c r="AX563" s="19">
        <f>IF(AND(ISNUMBER(AC563),ISNUMBER(G563),G563&lt;&gt;0),AC563/G563,"")</f>
        <v/>
      </c>
    </row>
    <row r="564">
      <c r="A564" s="8" t="inlineStr">
        <is>
          <t>AXP</t>
        </is>
      </c>
      <c r="B564" s="8" t="inlineStr">
        <is>
          <t>AMERICAN EXPRESS CO</t>
        </is>
      </c>
      <c r="C564" s="8" t="n">
        <v>2023</v>
      </c>
      <c r="D564" s="8" t="inlineStr">
        <is>
          <t>2023-12-31</t>
        </is>
      </c>
      <c r="E564" s="8" t="inlineStr">
        <is>
          <t>금융</t>
        </is>
      </c>
      <c r="F564" s="8" t="inlineStr">
        <is>
          <t>0000004962-26-000080</t>
        </is>
      </c>
      <c r="G564" s="15" t="n">
        <v>60.515</v>
      </c>
      <c r="H564" s="15" t="n">
        <v>10.513</v>
      </c>
      <c r="I564" s="15" t="n">
        <v>13.134</v>
      </c>
      <c r="J564" s="15" t="n">
        <v>2.139</v>
      </c>
      <c r="K564" s="15" t="n"/>
      <c r="L564" s="15" t="n">
        <v>8.374000000000001</v>
      </c>
      <c r="M564" s="15" t="n">
        <v>1.651</v>
      </c>
      <c r="N564" s="15" t="n">
        <v>1.563</v>
      </c>
      <c r="O564" s="15" t="n">
        <v>18.559</v>
      </c>
      <c r="P564" s="15" t="n">
        <v>28.057</v>
      </c>
      <c r="Q564" s="15" t="n">
        <v>24.711</v>
      </c>
      <c r="R564" s="15" t="n">
        <v>46.762</v>
      </c>
      <c r="S564" s="15" t="n">
        <v>34.221</v>
      </c>
      <c r="T564" s="15" t="n">
        <v>1.293</v>
      </c>
      <c r="U564" s="15" t="n">
        <v>1.348</v>
      </c>
      <c r="V564" s="15" t="n">
        <v>47.866</v>
      </c>
      <c r="W564" s="15" t="n"/>
      <c r="X564" s="15" t="n"/>
      <c r="Y564" s="15" t="n"/>
      <c r="Z564" s="15" t="n"/>
      <c r="AA564" s="15" t="n"/>
      <c r="AB564" s="16" t="n">
        <v>723</v>
      </c>
      <c r="AC564" s="17">
        <f>IF(AND(ISNUMBER(H564),ISNUMBER(I564)),H564+I564,IF(ISNUMBER(K564),K564,IF(ISNUMBER(H564),H564,"")))</f>
        <v/>
      </c>
      <c r="AD564" s="18">
        <f>IF(OR(NOT(ISNUMBER(J564)),NOT(ISNUMBER(H564)),H564&lt;=0),기준표!$B$8,MIN(MAX(J564/H564,기준표!$B$6),기준표!$B$7))</f>
        <v/>
      </c>
      <c r="AE564" s="17">
        <f>IF(ISNUMBER(AC564),AC564*(1-AD564),"")</f>
        <v/>
      </c>
      <c r="AF564" s="17">
        <f>IF(AND(NOT(ISNUMBER(T564)),NOT(ISNUMBER(V564))),"",IF(ISNUMBER(T564),T564,0)+IF(ISNUMBER(V564),V564,0))</f>
        <v/>
      </c>
      <c r="AG564" s="17">
        <f>IF(E564="금융","",IF(AND(ISNUMBER(P564),ISNUMBER(AF564),ISNUMBER(R564)),P564+AF564-R564,""))</f>
        <v/>
      </c>
      <c r="AH564" s="17">
        <f>IF(E564="금융","",IF(NOT(ISNUMBER(AG564)),"",IF(ISNUMBER(AA564),(AG564+AA564)/2,AG564)))</f>
        <v/>
      </c>
      <c r="AI564" s="19">
        <f>IF(AND(ISNUMBER(AE564),ISNUMBER(AH564),AH564&gt;0),AE564/AH564,"")</f>
        <v/>
      </c>
      <c r="AJ564" s="17">
        <f>IF(E564="금융","",IF(AND(ISNUMBER(P564),ISNUMBER(AF564)),P564+AF564,""))</f>
        <v/>
      </c>
      <c r="AK564" s="19">
        <f>IF(OR(NOT(ISNUMBER(AE564)),NOT(ISNUMBER(AJ564)),AJ564&lt;=0),"",IF(AND(ISNUMBER(G564),AJ564&lt;0.1*G564),"",AE564/AJ564))</f>
        <v/>
      </c>
      <c r="AL564" s="17">
        <f>IF(NOT(ISNUMBER(P564)),"",IF(ISNUMBER(Q564),(P564+Q564)/2,P564))</f>
        <v/>
      </c>
      <c r="AM564" s="19">
        <f>IF(AND(ISNUMBER(L564),ISNUMBER(AL564),AL564&gt;0),L564/AL564,"")</f>
        <v/>
      </c>
      <c r="AN564" s="19">
        <f>IF(AND(ISNUMBER(AM564),ISNUMBER({ROIC})),AM564-{ROIC},"")</f>
        <v/>
      </c>
      <c r="AO564" s="17">
        <f>IF(AND(ISNUMBER(AC564),ISNUMBER(M564)),AC564+M564,"")</f>
        <v/>
      </c>
      <c r="AP564" s="20">
        <f>IF(AND(ISNUMBER(AF564),ISNUMBER(R564),ISNUMBER(AO564),AO564&gt;0),(AF564-R564)/AO564,"")</f>
        <v/>
      </c>
      <c r="AQ564" s="20">
        <f>IF(AND(ISNUMBER(AC564),ISNUMBER(I564),I564&lt;&gt;0,AC564&gt;0),AC564/I564,"")</f>
        <v/>
      </c>
      <c r="AR564" s="17">
        <f>IF(AND(ISNUMBER(W564),ISNUMBER(Y564)),W564-IF(ISNUMBER(R564),R564,0)-(Y564-IF(ISNUMBER(T564),T564,0)),"")</f>
        <v/>
      </c>
      <c r="AS564" s="17">
        <f>IF(AND(ISNUMBER(X564),ISNUMBER(Z564)),X564-IF(ISNUMBER(S564),S564,0)-(Z564-IF(ISNUMBER(U564),U564,0)),"")</f>
        <v/>
      </c>
      <c r="AT564" s="17">
        <f>IF(AND(ISNUMBER(AR564),ISNUMBER(AS564)),AR564-AS564,"")</f>
        <v/>
      </c>
      <c r="AU564" s="17">
        <f>IF(E564="금융","",IF(AND(ISNUMBER(L564),ISNUMBER(M564),ISNUMBER(N564),ISNUMBER(AT564)),L564+M564-N564-AT564,IF(AND(ISNUMBER(O564),ISNUMBER(N564)),O564-N564,"")))</f>
        <v/>
      </c>
      <c r="AV564" s="8">
        <f>IF(E564="금융","금융업 - 정의되지 않음",IF(AND(ISNUMBER(L564),ISNUMBER(M564),ISNUMBER(N564),ISNUMBER(AT564)),"순이익+감가상각-설비투자-운전자본증감",IF(AND(ISNUMBER(O564),ISNUMBER(N564)),"영업현금흐름-설비투자","산출불가")))</f>
        <v/>
      </c>
      <c r="AW564" s="19">
        <f>IF(AND(ISNUMBER(AU564),ISNUMBER(G564),G564&lt;&gt;0),AU564/G564,"")</f>
        <v/>
      </c>
      <c r="AX564" s="19">
        <f>IF(AND(ISNUMBER(AC564),ISNUMBER(G564),G564&lt;&gt;0),AC564/G564,"")</f>
        <v/>
      </c>
    </row>
    <row r="565">
      <c r="A565" s="8" t="inlineStr">
        <is>
          <t>AXP</t>
        </is>
      </c>
      <c r="B565" s="8" t="inlineStr">
        <is>
          <t>AMERICAN EXPRESS CO</t>
        </is>
      </c>
      <c r="C565" s="8" t="n">
        <v>2024</v>
      </c>
      <c r="D565" s="8" t="inlineStr">
        <is>
          <t>2024-12-31</t>
        </is>
      </c>
      <c r="E565" s="8" t="inlineStr">
        <is>
          <t>금융</t>
        </is>
      </c>
      <c r="F565" s="8" t="inlineStr">
        <is>
          <t>0000004962-26-000080</t>
        </is>
      </c>
      <c r="G565" s="15" t="n">
        <v>65.949</v>
      </c>
      <c r="H565" s="15" t="n">
        <v>12.895</v>
      </c>
      <c r="I565" s="15" t="n">
        <v>15.543</v>
      </c>
      <c r="J565" s="15" t="n">
        <v>2.766</v>
      </c>
      <c r="K565" s="15" t="n"/>
      <c r="L565" s="15" t="n">
        <v>10.129</v>
      </c>
      <c r="M565" s="15" t="n">
        <v>1.676</v>
      </c>
      <c r="N565" s="15" t="n">
        <v>1.911</v>
      </c>
      <c r="O565" s="15" t="n">
        <v>14.05</v>
      </c>
      <c r="P565" s="15" t="n">
        <v>30.264</v>
      </c>
      <c r="Q565" s="15" t="n">
        <v>28.057</v>
      </c>
      <c r="R565" s="15" t="n">
        <v>40.861</v>
      </c>
      <c r="S565" s="15" t="n">
        <v>46.762</v>
      </c>
      <c r="T565" s="15" t="n">
        <v>1.374</v>
      </c>
      <c r="U565" s="15" t="n">
        <v>1.293</v>
      </c>
      <c r="V565" s="15" t="n">
        <v>49.715</v>
      </c>
      <c r="W565" s="15" t="n"/>
      <c r="X565" s="15" t="n"/>
      <c r="Y565" s="15" t="n"/>
      <c r="Z565" s="15" t="n"/>
      <c r="AA565" s="15" t="n"/>
      <c r="AB565" s="16" t="n">
        <v>702</v>
      </c>
      <c r="AC565" s="17">
        <f>IF(AND(ISNUMBER(H565),ISNUMBER(I565)),H565+I565,IF(ISNUMBER(K565),K565,IF(ISNUMBER(H565),H565,"")))</f>
        <v/>
      </c>
      <c r="AD565" s="18">
        <f>IF(OR(NOT(ISNUMBER(J565)),NOT(ISNUMBER(H565)),H565&lt;=0),기준표!$B$8,MIN(MAX(J565/H565,기준표!$B$6),기준표!$B$7))</f>
        <v/>
      </c>
      <c r="AE565" s="17">
        <f>IF(ISNUMBER(AC565),AC565*(1-AD565),"")</f>
        <v/>
      </c>
      <c r="AF565" s="17">
        <f>IF(AND(NOT(ISNUMBER(T565)),NOT(ISNUMBER(V565))),"",IF(ISNUMBER(T565),T565,0)+IF(ISNUMBER(V565),V565,0))</f>
        <v/>
      </c>
      <c r="AG565" s="17">
        <f>IF(E565="금융","",IF(AND(ISNUMBER(P565),ISNUMBER(AF565),ISNUMBER(R565)),P565+AF565-R565,""))</f>
        <v/>
      </c>
      <c r="AH565" s="17">
        <f>IF(E565="금융","",IF(NOT(ISNUMBER(AG565)),"",IF(ISNUMBER(AA565),(AG565+AA565)/2,AG565)))</f>
        <v/>
      </c>
      <c r="AI565" s="19">
        <f>IF(AND(ISNUMBER(AE565),ISNUMBER(AH565),AH565&gt;0),AE565/AH565,"")</f>
        <v/>
      </c>
      <c r="AJ565" s="17">
        <f>IF(E565="금융","",IF(AND(ISNUMBER(P565),ISNUMBER(AF565)),P565+AF565,""))</f>
        <v/>
      </c>
      <c r="AK565" s="19">
        <f>IF(OR(NOT(ISNUMBER(AE565)),NOT(ISNUMBER(AJ565)),AJ565&lt;=0),"",IF(AND(ISNUMBER(G565),AJ565&lt;0.1*G565),"",AE565/AJ565))</f>
        <v/>
      </c>
      <c r="AL565" s="17">
        <f>IF(NOT(ISNUMBER(P565)),"",IF(ISNUMBER(Q565),(P565+Q565)/2,P565))</f>
        <v/>
      </c>
      <c r="AM565" s="19">
        <f>IF(AND(ISNUMBER(L565),ISNUMBER(AL565),AL565&gt;0),L565/AL565,"")</f>
        <v/>
      </c>
      <c r="AN565" s="19">
        <f>IF(AND(ISNUMBER(AM565),ISNUMBER({ROIC})),AM565-{ROIC},"")</f>
        <v/>
      </c>
      <c r="AO565" s="17">
        <f>IF(AND(ISNUMBER(AC565),ISNUMBER(M565)),AC565+M565,"")</f>
        <v/>
      </c>
      <c r="AP565" s="20">
        <f>IF(AND(ISNUMBER(AF565),ISNUMBER(R565),ISNUMBER(AO565),AO565&gt;0),(AF565-R565)/AO565,"")</f>
        <v/>
      </c>
      <c r="AQ565" s="20">
        <f>IF(AND(ISNUMBER(AC565),ISNUMBER(I565),I565&lt;&gt;0,AC565&gt;0),AC565/I565,"")</f>
        <v/>
      </c>
      <c r="AR565" s="17">
        <f>IF(AND(ISNUMBER(W565),ISNUMBER(Y565)),W565-IF(ISNUMBER(R565),R565,0)-(Y565-IF(ISNUMBER(T565),T565,0)),"")</f>
        <v/>
      </c>
      <c r="AS565" s="17">
        <f>IF(AND(ISNUMBER(X565),ISNUMBER(Z565)),X565-IF(ISNUMBER(S565),S565,0)-(Z565-IF(ISNUMBER(U565),U565,0)),"")</f>
        <v/>
      </c>
      <c r="AT565" s="17">
        <f>IF(AND(ISNUMBER(AR565),ISNUMBER(AS565)),AR565-AS565,"")</f>
        <v/>
      </c>
      <c r="AU565" s="17">
        <f>IF(E565="금융","",IF(AND(ISNUMBER(L565),ISNUMBER(M565),ISNUMBER(N565),ISNUMBER(AT565)),L565+M565-N565-AT565,IF(AND(ISNUMBER(O565),ISNUMBER(N565)),O565-N565,"")))</f>
        <v/>
      </c>
      <c r="AV565" s="8">
        <f>IF(E565="금융","금융업 - 정의되지 않음",IF(AND(ISNUMBER(L565),ISNUMBER(M565),ISNUMBER(N565),ISNUMBER(AT565)),"순이익+감가상각-설비투자-운전자본증감",IF(AND(ISNUMBER(O565),ISNUMBER(N565)),"영업현금흐름-설비투자","산출불가")))</f>
        <v/>
      </c>
      <c r="AW565" s="19">
        <f>IF(AND(ISNUMBER(AU565),ISNUMBER(G565),G565&lt;&gt;0),AU565/G565,"")</f>
        <v/>
      </c>
      <c r="AX565" s="19">
        <f>IF(AND(ISNUMBER(AC565),ISNUMBER(G565),G565&lt;&gt;0),AC565/G565,"")</f>
        <v/>
      </c>
    </row>
    <row r="566">
      <c r="A566" s="8" t="inlineStr">
        <is>
          <t>AXP</t>
        </is>
      </c>
      <c r="B566" s="8" t="inlineStr">
        <is>
          <t>AMERICAN EXPRESS CO</t>
        </is>
      </c>
      <c r="C566" s="8" t="n">
        <v>2025</v>
      </c>
      <c r="D566" s="8" t="inlineStr">
        <is>
          <t>2025-12-31</t>
        </is>
      </c>
      <c r="E566" s="8" t="inlineStr">
        <is>
          <t>금융</t>
        </is>
      </c>
      <c r="F566" s="8" t="inlineStr">
        <is>
          <t>0000004962-26-000080</t>
        </is>
      </c>
      <c r="G566" s="15" t="n">
        <v>72.229</v>
      </c>
      <c r="H566" s="15" t="n">
        <v>13.795</v>
      </c>
      <c r="I566" s="15" t="n">
        <v>17.364</v>
      </c>
      <c r="J566" s="15" t="n">
        <v>2.962</v>
      </c>
      <c r="K566" s="15" t="n"/>
      <c r="L566" s="15" t="n">
        <v>10.833</v>
      </c>
      <c r="M566" s="15" t="n">
        <v>1.777</v>
      </c>
      <c r="N566" s="15" t="n">
        <v>2.425</v>
      </c>
      <c r="O566" s="15" t="n">
        <v>18.428</v>
      </c>
      <c r="P566" s="15" t="n">
        <v>33.474</v>
      </c>
      <c r="Q566" s="15" t="n">
        <v>30.264</v>
      </c>
      <c r="R566" s="15" t="n">
        <v>48.534</v>
      </c>
      <c r="S566" s="15" t="n">
        <v>40.861</v>
      </c>
      <c r="T566" s="15" t="n">
        <v>1.371</v>
      </c>
      <c r="U566" s="15" t="n">
        <v>1.374</v>
      </c>
      <c r="V566" s="15" t="n">
        <v>56.387</v>
      </c>
      <c r="W566" s="15" t="n"/>
      <c r="X566" s="15" t="n"/>
      <c r="Y566" s="15" t="n"/>
      <c r="Z566" s="15" t="n"/>
      <c r="AA566" s="15" t="n"/>
      <c r="AB566" s="16" t="n">
        <v>686</v>
      </c>
      <c r="AC566" s="17">
        <f>IF(AND(ISNUMBER(H566),ISNUMBER(I566)),H566+I566,IF(ISNUMBER(K566),K566,IF(ISNUMBER(H566),H566,"")))</f>
        <v/>
      </c>
      <c r="AD566" s="18">
        <f>IF(OR(NOT(ISNUMBER(J566)),NOT(ISNUMBER(H566)),H566&lt;=0),기준표!$B$8,MIN(MAX(J566/H566,기준표!$B$6),기준표!$B$7))</f>
        <v/>
      </c>
      <c r="AE566" s="17">
        <f>IF(ISNUMBER(AC566),AC566*(1-AD566),"")</f>
        <v/>
      </c>
      <c r="AF566" s="17">
        <f>IF(AND(NOT(ISNUMBER(T566)),NOT(ISNUMBER(V566))),"",IF(ISNUMBER(T566),T566,0)+IF(ISNUMBER(V566),V566,0))</f>
        <v/>
      </c>
      <c r="AG566" s="17">
        <f>IF(E566="금융","",IF(AND(ISNUMBER(P566),ISNUMBER(AF566),ISNUMBER(R566)),P566+AF566-R566,""))</f>
        <v/>
      </c>
      <c r="AH566" s="17">
        <f>IF(E566="금융","",IF(NOT(ISNUMBER(AG566)),"",IF(ISNUMBER(AA566),(AG566+AA566)/2,AG566)))</f>
        <v/>
      </c>
      <c r="AI566" s="19">
        <f>IF(AND(ISNUMBER(AE566),ISNUMBER(AH566),AH566&gt;0),AE566/AH566,"")</f>
        <v/>
      </c>
      <c r="AJ566" s="17">
        <f>IF(E566="금융","",IF(AND(ISNUMBER(P566),ISNUMBER(AF566)),P566+AF566,""))</f>
        <v/>
      </c>
      <c r="AK566" s="19">
        <f>IF(OR(NOT(ISNUMBER(AE566)),NOT(ISNUMBER(AJ566)),AJ566&lt;=0),"",IF(AND(ISNUMBER(G566),AJ566&lt;0.1*G566),"",AE566/AJ566))</f>
        <v/>
      </c>
      <c r="AL566" s="17">
        <f>IF(NOT(ISNUMBER(P566)),"",IF(ISNUMBER(Q566),(P566+Q566)/2,P566))</f>
        <v/>
      </c>
      <c r="AM566" s="19">
        <f>IF(AND(ISNUMBER(L566),ISNUMBER(AL566),AL566&gt;0),L566/AL566,"")</f>
        <v/>
      </c>
      <c r="AN566" s="19">
        <f>IF(AND(ISNUMBER(AM566),ISNUMBER({ROIC})),AM566-{ROIC},"")</f>
        <v/>
      </c>
      <c r="AO566" s="17">
        <f>IF(AND(ISNUMBER(AC566),ISNUMBER(M566)),AC566+M566,"")</f>
        <v/>
      </c>
      <c r="AP566" s="20">
        <f>IF(AND(ISNUMBER(AF566),ISNUMBER(R566),ISNUMBER(AO566),AO566&gt;0),(AF566-R566)/AO566,"")</f>
        <v/>
      </c>
      <c r="AQ566" s="20">
        <f>IF(AND(ISNUMBER(AC566),ISNUMBER(I566),I566&lt;&gt;0,AC566&gt;0),AC566/I566,"")</f>
        <v/>
      </c>
      <c r="AR566" s="17">
        <f>IF(AND(ISNUMBER(W566),ISNUMBER(Y566)),W566-IF(ISNUMBER(R566),R566,0)-(Y566-IF(ISNUMBER(T566),T566,0)),"")</f>
        <v/>
      </c>
      <c r="AS566" s="17">
        <f>IF(AND(ISNUMBER(X566),ISNUMBER(Z566)),X566-IF(ISNUMBER(S566),S566,0)-(Z566-IF(ISNUMBER(U566),U566,0)),"")</f>
        <v/>
      </c>
      <c r="AT566" s="17">
        <f>IF(AND(ISNUMBER(AR566),ISNUMBER(AS566)),AR566-AS566,"")</f>
        <v/>
      </c>
      <c r="AU566" s="17">
        <f>IF(E566="금융","",IF(AND(ISNUMBER(L566),ISNUMBER(M566),ISNUMBER(N566),ISNUMBER(AT566)),L566+M566-N566-AT566,IF(AND(ISNUMBER(O566),ISNUMBER(N566)),O566-N566,"")))</f>
        <v/>
      </c>
      <c r="AV566" s="8">
        <f>IF(E566="금융","금융업 - 정의되지 않음",IF(AND(ISNUMBER(L566),ISNUMBER(M566),ISNUMBER(N566),ISNUMBER(AT566)),"순이익+감가상각-설비투자-운전자본증감",IF(AND(ISNUMBER(O566),ISNUMBER(N566)),"영업현금흐름-설비투자","산출불가")))</f>
        <v/>
      </c>
      <c r="AW566" s="19">
        <f>IF(AND(ISNUMBER(AU566),ISNUMBER(G566),G566&lt;&gt;0),AU566/G566,"")</f>
        <v/>
      </c>
      <c r="AX566" s="19">
        <f>IF(AND(ISNUMBER(AC566),ISNUMBER(G566),G566&lt;&gt;0),AC566/G566,"")</f>
        <v/>
      </c>
    </row>
    <row r="567">
      <c r="A567" s="8" t="inlineStr">
        <is>
          <t>C</t>
        </is>
      </c>
      <c r="B567" s="8" t="inlineStr">
        <is>
          <t>CITIGROUP INC</t>
        </is>
      </c>
      <c r="C567" s="8" t="n">
        <v>2014</v>
      </c>
      <c r="D567" s="8" t="inlineStr">
        <is>
          <t>2014-12-31</t>
        </is>
      </c>
      <c r="E567" s="8" t="inlineStr">
        <is>
          <t>금융</t>
        </is>
      </c>
      <c r="F567" s="8" t="inlineStr">
        <is>
          <t>0000831001-17-000038</t>
        </is>
      </c>
      <c r="G567" s="15" t="n">
        <v>77.21899999999999</v>
      </c>
      <c r="H567" s="15" t="n">
        <v>14.701</v>
      </c>
      <c r="I567" s="15" t="n">
        <v>47.993</v>
      </c>
      <c r="J567" s="15" t="n">
        <v>7.197</v>
      </c>
      <c r="K567" s="15" t="n"/>
      <c r="L567" s="15" t="n">
        <v>7.31</v>
      </c>
      <c r="M567" s="15" t="n">
        <v>3.589</v>
      </c>
      <c r="N567" s="15" t="n">
        <v>3.386</v>
      </c>
      <c r="O567" s="15" t="n"/>
      <c r="P567" s="15" t="n">
        <v>210.185</v>
      </c>
      <c r="Q567" s="15" t="n"/>
      <c r="R567" s="15" t="n"/>
      <c r="S567" s="15" t="n"/>
      <c r="T567" s="15" t="n">
        <v>58.335</v>
      </c>
      <c r="U567" s="15" t="n"/>
      <c r="V567" s="15" t="n">
        <v>223.08</v>
      </c>
      <c r="W567" s="15" t="n"/>
      <c r="X567" s="15" t="n"/>
      <c r="Y567" s="15" t="n"/>
      <c r="Z567" s="15" t="n"/>
      <c r="AA567" s="15" t="n"/>
      <c r="AB567" s="16" t="n">
        <v>3037</v>
      </c>
      <c r="AC567" s="17">
        <f>IF(AND(ISNUMBER(H567),ISNUMBER(I567)),H567+I567,IF(ISNUMBER(K567),K567,IF(ISNUMBER(H567),H567,"")))</f>
        <v/>
      </c>
      <c r="AD567" s="18">
        <f>IF(OR(NOT(ISNUMBER(J567)),NOT(ISNUMBER(H567)),H567&lt;=0),기준표!$B$8,MIN(MAX(J567/H567,기준표!$B$6),기준표!$B$7))</f>
        <v/>
      </c>
      <c r="AE567" s="17">
        <f>IF(ISNUMBER(AC567),AC567*(1-AD567),"")</f>
        <v/>
      </c>
      <c r="AF567" s="17">
        <f>IF(AND(NOT(ISNUMBER(T567)),NOT(ISNUMBER(V567))),"",IF(ISNUMBER(T567),T567,0)+IF(ISNUMBER(V567),V567,0))</f>
        <v/>
      </c>
      <c r="AG567" s="17">
        <f>IF(E567="금융","",IF(AND(ISNUMBER(P567),ISNUMBER(AF567),ISNUMBER(R567)),P567+AF567-R567,""))</f>
        <v/>
      </c>
      <c r="AH567" s="17">
        <f>IF(E567="금융","",IF(NOT(ISNUMBER(AG567)),"",IF(ISNUMBER(AA567),(AG567+AA567)/2,AG567)))</f>
        <v/>
      </c>
      <c r="AI567" s="19">
        <f>IF(AND(ISNUMBER(AE567),ISNUMBER(AH567),AH567&gt;0),AE567/AH567,"")</f>
        <v/>
      </c>
      <c r="AJ567" s="17">
        <f>IF(E567="금융","",IF(AND(ISNUMBER(P567),ISNUMBER(AF567)),P567+AF567,""))</f>
        <v/>
      </c>
      <c r="AK567" s="19">
        <f>IF(OR(NOT(ISNUMBER(AE567)),NOT(ISNUMBER(AJ567)),AJ567&lt;=0),"",IF(AND(ISNUMBER(G567),AJ567&lt;0.1*G567),"",AE567/AJ567))</f>
        <v/>
      </c>
      <c r="AL567" s="17">
        <f>IF(NOT(ISNUMBER(P567)),"",IF(ISNUMBER(Q567),(P567+Q567)/2,P567))</f>
        <v/>
      </c>
      <c r="AM567" s="19">
        <f>IF(AND(ISNUMBER(L567),ISNUMBER(AL567),AL567&gt;0),L567/AL567,"")</f>
        <v/>
      </c>
      <c r="AN567" s="19">
        <f>IF(AND(ISNUMBER(AM567),ISNUMBER({ROIC})),AM567-{ROIC},"")</f>
        <v/>
      </c>
      <c r="AO567" s="17">
        <f>IF(AND(ISNUMBER(AC567),ISNUMBER(M567)),AC567+M567,"")</f>
        <v/>
      </c>
      <c r="AP567" s="20">
        <f>IF(AND(ISNUMBER(AF567),ISNUMBER(R567),ISNUMBER(AO567),AO567&gt;0),(AF567-R567)/AO567,"")</f>
        <v/>
      </c>
      <c r="AQ567" s="20">
        <f>IF(AND(ISNUMBER(AC567),ISNUMBER(I567),I567&lt;&gt;0,AC567&gt;0),AC567/I567,"")</f>
        <v/>
      </c>
      <c r="AR567" s="17">
        <f>IF(AND(ISNUMBER(W567),ISNUMBER(Y567)),W567-IF(ISNUMBER(R567),R567,0)-(Y567-IF(ISNUMBER(T567),T567,0)),"")</f>
        <v/>
      </c>
      <c r="AS567" s="17">
        <f>IF(AND(ISNUMBER(X567),ISNUMBER(Z567)),X567-IF(ISNUMBER(S567),S567,0)-(Z567-IF(ISNUMBER(U567),U567,0)),"")</f>
        <v/>
      </c>
      <c r="AT567" s="17">
        <f>IF(AND(ISNUMBER(AR567),ISNUMBER(AS567)),AR567-AS567,"")</f>
        <v/>
      </c>
      <c r="AU567" s="17">
        <f>IF(E567="금융","",IF(AND(ISNUMBER(L567),ISNUMBER(M567),ISNUMBER(N567),ISNUMBER(AT567)),L567+M567-N567-AT567,IF(AND(ISNUMBER(O567),ISNUMBER(N567)),O567-N567,"")))</f>
        <v/>
      </c>
      <c r="AV567" s="8">
        <f>IF(E567="금융","금융업 - 정의되지 않음",IF(AND(ISNUMBER(L567),ISNUMBER(M567),ISNUMBER(N567),ISNUMBER(AT567)),"순이익+감가상각-설비투자-운전자본증감",IF(AND(ISNUMBER(O567),ISNUMBER(N567)),"영업현금흐름-설비투자","산출불가")))</f>
        <v/>
      </c>
      <c r="AW567" s="19">
        <f>IF(AND(ISNUMBER(AU567),ISNUMBER(G567),G567&lt;&gt;0),AU567/G567,"")</f>
        <v/>
      </c>
      <c r="AX567" s="19">
        <f>IF(AND(ISNUMBER(AC567),ISNUMBER(G567),G567&lt;&gt;0),AC567/G567,"")</f>
        <v/>
      </c>
    </row>
    <row r="568">
      <c r="A568" s="8" t="inlineStr">
        <is>
          <t>C</t>
        </is>
      </c>
      <c r="B568" s="8" t="inlineStr">
        <is>
          <t>CITIGROUP INC</t>
        </is>
      </c>
      <c r="C568" s="8" t="n">
        <v>2015</v>
      </c>
      <c r="D568" s="8" t="inlineStr">
        <is>
          <t>2015-12-31</t>
        </is>
      </c>
      <c r="E568" s="8" t="inlineStr">
        <is>
          <t>금융</t>
        </is>
      </c>
      <c r="F568" s="8" t="inlineStr">
        <is>
          <t>0000831001-18-000040</t>
        </is>
      </c>
      <c r="G568" s="15" t="n">
        <v>76.354</v>
      </c>
      <c r="H568" s="15" t="n">
        <v>24.826</v>
      </c>
      <c r="I568" s="15" t="n">
        <v>46.63</v>
      </c>
      <c r="J568" s="15" t="n">
        <v>7.44</v>
      </c>
      <c r="K568" s="15" t="n"/>
      <c r="L568" s="15" t="n">
        <v>17.242</v>
      </c>
      <c r="M568" s="15" t="n">
        <v>3.506</v>
      </c>
      <c r="N568" s="15" t="n">
        <v>3.198</v>
      </c>
      <c r="O568" s="15" t="n"/>
      <c r="P568" s="15" t="n">
        <v>221.857</v>
      </c>
      <c r="Q568" s="15" t="n">
        <v>210.185</v>
      </c>
      <c r="R568" s="15" t="n"/>
      <c r="S568" s="15" t="n"/>
      <c r="T568" s="15" t="n">
        <v>21.079</v>
      </c>
      <c r="U568" s="15" t="n">
        <v>58.335</v>
      </c>
      <c r="V568" s="15" t="n">
        <v>201.275</v>
      </c>
      <c r="W568" s="15" t="n"/>
      <c r="X568" s="15" t="n"/>
      <c r="Y568" s="15" t="n"/>
      <c r="Z568" s="15" t="n"/>
      <c r="AA568" s="15" t="n"/>
      <c r="AB568" s="16" t="n">
        <v>3007.7</v>
      </c>
      <c r="AC568" s="17">
        <f>IF(AND(ISNUMBER(H568),ISNUMBER(I568)),H568+I568,IF(ISNUMBER(K568),K568,IF(ISNUMBER(H568),H568,"")))</f>
        <v/>
      </c>
      <c r="AD568" s="18">
        <f>IF(OR(NOT(ISNUMBER(J568)),NOT(ISNUMBER(H568)),H568&lt;=0),기준표!$B$8,MIN(MAX(J568/H568,기준표!$B$6),기준표!$B$7))</f>
        <v/>
      </c>
      <c r="AE568" s="17">
        <f>IF(ISNUMBER(AC568),AC568*(1-AD568),"")</f>
        <v/>
      </c>
      <c r="AF568" s="17">
        <f>IF(AND(NOT(ISNUMBER(T568)),NOT(ISNUMBER(V568))),"",IF(ISNUMBER(T568),T568,0)+IF(ISNUMBER(V568),V568,0))</f>
        <v/>
      </c>
      <c r="AG568" s="17">
        <f>IF(E568="금융","",IF(AND(ISNUMBER(P568),ISNUMBER(AF568),ISNUMBER(R568)),P568+AF568-R568,""))</f>
        <v/>
      </c>
      <c r="AH568" s="17">
        <f>IF(E568="금융","",IF(NOT(ISNUMBER(AG568)),"",IF(ISNUMBER(AA568),(AG568+AA568)/2,AG568)))</f>
        <v/>
      </c>
      <c r="AI568" s="19">
        <f>IF(AND(ISNUMBER(AE568),ISNUMBER(AH568),AH568&gt;0),AE568/AH568,"")</f>
        <v/>
      </c>
      <c r="AJ568" s="17">
        <f>IF(E568="금융","",IF(AND(ISNUMBER(P568),ISNUMBER(AF568)),P568+AF568,""))</f>
        <v/>
      </c>
      <c r="AK568" s="19">
        <f>IF(OR(NOT(ISNUMBER(AE568)),NOT(ISNUMBER(AJ568)),AJ568&lt;=0),"",IF(AND(ISNUMBER(G568),AJ568&lt;0.1*G568),"",AE568/AJ568))</f>
        <v/>
      </c>
      <c r="AL568" s="17">
        <f>IF(NOT(ISNUMBER(P568)),"",IF(ISNUMBER(Q568),(P568+Q568)/2,P568))</f>
        <v/>
      </c>
      <c r="AM568" s="19">
        <f>IF(AND(ISNUMBER(L568),ISNUMBER(AL568),AL568&gt;0),L568/AL568,"")</f>
        <v/>
      </c>
      <c r="AN568" s="19">
        <f>IF(AND(ISNUMBER(AM568),ISNUMBER({ROIC})),AM568-{ROIC},"")</f>
        <v/>
      </c>
      <c r="AO568" s="17">
        <f>IF(AND(ISNUMBER(AC568),ISNUMBER(M568)),AC568+M568,"")</f>
        <v/>
      </c>
      <c r="AP568" s="20">
        <f>IF(AND(ISNUMBER(AF568),ISNUMBER(R568),ISNUMBER(AO568),AO568&gt;0),(AF568-R568)/AO568,"")</f>
        <v/>
      </c>
      <c r="AQ568" s="20">
        <f>IF(AND(ISNUMBER(AC568),ISNUMBER(I568),I568&lt;&gt;0,AC568&gt;0),AC568/I568,"")</f>
        <v/>
      </c>
      <c r="AR568" s="17">
        <f>IF(AND(ISNUMBER(W568),ISNUMBER(Y568)),W568-IF(ISNUMBER(R568),R568,0)-(Y568-IF(ISNUMBER(T568),T568,0)),"")</f>
        <v/>
      </c>
      <c r="AS568" s="17">
        <f>IF(AND(ISNUMBER(X568),ISNUMBER(Z568)),X568-IF(ISNUMBER(S568),S568,0)-(Z568-IF(ISNUMBER(U568),U568,0)),"")</f>
        <v/>
      </c>
      <c r="AT568" s="17">
        <f>IF(AND(ISNUMBER(AR568),ISNUMBER(AS568)),AR568-AS568,"")</f>
        <v/>
      </c>
      <c r="AU568" s="17">
        <f>IF(E568="금융","",IF(AND(ISNUMBER(L568),ISNUMBER(M568),ISNUMBER(N568),ISNUMBER(AT568)),L568+M568-N568-AT568,IF(AND(ISNUMBER(O568),ISNUMBER(N568)),O568-N568,"")))</f>
        <v/>
      </c>
      <c r="AV568" s="8">
        <f>IF(E568="금융","금융업 - 정의되지 않음",IF(AND(ISNUMBER(L568),ISNUMBER(M568),ISNUMBER(N568),ISNUMBER(AT568)),"순이익+감가상각-설비투자-운전자본증감",IF(AND(ISNUMBER(O568),ISNUMBER(N568)),"영업현금흐름-설비투자","산출불가")))</f>
        <v/>
      </c>
      <c r="AW568" s="19">
        <f>IF(AND(ISNUMBER(AU568),ISNUMBER(G568),G568&lt;&gt;0),AU568/G568,"")</f>
        <v/>
      </c>
      <c r="AX568" s="19">
        <f>IF(AND(ISNUMBER(AC568),ISNUMBER(G568),G568&lt;&gt;0),AC568/G568,"")</f>
        <v/>
      </c>
    </row>
    <row r="569">
      <c r="A569" s="8" t="inlineStr">
        <is>
          <t>C</t>
        </is>
      </c>
      <c r="B569" s="8" t="inlineStr">
        <is>
          <t>CITIGROUP INC</t>
        </is>
      </c>
      <c r="C569" s="8" t="n">
        <v>2016</v>
      </c>
      <c r="D569" s="8" t="inlineStr">
        <is>
          <t>2016-12-31</t>
        </is>
      </c>
      <c r="E569" s="8" t="inlineStr">
        <is>
          <t>금융</t>
        </is>
      </c>
      <c r="F569" s="8" t="inlineStr">
        <is>
          <t>0000831001-19-000027</t>
        </is>
      </c>
      <c r="G569" s="15" t="n">
        <v>70.797</v>
      </c>
      <c r="H569" s="15" t="n">
        <v>21.477</v>
      </c>
      <c r="I569" s="15" t="n">
        <v>45.476</v>
      </c>
      <c r="J569" s="15" t="n">
        <v>6.444</v>
      </c>
      <c r="K569" s="15" t="n"/>
      <c r="L569" s="15" t="n">
        <v>14.912</v>
      </c>
      <c r="M569" s="15" t="n">
        <v>3.72</v>
      </c>
      <c r="N569" s="15" t="n">
        <v>2.756</v>
      </c>
      <c r="O569" s="15" t="n"/>
      <c r="P569" s="15" t="n">
        <v>225.12</v>
      </c>
      <c r="Q569" s="15" t="n">
        <v>221.857</v>
      </c>
      <c r="R569" s="15" t="n">
        <v>160.494</v>
      </c>
      <c r="S569" s="15" t="n"/>
      <c r="T569" s="15" t="n">
        <v>30.701</v>
      </c>
      <c r="U569" s="15" t="n">
        <v>21.079</v>
      </c>
      <c r="V569" s="15" t="n">
        <v>206.178</v>
      </c>
      <c r="W569" s="15" t="n"/>
      <c r="X569" s="15" t="n"/>
      <c r="Y569" s="15" t="n"/>
      <c r="Z569" s="15" t="n"/>
      <c r="AA569" s="15" t="n"/>
      <c r="AB569" s="16" t="n">
        <v>2888.3</v>
      </c>
      <c r="AC569" s="17">
        <f>IF(AND(ISNUMBER(H569),ISNUMBER(I569)),H569+I569,IF(ISNUMBER(K569),K569,IF(ISNUMBER(H569),H569,"")))</f>
        <v/>
      </c>
      <c r="AD569" s="18">
        <f>IF(OR(NOT(ISNUMBER(J569)),NOT(ISNUMBER(H569)),H569&lt;=0),기준표!$B$8,MIN(MAX(J569/H569,기준표!$B$6),기준표!$B$7))</f>
        <v/>
      </c>
      <c r="AE569" s="17">
        <f>IF(ISNUMBER(AC569),AC569*(1-AD569),"")</f>
        <v/>
      </c>
      <c r="AF569" s="17">
        <f>IF(AND(NOT(ISNUMBER(T569)),NOT(ISNUMBER(V569))),"",IF(ISNUMBER(T569),T569,0)+IF(ISNUMBER(V569),V569,0))</f>
        <v/>
      </c>
      <c r="AG569" s="17">
        <f>IF(E569="금융","",IF(AND(ISNUMBER(P569),ISNUMBER(AF569),ISNUMBER(R569)),P569+AF569-R569,""))</f>
        <v/>
      </c>
      <c r="AH569" s="17">
        <f>IF(E569="금융","",IF(NOT(ISNUMBER(AG569)),"",IF(ISNUMBER(AA569),(AG569+AA569)/2,AG569)))</f>
        <v/>
      </c>
      <c r="AI569" s="19">
        <f>IF(AND(ISNUMBER(AE569),ISNUMBER(AH569),AH569&gt;0),AE569/AH569,"")</f>
        <v/>
      </c>
      <c r="AJ569" s="17">
        <f>IF(E569="금융","",IF(AND(ISNUMBER(P569),ISNUMBER(AF569)),P569+AF569,""))</f>
        <v/>
      </c>
      <c r="AK569" s="19">
        <f>IF(OR(NOT(ISNUMBER(AE569)),NOT(ISNUMBER(AJ569)),AJ569&lt;=0),"",IF(AND(ISNUMBER(G569),AJ569&lt;0.1*G569),"",AE569/AJ569))</f>
        <v/>
      </c>
      <c r="AL569" s="17">
        <f>IF(NOT(ISNUMBER(P569)),"",IF(ISNUMBER(Q569),(P569+Q569)/2,P569))</f>
        <v/>
      </c>
      <c r="AM569" s="19">
        <f>IF(AND(ISNUMBER(L569),ISNUMBER(AL569),AL569&gt;0),L569/AL569,"")</f>
        <v/>
      </c>
      <c r="AN569" s="19">
        <f>IF(AND(ISNUMBER(AM569),ISNUMBER({ROIC})),AM569-{ROIC},"")</f>
        <v/>
      </c>
      <c r="AO569" s="17">
        <f>IF(AND(ISNUMBER(AC569),ISNUMBER(M569)),AC569+M569,"")</f>
        <v/>
      </c>
      <c r="AP569" s="20">
        <f>IF(AND(ISNUMBER(AF569),ISNUMBER(R569),ISNUMBER(AO569),AO569&gt;0),(AF569-R569)/AO569,"")</f>
        <v/>
      </c>
      <c r="AQ569" s="20">
        <f>IF(AND(ISNUMBER(AC569),ISNUMBER(I569),I569&lt;&gt;0,AC569&gt;0),AC569/I569,"")</f>
        <v/>
      </c>
      <c r="AR569" s="17">
        <f>IF(AND(ISNUMBER(W569),ISNUMBER(Y569)),W569-IF(ISNUMBER(R569),R569,0)-(Y569-IF(ISNUMBER(T569),T569,0)),"")</f>
        <v/>
      </c>
      <c r="AS569" s="17">
        <f>IF(AND(ISNUMBER(X569),ISNUMBER(Z569)),X569-IF(ISNUMBER(S569),S569,0)-(Z569-IF(ISNUMBER(U569),U569,0)),"")</f>
        <v/>
      </c>
      <c r="AT569" s="17">
        <f>IF(AND(ISNUMBER(AR569),ISNUMBER(AS569)),AR569-AS569,"")</f>
        <v/>
      </c>
      <c r="AU569" s="17">
        <f>IF(E569="금융","",IF(AND(ISNUMBER(L569),ISNUMBER(M569),ISNUMBER(N569),ISNUMBER(AT569)),L569+M569-N569-AT569,IF(AND(ISNUMBER(O569),ISNUMBER(N569)),O569-N569,"")))</f>
        <v/>
      </c>
      <c r="AV569" s="8">
        <f>IF(E569="금융","금융업 - 정의되지 않음",IF(AND(ISNUMBER(L569),ISNUMBER(M569),ISNUMBER(N569),ISNUMBER(AT569)),"순이익+감가상각-설비투자-운전자본증감",IF(AND(ISNUMBER(O569),ISNUMBER(N569)),"영업현금흐름-설비투자","산출불가")))</f>
        <v/>
      </c>
      <c r="AW569" s="19">
        <f>IF(AND(ISNUMBER(AU569),ISNUMBER(G569),G569&lt;&gt;0),AU569/G569,"")</f>
        <v/>
      </c>
      <c r="AX569" s="19">
        <f>IF(AND(ISNUMBER(AC569),ISNUMBER(G569),G569&lt;&gt;0),AC569/G569,"")</f>
        <v/>
      </c>
    </row>
    <row r="570">
      <c r="A570" s="8" t="inlineStr">
        <is>
          <t>C</t>
        </is>
      </c>
      <c r="B570" s="8" t="inlineStr">
        <is>
          <t>CITIGROUP INC</t>
        </is>
      </c>
      <c r="C570" s="8" t="n">
        <v>2017</v>
      </c>
      <c r="D570" s="8" t="inlineStr">
        <is>
          <t>2017-12-31</t>
        </is>
      </c>
      <c r="E570" s="8" t="inlineStr">
        <is>
          <t>금융</t>
        </is>
      </c>
      <c r="F570" s="8" t="inlineStr">
        <is>
          <t>0000831001-20-000031</t>
        </is>
      </c>
      <c r="G570" s="15" t="n">
        <v>72.444</v>
      </c>
      <c r="H570" s="15" t="n">
        <v>22.761</v>
      </c>
      <c r="I570" s="15" t="n">
        <v>45.061</v>
      </c>
      <c r="J570" s="15" t="n">
        <v>29.388</v>
      </c>
      <c r="K570" s="15" t="n"/>
      <c r="L570" s="15" t="n">
        <v>-6.798</v>
      </c>
      <c r="M570" s="15" t="n">
        <v>3.659</v>
      </c>
      <c r="N570" s="15" t="n">
        <v>3.361</v>
      </c>
      <c r="O570" s="15" t="n"/>
      <c r="P570" s="15" t="n">
        <v>200.74</v>
      </c>
      <c r="Q570" s="15" t="n">
        <v>225.12</v>
      </c>
      <c r="R570" s="15" t="n">
        <v>180.516</v>
      </c>
      <c r="S570" s="15" t="n">
        <v>160.494</v>
      </c>
      <c r="T570" s="15" t="n">
        <v>44.452</v>
      </c>
      <c r="U570" s="15" t="n">
        <v>30.701</v>
      </c>
      <c r="V570" s="15" t="n">
        <v>236.709</v>
      </c>
      <c r="W570" s="15" t="n"/>
      <c r="X570" s="15" t="n"/>
      <c r="Y570" s="15" t="n"/>
      <c r="Z570" s="15" t="n"/>
      <c r="AA570" s="15" t="n"/>
      <c r="AB570" s="16" t="n">
        <v>2698.5</v>
      </c>
      <c r="AC570" s="17">
        <f>IF(AND(ISNUMBER(H570),ISNUMBER(I570)),H570+I570,IF(ISNUMBER(K570),K570,IF(ISNUMBER(H570),H570,"")))</f>
        <v/>
      </c>
      <c r="AD570" s="18">
        <f>IF(OR(NOT(ISNUMBER(J570)),NOT(ISNUMBER(H570)),H570&lt;=0),기준표!$B$8,MIN(MAX(J570/H570,기준표!$B$6),기준표!$B$7))</f>
        <v/>
      </c>
      <c r="AE570" s="17">
        <f>IF(ISNUMBER(AC570),AC570*(1-AD570),"")</f>
        <v/>
      </c>
      <c r="AF570" s="17">
        <f>IF(AND(NOT(ISNUMBER(T570)),NOT(ISNUMBER(V570))),"",IF(ISNUMBER(T570),T570,0)+IF(ISNUMBER(V570),V570,0))</f>
        <v/>
      </c>
      <c r="AG570" s="17">
        <f>IF(E570="금융","",IF(AND(ISNUMBER(P570),ISNUMBER(AF570),ISNUMBER(R570)),P570+AF570-R570,""))</f>
        <v/>
      </c>
      <c r="AH570" s="17">
        <f>IF(E570="금융","",IF(NOT(ISNUMBER(AG570)),"",IF(ISNUMBER(AA570),(AG570+AA570)/2,AG570)))</f>
        <v/>
      </c>
      <c r="AI570" s="19">
        <f>IF(AND(ISNUMBER(AE570),ISNUMBER(AH570),AH570&gt;0),AE570/AH570,"")</f>
        <v/>
      </c>
      <c r="AJ570" s="17">
        <f>IF(E570="금융","",IF(AND(ISNUMBER(P570),ISNUMBER(AF570)),P570+AF570,""))</f>
        <v/>
      </c>
      <c r="AK570" s="19">
        <f>IF(OR(NOT(ISNUMBER(AE570)),NOT(ISNUMBER(AJ570)),AJ570&lt;=0),"",IF(AND(ISNUMBER(G570),AJ570&lt;0.1*G570),"",AE570/AJ570))</f>
        <v/>
      </c>
      <c r="AL570" s="17">
        <f>IF(NOT(ISNUMBER(P570)),"",IF(ISNUMBER(Q570),(P570+Q570)/2,P570))</f>
        <v/>
      </c>
      <c r="AM570" s="19">
        <f>IF(AND(ISNUMBER(L570),ISNUMBER(AL570),AL570&gt;0),L570/AL570,"")</f>
        <v/>
      </c>
      <c r="AN570" s="19">
        <f>IF(AND(ISNUMBER(AM570),ISNUMBER({ROIC})),AM570-{ROIC},"")</f>
        <v/>
      </c>
      <c r="AO570" s="17">
        <f>IF(AND(ISNUMBER(AC570),ISNUMBER(M570)),AC570+M570,"")</f>
        <v/>
      </c>
      <c r="AP570" s="20">
        <f>IF(AND(ISNUMBER(AF570),ISNUMBER(R570),ISNUMBER(AO570),AO570&gt;0),(AF570-R570)/AO570,"")</f>
        <v/>
      </c>
      <c r="AQ570" s="20">
        <f>IF(AND(ISNUMBER(AC570),ISNUMBER(I570),I570&lt;&gt;0,AC570&gt;0),AC570/I570,"")</f>
        <v/>
      </c>
      <c r="AR570" s="17">
        <f>IF(AND(ISNUMBER(W570),ISNUMBER(Y570)),W570-IF(ISNUMBER(R570),R570,0)-(Y570-IF(ISNUMBER(T570),T570,0)),"")</f>
        <v/>
      </c>
      <c r="AS570" s="17">
        <f>IF(AND(ISNUMBER(X570),ISNUMBER(Z570)),X570-IF(ISNUMBER(S570),S570,0)-(Z570-IF(ISNUMBER(U570),U570,0)),"")</f>
        <v/>
      </c>
      <c r="AT570" s="17">
        <f>IF(AND(ISNUMBER(AR570),ISNUMBER(AS570)),AR570-AS570,"")</f>
        <v/>
      </c>
      <c r="AU570" s="17">
        <f>IF(E570="금융","",IF(AND(ISNUMBER(L570),ISNUMBER(M570),ISNUMBER(N570),ISNUMBER(AT570)),L570+M570-N570-AT570,IF(AND(ISNUMBER(O570),ISNUMBER(N570)),O570-N570,"")))</f>
        <v/>
      </c>
      <c r="AV570" s="8">
        <f>IF(E570="금융","금융업 - 정의되지 않음",IF(AND(ISNUMBER(L570),ISNUMBER(M570),ISNUMBER(N570),ISNUMBER(AT570)),"순이익+감가상각-설비투자-운전자본증감",IF(AND(ISNUMBER(O570),ISNUMBER(N570)),"영업현금흐름-설비투자","산출불가")))</f>
        <v/>
      </c>
      <c r="AW570" s="19">
        <f>IF(AND(ISNUMBER(AU570),ISNUMBER(G570),G570&lt;&gt;0),AU570/G570,"")</f>
        <v/>
      </c>
      <c r="AX570" s="19">
        <f>IF(AND(ISNUMBER(AC570),ISNUMBER(G570),G570&lt;&gt;0),AC570/G570,"")</f>
        <v/>
      </c>
    </row>
    <row r="571">
      <c r="A571" s="8" t="inlineStr">
        <is>
          <t>C</t>
        </is>
      </c>
      <c r="B571" s="8" t="inlineStr">
        <is>
          <t>CITIGROUP INC</t>
        </is>
      </c>
      <c r="C571" s="8" t="n">
        <v>2018</v>
      </c>
      <c r="D571" s="8" t="inlineStr">
        <is>
          <t>2018-12-31</t>
        </is>
      </c>
      <c r="E571" s="8" t="inlineStr">
        <is>
          <t>금융</t>
        </is>
      </c>
      <c r="F571" s="8" t="inlineStr">
        <is>
          <t>0000831001-21-000042</t>
        </is>
      </c>
      <c r="G571" s="15" t="n">
        <v>72.854</v>
      </c>
      <c r="H571" s="15" t="n">
        <v>23.445</v>
      </c>
      <c r="I571" s="15" t="n">
        <v>46.562</v>
      </c>
      <c r="J571" s="15" t="n">
        <v>5.357</v>
      </c>
      <c r="K571" s="15" t="n"/>
      <c r="L571" s="15" t="n">
        <v>18.045</v>
      </c>
      <c r="M571" s="15" t="n">
        <v>3.754</v>
      </c>
      <c r="N571" s="15" t="n">
        <v>3.774</v>
      </c>
      <c r="O571" s="15" t="n">
        <v>36.952</v>
      </c>
      <c r="P571" s="15" t="n">
        <v>196.22</v>
      </c>
      <c r="Q571" s="15" t="n">
        <v>200.74</v>
      </c>
      <c r="R571" s="15" t="n">
        <v>188.105</v>
      </c>
      <c r="S571" s="15" t="n">
        <v>180.516</v>
      </c>
      <c r="T571" s="15" t="n">
        <v>32.346</v>
      </c>
      <c r="U571" s="15" t="n">
        <v>44.452</v>
      </c>
      <c r="V571" s="15" t="n">
        <v>231.999</v>
      </c>
      <c r="W571" s="15" t="n"/>
      <c r="X571" s="15" t="n"/>
      <c r="Y571" s="15" t="n"/>
      <c r="Z571" s="15" t="n"/>
      <c r="AA571" s="15" t="n"/>
      <c r="AB571" s="16" t="n">
        <v>2494.8</v>
      </c>
      <c r="AC571" s="17">
        <f>IF(AND(ISNUMBER(H571),ISNUMBER(I571)),H571+I571,IF(ISNUMBER(K571),K571,IF(ISNUMBER(H571),H571,"")))</f>
        <v/>
      </c>
      <c r="AD571" s="18">
        <f>IF(OR(NOT(ISNUMBER(J571)),NOT(ISNUMBER(H571)),H571&lt;=0),기준표!$B$8,MIN(MAX(J571/H571,기준표!$B$6),기준표!$B$7))</f>
        <v/>
      </c>
      <c r="AE571" s="17">
        <f>IF(ISNUMBER(AC571),AC571*(1-AD571),"")</f>
        <v/>
      </c>
      <c r="AF571" s="17">
        <f>IF(AND(NOT(ISNUMBER(T571)),NOT(ISNUMBER(V571))),"",IF(ISNUMBER(T571),T571,0)+IF(ISNUMBER(V571),V571,0))</f>
        <v/>
      </c>
      <c r="AG571" s="17">
        <f>IF(E571="금융","",IF(AND(ISNUMBER(P571),ISNUMBER(AF571),ISNUMBER(R571)),P571+AF571-R571,""))</f>
        <v/>
      </c>
      <c r="AH571" s="17">
        <f>IF(E571="금융","",IF(NOT(ISNUMBER(AG571)),"",IF(ISNUMBER(AA571),(AG571+AA571)/2,AG571)))</f>
        <v/>
      </c>
      <c r="AI571" s="19">
        <f>IF(AND(ISNUMBER(AE571),ISNUMBER(AH571),AH571&gt;0),AE571/AH571,"")</f>
        <v/>
      </c>
      <c r="AJ571" s="17">
        <f>IF(E571="금융","",IF(AND(ISNUMBER(P571),ISNUMBER(AF571)),P571+AF571,""))</f>
        <v/>
      </c>
      <c r="AK571" s="19">
        <f>IF(OR(NOT(ISNUMBER(AE571)),NOT(ISNUMBER(AJ571)),AJ571&lt;=0),"",IF(AND(ISNUMBER(G571),AJ571&lt;0.1*G571),"",AE571/AJ571))</f>
        <v/>
      </c>
      <c r="AL571" s="17">
        <f>IF(NOT(ISNUMBER(P571)),"",IF(ISNUMBER(Q571),(P571+Q571)/2,P571))</f>
        <v/>
      </c>
      <c r="AM571" s="19">
        <f>IF(AND(ISNUMBER(L571),ISNUMBER(AL571),AL571&gt;0),L571/AL571,"")</f>
        <v/>
      </c>
      <c r="AN571" s="19">
        <f>IF(AND(ISNUMBER(AM571),ISNUMBER({ROIC})),AM571-{ROIC},"")</f>
        <v/>
      </c>
      <c r="AO571" s="17">
        <f>IF(AND(ISNUMBER(AC571),ISNUMBER(M571)),AC571+M571,"")</f>
        <v/>
      </c>
      <c r="AP571" s="20">
        <f>IF(AND(ISNUMBER(AF571),ISNUMBER(R571),ISNUMBER(AO571),AO571&gt;0),(AF571-R571)/AO571,"")</f>
        <v/>
      </c>
      <c r="AQ571" s="20">
        <f>IF(AND(ISNUMBER(AC571),ISNUMBER(I571),I571&lt;&gt;0,AC571&gt;0),AC571/I571,"")</f>
        <v/>
      </c>
      <c r="AR571" s="17">
        <f>IF(AND(ISNUMBER(W571),ISNUMBER(Y571)),W571-IF(ISNUMBER(R571),R571,0)-(Y571-IF(ISNUMBER(T571),T571,0)),"")</f>
        <v/>
      </c>
      <c r="AS571" s="17">
        <f>IF(AND(ISNUMBER(X571),ISNUMBER(Z571)),X571-IF(ISNUMBER(S571),S571,0)-(Z571-IF(ISNUMBER(U571),U571,0)),"")</f>
        <v/>
      </c>
      <c r="AT571" s="17">
        <f>IF(AND(ISNUMBER(AR571),ISNUMBER(AS571)),AR571-AS571,"")</f>
        <v/>
      </c>
      <c r="AU571" s="17">
        <f>IF(E571="금융","",IF(AND(ISNUMBER(L571),ISNUMBER(M571),ISNUMBER(N571),ISNUMBER(AT571)),L571+M571-N571-AT571,IF(AND(ISNUMBER(O571),ISNUMBER(N571)),O571-N571,"")))</f>
        <v/>
      </c>
      <c r="AV571" s="8">
        <f>IF(E571="금융","금융업 - 정의되지 않음",IF(AND(ISNUMBER(L571),ISNUMBER(M571),ISNUMBER(N571),ISNUMBER(AT571)),"순이익+감가상각-설비투자-운전자본증감",IF(AND(ISNUMBER(O571),ISNUMBER(N571)),"영업현금흐름-설비투자","산출불가")))</f>
        <v/>
      </c>
      <c r="AW571" s="19">
        <f>IF(AND(ISNUMBER(AU571),ISNUMBER(G571),G571&lt;&gt;0),AU571/G571,"")</f>
        <v/>
      </c>
      <c r="AX571" s="19">
        <f>IF(AND(ISNUMBER(AC571),ISNUMBER(G571),G571&lt;&gt;0),AC571/G571,"")</f>
        <v/>
      </c>
    </row>
    <row r="572">
      <c r="A572" s="8" t="inlineStr">
        <is>
          <t>C</t>
        </is>
      </c>
      <c r="B572" s="8" t="inlineStr">
        <is>
          <t>CITIGROUP INC</t>
        </is>
      </c>
      <c r="C572" s="8" t="n">
        <v>2019</v>
      </c>
      <c r="D572" s="8" t="inlineStr">
        <is>
          <t>2019-12-31</t>
        </is>
      </c>
      <c r="E572" s="8" t="inlineStr">
        <is>
          <t>금융</t>
        </is>
      </c>
      <c r="F572" s="8" t="inlineStr">
        <is>
          <t>0000831001-22-000036</t>
        </is>
      </c>
      <c r="G572" s="15" t="n">
        <v>75.06699999999999</v>
      </c>
      <c r="H572" s="15" t="n">
        <v>23.901</v>
      </c>
      <c r="I572" s="15" t="n">
        <v>48.128</v>
      </c>
      <c r="J572" s="15" t="n">
        <v>4.43</v>
      </c>
      <c r="K572" s="15" t="n"/>
      <c r="L572" s="15" t="n">
        <v>19.401</v>
      </c>
      <c r="M572" s="15" t="n">
        <v>3.905</v>
      </c>
      <c r="N572" s="15" t="n">
        <v>5.336</v>
      </c>
      <c r="O572" s="15" t="n">
        <v>-12.837</v>
      </c>
      <c r="P572" s="15" t="n">
        <v>193.242</v>
      </c>
      <c r="Q572" s="15" t="n">
        <v>196.22</v>
      </c>
      <c r="R572" s="15" t="n">
        <v>193.919</v>
      </c>
      <c r="S572" s="15" t="n">
        <v>188.105</v>
      </c>
      <c r="T572" s="15" t="n">
        <v>45.049</v>
      </c>
      <c r="U572" s="15" t="n">
        <v>32.346</v>
      </c>
      <c r="V572" s="15" t="n">
        <v>248.76</v>
      </c>
      <c r="W572" s="15" t="n"/>
      <c r="X572" s="15" t="n"/>
      <c r="Y572" s="15" t="n"/>
      <c r="Z572" s="15" t="n"/>
      <c r="AA572" s="15" t="n"/>
      <c r="AB572" s="16" t="n">
        <v>2265.3</v>
      </c>
      <c r="AC572" s="17">
        <f>IF(AND(ISNUMBER(H572),ISNUMBER(I572)),H572+I572,IF(ISNUMBER(K572),K572,IF(ISNUMBER(H572),H572,"")))</f>
        <v/>
      </c>
      <c r="AD572" s="18">
        <f>IF(OR(NOT(ISNUMBER(J572)),NOT(ISNUMBER(H572)),H572&lt;=0),기준표!$B$8,MIN(MAX(J572/H572,기준표!$B$6),기준표!$B$7))</f>
        <v/>
      </c>
      <c r="AE572" s="17">
        <f>IF(ISNUMBER(AC572),AC572*(1-AD572),"")</f>
        <v/>
      </c>
      <c r="AF572" s="17">
        <f>IF(AND(NOT(ISNUMBER(T572)),NOT(ISNUMBER(V572))),"",IF(ISNUMBER(T572),T572,0)+IF(ISNUMBER(V572),V572,0))</f>
        <v/>
      </c>
      <c r="AG572" s="17">
        <f>IF(E572="금융","",IF(AND(ISNUMBER(P572),ISNUMBER(AF572),ISNUMBER(R572)),P572+AF572-R572,""))</f>
        <v/>
      </c>
      <c r="AH572" s="17">
        <f>IF(E572="금융","",IF(NOT(ISNUMBER(AG572)),"",IF(ISNUMBER(AA572),(AG572+AA572)/2,AG572)))</f>
        <v/>
      </c>
      <c r="AI572" s="19">
        <f>IF(AND(ISNUMBER(AE572),ISNUMBER(AH572),AH572&gt;0),AE572/AH572,"")</f>
        <v/>
      </c>
      <c r="AJ572" s="17">
        <f>IF(E572="금융","",IF(AND(ISNUMBER(P572),ISNUMBER(AF572)),P572+AF572,""))</f>
        <v/>
      </c>
      <c r="AK572" s="19">
        <f>IF(OR(NOT(ISNUMBER(AE572)),NOT(ISNUMBER(AJ572)),AJ572&lt;=0),"",IF(AND(ISNUMBER(G572),AJ572&lt;0.1*G572),"",AE572/AJ572))</f>
        <v/>
      </c>
      <c r="AL572" s="17">
        <f>IF(NOT(ISNUMBER(P572)),"",IF(ISNUMBER(Q572),(P572+Q572)/2,P572))</f>
        <v/>
      </c>
      <c r="AM572" s="19">
        <f>IF(AND(ISNUMBER(L572),ISNUMBER(AL572),AL572&gt;0),L572/AL572,"")</f>
        <v/>
      </c>
      <c r="AN572" s="19">
        <f>IF(AND(ISNUMBER(AM572),ISNUMBER({ROIC})),AM572-{ROIC},"")</f>
        <v/>
      </c>
      <c r="AO572" s="17">
        <f>IF(AND(ISNUMBER(AC572),ISNUMBER(M572)),AC572+M572,"")</f>
        <v/>
      </c>
      <c r="AP572" s="20">
        <f>IF(AND(ISNUMBER(AF572),ISNUMBER(R572),ISNUMBER(AO572),AO572&gt;0),(AF572-R572)/AO572,"")</f>
        <v/>
      </c>
      <c r="AQ572" s="20">
        <f>IF(AND(ISNUMBER(AC572),ISNUMBER(I572),I572&lt;&gt;0,AC572&gt;0),AC572/I572,"")</f>
        <v/>
      </c>
      <c r="AR572" s="17">
        <f>IF(AND(ISNUMBER(W572),ISNUMBER(Y572)),W572-IF(ISNUMBER(R572),R572,0)-(Y572-IF(ISNUMBER(T572),T572,0)),"")</f>
        <v/>
      </c>
      <c r="AS572" s="17">
        <f>IF(AND(ISNUMBER(X572),ISNUMBER(Z572)),X572-IF(ISNUMBER(S572),S572,0)-(Z572-IF(ISNUMBER(U572),U572,0)),"")</f>
        <v/>
      </c>
      <c r="AT572" s="17">
        <f>IF(AND(ISNUMBER(AR572),ISNUMBER(AS572)),AR572-AS572,"")</f>
        <v/>
      </c>
      <c r="AU572" s="17">
        <f>IF(E572="금융","",IF(AND(ISNUMBER(L572),ISNUMBER(M572),ISNUMBER(N572),ISNUMBER(AT572)),L572+M572-N572-AT572,IF(AND(ISNUMBER(O572),ISNUMBER(N572)),O572-N572,"")))</f>
        <v/>
      </c>
      <c r="AV572" s="8">
        <f>IF(E572="금융","금융업 - 정의되지 않음",IF(AND(ISNUMBER(L572),ISNUMBER(M572),ISNUMBER(N572),ISNUMBER(AT572)),"순이익+감가상각-설비투자-운전자본증감",IF(AND(ISNUMBER(O572),ISNUMBER(N572)),"영업현금흐름-설비투자","산출불가")))</f>
        <v/>
      </c>
      <c r="AW572" s="19">
        <f>IF(AND(ISNUMBER(AU572),ISNUMBER(G572),G572&lt;&gt;0),AU572/G572,"")</f>
        <v/>
      </c>
      <c r="AX572" s="19">
        <f>IF(AND(ISNUMBER(AC572),ISNUMBER(G572),G572&lt;&gt;0),AC572/G572,"")</f>
        <v/>
      </c>
    </row>
    <row r="573">
      <c r="A573" s="8" t="inlineStr">
        <is>
          <t>C</t>
        </is>
      </c>
      <c r="B573" s="8" t="inlineStr">
        <is>
          <t>CITIGROUP INC</t>
        </is>
      </c>
      <c r="C573" s="8" t="n">
        <v>2020</v>
      </c>
      <c r="D573" s="8" t="inlineStr">
        <is>
          <t>2020-12-31</t>
        </is>
      </c>
      <c r="E573" s="8" t="inlineStr">
        <is>
          <t>금융</t>
        </is>
      </c>
      <c r="F573" s="8" t="inlineStr">
        <is>
          <t>0000831001-23-000037</t>
        </is>
      </c>
      <c r="G573" s="15" t="n">
        <v>75.501</v>
      </c>
      <c r="H573" s="15" t="n">
        <v>13.632</v>
      </c>
      <c r="I573" s="15" t="n">
        <v>44.751</v>
      </c>
      <c r="J573" s="15" t="n">
        <v>2.525</v>
      </c>
      <c r="K573" s="15" t="n"/>
      <c r="L573" s="15" t="n">
        <v>11.047</v>
      </c>
      <c r="M573" s="15" t="n">
        <v>3.937</v>
      </c>
      <c r="N573" s="15" t="n">
        <v>3.446</v>
      </c>
      <c r="O573" s="15" t="n">
        <v>-23.488</v>
      </c>
      <c r="P573" s="15" t="n">
        <v>199.442</v>
      </c>
      <c r="Q573" s="15" t="n">
        <v>193.242</v>
      </c>
      <c r="R573" s="15" t="n">
        <v>309.615</v>
      </c>
      <c r="S573" s="15" t="n">
        <v>193.919</v>
      </c>
      <c r="T573" s="15" t="n">
        <v>29.514</v>
      </c>
      <c r="U573" s="15" t="n">
        <v>45.049</v>
      </c>
      <c r="V573" s="15" t="n">
        <v>271.686</v>
      </c>
      <c r="W573" s="15" t="n"/>
      <c r="X573" s="15" t="n"/>
      <c r="Y573" s="15" t="n"/>
      <c r="Z573" s="15" t="n"/>
      <c r="AA573" s="15" t="n"/>
      <c r="AB573" s="16" t="n">
        <v>2099</v>
      </c>
      <c r="AC573" s="17">
        <f>IF(AND(ISNUMBER(H573),ISNUMBER(I573)),H573+I573,IF(ISNUMBER(K573),K573,IF(ISNUMBER(H573),H573,"")))</f>
        <v/>
      </c>
      <c r="AD573" s="18">
        <f>IF(OR(NOT(ISNUMBER(J573)),NOT(ISNUMBER(H573)),H573&lt;=0),기준표!$B$8,MIN(MAX(J573/H573,기준표!$B$6),기준표!$B$7))</f>
        <v/>
      </c>
      <c r="AE573" s="17">
        <f>IF(ISNUMBER(AC573),AC573*(1-AD573),"")</f>
        <v/>
      </c>
      <c r="AF573" s="17">
        <f>IF(AND(NOT(ISNUMBER(T573)),NOT(ISNUMBER(V573))),"",IF(ISNUMBER(T573),T573,0)+IF(ISNUMBER(V573),V573,0))</f>
        <v/>
      </c>
      <c r="AG573" s="17">
        <f>IF(E573="금융","",IF(AND(ISNUMBER(P573),ISNUMBER(AF573),ISNUMBER(R573)),P573+AF573-R573,""))</f>
        <v/>
      </c>
      <c r="AH573" s="17">
        <f>IF(E573="금융","",IF(NOT(ISNUMBER(AG573)),"",IF(ISNUMBER(AA573),(AG573+AA573)/2,AG573)))</f>
        <v/>
      </c>
      <c r="AI573" s="19">
        <f>IF(AND(ISNUMBER(AE573),ISNUMBER(AH573),AH573&gt;0),AE573/AH573,"")</f>
        <v/>
      </c>
      <c r="AJ573" s="17">
        <f>IF(E573="금융","",IF(AND(ISNUMBER(P573),ISNUMBER(AF573)),P573+AF573,""))</f>
        <v/>
      </c>
      <c r="AK573" s="19">
        <f>IF(OR(NOT(ISNUMBER(AE573)),NOT(ISNUMBER(AJ573)),AJ573&lt;=0),"",IF(AND(ISNUMBER(G573),AJ573&lt;0.1*G573),"",AE573/AJ573))</f>
        <v/>
      </c>
      <c r="AL573" s="17">
        <f>IF(NOT(ISNUMBER(P573)),"",IF(ISNUMBER(Q573),(P573+Q573)/2,P573))</f>
        <v/>
      </c>
      <c r="AM573" s="19">
        <f>IF(AND(ISNUMBER(L573),ISNUMBER(AL573),AL573&gt;0),L573/AL573,"")</f>
        <v/>
      </c>
      <c r="AN573" s="19">
        <f>IF(AND(ISNUMBER(AM573),ISNUMBER({ROIC})),AM573-{ROIC},"")</f>
        <v/>
      </c>
      <c r="AO573" s="17">
        <f>IF(AND(ISNUMBER(AC573),ISNUMBER(M573)),AC573+M573,"")</f>
        <v/>
      </c>
      <c r="AP573" s="20">
        <f>IF(AND(ISNUMBER(AF573),ISNUMBER(R573),ISNUMBER(AO573),AO573&gt;0),(AF573-R573)/AO573,"")</f>
        <v/>
      </c>
      <c r="AQ573" s="20">
        <f>IF(AND(ISNUMBER(AC573),ISNUMBER(I573),I573&lt;&gt;0,AC573&gt;0),AC573/I573,"")</f>
        <v/>
      </c>
      <c r="AR573" s="17">
        <f>IF(AND(ISNUMBER(W573),ISNUMBER(Y573)),W573-IF(ISNUMBER(R573),R573,0)-(Y573-IF(ISNUMBER(T573),T573,0)),"")</f>
        <v/>
      </c>
      <c r="AS573" s="17">
        <f>IF(AND(ISNUMBER(X573),ISNUMBER(Z573)),X573-IF(ISNUMBER(S573),S573,0)-(Z573-IF(ISNUMBER(U573),U573,0)),"")</f>
        <v/>
      </c>
      <c r="AT573" s="17">
        <f>IF(AND(ISNUMBER(AR573),ISNUMBER(AS573)),AR573-AS573,"")</f>
        <v/>
      </c>
      <c r="AU573" s="17">
        <f>IF(E573="금융","",IF(AND(ISNUMBER(L573),ISNUMBER(M573),ISNUMBER(N573),ISNUMBER(AT573)),L573+M573-N573-AT573,IF(AND(ISNUMBER(O573),ISNUMBER(N573)),O573-N573,"")))</f>
        <v/>
      </c>
      <c r="AV573" s="8">
        <f>IF(E573="금융","금융업 - 정의되지 않음",IF(AND(ISNUMBER(L573),ISNUMBER(M573),ISNUMBER(N573),ISNUMBER(AT573)),"순이익+감가상각-설비투자-운전자본증감",IF(AND(ISNUMBER(O573),ISNUMBER(N573)),"영업현금흐름-설비투자","산출불가")))</f>
        <v/>
      </c>
      <c r="AW573" s="19">
        <f>IF(AND(ISNUMBER(AU573),ISNUMBER(G573),G573&lt;&gt;0),AU573/G573,"")</f>
        <v/>
      </c>
      <c r="AX573" s="19">
        <f>IF(AND(ISNUMBER(AC573),ISNUMBER(G573),G573&lt;&gt;0),AC573/G573,"")</f>
        <v/>
      </c>
    </row>
    <row r="574">
      <c r="A574" s="8" t="inlineStr">
        <is>
          <t>C</t>
        </is>
      </c>
      <c r="B574" s="8" t="inlineStr">
        <is>
          <t>CITIGROUP INC</t>
        </is>
      </c>
      <c r="C574" s="8" t="n">
        <v>2021</v>
      </c>
      <c r="D574" s="8" t="inlineStr">
        <is>
          <t>2021-12-31</t>
        </is>
      </c>
      <c r="E574" s="8" t="inlineStr">
        <is>
          <t>금융</t>
        </is>
      </c>
      <c r="F574" s="8" t="inlineStr">
        <is>
          <t>0000831001-24-000033</t>
        </is>
      </c>
      <c r="G574" s="15" t="n">
        <v>71.884</v>
      </c>
      <c r="H574" s="15" t="n">
        <v>27.469</v>
      </c>
      <c r="I574" s="15" t="n">
        <v>42.494</v>
      </c>
      <c r="J574" s="15" t="n">
        <v>5.451</v>
      </c>
      <c r="K574" s="15" t="n"/>
      <c r="L574" s="15" t="n">
        <v>21.952</v>
      </c>
      <c r="M574" s="15" t="n">
        <v>3.964</v>
      </c>
      <c r="N574" s="15" t="n">
        <v>4.119</v>
      </c>
      <c r="O574" s="15" t="n">
        <v>47.09</v>
      </c>
      <c r="P574" s="15" t="n">
        <v>201.972</v>
      </c>
      <c r="Q574" s="15" t="n">
        <v>199.442</v>
      </c>
      <c r="R574" s="15" t="n">
        <v>262.033</v>
      </c>
      <c r="S574" s="15" t="n">
        <v>309.615</v>
      </c>
      <c r="T574" s="15" t="n">
        <v>27.973</v>
      </c>
      <c r="U574" s="15" t="n">
        <v>29.514</v>
      </c>
      <c r="V574" s="15" t="n">
        <v>254.374</v>
      </c>
      <c r="W574" s="15" t="n"/>
      <c r="X574" s="15" t="n"/>
      <c r="Y574" s="15" t="n"/>
      <c r="Z574" s="15" t="n"/>
      <c r="AA574" s="15" t="n"/>
      <c r="AB574" s="16" t="n">
        <v>2049.4</v>
      </c>
      <c r="AC574" s="17">
        <f>IF(AND(ISNUMBER(H574),ISNUMBER(I574)),H574+I574,IF(ISNUMBER(K574),K574,IF(ISNUMBER(H574),H574,"")))</f>
        <v/>
      </c>
      <c r="AD574" s="18">
        <f>IF(OR(NOT(ISNUMBER(J574)),NOT(ISNUMBER(H574)),H574&lt;=0),기준표!$B$8,MIN(MAX(J574/H574,기준표!$B$6),기준표!$B$7))</f>
        <v/>
      </c>
      <c r="AE574" s="17">
        <f>IF(ISNUMBER(AC574),AC574*(1-AD574),"")</f>
        <v/>
      </c>
      <c r="AF574" s="17">
        <f>IF(AND(NOT(ISNUMBER(T574)),NOT(ISNUMBER(V574))),"",IF(ISNUMBER(T574),T574,0)+IF(ISNUMBER(V574),V574,0))</f>
        <v/>
      </c>
      <c r="AG574" s="17">
        <f>IF(E574="금융","",IF(AND(ISNUMBER(P574),ISNUMBER(AF574),ISNUMBER(R574)),P574+AF574-R574,""))</f>
        <v/>
      </c>
      <c r="AH574" s="17">
        <f>IF(E574="금융","",IF(NOT(ISNUMBER(AG574)),"",IF(ISNUMBER(AA574),(AG574+AA574)/2,AG574)))</f>
        <v/>
      </c>
      <c r="AI574" s="19">
        <f>IF(AND(ISNUMBER(AE574),ISNUMBER(AH574),AH574&gt;0),AE574/AH574,"")</f>
        <v/>
      </c>
      <c r="AJ574" s="17">
        <f>IF(E574="금융","",IF(AND(ISNUMBER(P574),ISNUMBER(AF574)),P574+AF574,""))</f>
        <v/>
      </c>
      <c r="AK574" s="19">
        <f>IF(OR(NOT(ISNUMBER(AE574)),NOT(ISNUMBER(AJ574)),AJ574&lt;=0),"",IF(AND(ISNUMBER(G574),AJ574&lt;0.1*G574),"",AE574/AJ574))</f>
        <v/>
      </c>
      <c r="AL574" s="17">
        <f>IF(NOT(ISNUMBER(P574)),"",IF(ISNUMBER(Q574),(P574+Q574)/2,P574))</f>
        <v/>
      </c>
      <c r="AM574" s="19">
        <f>IF(AND(ISNUMBER(L574),ISNUMBER(AL574),AL574&gt;0),L574/AL574,"")</f>
        <v/>
      </c>
      <c r="AN574" s="19">
        <f>IF(AND(ISNUMBER(AM574),ISNUMBER({ROIC})),AM574-{ROIC},"")</f>
        <v/>
      </c>
      <c r="AO574" s="17">
        <f>IF(AND(ISNUMBER(AC574),ISNUMBER(M574)),AC574+M574,"")</f>
        <v/>
      </c>
      <c r="AP574" s="20">
        <f>IF(AND(ISNUMBER(AF574),ISNUMBER(R574),ISNUMBER(AO574),AO574&gt;0),(AF574-R574)/AO574,"")</f>
        <v/>
      </c>
      <c r="AQ574" s="20">
        <f>IF(AND(ISNUMBER(AC574),ISNUMBER(I574),I574&lt;&gt;0,AC574&gt;0),AC574/I574,"")</f>
        <v/>
      </c>
      <c r="AR574" s="17">
        <f>IF(AND(ISNUMBER(W574),ISNUMBER(Y574)),W574-IF(ISNUMBER(R574),R574,0)-(Y574-IF(ISNUMBER(T574),T574,0)),"")</f>
        <v/>
      </c>
      <c r="AS574" s="17">
        <f>IF(AND(ISNUMBER(X574),ISNUMBER(Z574)),X574-IF(ISNUMBER(S574),S574,0)-(Z574-IF(ISNUMBER(U574),U574,0)),"")</f>
        <v/>
      </c>
      <c r="AT574" s="17">
        <f>IF(AND(ISNUMBER(AR574),ISNUMBER(AS574)),AR574-AS574,"")</f>
        <v/>
      </c>
      <c r="AU574" s="17">
        <f>IF(E574="금융","",IF(AND(ISNUMBER(L574),ISNUMBER(M574),ISNUMBER(N574),ISNUMBER(AT574)),L574+M574-N574-AT574,IF(AND(ISNUMBER(O574),ISNUMBER(N574)),O574-N574,"")))</f>
        <v/>
      </c>
      <c r="AV574" s="8">
        <f>IF(E574="금융","금융업 - 정의되지 않음",IF(AND(ISNUMBER(L574),ISNUMBER(M574),ISNUMBER(N574),ISNUMBER(AT574)),"순이익+감가상각-설비투자-운전자본증감",IF(AND(ISNUMBER(O574),ISNUMBER(N574)),"영업현금흐름-설비투자","산출불가")))</f>
        <v/>
      </c>
      <c r="AW574" s="19">
        <f>IF(AND(ISNUMBER(AU574),ISNUMBER(G574),G574&lt;&gt;0),AU574/G574,"")</f>
        <v/>
      </c>
      <c r="AX574" s="19">
        <f>IF(AND(ISNUMBER(AC574),ISNUMBER(G574),G574&lt;&gt;0),AC574/G574,"")</f>
        <v/>
      </c>
    </row>
    <row r="575">
      <c r="A575" s="8" t="inlineStr">
        <is>
          <t>C</t>
        </is>
      </c>
      <c r="B575" s="8" t="inlineStr">
        <is>
          <t>CITIGROUP INC</t>
        </is>
      </c>
      <c r="C575" s="8" t="n">
        <v>2022</v>
      </c>
      <c r="D575" s="8" t="inlineStr">
        <is>
          <t>2022-12-31</t>
        </is>
      </c>
      <c r="E575" s="8" t="inlineStr">
        <is>
          <t>금융</t>
        </is>
      </c>
      <c r="F575" s="8" t="inlineStr">
        <is>
          <t>0000831001-25-000067</t>
        </is>
      </c>
      <c r="G575" s="15" t="n">
        <v>75.33799999999999</v>
      </c>
      <c r="H575" s="15" t="n">
        <v>18.807</v>
      </c>
      <c r="I575" s="15" t="n">
        <v>48.668</v>
      </c>
      <c r="J575" s="15" t="n">
        <v>3.642</v>
      </c>
      <c r="K575" s="15" t="n"/>
      <c r="L575" s="15" t="n">
        <v>14.845</v>
      </c>
      <c r="M575" s="15" t="n">
        <v>4.262</v>
      </c>
      <c r="N575" s="15" t="n">
        <v>5.632</v>
      </c>
      <c r="O575" s="15" t="n">
        <v>25.069</v>
      </c>
      <c r="P575" s="15" t="n">
        <v>201.189</v>
      </c>
      <c r="Q575" s="15" t="n">
        <v>201.972</v>
      </c>
      <c r="R575" s="15" t="n">
        <v>342.025</v>
      </c>
      <c r="S575" s="15" t="n">
        <v>262.033</v>
      </c>
      <c r="T575" s="15" t="n">
        <v>47.096</v>
      </c>
      <c r="U575" s="15" t="n">
        <v>27.973</v>
      </c>
      <c r="V575" s="15" t="n">
        <v>271.606</v>
      </c>
      <c r="W575" s="15" t="n"/>
      <c r="X575" s="15" t="n"/>
      <c r="Y575" s="15" t="n"/>
      <c r="Z575" s="15" t="n"/>
      <c r="AA575" s="15" t="n"/>
      <c r="AB575" s="16" t="n">
        <v>1964.3</v>
      </c>
      <c r="AC575" s="17">
        <f>IF(AND(ISNUMBER(H575),ISNUMBER(I575)),H575+I575,IF(ISNUMBER(K575),K575,IF(ISNUMBER(H575),H575,"")))</f>
        <v/>
      </c>
      <c r="AD575" s="18">
        <f>IF(OR(NOT(ISNUMBER(J575)),NOT(ISNUMBER(H575)),H575&lt;=0),기준표!$B$8,MIN(MAX(J575/H575,기준표!$B$6),기준표!$B$7))</f>
        <v/>
      </c>
      <c r="AE575" s="17">
        <f>IF(ISNUMBER(AC575),AC575*(1-AD575),"")</f>
        <v/>
      </c>
      <c r="AF575" s="17">
        <f>IF(AND(NOT(ISNUMBER(T575)),NOT(ISNUMBER(V575))),"",IF(ISNUMBER(T575),T575,0)+IF(ISNUMBER(V575),V575,0))</f>
        <v/>
      </c>
      <c r="AG575" s="17">
        <f>IF(E575="금융","",IF(AND(ISNUMBER(P575),ISNUMBER(AF575),ISNUMBER(R575)),P575+AF575-R575,""))</f>
        <v/>
      </c>
      <c r="AH575" s="17">
        <f>IF(E575="금융","",IF(NOT(ISNUMBER(AG575)),"",IF(ISNUMBER(AA575),(AG575+AA575)/2,AG575)))</f>
        <v/>
      </c>
      <c r="AI575" s="19">
        <f>IF(AND(ISNUMBER(AE575),ISNUMBER(AH575),AH575&gt;0),AE575/AH575,"")</f>
        <v/>
      </c>
      <c r="AJ575" s="17">
        <f>IF(E575="금융","",IF(AND(ISNUMBER(P575),ISNUMBER(AF575)),P575+AF575,""))</f>
        <v/>
      </c>
      <c r="AK575" s="19">
        <f>IF(OR(NOT(ISNUMBER(AE575)),NOT(ISNUMBER(AJ575)),AJ575&lt;=0),"",IF(AND(ISNUMBER(G575),AJ575&lt;0.1*G575),"",AE575/AJ575))</f>
        <v/>
      </c>
      <c r="AL575" s="17">
        <f>IF(NOT(ISNUMBER(P575)),"",IF(ISNUMBER(Q575),(P575+Q575)/2,P575))</f>
        <v/>
      </c>
      <c r="AM575" s="19">
        <f>IF(AND(ISNUMBER(L575),ISNUMBER(AL575),AL575&gt;0),L575/AL575,"")</f>
        <v/>
      </c>
      <c r="AN575" s="19">
        <f>IF(AND(ISNUMBER(AM575),ISNUMBER({ROIC})),AM575-{ROIC},"")</f>
        <v/>
      </c>
      <c r="AO575" s="17">
        <f>IF(AND(ISNUMBER(AC575),ISNUMBER(M575)),AC575+M575,"")</f>
        <v/>
      </c>
      <c r="AP575" s="20">
        <f>IF(AND(ISNUMBER(AF575),ISNUMBER(R575),ISNUMBER(AO575),AO575&gt;0),(AF575-R575)/AO575,"")</f>
        <v/>
      </c>
      <c r="AQ575" s="20">
        <f>IF(AND(ISNUMBER(AC575),ISNUMBER(I575),I575&lt;&gt;0,AC575&gt;0),AC575/I575,"")</f>
        <v/>
      </c>
      <c r="AR575" s="17">
        <f>IF(AND(ISNUMBER(W575),ISNUMBER(Y575)),W575-IF(ISNUMBER(R575),R575,0)-(Y575-IF(ISNUMBER(T575),T575,0)),"")</f>
        <v/>
      </c>
      <c r="AS575" s="17">
        <f>IF(AND(ISNUMBER(X575),ISNUMBER(Z575)),X575-IF(ISNUMBER(S575),S575,0)-(Z575-IF(ISNUMBER(U575),U575,0)),"")</f>
        <v/>
      </c>
      <c r="AT575" s="17">
        <f>IF(AND(ISNUMBER(AR575),ISNUMBER(AS575)),AR575-AS575,"")</f>
        <v/>
      </c>
      <c r="AU575" s="17">
        <f>IF(E575="금융","",IF(AND(ISNUMBER(L575),ISNUMBER(M575),ISNUMBER(N575),ISNUMBER(AT575)),L575+M575-N575-AT575,IF(AND(ISNUMBER(O575),ISNUMBER(N575)),O575-N575,"")))</f>
        <v/>
      </c>
      <c r="AV575" s="8">
        <f>IF(E575="금융","금융업 - 정의되지 않음",IF(AND(ISNUMBER(L575),ISNUMBER(M575),ISNUMBER(N575),ISNUMBER(AT575)),"순이익+감가상각-설비투자-운전자본증감",IF(AND(ISNUMBER(O575),ISNUMBER(N575)),"영업현금흐름-설비투자","산출불가")))</f>
        <v/>
      </c>
      <c r="AW575" s="19">
        <f>IF(AND(ISNUMBER(AU575),ISNUMBER(G575),G575&lt;&gt;0),AU575/G575,"")</f>
        <v/>
      </c>
      <c r="AX575" s="19">
        <f>IF(AND(ISNUMBER(AC575),ISNUMBER(G575),G575&lt;&gt;0),AC575/G575,"")</f>
        <v/>
      </c>
    </row>
    <row r="576">
      <c r="A576" s="8" t="inlineStr">
        <is>
          <t>C</t>
        </is>
      </c>
      <c r="B576" s="8" t="inlineStr">
        <is>
          <t>CITIGROUP INC</t>
        </is>
      </c>
      <c r="C576" s="8" t="n">
        <v>2023</v>
      </c>
      <c r="D576" s="8" t="inlineStr">
        <is>
          <t>2023-12-31</t>
        </is>
      </c>
      <c r="E576" s="8" t="inlineStr">
        <is>
          <t>금융</t>
        </is>
      </c>
      <c r="F576" s="8" t="inlineStr">
        <is>
          <t>0000831001-26-000011</t>
        </is>
      </c>
      <c r="G576" s="15" t="n">
        <v>78.066</v>
      </c>
      <c r="H576" s="15" t="n">
        <v>12.91</v>
      </c>
      <c r="I576" s="15" t="n">
        <v>54.9</v>
      </c>
      <c r="J576" s="15" t="n">
        <v>3.528</v>
      </c>
      <c r="K576" s="15" t="n"/>
      <c r="L576" s="15" t="n">
        <v>9.228</v>
      </c>
      <c r="M576" s="15" t="n">
        <v>4.56</v>
      </c>
      <c r="N576" s="15" t="n">
        <v>6.583</v>
      </c>
      <c r="O576" s="15" t="n">
        <v>-73.416</v>
      </c>
      <c r="P576" s="15" t="n">
        <v>205.453</v>
      </c>
      <c r="Q576" s="15" t="n">
        <v>201.189</v>
      </c>
      <c r="R576" s="15" t="n">
        <v>260.932</v>
      </c>
      <c r="S576" s="15" t="n">
        <v>342.025</v>
      </c>
      <c r="T576" s="15" t="n">
        <v>37.457</v>
      </c>
      <c r="U576" s="15" t="n">
        <v>47.096</v>
      </c>
      <c r="V576" s="15" t="n">
        <v>286.619</v>
      </c>
      <c r="W576" s="15" t="n"/>
      <c r="X576" s="15" t="n"/>
      <c r="Y576" s="15" t="n"/>
      <c r="Z576" s="15" t="n"/>
      <c r="AA576" s="15" t="n"/>
      <c r="AB576" s="16" t="n">
        <v>1955.8</v>
      </c>
      <c r="AC576" s="17">
        <f>IF(AND(ISNUMBER(H576),ISNUMBER(I576)),H576+I576,IF(ISNUMBER(K576),K576,IF(ISNUMBER(H576),H576,"")))</f>
        <v/>
      </c>
      <c r="AD576" s="18">
        <f>IF(OR(NOT(ISNUMBER(J576)),NOT(ISNUMBER(H576)),H576&lt;=0),기준표!$B$8,MIN(MAX(J576/H576,기준표!$B$6),기준표!$B$7))</f>
        <v/>
      </c>
      <c r="AE576" s="17">
        <f>IF(ISNUMBER(AC576),AC576*(1-AD576),"")</f>
        <v/>
      </c>
      <c r="AF576" s="17">
        <f>IF(AND(NOT(ISNUMBER(T576)),NOT(ISNUMBER(V576))),"",IF(ISNUMBER(T576),T576,0)+IF(ISNUMBER(V576),V576,0))</f>
        <v/>
      </c>
      <c r="AG576" s="17">
        <f>IF(E576="금융","",IF(AND(ISNUMBER(P576),ISNUMBER(AF576),ISNUMBER(R576)),P576+AF576-R576,""))</f>
        <v/>
      </c>
      <c r="AH576" s="17">
        <f>IF(E576="금융","",IF(NOT(ISNUMBER(AG576)),"",IF(ISNUMBER(AA576),(AG576+AA576)/2,AG576)))</f>
        <v/>
      </c>
      <c r="AI576" s="19">
        <f>IF(AND(ISNUMBER(AE576),ISNUMBER(AH576),AH576&gt;0),AE576/AH576,"")</f>
        <v/>
      </c>
      <c r="AJ576" s="17">
        <f>IF(E576="금융","",IF(AND(ISNUMBER(P576),ISNUMBER(AF576)),P576+AF576,""))</f>
        <v/>
      </c>
      <c r="AK576" s="19">
        <f>IF(OR(NOT(ISNUMBER(AE576)),NOT(ISNUMBER(AJ576)),AJ576&lt;=0),"",IF(AND(ISNUMBER(G576),AJ576&lt;0.1*G576),"",AE576/AJ576))</f>
        <v/>
      </c>
      <c r="AL576" s="17">
        <f>IF(NOT(ISNUMBER(P576)),"",IF(ISNUMBER(Q576),(P576+Q576)/2,P576))</f>
        <v/>
      </c>
      <c r="AM576" s="19">
        <f>IF(AND(ISNUMBER(L576),ISNUMBER(AL576),AL576&gt;0),L576/AL576,"")</f>
        <v/>
      </c>
      <c r="AN576" s="19">
        <f>IF(AND(ISNUMBER(AM576),ISNUMBER({ROIC})),AM576-{ROIC},"")</f>
        <v/>
      </c>
      <c r="AO576" s="17">
        <f>IF(AND(ISNUMBER(AC576),ISNUMBER(M576)),AC576+M576,"")</f>
        <v/>
      </c>
      <c r="AP576" s="20">
        <f>IF(AND(ISNUMBER(AF576),ISNUMBER(R576),ISNUMBER(AO576),AO576&gt;0),(AF576-R576)/AO576,"")</f>
        <v/>
      </c>
      <c r="AQ576" s="20">
        <f>IF(AND(ISNUMBER(AC576),ISNUMBER(I576),I576&lt;&gt;0,AC576&gt;0),AC576/I576,"")</f>
        <v/>
      </c>
      <c r="AR576" s="17">
        <f>IF(AND(ISNUMBER(W576),ISNUMBER(Y576)),W576-IF(ISNUMBER(R576),R576,0)-(Y576-IF(ISNUMBER(T576),T576,0)),"")</f>
        <v/>
      </c>
      <c r="AS576" s="17">
        <f>IF(AND(ISNUMBER(X576),ISNUMBER(Z576)),X576-IF(ISNUMBER(S576),S576,0)-(Z576-IF(ISNUMBER(U576),U576,0)),"")</f>
        <v/>
      </c>
      <c r="AT576" s="17">
        <f>IF(AND(ISNUMBER(AR576),ISNUMBER(AS576)),AR576-AS576,"")</f>
        <v/>
      </c>
      <c r="AU576" s="17">
        <f>IF(E576="금융","",IF(AND(ISNUMBER(L576),ISNUMBER(M576),ISNUMBER(N576),ISNUMBER(AT576)),L576+M576-N576-AT576,IF(AND(ISNUMBER(O576),ISNUMBER(N576)),O576-N576,"")))</f>
        <v/>
      </c>
      <c r="AV576" s="8">
        <f>IF(E576="금융","금융업 - 정의되지 않음",IF(AND(ISNUMBER(L576),ISNUMBER(M576),ISNUMBER(N576),ISNUMBER(AT576)),"순이익+감가상각-설비투자-운전자본증감",IF(AND(ISNUMBER(O576),ISNUMBER(N576)),"영업현금흐름-설비투자","산출불가")))</f>
        <v/>
      </c>
      <c r="AW576" s="19">
        <f>IF(AND(ISNUMBER(AU576),ISNUMBER(G576),G576&lt;&gt;0),AU576/G576,"")</f>
        <v/>
      </c>
      <c r="AX576" s="19">
        <f>IF(AND(ISNUMBER(AC576),ISNUMBER(G576),G576&lt;&gt;0),AC576/G576,"")</f>
        <v/>
      </c>
    </row>
    <row r="577">
      <c r="A577" s="8" t="inlineStr">
        <is>
          <t>C</t>
        </is>
      </c>
      <c r="B577" s="8" t="inlineStr">
        <is>
          <t>CITIGROUP INC</t>
        </is>
      </c>
      <c r="C577" s="8" t="n">
        <v>2024</v>
      </c>
      <c r="D577" s="8" t="inlineStr">
        <is>
          <t>2024-12-31</t>
        </is>
      </c>
      <c r="E577" s="8" t="inlineStr">
        <is>
          <t>금융</t>
        </is>
      </c>
      <c r="F577" s="8" t="inlineStr">
        <is>
          <t>0000831001-26-000011</t>
        </is>
      </c>
      <c r="G577" s="15" t="n">
        <v>80.72199999999999</v>
      </c>
      <c r="H577" s="15" t="n">
        <v>17.046</v>
      </c>
      <c r="I577" s="15" t="n">
        <v>54.095</v>
      </c>
      <c r="J577" s="15" t="n">
        <v>4.211</v>
      </c>
      <c r="K577" s="15" t="n"/>
      <c r="L577" s="15" t="n">
        <v>12.682</v>
      </c>
      <c r="M577" s="15" t="n">
        <v>4.311</v>
      </c>
      <c r="N577" s="15" t="n">
        <v>6.5</v>
      </c>
      <c r="O577" s="15" t="n">
        <v>-19.669</v>
      </c>
      <c r="P577" s="15" t="n">
        <v>208.598</v>
      </c>
      <c r="Q577" s="15" t="n">
        <v>205.453</v>
      </c>
      <c r="R577" s="15" t="n">
        <v>276.532</v>
      </c>
      <c r="S577" s="15" t="n">
        <v>260.932</v>
      </c>
      <c r="T577" s="15" t="n">
        <v>48.505</v>
      </c>
      <c r="U577" s="15" t="n">
        <v>37.457</v>
      </c>
      <c r="V577" s="15" t="n">
        <v>287.3</v>
      </c>
      <c r="W577" s="15" t="n"/>
      <c r="X577" s="15" t="n"/>
      <c r="Y577" s="15" t="n"/>
      <c r="Z577" s="15" t="n"/>
      <c r="AA577" s="15" t="n"/>
      <c r="AB577" s="16" t="n">
        <v>1940.1</v>
      </c>
      <c r="AC577" s="17">
        <f>IF(AND(ISNUMBER(H577),ISNUMBER(I577)),H577+I577,IF(ISNUMBER(K577),K577,IF(ISNUMBER(H577),H577,"")))</f>
        <v/>
      </c>
      <c r="AD577" s="18">
        <f>IF(OR(NOT(ISNUMBER(J577)),NOT(ISNUMBER(H577)),H577&lt;=0),기준표!$B$8,MIN(MAX(J577/H577,기준표!$B$6),기준표!$B$7))</f>
        <v/>
      </c>
      <c r="AE577" s="17">
        <f>IF(ISNUMBER(AC577),AC577*(1-AD577),"")</f>
        <v/>
      </c>
      <c r="AF577" s="17">
        <f>IF(AND(NOT(ISNUMBER(T577)),NOT(ISNUMBER(V577))),"",IF(ISNUMBER(T577),T577,0)+IF(ISNUMBER(V577),V577,0))</f>
        <v/>
      </c>
      <c r="AG577" s="17">
        <f>IF(E577="금융","",IF(AND(ISNUMBER(P577),ISNUMBER(AF577),ISNUMBER(R577)),P577+AF577-R577,""))</f>
        <v/>
      </c>
      <c r="AH577" s="17">
        <f>IF(E577="금융","",IF(NOT(ISNUMBER(AG577)),"",IF(ISNUMBER(AA577),(AG577+AA577)/2,AG577)))</f>
        <v/>
      </c>
      <c r="AI577" s="19">
        <f>IF(AND(ISNUMBER(AE577),ISNUMBER(AH577),AH577&gt;0),AE577/AH577,"")</f>
        <v/>
      </c>
      <c r="AJ577" s="17">
        <f>IF(E577="금융","",IF(AND(ISNUMBER(P577),ISNUMBER(AF577)),P577+AF577,""))</f>
        <v/>
      </c>
      <c r="AK577" s="19">
        <f>IF(OR(NOT(ISNUMBER(AE577)),NOT(ISNUMBER(AJ577)),AJ577&lt;=0),"",IF(AND(ISNUMBER(G577),AJ577&lt;0.1*G577),"",AE577/AJ577))</f>
        <v/>
      </c>
      <c r="AL577" s="17">
        <f>IF(NOT(ISNUMBER(P577)),"",IF(ISNUMBER(Q577),(P577+Q577)/2,P577))</f>
        <v/>
      </c>
      <c r="AM577" s="19">
        <f>IF(AND(ISNUMBER(L577),ISNUMBER(AL577),AL577&gt;0),L577/AL577,"")</f>
        <v/>
      </c>
      <c r="AN577" s="19">
        <f>IF(AND(ISNUMBER(AM577),ISNUMBER({ROIC})),AM577-{ROIC},"")</f>
        <v/>
      </c>
      <c r="AO577" s="17">
        <f>IF(AND(ISNUMBER(AC577),ISNUMBER(M577)),AC577+M577,"")</f>
        <v/>
      </c>
      <c r="AP577" s="20">
        <f>IF(AND(ISNUMBER(AF577),ISNUMBER(R577),ISNUMBER(AO577),AO577&gt;0),(AF577-R577)/AO577,"")</f>
        <v/>
      </c>
      <c r="AQ577" s="20">
        <f>IF(AND(ISNUMBER(AC577),ISNUMBER(I577),I577&lt;&gt;0,AC577&gt;0),AC577/I577,"")</f>
        <v/>
      </c>
      <c r="AR577" s="17">
        <f>IF(AND(ISNUMBER(W577),ISNUMBER(Y577)),W577-IF(ISNUMBER(R577),R577,0)-(Y577-IF(ISNUMBER(T577),T577,0)),"")</f>
        <v/>
      </c>
      <c r="AS577" s="17">
        <f>IF(AND(ISNUMBER(X577),ISNUMBER(Z577)),X577-IF(ISNUMBER(S577),S577,0)-(Z577-IF(ISNUMBER(U577),U577,0)),"")</f>
        <v/>
      </c>
      <c r="AT577" s="17">
        <f>IF(AND(ISNUMBER(AR577),ISNUMBER(AS577)),AR577-AS577,"")</f>
        <v/>
      </c>
      <c r="AU577" s="17">
        <f>IF(E577="금융","",IF(AND(ISNUMBER(L577),ISNUMBER(M577),ISNUMBER(N577),ISNUMBER(AT577)),L577+M577-N577-AT577,IF(AND(ISNUMBER(O577),ISNUMBER(N577)),O577-N577,"")))</f>
        <v/>
      </c>
      <c r="AV577" s="8">
        <f>IF(E577="금융","금융업 - 정의되지 않음",IF(AND(ISNUMBER(L577),ISNUMBER(M577),ISNUMBER(N577),ISNUMBER(AT577)),"순이익+감가상각-설비투자-운전자본증감",IF(AND(ISNUMBER(O577),ISNUMBER(N577)),"영업현금흐름-설비투자","산출불가")))</f>
        <v/>
      </c>
      <c r="AW577" s="19">
        <f>IF(AND(ISNUMBER(AU577),ISNUMBER(G577),G577&lt;&gt;0),AU577/G577,"")</f>
        <v/>
      </c>
      <c r="AX577" s="19">
        <f>IF(AND(ISNUMBER(AC577),ISNUMBER(G577),G577&lt;&gt;0),AC577/G577,"")</f>
        <v/>
      </c>
    </row>
    <row r="578">
      <c r="A578" s="8" t="inlineStr">
        <is>
          <t>C</t>
        </is>
      </c>
      <c r="B578" s="8" t="inlineStr">
        <is>
          <t>CITIGROUP INC</t>
        </is>
      </c>
      <c r="C578" s="8" t="n">
        <v>2025</v>
      </c>
      <c r="D578" s="8" t="inlineStr">
        <is>
          <t>2025-12-31</t>
        </is>
      </c>
      <c r="E578" s="8" t="inlineStr">
        <is>
          <t>금융</t>
        </is>
      </c>
      <c r="F578" s="8" t="inlineStr">
        <is>
          <t>0000831001-26-000011</t>
        </is>
      </c>
      <c r="G578" s="15" t="n">
        <v>85.22499999999999</v>
      </c>
      <c r="H578" s="15" t="n">
        <v>19.828</v>
      </c>
      <c r="I578" s="15" t="n">
        <v>59.792</v>
      </c>
      <c r="J578" s="15" t="n">
        <v>5.373</v>
      </c>
      <c r="K578" s="15" t="n"/>
      <c r="L578" s="15" t="n">
        <v>14.306</v>
      </c>
      <c r="M578" s="15" t="n">
        <v>4.373</v>
      </c>
      <c r="N578" s="15" t="n">
        <v>6.52</v>
      </c>
      <c r="O578" s="15" t="n">
        <v>-67.63200000000001</v>
      </c>
      <c r="P578" s="15" t="n">
        <v>212.291</v>
      </c>
      <c r="Q578" s="15" t="n">
        <v>208.598</v>
      </c>
      <c r="R578" s="15" t="n">
        <v>349.579</v>
      </c>
      <c r="S578" s="15" t="n">
        <v>276.532</v>
      </c>
      <c r="T578" s="15" t="n">
        <v>51.878</v>
      </c>
      <c r="U578" s="15" t="n">
        <v>48.505</v>
      </c>
      <c r="V578" s="15" t="n">
        <v>315.827</v>
      </c>
      <c r="W578" s="15" t="n"/>
      <c r="X578" s="15" t="n"/>
      <c r="Y578" s="15" t="n"/>
      <c r="Z578" s="15" t="n"/>
      <c r="AA578" s="15" t="n"/>
      <c r="AB578" s="16" t="n">
        <v>1873.1</v>
      </c>
      <c r="AC578" s="17">
        <f>IF(AND(ISNUMBER(H578),ISNUMBER(I578)),H578+I578,IF(ISNUMBER(K578),K578,IF(ISNUMBER(H578),H578,"")))</f>
        <v/>
      </c>
      <c r="AD578" s="18">
        <f>IF(OR(NOT(ISNUMBER(J578)),NOT(ISNUMBER(H578)),H578&lt;=0),기준표!$B$8,MIN(MAX(J578/H578,기준표!$B$6),기준표!$B$7))</f>
        <v/>
      </c>
      <c r="AE578" s="17">
        <f>IF(ISNUMBER(AC578),AC578*(1-AD578),"")</f>
        <v/>
      </c>
      <c r="AF578" s="17">
        <f>IF(AND(NOT(ISNUMBER(T578)),NOT(ISNUMBER(V578))),"",IF(ISNUMBER(T578),T578,0)+IF(ISNUMBER(V578),V578,0))</f>
        <v/>
      </c>
      <c r="AG578" s="17">
        <f>IF(E578="금융","",IF(AND(ISNUMBER(P578),ISNUMBER(AF578),ISNUMBER(R578)),P578+AF578-R578,""))</f>
        <v/>
      </c>
      <c r="AH578" s="17">
        <f>IF(E578="금융","",IF(NOT(ISNUMBER(AG578)),"",IF(ISNUMBER(AA578),(AG578+AA578)/2,AG578)))</f>
        <v/>
      </c>
      <c r="AI578" s="19">
        <f>IF(AND(ISNUMBER(AE578),ISNUMBER(AH578),AH578&gt;0),AE578/AH578,"")</f>
        <v/>
      </c>
      <c r="AJ578" s="17">
        <f>IF(E578="금융","",IF(AND(ISNUMBER(P578),ISNUMBER(AF578)),P578+AF578,""))</f>
        <v/>
      </c>
      <c r="AK578" s="19">
        <f>IF(OR(NOT(ISNUMBER(AE578)),NOT(ISNUMBER(AJ578)),AJ578&lt;=0),"",IF(AND(ISNUMBER(G578),AJ578&lt;0.1*G578),"",AE578/AJ578))</f>
        <v/>
      </c>
      <c r="AL578" s="17">
        <f>IF(NOT(ISNUMBER(P578)),"",IF(ISNUMBER(Q578),(P578+Q578)/2,P578))</f>
        <v/>
      </c>
      <c r="AM578" s="19">
        <f>IF(AND(ISNUMBER(L578),ISNUMBER(AL578),AL578&gt;0),L578/AL578,"")</f>
        <v/>
      </c>
      <c r="AN578" s="19">
        <f>IF(AND(ISNUMBER(AM578),ISNUMBER({ROIC})),AM578-{ROIC},"")</f>
        <v/>
      </c>
      <c r="AO578" s="17">
        <f>IF(AND(ISNUMBER(AC578),ISNUMBER(M578)),AC578+M578,"")</f>
        <v/>
      </c>
      <c r="AP578" s="20">
        <f>IF(AND(ISNUMBER(AF578),ISNUMBER(R578),ISNUMBER(AO578),AO578&gt;0),(AF578-R578)/AO578,"")</f>
        <v/>
      </c>
      <c r="AQ578" s="20">
        <f>IF(AND(ISNUMBER(AC578),ISNUMBER(I578),I578&lt;&gt;0,AC578&gt;0),AC578/I578,"")</f>
        <v/>
      </c>
      <c r="AR578" s="17">
        <f>IF(AND(ISNUMBER(W578),ISNUMBER(Y578)),W578-IF(ISNUMBER(R578),R578,0)-(Y578-IF(ISNUMBER(T578),T578,0)),"")</f>
        <v/>
      </c>
      <c r="AS578" s="17">
        <f>IF(AND(ISNUMBER(X578),ISNUMBER(Z578)),X578-IF(ISNUMBER(S578),S578,0)-(Z578-IF(ISNUMBER(U578),U578,0)),"")</f>
        <v/>
      </c>
      <c r="AT578" s="17">
        <f>IF(AND(ISNUMBER(AR578),ISNUMBER(AS578)),AR578-AS578,"")</f>
        <v/>
      </c>
      <c r="AU578" s="17">
        <f>IF(E578="금융","",IF(AND(ISNUMBER(L578),ISNUMBER(M578),ISNUMBER(N578),ISNUMBER(AT578)),L578+M578-N578-AT578,IF(AND(ISNUMBER(O578),ISNUMBER(N578)),O578-N578,"")))</f>
        <v/>
      </c>
      <c r="AV578" s="8">
        <f>IF(E578="금융","금융업 - 정의되지 않음",IF(AND(ISNUMBER(L578),ISNUMBER(M578),ISNUMBER(N578),ISNUMBER(AT578)),"순이익+감가상각-설비투자-운전자본증감",IF(AND(ISNUMBER(O578),ISNUMBER(N578)),"영업현금흐름-설비투자","산출불가")))</f>
        <v/>
      </c>
      <c r="AW578" s="19">
        <f>IF(AND(ISNUMBER(AU578),ISNUMBER(G578),G578&lt;&gt;0),AU578/G578,"")</f>
        <v/>
      </c>
      <c r="AX578" s="19">
        <f>IF(AND(ISNUMBER(AC578),ISNUMBER(G578),G578&lt;&gt;0),AC578/G578,"")</f>
        <v/>
      </c>
    </row>
    <row r="579">
      <c r="A579" s="8" t="inlineStr">
        <is>
          <t>IBM</t>
        </is>
      </c>
      <c r="B579" s="8" t="inlineStr">
        <is>
          <t>INTERNATIONAL BUSINESS MACHINES CORP</t>
        </is>
      </c>
      <c r="C579" s="8" t="n">
        <v>2014</v>
      </c>
      <c r="D579" s="8" t="n"/>
      <c r="E579" s="8" t="inlineStr">
        <is>
          <t>일반</t>
        </is>
      </c>
      <c r="F579" s="8" t="n"/>
      <c r="G579" s="15" t="n">
        <v>92.79300000000001</v>
      </c>
      <c r="H579" s="15" t="n">
        <v>19.986</v>
      </c>
      <c r="I579" s="15" t="n">
        <v>0.484</v>
      </c>
      <c r="J579" s="15" t="n">
        <v>4.234</v>
      </c>
      <c r="K579" s="15" t="n"/>
      <c r="L579" s="15" t="n"/>
      <c r="M579" s="15" t="n">
        <v>3.145</v>
      </c>
      <c r="N579" s="15" t="n">
        <v>3.74</v>
      </c>
      <c r="O579" s="15" t="n">
        <v>16.868</v>
      </c>
      <c r="P579" s="15" t="n">
        <v>11.868</v>
      </c>
      <c r="Q579" s="15" t="n"/>
      <c r="R579" s="15" t="n">
        <v>8.476000000000001</v>
      </c>
      <c r="S579" s="15" t="n"/>
      <c r="T579" s="15" t="n"/>
      <c r="U579" s="15" t="n"/>
      <c r="V579" s="15" t="n">
        <v>34.991</v>
      </c>
      <c r="W579" s="15" t="n">
        <v>47.377</v>
      </c>
      <c r="X579" s="15" t="n"/>
      <c r="Y579" s="15" t="n">
        <v>39.581</v>
      </c>
      <c r="Z579" s="15" t="n"/>
      <c r="AA579" s="15" t="n"/>
      <c r="AB579" s="16" t="n">
        <v>990.523759</v>
      </c>
      <c r="AC579" s="17">
        <f>IF(AND(ISNUMBER(H579),ISNUMBER(I579)),H579+I579,IF(ISNUMBER(K579),K579,IF(ISNUMBER(H579),H579,"")))</f>
        <v/>
      </c>
      <c r="AD579" s="18">
        <f>IF(OR(NOT(ISNUMBER(J579)),NOT(ISNUMBER(H579)),H579&lt;=0),기준표!$B$8,MIN(MAX(J579/H579,기준표!$B$6),기준표!$B$7))</f>
        <v/>
      </c>
      <c r="AE579" s="17">
        <f>IF(ISNUMBER(AC579),AC579*(1-AD579),"")</f>
        <v/>
      </c>
      <c r="AF579" s="17">
        <f>IF(AND(NOT(ISNUMBER(T579)),NOT(ISNUMBER(V579))),"",IF(ISNUMBER(T579),T579,0)+IF(ISNUMBER(V579),V579,0))</f>
        <v/>
      </c>
      <c r="AG579" s="17">
        <f>IF(E579="금융","",IF(AND(ISNUMBER(P579),ISNUMBER(AF579),ISNUMBER(R579)),P579+AF579-R579,""))</f>
        <v/>
      </c>
      <c r="AH579" s="17">
        <f>IF(E579="금융","",IF(NOT(ISNUMBER(AG579)),"",IF(ISNUMBER(AA579),(AG579+AA579)/2,AG579)))</f>
        <v/>
      </c>
      <c r="AI579" s="19">
        <f>IF(AND(ISNUMBER(AE579),ISNUMBER(AH579),AH579&gt;0),AE579/AH579,"")</f>
        <v/>
      </c>
      <c r="AJ579" s="17">
        <f>IF(E579="금융","",IF(AND(ISNUMBER(P579),ISNUMBER(AF579)),P579+AF579,""))</f>
        <v/>
      </c>
      <c r="AK579" s="19">
        <f>IF(OR(NOT(ISNUMBER(AE579)),NOT(ISNUMBER(AJ579)),AJ579&lt;=0),"",IF(AND(ISNUMBER(G579),AJ579&lt;0.1*G579),"",AE579/AJ579))</f>
        <v/>
      </c>
      <c r="AL579" s="17">
        <f>IF(NOT(ISNUMBER(P579)),"",IF(ISNUMBER(Q579),(P579+Q579)/2,P579))</f>
        <v/>
      </c>
      <c r="AM579" s="19">
        <f>IF(AND(ISNUMBER(L579),ISNUMBER(AL579),AL579&gt;0),L579/AL579,"")</f>
        <v/>
      </c>
      <c r="AN579" s="19">
        <f>IF(AND(ISNUMBER(AM579),ISNUMBER({ROIC})),AM579-{ROIC},"")</f>
        <v/>
      </c>
      <c r="AO579" s="17">
        <f>IF(AND(ISNUMBER(AC579),ISNUMBER(M579)),AC579+M579,"")</f>
        <v/>
      </c>
      <c r="AP579" s="20">
        <f>IF(AND(ISNUMBER(AF579),ISNUMBER(R579),ISNUMBER(AO579),AO579&gt;0),(AF579-R579)/AO579,"")</f>
        <v/>
      </c>
      <c r="AQ579" s="20">
        <f>IF(AND(ISNUMBER(AC579),ISNUMBER(I579),I579&lt;&gt;0,AC579&gt;0),AC579/I579,"")</f>
        <v/>
      </c>
      <c r="AR579" s="17">
        <f>IF(AND(ISNUMBER(W579),ISNUMBER(Y579)),W579-IF(ISNUMBER(R579),R579,0)-(Y579-IF(ISNUMBER(T579),T579,0)),"")</f>
        <v/>
      </c>
      <c r="AS579" s="17">
        <f>IF(AND(ISNUMBER(X579),ISNUMBER(Z579)),X579-IF(ISNUMBER(S579),S579,0)-(Z579-IF(ISNUMBER(U579),U579,0)),"")</f>
        <v/>
      </c>
      <c r="AT579" s="17">
        <f>IF(AND(ISNUMBER(AR579),ISNUMBER(AS579)),AR579-AS579,"")</f>
        <v/>
      </c>
      <c r="AU579" s="17">
        <f>IF(E579="금융","",IF(AND(ISNUMBER(L579),ISNUMBER(M579),ISNUMBER(N579),ISNUMBER(AT579)),L579+M579-N579-AT579,IF(AND(ISNUMBER(O579),ISNUMBER(N579)),O579-N579,"")))</f>
        <v/>
      </c>
      <c r="AV579" s="8">
        <f>IF(E579="금융","금융업 - 정의되지 않음",IF(AND(ISNUMBER(L579),ISNUMBER(M579),ISNUMBER(N579),ISNUMBER(AT579)),"순이익+감가상각-설비투자-운전자본증감",IF(AND(ISNUMBER(O579),ISNUMBER(N579)),"영업현금흐름-설비투자","산출불가")))</f>
        <v/>
      </c>
      <c r="AW579" s="19">
        <f>IF(AND(ISNUMBER(AU579),ISNUMBER(G579),G579&lt;&gt;0),AU579/G579,"")</f>
        <v/>
      </c>
      <c r="AX579" s="19">
        <f>IF(AND(ISNUMBER(AC579),ISNUMBER(G579),G579&lt;&gt;0),AC579/G579,"")</f>
        <v/>
      </c>
    </row>
    <row r="580">
      <c r="A580" s="8" t="inlineStr">
        <is>
          <t>IBM</t>
        </is>
      </c>
      <c r="B580" s="8" t="inlineStr">
        <is>
          <t>INTERNATIONAL BUSINESS MACHINES CORP</t>
        </is>
      </c>
      <c r="C580" s="8" t="n">
        <v>2015</v>
      </c>
      <c r="D580" s="8" t="inlineStr">
        <is>
          <t>2015-12-31</t>
        </is>
      </c>
      <c r="E580" s="8" t="inlineStr">
        <is>
          <t>일반</t>
        </is>
      </c>
      <c r="F580" s="8" t="inlineStr">
        <is>
          <t>0001047469-18-001117</t>
        </is>
      </c>
      <c r="G580" s="15" t="n">
        <v>81.741</v>
      </c>
      <c r="H580" s="15" t="n">
        <v>15.945</v>
      </c>
      <c r="I580" s="15" t="n">
        <v>0.468</v>
      </c>
      <c r="J580" s="15" t="n">
        <v>2.581</v>
      </c>
      <c r="K580" s="15" t="n"/>
      <c r="L580" s="15" t="n">
        <v>13.19</v>
      </c>
      <c r="M580" s="15" t="n">
        <v>2.662</v>
      </c>
      <c r="N580" s="15" t="n">
        <v>3.579</v>
      </c>
      <c r="O580" s="15" t="n">
        <v>17.255</v>
      </c>
      <c r="P580" s="15" t="n">
        <v>14.262</v>
      </c>
      <c r="Q580" s="15" t="n">
        <v>11.868</v>
      </c>
      <c r="R580" s="15" t="n">
        <v>7.686</v>
      </c>
      <c r="S580" s="15" t="n">
        <v>8.476000000000001</v>
      </c>
      <c r="T580" s="15" t="n"/>
      <c r="U580" s="15" t="n"/>
      <c r="V580" s="15" t="n">
        <v>33.428</v>
      </c>
      <c r="W580" s="15" t="n">
        <v>42.504</v>
      </c>
      <c r="X580" s="15" t="n">
        <v>47.377</v>
      </c>
      <c r="Y580" s="15" t="n">
        <v>34.269</v>
      </c>
      <c r="Z580" s="15" t="n">
        <v>39.581</v>
      </c>
      <c r="AA580" s="15" t="n">
        <v>38.383</v>
      </c>
      <c r="AB580" s="16" t="n">
        <v>965.7287250000001</v>
      </c>
      <c r="AC580" s="17">
        <f>IF(AND(ISNUMBER(H580),ISNUMBER(I580)),H580+I580,IF(ISNUMBER(K580),K580,IF(ISNUMBER(H580),H580,"")))</f>
        <v/>
      </c>
      <c r="AD580" s="18">
        <f>IF(OR(NOT(ISNUMBER(J580)),NOT(ISNUMBER(H580)),H580&lt;=0),기준표!$B$8,MIN(MAX(J580/H580,기준표!$B$6),기준표!$B$7))</f>
        <v/>
      </c>
      <c r="AE580" s="17">
        <f>IF(ISNUMBER(AC580),AC580*(1-AD580),"")</f>
        <v/>
      </c>
      <c r="AF580" s="17">
        <f>IF(AND(NOT(ISNUMBER(T580)),NOT(ISNUMBER(V580))),"",IF(ISNUMBER(T580),T580,0)+IF(ISNUMBER(V580),V580,0))</f>
        <v/>
      </c>
      <c r="AG580" s="17">
        <f>IF(E580="금융","",IF(AND(ISNUMBER(P580),ISNUMBER(AF580),ISNUMBER(R580)),P580+AF580-R580,""))</f>
        <v/>
      </c>
      <c r="AH580" s="17">
        <f>IF(E580="금융","",IF(NOT(ISNUMBER(AG580)),"",IF(ISNUMBER(AA580),(AG580+AA580)/2,AG580)))</f>
        <v/>
      </c>
      <c r="AI580" s="19">
        <f>IF(AND(ISNUMBER(AE580),ISNUMBER(AH580),AH580&gt;0),AE580/AH580,"")</f>
        <v/>
      </c>
      <c r="AJ580" s="17">
        <f>IF(E580="금융","",IF(AND(ISNUMBER(P580),ISNUMBER(AF580)),P580+AF580,""))</f>
        <v/>
      </c>
      <c r="AK580" s="19">
        <f>IF(OR(NOT(ISNUMBER(AE580)),NOT(ISNUMBER(AJ580)),AJ580&lt;=0),"",IF(AND(ISNUMBER(G580),AJ580&lt;0.1*G580),"",AE580/AJ580))</f>
        <v/>
      </c>
      <c r="AL580" s="17">
        <f>IF(NOT(ISNUMBER(P580)),"",IF(ISNUMBER(Q580),(P580+Q580)/2,P580))</f>
        <v/>
      </c>
      <c r="AM580" s="19">
        <f>IF(AND(ISNUMBER(L580),ISNUMBER(AL580),AL580&gt;0),L580/AL580,"")</f>
        <v/>
      </c>
      <c r="AN580" s="19">
        <f>IF(AND(ISNUMBER(AM580),ISNUMBER({ROIC})),AM580-{ROIC},"")</f>
        <v/>
      </c>
      <c r="AO580" s="17">
        <f>IF(AND(ISNUMBER(AC580),ISNUMBER(M580)),AC580+M580,"")</f>
        <v/>
      </c>
      <c r="AP580" s="20">
        <f>IF(AND(ISNUMBER(AF580),ISNUMBER(R580),ISNUMBER(AO580),AO580&gt;0),(AF580-R580)/AO580,"")</f>
        <v/>
      </c>
      <c r="AQ580" s="20">
        <f>IF(AND(ISNUMBER(AC580),ISNUMBER(I580),I580&lt;&gt;0,AC580&gt;0),AC580/I580,"")</f>
        <v/>
      </c>
      <c r="AR580" s="17">
        <f>IF(AND(ISNUMBER(W580),ISNUMBER(Y580)),W580-IF(ISNUMBER(R580),R580,0)-(Y580-IF(ISNUMBER(T580),T580,0)),"")</f>
        <v/>
      </c>
      <c r="AS580" s="17">
        <f>IF(AND(ISNUMBER(X580),ISNUMBER(Z580)),X580-IF(ISNUMBER(S580),S580,0)-(Z580-IF(ISNUMBER(U580),U580,0)),"")</f>
        <v/>
      </c>
      <c r="AT580" s="17">
        <f>IF(AND(ISNUMBER(AR580),ISNUMBER(AS580)),AR580-AS580,"")</f>
        <v/>
      </c>
      <c r="AU580" s="17">
        <f>IF(E580="금융","",IF(AND(ISNUMBER(L580),ISNUMBER(M580),ISNUMBER(N580),ISNUMBER(AT580)),L580+M580-N580-AT580,IF(AND(ISNUMBER(O580),ISNUMBER(N580)),O580-N580,"")))</f>
        <v/>
      </c>
      <c r="AV580" s="8">
        <f>IF(E580="금융","금융업 - 정의되지 않음",IF(AND(ISNUMBER(L580),ISNUMBER(M580),ISNUMBER(N580),ISNUMBER(AT580)),"순이익+감가상각-설비투자-운전자본증감",IF(AND(ISNUMBER(O580),ISNUMBER(N580)),"영업현금흐름-설비투자","산출불가")))</f>
        <v/>
      </c>
      <c r="AW580" s="19">
        <f>IF(AND(ISNUMBER(AU580),ISNUMBER(G580),G580&lt;&gt;0),AU580/G580,"")</f>
        <v/>
      </c>
      <c r="AX580" s="19">
        <f>IF(AND(ISNUMBER(AC580),ISNUMBER(G580),G580&lt;&gt;0),AC580/G580,"")</f>
        <v/>
      </c>
    </row>
    <row r="581">
      <c r="A581" s="8" t="inlineStr">
        <is>
          <t>IBM</t>
        </is>
      </c>
      <c r="B581" s="8" t="inlineStr">
        <is>
          <t>INTERNATIONAL BUSINESS MACHINES CORP</t>
        </is>
      </c>
      <c r="C581" s="8" t="n">
        <v>2016</v>
      </c>
      <c r="D581" s="8" t="inlineStr">
        <is>
          <t>2016-12-31</t>
        </is>
      </c>
      <c r="E581" s="8" t="inlineStr">
        <is>
          <t>일반</t>
        </is>
      </c>
      <c r="F581" s="8" t="inlineStr">
        <is>
          <t>0001047469-19-000712</t>
        </is>
      </c>
      <c r="G581" s="15" t="n">
        <v>79.919</v>
      </c>
      <c r="H581" s="15" t="n">
        <v>12.33</v>
      </c>
      <c r="I581" s="15" t="n">
        <v>0.63</v>
      </c>
      <c r="J581" s="15" t="n">
        <v>0.449</v>
      </c>
      <c r="K581" s="15" t="n"/>
      <c r="L581" s="15" t="n">
        <v>11.872</v>
      </c>
      <c r="M581" s="15" t="n">
        <v>2.837</v>
      </c>
      <c r="N581" s="15" t="n">
        <v>3.567</v>
      </c>
      <c r="O581" s="15" t="n">
        <v>17.084</v>
      </c>
      <c r="P581" s="15" t="n">
        <v>18.246</v>
      </c>
      <c r="Q581" s="15" t="n">
        <v>14.262</v>
      </c>
      <c r="R581" s="15" t="n">
        <v>7.826</v>
      </c>
      <c r="S581" s="15" t="n">
        <v>7.686</v>
      </c>
      <c r="T581" s="15" t="n"/>
      <c r="U581" s="15" t="n"/>
      <c r="V581" s="15" t="n">
        <v>34.655</v>
      </c>
      <c r="W581" s="15" t="n">
        <v>43.888</v>
      </c>
      <c r="X581" s="15" t="n">
        <v>42.504</v>
      </c>
      <c r="Y581" s="15" t="n">
        <v>36.275</v>
      </c>
      <c r="Z581" s="15" t="n">
        <v>34.269</v>
      </c>
      <c r="AA581" s="15" t="n">
        <v>40.004</v>
      </c>
      <c r="AB581" s="16" t="n">
        <v>945.867403</v>
      </c>
      <c r="AC581" s="17">
        <f>IF(AND(ISNUMBER(H581),ISNUMBER(I581)),H581+I581,IF(ISNUMBER(K581),K581,IF(ISNUMBER(H581),H581,"")))</f>
        <v/>
      </c>
      <c r="AD581" s="18">
        <f>IF(OR(NOT(ISNUMBER(J581)),NOT(ISNUMBER(H581)),H581&lt;=0),기준표!$B$8,MIN(MAX(J581/H581,기준표!$B$6),기준표!$B$7))</f>
        <v/>
      </c>
      <c r="AE581" s="17">
        <f>IF(ISNUMBER(AC581),AC581*(1-AD581),"")</f>
        <v/>
      </c>
      <c r="AF581" s="17">
        <f>IF(AND(NOT(ISNUMBER(T581)),NOT(ISNUMBER(V581))),"",IF(ISNUMBER(T581),T581,0)+IF(ISNUMBER(V581),V581,0))</f>
        <v/>
      </c>
      <c r="AG581" s="17">
        <f>IF(E581="금융","",IF(AND(ISNUMBER(P581),ISNUMBER(AF581),ISNUMBER(R581)),P581+AF581-R581,""))</f>
        <v/>
      </c>
      <c r="AH581" s="17">
        <f>IF(E581="금융","",IF(NOT(ISNUMBER(AG581)),"",IF(ISNUMBER(AA581),(AG581+AA581)/2,AG581)))</f>
        <v/>
      </c>
      <c r="AI581" s="19">
        <f>IF(AND(ISNUMBER(AE581),ISNUMBER(AH581),AH581&gt;0),AE581/AH581,"")</f>
        <v/>
      </c>
      <c r="AJ581" s="17">
        <f>IF(E581="금융","",IF(AND(ISNUMBER(P581),ISNUMBER(AF581)),P581+AF581,""))</f>
        <v/>
      </c>
      <c r="AK581" s="19">
        <f>IF(OR(NOT(ISNUMBER(AE581)),NOT(ISNUMBER(AJ581)),AJ581&lt;=0),"",IF(AND(ISNUMBER(G581),AJ581&lt;0.1*G581),"",AE581/AJ581))</f>
        <v/>
      </c>
      <c r="AL581" s="17">
        <f>IF(NOT(ISNUMBER(P581)),"",IF(ISNUMBER(Q581),(P581+Q581)/2,P581))</f>
        <v/>
      </c>
      <c r="AM581" s="19">
        <f>IF(AND(ISNUMBER(L581),ISNUMBER(AL581),AL581&gt;0),L581/AL581,"")</f>
        <v/>
      </c>
      <c r="AN581" s="19">
        <f>IF(AND(ISNUMBER(AM581),ISNUMBER({ROIC})),AM581-{ROIC},"")</f>
        <v/>
      </c>
      <c r="AO581" s="17">
        <f>IF(AND(ISNUMBER(AC581),ISNUMBER(M581)),AC581+M581,"")</f>
        <v/>
      </c>
      <c r="AP581" s="20">
        <f>IF(AND(ISNUMBER(AF581),ISNUMBER(R581),ISNUMBER(AO581),AO581&gt;0),(AF581-R581)/AO581,"")</f>
        <v/>
      </c>
      <c r="AQ581" s="20">
        <f>IF(AND(ISNUMBER(AC581),ISNUMBER(I581),I581&lt;&gt;0,AC581&gt;0),AC581/I581,"")</f>
        <v/>
      </c>
      <c r="AR581" s="17">
        <f>IF(AND(ISNUMBER(W581),ISNUMBER(Y581)),W581-IF(ISNUMBER(R581),R581,0)-(Y581-IF(ISNUMBER(T581),T581,0)),"")</f>
        <v/>
      </c>
      <c r="AS581" s="17">
        <f>IF(AND(ISNUMBER(X581),ISNUMBER(Z581)),X581-IF(ISNUMBER(S581),S581,0)-(Z581-IF(ISNUMBER(U581),U581,0)),"")</f>
        <v/>
      </c>
      <c r="AT581" s="17">
        <f>IF(AND(ISNUMBER(AR581),ISNUMBER(AS581)),AR581-AS581,"")</f>
        <v/>
      </c>
      <c r="AU581" s="17">
        <f>IF(E581="금융","",IF(AND(ISNUMBER(L581),ISNUMBER(M581),ISNUMBER(N581),ISNUMBER(AT581)),L581+M581-N581-AT581,IF(AND(ISNUMBER(O581),ISNUMBER(N581)),O581-N581,"")))</f>
        <v/>
      </c>
      <c r="AV581" s="8">
        <f>IF(E581="금융","금융업 - 정의되지 않음",IF(AND(ISNUMBER(L581),ISNUMBER(M581),ISNUMBER(N581),ISNUMBER(AT581)),"순이익+감가상각-설비투자-운전자본증감",IF(AND(ISNUMBER(O581),ISNUMBER(N581)),"영업현금흐름-설비투자","산출불가")))</f>
        <v/>
      </c>
      <c r="AW581" s="19">
        <f>IF(AND(ISNUMBER(AU581),ISNUMBER(G581),G581&lt;&gt;0),AU581/G581,"")</f>
        <v/>
      </c>
      <c r="AX581" s="19">
        <f>IF(AND(ISNUMBER(AC581),ISNUMBER(G581),G581&lt;&gt;0),AC581/G581,"")</f>
        <v/>
      </c>
    </row>
    <row r="582">
      <c r="A582" s="8" t="inlineStr">
        <is>
          <t>IBM</t>
        </is>
      </c>
      <c r="B582" s="8" t="inlineStr">
        <is>
          <t>INTERNATIONAL BUSINESS MACHINES CORP</t>
        </is>
      </c>
      <c r="C582" s="8" t="n">
        <v>2017</v>
      </c>
      <c r="D582" s="8" t="inlineStr">
        <is>
          <t>2017-12-31</t>
        </is>
      </c>
      <c r="E582" s="8" t="inlineStr">
        <is>
          <t>일반</t>
        </is>
      </c>
      <c r="F582" s="8" t="inlineStr">
        <is>
          <t>0001558370-20-001334</t>
        </is>
      </c>
      <c r="G582" s="15" t="n">
        <v>79.139</v>
      </c>
      <c r="H582" s="15" t="n">
        <v>11.4</v>
      </c>
      <c r="I582" s="15" t="n">
        <v>0.615</v>
      </c>
      <c r="J582" s="15" t="n">
        <v>5.642</v>
      </c>
      <c r="K582" s="15" t="n"/>
      <c r="L582" s="15" t="n">
        <v>5.753</v>
      </c>
      <c r="M582" s="15" t="n">
        <v>3.021</v>
      </c>
      <c r="N582" s="15" t="n">
        <v>3.229</v>
      </c>
      <c r="O582" s="15" t="n">
        <v>16.724</v>
      </c>
      <c r="P582" s="15" t="n">
        <v>17.594</v>
      </c>
      <c r="Q582" s="15" t="n">
        <v>18.246</v>
      </c>
      <c r="R582" s="15" t="n">
        <v>12.58</v>
      </c>
      <c r="S582" s="15" t="n">
        <v>7.826</v>
      </c>
      <c r="T582" s="15" t="n"/>
      <c r="U582" s="15" t="n"/>
      <c r="V582" s="15" t="n">
        <v>39.837</v>
      </c>
      <c r="W582" s="15" t="n">
        <v>49.735</v>
      </c>
      <c r="X582" s="15" t="n">
        <v>43.888</v>
      </c>
      <c r="Y582" s="15" t="n">
        <v>37.363</v>
      </c>
      <c r="Z582" s="15" t="n">
        <v>36.275</v>
      </c>
      <c r="AA582" s="15" t="n">
        <v>45.075</v>
      </c>
      <c r="AB582" s="16" t="n">
        <v>922.179225</v>
      </c>
      <c r="AC582" s="17">
        <f>IF(AND(ISNUMBER(H582),ISNUMBER(I582)),H582+I582,IF(ISNUMBER(K582),K582,IF(ISNUMBER(H582),H582,"")))</f>
        <v/>
      </c>
      <c r="AD582" s="18">
        <f>IF(OR(NOT(ISNUMBER(J582)),NOT(ISNUMBER(H582)),H582&lt;=0),기준표!$B$8,MIN(MAX(J582/H582,기준표!$B$6),기준표!$B$7))</f>
        <v/>
      </c>
      <c r="AE582" s="17">
        <f>IF(ISNUMBER(AC582),AC582*(1-AD582),"")</f>
        <v/>
      </c>
      <c r="AF582" s="17">
        <f>IF(AND(NOT(ISNUMBER(T582)),NOT(ISNUMBER(V582))),"",IF(ISNUMBER(T582),T582,0)+IF(ISNUMBER(V582),V582,0))</f>
        <v/>
      </c>
      <c r="AG582" s="17">
        <f>IF(E582="금융","",IF(AND(ISNUMBER(P582),ISNUMBER(AF582),ISNUMBER(R582)),P582+AF582-R582,""))</f>
        <v/>
      </c>
      <c r="AH582" s="17">
        <f>IF(E582="금융","",IF(NOT(ISNUMBER(AG582)),"",IF(ISNUMBER(AA582),(AG582+AA582)/2,AG582)))</f>
        <v/>
      </c>
      <c r="AI582" s="19">
        <f>IF(AND(ISNUMBER(AE582),ISNUMBER(AH582),AH582&gt;0),AE582/AH582,"")</f>
        <v/>
      </c>
      <c r="AJ582" s="17">
        <f>IF(E582="금융","",IF(AND(ISNUMBER(P582),ISNUMBER(AF582)),P582+AF582,""))</f>
        <v/>
      </c>
      <c r="AK582" s="19">
        <f>IF(OR(NOT(ISNUMBER(AE582)),NOT(ISNUMBER(AJ582)),AJ582&lt;=0),"",IF(AND(ISNUMBER(G582),AJ582&lt;0.1*G582),"",AE582/AJ582))</f>
        <v/>
      </c>
      <c r="AL582" s="17">
        <f>IF(NOT(ISNUMBER(P582)),"",IF(ISNUMBER(Q582),(P582+Q582)/2,P582))</f>
        <v/>
      </c>
      <c r="AM582" s="19">
        <f>IF(AND(ISNUMBER(L582),ISNUMBER(AL582),AL582&gt;0),L582/AL582,"")</f>
        <v/>
      </c>
      <c r="AN582" s="19">
        <f>IF(AND(ISNUMBER(AM582),ISNUMBER({ROIC})),AM582-{ROIC},"")</f>
        <v/>
      </c>
      <c r="AO582" s="17">
        <f>IF(AND(ISNUMBER(AC582),ISNUMBER(M582)),AC582+M582,"")</f>
        <v/>
      </c>
      <c r="AP582" s="20">
        <f>IF(AND(ISNUMBER(AF582),ISNUMBER(R582),ISNUMBER(AO582),AO582&gt;0),(AF582-R582)/AO582,"")</f>
        <v/>
      </c>
      <c r="AQ582" s="20">
        <f>IF(AND(ISNUMBER(AC582),ISNUMBER(I582),I582&lt;&gt;0,AC582&gt;0),AC582/I582,"")</f>
        <v/>
      </c>
      <c r="AR582" s="17">
        <f>IF(AND(ISNUMBER(W582),ISNUMBER(Y582)),W582-IF(ISNUMBER(R582),R582,0)-(Y582-IF(ISNUMBER(T582),T582,0)),"")</f>
        <v/>
      </c>
      <c r="AS582" s="17">
        <f>IF(AND(ISNUMBER(X582),ISNUMBER(Z582)),X582-IF(ISNUMBER(S582),S582,0)-(Z582-IF(ISNUMBER(U582),U582,0)),"")</f>
        <v/>
      </c>
      <c r="AT582" s="17">
        <f>IF(AND(ISNUMBER(AR582),ISNUMBER(AS582)),AR582-AS582,"")</f>
        <v/>
      </c>
      <c r="AU582" s="17">
        <f>IF(E582="금융","",IF(AND(ISNUMBER(L582),ISNUMBER(M582),ISNUMBER(N582),ISNUMBER(AT582)),L582+M582-N582-AT582,IF(AND(ISNUMBER(O582),ISNUMBER(N582)),O582-N582,"")))</f>
        <v/>
      </c>
      <c r="AV582" s="8">
        <f>IF(E582="금융","금융업 - 정의되지 않음",IF(AND(ISNUMBER(L582),ISNUMBER(M582),ISNUMBER(N582),ISNUMBER(AT582)),"순이익+감가상각-설비투자-운전자본증감",IF(AND(ISNUMBER(O582),ISNUMBER(N582)),"영업현금흐름-설비투자","산출불가")))</f>
        <v/>
      </c>
      <c r="AW582" s="19">
        <f>IF(AND(ISNUMBER(AU582),ISNUMBER(G582),G582&lt;&gt;0),AU582/G582,"")</f>
        <v/>
      </c>
      <c r="AX582" s="19">
        <f>IF(AND(ISNUMBER(AC582),ISNUMBER(G582),G582&lt;&gt;0),AC582/G582,"")</f>
        <v/>
      </c>
    </row>
    <row r="583">
      <c r="A583" s="8" t="inlineStr">
        <is>
          <t>IBM</t>
        </is>
      </c>
      <c r="B583" s="8" t="inlineStr">
        <is>
          <t>INTERNATIONAL BUSINESS MACHINES CORP</t>
        </is>
      </c>
      <c r="C583" s="8" t="n">
        <v>2018</v>
      </c>
      <c r="D583" s="8" t="inlineStr">
        <is>
          <t>2018-12-31</t>
        </is>
      </c>
      <c r="E583" s="8" t="inlineStr">
        <is>
          <t>일반</t>
        </is>
      </c>
      <c r="F583" s="8" t="inlineStr">
        <is>
          <t>0001558370-21-001489</t>
        </is>
      </c>
      <c r="G583" s="15" t="n">
        <v>79.59099999999999</v>
      </c>
      <c r="H583" s="15" t="n">
        <v>11.342</v>
      </c>
      <c r="I583" s="15" t="n">
        <v>0.723</v>
      </c>
      <c r="J583" s="15" t="n">
        <v>2.619</v>
      </c>
      <c r="K583" s="15" t="n"/>
      <c r="L583" s="15" t="n">
        <v>8.728</v>
      </c>
      <c r="M583" s="15" t="n">
        <v>3.127</v>
      </c>
      <c r="N583" s="15" t="n">
        <v>3.395</v>
      </c>
      <c r="O583" s="15" t="n">
        <v>15.247</v>
      </c>
      <c r="P583" s="15" t="n">
        <v>16.796</v>
      </c>
      <c r="Q583" s="15" t="n">
        <v>17.594</v>
      </c>
      <c r="R583" s="15" t="n">
        <v>11.997</v>
      </c>
      <c r="S583" s="15" t="n">
        <v>12.58</v>
      </c>
      <c r="T583" s="15" t="n">
        <v>10.207</v>
      </c>
      <c r="U583" s="15" t="n"/>
      <c r="V583" s="15" t="n">
        <v>35.605</v>
      </c>
      <c r="W583" s="15" t="n">
        <v>49.146</v>
      </c>
      <c r="X583" s="15" t="n">
        <v>49.735</v>
      </c>
      <c r="Y583" s="15" t="n">
        <v>38.227</v>
      </c>
      <c r="Z583" s="15" t="n">
        <v>37.363</v>
      </c>
      <c r="AA583" s="15" t="n">
        <v>44.851</v>
      </c>
      <c r="AB583" s="16" t="n">
        <v>892.479411</v>
      </c>
      <c r="AC583" s="17">
        <f>IF(AND(ISNUMBER(H583),ISNUMBER(I583)),H583+I583,IF(ISNUMBER(K583),K583,IF(ISNUMBER(H583),H583,"")))</f>
        <v/>
      </c>
      <c r="AD583" s="18">
        <f>IF(OR(NOT(ISNUMBER(J583)),NOT(ISNUMBER(H583)),H583&lt;=0),기준표!$B$8,MIN(MAX(J583/H583,기준표!$B$6),기준표!$B$7))</f>
        <v/>
      </c>
      <c r="AE583" s="17">
        <f>IF(ISNUMBER(AC583),AC583*(1-AD583),"")</f>
        <v/>
      </c>
      <c r="AF583" s="17">
        <f>IF(AND(NOT(ISNUMBER(T583)),NOT(ISNUMBER(V583))),"",IF(ISNUMBER(T583),T583,0)+IF(ISNUMBER(V583),V583,0))</f>
        <v/>
      </c>
      <c r="AG583" s="17">
        <f>IF(E583="금융","",IF(AND(ISNUMBER(P583),ISNUMBER(AF583),ISNUMBER(R583)),P583+AF583-R583,""))</f>
        <v/>
      </c>
      <c r="AH583" s="17">
        <f>IF(E583="금융","",IF(NOT(ISNUMBER(AG583)),"",IF(ISNUMBER(AA583),(AG583+AA583)/2,AG583)))</f>
        <v/>
      </c>
      <c r="AI583" s="19">
        <f>IF(AND(ISNUMBER(AE583),ISNUMBER(AH583),AH583&gt;0),AE583/AH583,"")</f>
        <v/>
      </c>
      <c r="AJ583" s="17">
        <f>IF(E583="금융","",IF(AND(ISNUMBER(P583),ISNUMBER(AF583)),P583+AF583,""))</f>
        <v/>
      </c>
      <c r="AK583" s="19">
        <f>IF(OR(NOT(ISNUMBER(AE583)),NOT(ISNUMBER(AJ583)),AJ583&lt;=0),"",IF(AND(ISNUMBER(G583),AJ583&lt;0.1*G583),"",AE583/AJ583))</f>
        <v/>
      </c>
      <c r="AL583" s="17">
        <f>IF(NOT(ISNUMBER(P583)),"",IF(ISNUMBER(Q583),(P583+Q583)/2,P583))</f>
        <v/>
      </c>
      <c r="AM583" s="19">
        <f>IF(AND(ISNUMBER(L583),ISNUMBER(AL583),AL583&gt;0),L583/AL583,"")</f>
        <v/>
      </c>
      <c r="AN583" s="19">
        <f>IF(AND(ISNUMBER(AM583),ISNUMBER({ROIC})),AM583-{ROIC},"")</f>
        <v/>
      </c>
      <c r="AO583" s="17">
        <f>IF(AND(ISNUMBER(AC583),ISNUMBER(M583)),AC583+M583,"")</f>
        <v/>
      </c>
      <c r="AP583" s="20">
        <f>IF(AND(ISNUMBER(AF583),ISNUMBER(R583),ISNUMBER(AO583),AO583&gt;0),(AF583-R583)/AO583,"")</f>
        <v/>
      </c>
      <c r="AQ583" s="20">
        <f>IF(AND(ISNUMBER(AC583),ISNUMBER(I583),I583&lt;&gt;0,AC583&gt;0),AC583/I583,"")</f>
        <v/>
      </c>
      <c r="AR583" s="17">
        <f>IF(AND(ISNUMBER(W583),ISNUMBER(Y583)),W583-IF(ISNUMBER(R583),R583,0)-(Y583-IF(ISNUMBER(T583),T583,0)),"")</f>
        <v/>
      </c>
      <c r="AS583" s="17">
        <f>IF(AND(ISNUMBER(X583),ISNUMBER(Z583)),X583-IF(ISNUMBER(S583),S583,0)-(Z583-IF(ISNUMBER(U583),U583,0)),"")</f>
        <v/>
      </c>
      <c r="AT583" s="17">
        <f>IF(AND(ISNUMBER(AR583),ISNUMBER(AS583)),AR583-AS583,"")</f>
        <v/>
      </c>
      <c r="AU583" s="17">
        <f>IF(E583="금융","",IF(AND(ISNUMBER(L583),ISNUMBER(M583),ISNUMBER(N583),ISNUMBER(AT583)),L583+M583-N583-AT583,IF(AND(ISNUMBER(O583),ISNUMBER(N583)),O583-N583,"")))</f>
        <v/>
      </c>
      <c r="AV583" s="8">
        <f>IF(E583="금융","금융업 - 정의되지 않음",IF(AND(ISNUMBER(L583),ISNUMBER(M583),ISNUMBER(N583),ISNUMBER(AT583)),"순이익+감가상각-설비투자-운전자본증감",IF(AND(ISNUMBER(O583),ISNUMBER(N583)),"영업현금흐름-설비투자","산출불가")))</f>
        <v/>
      </c>
      <c r="AW583" s="19">
        <f>IF(AND(ISNUMBER(AU583),ISNUMBER(G583),G583&lt;&gt;0),AU583/G583,"")</f>
        <v/>
      </c>
      <c r="AX583" s="19">
        <f>IF(AND(ISNUMBER(AC583),ISNUMBER(G583),G583&lt;&gt;0),AC583/G583,"")</f>
        <v/>
      </c>
    </row>
    <row r="584">
      <c r="A584" s="8" t="inlineStr">
        <is>
          <t>IBM</t>
        </is>
      </c>
      <c r="B584" s="8" t="inlineStr">
        <is>
          <t>INTERNATIONAL BUSINESS MACHINES CORP</t>
        </is>
      </c>
      <c r="C584" s="8" t="n">
        <v>2019</v>
      </c>
      <c r="D584" s="8" t="inlineStr">
        <is>
          <t>2019-12-31</t>
        </is>
      </c>
      <c r="E584" s="8" t="inlineStr">
        <is>
          <t>일반</t>
        </is>
      </c>
      <c r="F584" s="8" t="inlineStr">
        <is>
          <t>0001558370-22-001584</t>
        </is>
      </c>
      <c r="G584" s="15" t="n">
        <v>57.714</v>
      </c>
      <c r="H584" s="15" t="n">
        <v>7.206</v>
      </c>
      <c r="I584" s="15" t="n">
        <v>1.344</v>
      </c>
      <c r="J584" s="15" t="n">
        <v>0.06</v>
      </c>
      <c r="K584" s="15" t="n"/>
      <c r="L584" s="15" t="n">
        <v>9.430999999999999</v>
      </c>
      <c r="M584" s="15" t="n">
        <v>4.209</v>
      </c>
      <c r="N584" s="15" t="n">
        <v>2.286</v>
      </c>
      <c r="O584" s="15" t="n">
        <v>14.77</v>
      </c>
      <c r="P584" s="15" t="n">
        <v>20.841</v>
      </c>
      <c r="Q584" s="15" t="n">
        <v>16.796</v>
      </c>
      <c r="R584" s="15" t="n">
        <v>8.868</v>
      </c>
      <c r="S584" s="15" t="n">
        <v>11.997</v>
      </c>
      <c r="T584" s="15" t="n">
        <v>8.797000000000001</v>
      </c>
      <c r="U584" s="15" t="n">
        <v>10.207</v>
      </c>
      <c r="V584" s="15" t="n">
        <v>54.102</v>
      </c>
      <c r="W584" s="15" t="n">
        <v>38.42</v>
      </c>
      <c r="X584" s="15" t="n">
        <v>49.146</v>
      </c>
      <c r="Y584" s="15" t="n">
        <v>37.701</v>
      </c>
      <c r="Z584" s="15" t="n">
        <v>38.227</v>
      </c>
      <c r="AA584" s="15" t="n">
        <v>50.611</v>
      </c>
      <c r="AB584" s="16" t="n">
        <v>887.110455</v>
      </c>
      <c r="AC584" s="17">
        <f>IF(AND(ISNUMBER(H584),ISNUMBER(I584)),H584+I584,IF(ISNUMBER(K584),K584,IF(ISNUMBER(H584),H584,"")))</f>
        <v/>
      </c>
      <c r="AD584" s="18">
        <f>IF(OR(NOT(ISNUMBER(J584)),NOT(ISNUMBER(H584)),H584&lt;=0),기준표!$B$8,MIN(MAX(J584/H584,기준표!$B$6),기준표!$B$7))</f>
        <v/>
      </c>
      <c r="AE584" s="17">
        <f>IF(ISNUMBER(AC584),AC584*(1-AD584),"")</f>
        <v/>
      </c>
      <c r="AF584" s="17">
        <f>IF(AND(NOT(ISNUMBER(T584)),NOT(ISNUMBER(V584))),"",IF(ISNUMBER(T584),T584,0)+IF(ISNUMBER(V584),V584,0))</f>
        <v/>
      </c>
      <c r="AG584" s="17">
        <f>IF(E584="금융","",IF(AND(ISNUMBER(P584),ISNUMBER(AF584),ISNUMBER(R584)),P584+AF584-R584,""))</f>
        <v/>
      </c>
      <c r="AH584" s="17">
        <f>IF(E584="금융","",IF(NOT(ISNUMBER(AG584)),"",IF(ISNUMBER(AA584),(AG584+AA584)/2,AG584)))</f>
        <v/>
      </c>
      <c r="AI584" s="19">
        <f>IF(AND(ISNUMBER(AE584),ISNUMBER(AH584),AH584&gt;0),AE584/AH584,"")</f>
        <v/>
      </c>
      <c r="AJ584" s="17">
        <f>IF(E584="금융","",IF(AND(ISNUMBER(P584),ISNUMBER(AF584)),P584+AF584,""))</f>
        <v/>
      </c>
      <c r="AK584" s="19">
        <f>IF(OR(NOT(ISNUMBER(AE584)),NOT(ISNUMBER(AJ584)),AJ584&lt;=0),"",IF(AND(ISNUMBER(G584),AJ584&lt;0.1*G584),"",AE584/AJ584))</f>
        <v/>
      </c>
      <c r="AL584" s="17">
        <f>IF(NOT(ISNUMBER(P584)),"",IF(ISNUMBER(Q584),(P584+Q584)/2,P584))</f>
        <v/>
      </c>
      <c r="AM584" s="19">
        <f>IF(AND(ISNUMBER(L584),ISNUMBER(AL584),AL584&gt;0),L584/AL584,"")</f>
        <v/>
      </c>
      <c r="AN584" s="19">
        <f>IF(AND(ISNUMBER(AM584),ISNUMBER({ROIC})),AM584-{ROIC},"")</f>
        <v/>
      </c>
      <c r="AO584" s="17">
        <f>IF(AND(ISNUMBER(AC584),ISNUMBER(M584)),AC584+M584,"")</f>
        <v/>
      </c>
      <c r="AP584" s="20">
        <f>IF(AND(ISNUMBER(AF584),ISNUMBER(R584),ISNUMBER(AO584),AO584&gt;0),(AF584-R584)/AO584,"")</f>
        <v/>
      </c>
      <c r="AQ584" s="20">
        <f>IF(AND(ISNUMBER(AC584),ISNUMBER(I584),I584&lt;&gt;0,AC584&gt;0),AC584/I584,"")</f>
        <v/>
      </c>
      <c r="AR584" s="17">
        <f>IF(AND(ISNUMBER(W584),ISNUMBER(Y584)),W584-IF(ISNUMBER(R584),R584,0)-(Y584-IF(ISNUMBER(T584),T584,0)),"")</f>
        <v/>
      </c>
      <c r="AS584" s="17">
        <f>IF(AND(ISNUMBER(X584),ISNUMBER(Z584)),X584-IF(ISNUMBER(S584),S584,0)-(Z584-IF(ISNUMBER(U584),U584,0)),"")</f>
        <v/>
      </c>
      <c r="AT584" s="17">
        <f>IF(AND(ISNUMBER(AR584),ISNUMBER(AS584)),AR584-AS584,"")</f>
        <v/>
      </c>
      <c r="AU584" s="17">
        <f>IF(E584="금융","",IF(AND(ISNUMBER(L584),ISNUMBER(M584),ISNUMBER(N584),ISNUMBER(AT584)),L584+M584-N584-AT584,IF(AND(ISNUMBER(O584),ISNUMBER(N584)),O584-N584,"")))</f>
        <v/>
      </c>
      <c r="AV584" s="8">
        <f>IF(E584="금융","금융업 - 정의되지 않음",IF(AND(ISNUMBER(L584),ISNUMBER(M584),ISNUMBER(N584),ISNUMBER(AT584)),"순이익+감가상각-설비투자-운전자본증감",IF(AND(ISNUMBER(O584),ISNUMBER(N584)),"영업현금흐름-설비투자","산출불가")))</f>
        <v/>
      </c>
      <c r="AW584" s="19">
        <f>IF(AND(ISNUMBER(AU584),ISNUMBER(G584),G584&lt;&gt;0),AU584/G584,"")</f>
        <v/>
      </c>
      <c r="AX584" s="19">
        <f>IF(AND(ISNUMBER(AC584),ISNUMBER(G584),G584&lt;&gt;0),AC584/G584,"")</f>
        <v/>
      </c>
    </row>
    <row r="585">
      <c r="A585" s="8" t="inlineStr">
        <is>
          <t>IBM</t>
        </is>
      </c>
      <c r="B585" s="8" t="inlineStr">
        <is>
          <t>INTERNATIONAL BUSINESS MACHINES CORP</t>
        </is>
      </c>
      <c r="C585" s="8" t="n">
        <v>2020</v>
      </c>
      <c r="D585" s="8" t="inlineStr">
        <is>
          <t>2020-12-31</t>
        </is>
      </c>
      <c r="E585" s="8" t="inlineStr">
        <is>
          <t>일반</t>
        </is>
      </c>
      <c r="F585" s="8" t="inlineStr">
        <is>
          <t>0001558370-23-002376</t>
        </is>
      </c>
      <c r="G585" s="15" t="n">
        <v>55.179</v>
      </c>
      <c r="H585" s="15" t="n">
        <v>2.572</v>
      </c>
      <c r="I585" s="15" t="n">
        <v>1.288</v>
      </c>
      <c r="J585" s="15" t="n">
        <v>-1.36</v>
      </c>
      <c r="K585" s="15" t="n"/>
      <c r="L585" s="15" t="n">
        <v>5.59</v>
      </c>
      <c r="M585" s="15" t="n">
        <v>4.227</v>
      </c>
      <c r="N585" s="15" t="n">
        <v>2.618</v>
      </c>
      <c r="O585" s="15" t="n">
        <v>18.197</v>
      </c>
      <c r="P585" s="15" t="n">
        <v>20.597</v>
      </c>
      <c r="Q585" s="15" t="n">
        <v>20.841</v>
      </c>
      <c r="R585" s="15" t="n">
        <v>13.788</v>
      </c>
      <c r="S585" s="15" t="n">
        <v>8.868</v>
      </c>
      <c r="T585" s="15" t="n">
        <v>7.116</v>
      </c>
      <c r="U585" s="15" t="n">
        <v>8.797000000000001</v>
      </c>
      <c r="V585" s="15" t="n">
        <v>54.217</v>
      </c>
      <c r="W585" s="15" t="n">
        <v>39.165</v>
      </c>
      <c r="X585" s="15" t="n">
        <v>38.42</v>
      </c>
      <c r="Y585" s="15" t="n">
        <v>39.869</v>
      </c>
      <c r="Z585" s="15" t="n">
        <v>37.701</v>
      </c>
      <c r="AA585" s="15" t="n">
        <v>74.872</v>
      </c>
      <c r="AB585" s="16" t="n">
        <v>892.653424</v>
      </c>
      <c r="AC585" s="17">
        <f>IF(AND(ISNUMBER(H585),ISNUMBER(I585)),H585+I585,IF(ISNUMBER(K585),K585,IF(ISNUMBER(H585),H585,"")))</f>
        <v/>
      </c>
      <c r="AD585" s="18">
        <f>IF(OR(NOT(ISNUMBER(J585)),NOT(ISNUMBER(H585)),H585&lt;=0),기준표!$B$8,MIN(MAX(J585/H585,기준표!$B$6),기준표!$B$7))</f>
        <v/>
      </c>
      <c r="AE585" s="17">
        <f>IF(ISNUMBER(AC585),AC585*(1-AD585),"")</f>
        <v/>
      </c>
      <c r="AF585" s="17">
        <f>IF(AND(NOT(ISNUMBER(T585)),NOT(ISNUMBER(V585))),"",IF(ISNUMBER(T585),T585,0)+IF(ISNUMBER(V585),V585,0))</f>
        <v/>
      </c>
      <c r="AG585" s="17">
        <f>IF(E585="금융","",IF(AND(ISNUMBER(P585),ISNUMBER(AF585),ISNUMBER(R585)),P585+AF585-R585,""))</f>
        <v/>
      </c>
      <c r="AH585" s="17">
        <f>IF(E585="금융","",IF(NOT(ISNUMBER(AG585)),"",IF(ISNUMBER(AA585),(AG585+AA585)/2,AG585)))</f>
        <v/>
      </c>
      <c r="AI585" s="19">
        <f>IF(AND(ISNUMBER(AE585),ISNUMBER(AH585),AH585&gt;0),AE585/AH585,"")</f>
        <v/>
      </c>
      <c r="AJ585" s="17">
        <f>IF(E585="금융","",IF(AND(ISNUMBER(P585),ISNUMBER(AF585)),P585+AF585,""))</f>
        <v/>
      </c>
      <c r="AK585" s="19">
        <f>IF(OR(NOT(ISNUMBER(AE585)),NOT(ISNUMBER(AJ585)),AJ585&lt;=0),"",IF(AND(ISNUMBER(G585),AJ585&lt;0.1*G585),"",AE585/AJ585))</f>
        <v/>
      </c>
      <c r="AL585" s="17">
        <f>IF(NOT(ISNUMBER(P585)),"",IF(ISNUMBER(Q585),(P585+Q585)/2,P585))</f>
        <v/>
      </c>
      <c r="AM585" s="19">
        <f>IF(AND(ISNUMBER(L585),ISNUMBER(AL585),AL585&gt;0),L585/AL585,"")</f>
        <v/>
      </c>
      <c r="AN585" s="19">
        <f>IF(AND(ISNUMBER(AM585),ISNUMBER({ROIC})),AM585-{ROIC},"")</f>
        <v/>
      </c>
      <c r="AO585" s="17">
        <f>IF(AND(ISNUMBER(AC585),ISNUMBER(M585)),AC585+M585,"")</f>
        <v/>
      </c>
      <c r="AP585" s="20">
        <f>IF(AND(ISNUMBER(AF585),ISNUMBER(R585),ISNUMBER(AO585),AO585&gt;0),(AF585-R585)/AO585,"")</f>
        <v/>
      </c>
      <c r="AQ585" s="20">
        <f>IF(AND(ISNUMBER(AC585),ISNUMBER(I585),I585&lt;&gt;0,AC585&gt;0),AC585/I585,"")</f>
        <v/>
      </c>
      <c r="AR585" s="17">
        <f>IF(AND(ISNUMBER(W585),ISNUMBER(Y585)),W585-IF(ISNUMBER(R585),R585,0)-(Y585-IF(ISNUMBER(T585),T585,0)),"")</f>
        <v/>
      </c>
      <c r="AS585" s="17">
        <f>IF(AND(ISNUMBER(X585),ISNUMBER(Z585)),X585-IF(ISNUMBER(S585),S585,0)-(Z585-IF(ISNUMBER(U585),U585,0)),"")</f>
        <v/>
      </c>
      <c r="AT585" s="17">
        <f>IF(AND(ISNUMBER(AR585),ISNUMBER(AS585)),AR585-AS585,"")</f>
        <v/>
      </c>
      <c r="AU585" s="17">
        <f>IF(E585="금융","",IF(AND(ISNUMBER(L585),ISNUMBER(M585),ISNUMBER(N585),ISNUMBER(AT585)),L585+M585-N585-AT585,IF(AND(ISNUMBER(O585),ISNUMBER(N585)),O585-N585,"")))</f>
        <v/>
      </c>
      <c r="AV585" s="8">
        <f>IF(E585="금융","금융업 - 정의되지 않음",IF(AND(ISNUMBER(L585),ISNUMBER(M585),ISNUMBER(N585),ISNUMBER(AT585)),"순이익+감가상각-설비투자-운전자본증감",IF(AND(ISNUMBER(O585),ISNUMBER(N585)),"영업현금흐름-설비투자","산출불가")))</f>
        <v/>
      </c>
      <c r="AW585" s="19">
        <f>IF(AND(ISNUMBER(AU585),ISNUMBER(G585),G585&lt;&gt;0),AU585/G585,"")</f>
        <v/>
      </c>
      <c r="AX585" s="19">
        <f>IF(AND(ISNUMBER(AC585),ISNUMBER(G585),G585&lt;&gt;0),AC585/G585,"")</f>
        <v/>
      </c>
    </row>
    <row r="586">
      <c r="A586" s="8" t="inlineStr">
        <is>
          <t>IBM</t>
        </is>
      </c>
      <c r="B586" s="8" t="inlineStr">
        <is>
          <t>INTERNATIONAL BUSINESS MACHINES CORP</t>
        </is>
      </c>
      <c r="C586" s="8" t="n">
        <v>2021</v>
      </c>
      <c r="D586" s="8" t="inlineStr">
        <is>
          <t>2021-12-31</t>
        </is>
      </c>
      <c r="E586" s="8" t="inlineStr">
        <is>
          <t>일반</t>
        </is>
      </c>
      <c r="F586" s="8" t="inlineStr">
        <is>
          <t>0000051143-24-000012</t>
        </is>
      </c>
      <c r="G586" s="15" t="n">
        <v>57.35</v>
      </c>
      <c r="H586" s="15" t="n">
        <v>4.837</v>
      </c>
      <c r="I586" s="15" t="n">
        <v>1.155</v>
      </c>
      <c r="J586" s="15" t="n">
        <v>0.124</v>
      </c>
      <c r="K586" s="15" t="n"/>
      <c r="L586" s="15" t="n">
        <v>5.743</v>
      </c>
      <c r="M586" s="15" t="n">
        <v>3.888</v>
      </c>
      <c r="N586" s="15" t="n">
        <v>2.062</v>
      </c>
      <c r="O586" s="15" t="n">
        <v>12.796</v>
      </c>
      <c r="P586" s="15" t="n">
        <v>18.901</v>
      </c>
      <c r="Q586" s="15" t="n">
        <v>20.597</v>
      </c>
      <c r="R586" s="15" t="n">
        <v>6.65</v>
      </c>
      <c r="S586" s="15" t="n">
        <v>13.788</v>
      </c>
      <c r="T586" s="15" t="n">
        <v>6.787</v>
      </c>
      <c r="U586" s="15" t="n">
        <v>7.116</v>
      </c>
      <c r="V586" s="15" t="n">
        <v>44.917</v>
      </c>
      <c r="W586" s="15" t="n">
        <v>29.539</v>
      </c>
      <c r="X586" s="15" t="n">
        <v>39.165</v>
      </c>
      <c r="Y586" s="15" t="n">
        <v>33.619</v>
      </c>
      <c r="Z586" s="15" t="n">
        <v>39.869</v>
      </c>
      <c r="AA586" s="15" t="n">
        <v>68.142</v>
      </c>
      <c r="AB586" s="16" t="n">
        <v>898.0685999999999</v>
      </c>
      <c r="AC586" s="17">
        <f>IF(AND(ISNUMBER(H586),ISNUMBER(I586)),H586+I586,IF(ISNUMBER(K586),K586,IF(ISNUMBER(H586),H586,"")))</f>
        <v/>
      </c>
      <c r="AD586" s="18">
        <f>IF(OR(NOT(ISNUMBER(J586)),NOT(ISNUMBER(H586)),H586&lt;=0),기준표!$B$8,MIN(MAX(J586/H586,기준표!$B$6),기준표!$B$7))</f>
        <v/>
      </c>
      <c r="AE586" s="17">
        <f>IF(ISNUMBER(AC586),AC586*(1-AD586),"")</f>
        <v/>
      </c>
      <c r="AF586" s="17">
        <f>IF(AND(NOT(ISNUMBER(T586)),NOT(ISNUMBER(V586))),"",IF(ISNUMBER(T586),T586,0)+IF(ISNUMBER(V586),V586,0))</f>
        <v/>
      </c>
      <c r="AG586" s="17">
        <f>IF(E586="금융","",IF(AND(ISNUMBER(P586),ISNUMBER(AF586),ISNUMBER(R586)),P586+AF586-R586,""))</f>
        <v/>
      </c>
      <c r="AH586" s="17">
        <f>IF(E586="금융","",IF(NOT(ISNUMBER(AG586)),"",IF(ISNUMBER(AA586),(AG586+AA586)/2,AG586)))</f>
        <v/>
      </c>
      <c r="AI586" s="19">
        <f>IF(AND(ISNUMBER(AE586),ISNUMBER(AH586),AH586&gt;0),AE586/AH586,"")</f>
        <v/>
      </c>
      <c r="AJ586" s="17">
        <f>IF(E586="금융","",IF(AND(ISNUMBER(P586),ISNUMBER(AF586)),P586+AF586,""))</f>
        <v/>
      </c>
      <c r="AK586" s="19">
        <f>IF(OR(NOT(ISNUMBER(AE586)),NOT(ISNUMBER(AJ586)),AJ586&lt;=0),"",IF(AND(ISNUMBER(G586),AJ586&lt;0.1*G586),"",AE586/AJ586))</f>
        <v/>
      </c>
      <c r="AL586" s="17">
        <f>IF(NOT(ISNUMBER(P586)),"",IF(ISNUMBER(Q586),(P586+Q586)/2,P586))</f>
        <v/>
      </c>
      <c r="AM586" s="19">
        <f>IF(AND(ISNUMBER(L586),ISNUMBER(AL586),AL586&gt;0),L586/AL586,"")</f>
        <v/>
      </c>
      <c r="AN586" s="19">
        <f>IF(AND(ISNUMBER(AM586),ISNUMBER({ROIC})),AM586-{ROIC},"")</f>
        <v/>
      </c>
      <c r="AO586" s="17">
        <f>IF(AND(ISNUMBER(AC586),ISNUMBER(M586)),AC586+M586,"")</f>
        <v/>
      </c>
      <c r="AP586" s="20">
        <f>IF(AND(ISNUMBER(AF586),ISNUMBER(R586),ISNUMBER(AO586),AO586&gt;0),(AF586-R586)/AO586,"")</f>
        <v/>
      </c>
      <c r="AQ586" s="20">
        <f>IF(AND(ISNUMBER(AC586),ISNUMBER(I586),I586&lt;&gt;0,AC586&gt;0),AC586/I586,"")</f>
        <v/>
      </c>
      <c r="AR586" s="17">
        <f>IF(AND(ISNUMBER(W586),ISNUMBER(Y586)),W586-IF(ISNUMBER(R586),R586,0)-(Y586-IF(ISNUMBER(T586),T586,0)),"")</f>
        <v/>
      </c>
      <c r="AS586" s="17">
        <f>IF(AND(ISNUMBER(X586),ISNUMBER(Z586)),X586-IF(ISNUMBER(S586),S586,0)-(Z586-IF(ISNUMBER(U586),U586,0)),"")</f>
        <v/>
      </c>
      <c r="AT586" s="17">
        <f>IF(AND(ISNUMBER(AR586),ISNUMBER(AS586)),AR586-AS586,"")</f>
        <v/>
      </c>
      <c r="AU586" s="17">
        <f>IF(E586="금융","",IF(AND(ISNUMBER(L586),ISNUMBER(M586),ISNUMBER(N586),ISNUMBER(AT586)),L586+M586-N586-AT586,IF(AND(ISNUMBER(O586),ISNUMBER(N586)),O586-N586,"")))</f>
        <v/>
      </c>
      <c r="AV586" s="8">
        <f>IF(E586="금융","금융업 - 정의되지 않음",IF(AND(ISNUMBER(L586),ISNUMBER(M586),ISNUMBER(N586),ISNUMBER(AT586)),"순이익+감가상각-설비투자-운전자본증감",IF(AND(ISNUMBER(O586),ISNUMBER(N586)),"영업현금흐름-설비투자","산출불가")))</f>
        <v/>
      </c>
      <c r="AW586" s="19">
        <f>IF(AND(ISNUMBER(AU586),ISNUMBER(G586),G586&lt;&gt;0),AU586/G586,"")</f>
        <v/>
      </c>
      <c r="AX586" s="19">
        <f>IF(AND(ISNUMBER(AC586),ISNUMBER(G586),G586&lt;&gt;0),AC586/G586,"")</f>
        <v/>
      </c>
    </row>
    <row r="587">
      <c r="A587" s="8" t="inlineStr">
        <is>
          <t>IBM</t>
        </is>
      </c>
      <c r="B587" s="8" t="inlineStr">
        <is>
          <t>INTERNATIONAL BUSINESS MACHINES CORP</t>
        </is>
      </c>
      <c r="C587" s="8" t="n">
        <v>2022</v>
      </c>
      <c r="D587" s="8" t="inlineStr">
        <is>
          <t>2022-12-31</t>
        </is>
      </c>
      <c r="E587" s="8" t="inlineStr">
        <is>
          <t>일반</t>
        </is>
      </c>
      <c r="F587" s="8" t="inlineStr">
        <is>
          <t>0000051143-25-000015</t>
        </is>
      </c>
      <c r="G587" s="15" t="n">
        <v>60.53</v>
      </c>
      <c r="H587" s="15" t="n">
        <v>1.156</v>
      </c>
      <c r="I587" s="15" t="n">
        <v>1.216</v>
      </c>
      <c r="J587" s="15" t="n">
        <v>-0.626</v>
      </c>
      <c r="K587" s="15" t="n"/>
      <c r="L587" s="15" t="n">
        <v>1.639</v>
      </c>
      <c r="M587" s="15" t="n">
        <v>2.407</v>
      </c>
      <c r="N587" s="15" t="n">
        <v>1.346</v>
      </c>
      <c r="O587" s="15" t="n">
        <v>10.435</v>
      </c>
      <c r="P587" s="15" t="n">
        <v>21.944</v>
      </c>
      <c r="Q587" s="15" t="n">
        <v>18.901</v>
      </c>
      <c r="R587" s="15" t="n">
        <v>7.886</v>
      </c>
      <c r="S587" s="15" t="n">
        <v>6.65</v>
      </c>
      <c r="T587" s="15" t="n">
        <v>4.76</v>
      </c>
      <c r="U587" s="15" t="n">
        <v>6.787</v>
      </c>
      <c r="V587" s="15" t="n">
        <v>46.189</v>
      </c>
      <c r="W587" s="15" t="n">
        <v>29.118</v>
      </c>
      <c r="X587" s="15" t="n">
        <v>29.539</v>
      </c>
      <c r="Y587" s="15" t="n">
        <v>31.505</v>
      </c>
      <c r="Z587" s="15" t="n">
        <v>33.619</v>
      </c>
      <c r="AA587" s="15" t="n">
        <v>63.955</v>
      </c>
      <c r="AB587" s="16" t="n">
        <v>906.091977</v>
      </c>
      <c r="AC587" s="17">
        <f>IF(AND(ISNUMBER(H587),ISNUMBER(I587)),H587+I587,IF(ISNUMBER(K587),K587,IF(ISNUMBER(H587),H587,"")))</f>
        <v/>
      </c>
      <c r="AD587" s="18">
        <f>IF(OR(NOT(ISNUMBER(J587)),NOT(ISNUMBER(H587)),H587&lt;=0),기준표!$B$8,MIN(MAX(J587/H587,기준표!$B$6),기준표!$B$7))</f>
        <v/>
      </c>
      <c r="AE587" s="17">
        <f>IF(ISNUMBER(AC587),AC587*(1-AD587),"")</f>
        <v/>
      </c>
      <c r="AF587" s="17">
        <f>IF(AND(NOT(ISNUMBER(T587)),NOT(ISNUMBER(V587))),"",IF(ISNUMBER(T587),T587,0)+IF(ISNUMBER(V587),V587,0))</f>
        <v/>
      </c>
      <c r="AG587" s="17">
        <f>IF(E587="금융","",IF(AND(ISNUMBER(P587),ISNUMBER(AF587),ISNUMBER(R587)),P587+AF587-R587,""))</f>
        <v/>
      </c>
      <c r="AH587" s="17">
        <f>IF(E587="금융","",IF(NOT(ISNUMBER(AG587)),"",IF(ISNUMBER(AA587),(AG587+AA587)/2,AG587)))</f>
        <v/>
      </c>
      <c r="AI587" s="19">
        <f>IF(AND(ISNUMBER(AE587),ISNUMBER(AH587),AH587&gt;0),AE587/AH587,"")</f>
        <v/>
      </c>
      <c r="AJ587" s="17">
        <f>IF(E587="금융","",IF(AND(ISNUMBER(P587),ISNUMBER(AF587)),P587+AF587,""))</f>
        <v/>
      </c>
      <c r="AK587" s="19">
        <f>IF(OR(NOT(ISNUMBER(AE587)),NOT(ISNUMBER(AJ587)),AJ587&lt;=0),"",IF(AND(ISNUMBER(G587),AJ587&lt;0.1*G587),"",AE587/AJ587))</f>
        <v/>
      </c>
      <c r="AL587" s="17">
        <f>IF(NOT(ISNUMBER(P587)),"",IF(ISNUMBER(Q587),(P587+Q587)/2,P587))</f>
        <v/>
      </c>
      <c r="AM587" s="19">
        <f>IF(AND(ISNUMBER(L587),ISNUMBER(AL587),AL587&gt;0),L587/AL587,"")</f>
        <v/>
      </c>
      <c r="AN587" s="19">
        <f>IF(AND(ISNUMBER(AM587),ISNUMBER({ROIC})),AM587-{ROIC},"")</f>
        <v/>
      </c>
      <c r="AO587" s="17">
        <f>IF(AND(ISNUMBER(AC587),ISNUMBER(M587)),AC587+M587,"")</f>
        <v/>
      </c>
      <c r="AP587" s="20">
        <f>IF(AND(ISNUMBER(AF587),ISNUMBER(R587),ISNUMBER(AO587),AO587&gt;0),(AF587-R587)/AO587,"")</f>
        <v/>
      </c>
      <c r="AQ587" s="20">
        <f>IF(AND(ISNUMBER(AC587),ISNUMBER(I587),I587&lt;&gt;0,AC587&gt;0),AC587/I587,"")</f>
        <v/>
      </c>
      <c r="AR587" s="17">
        <f>IF(AND(ISNUMBER(W587),ISNUMBER(Y587)),W587-IF(ISNUMBER(R587),R587,0)-(Y587-IF(ISNUMBER(T587),T587,0)),"")</f>
        <v/>
      </c>
      <c r="AS587" s="17">
        <f>IF(AND(ISNUMBER(X587),ISNUMBER(Z587)),X587-IF(ISNUMBER(S587),S587,0)-(Z587-IF(ISNUMBER(U587),U587,0)),"")</f>
        <v/>
      </c>
      <c r="AT587" s="17">
        <f>IF(AND(ISNUMBER(AR587),ISNUMBER(AS587)),AR587-AS587,"")</f>
        <v/>
      </c>
      <c r="AU587" s="17">
        <f>IF(E587="금융","",IF(AND(ISNUMBER(L587),ISNUMBER(M587),ISNUMBER(N587),ISNUMBER(AT587)),L587+M587-N587-AT587,IF(AND(ISNUMBER(O587),ISNUMBER(N587)),O587-N587,"")))</f>
        <v/>
      </c>
      <c r="AV587" s="8">
        <f>IF(E587="금융","금융업 - 정의되지 않음",IF(AND(ISNUMBER(L587),ISNUMBER(M587),ISNUMBER(N587),ISNUMBER(AT587)),"순이익+감가상각-설비투자-운전자본증감",IF(AND(ISNUMBER(O587),ISNUMBER(N587)),"영업현금흐름-설비투자","산출불가")))</f>
        <v/>
      </c>
      <c r="AW587" s="19">
        <f>IF(AND(ISNUMBER(AU587),ISNUMBER(G587),G587&lt;&gt;0),AU587/G587,"")</f>
        <v/>
      </c>
      <c r="AX587" s="19">
        <f>IF(AND(ISNUMBER(AC587),ISNUMBER(G587),G587&lt;&gt;0),AC587/G587,"")</f>
        <v/>
      </c>
    </row>
    <row r="588">
      <c r="A588" s="8" t="inlineStr">
        <is>
          <t>IBM</t>
        </is>
      </c>
      <c r="B588" s="8" t="inlineStr">
        <is>
          <t>INTERNATIONAL BUSINESS MACHINES CORP</t>
        </is>
      </c>
      <c r="C588" s="8" t="n">
        <v>2023</v>
      </c>
      <c r="D588" s="8" t="inlineStr">
        <is>
          <t>2023-12-31</t>
        </is>
      </c>
      <c r="E588" s="8" t="inlineStr">
        <is>
          <t>일반</t>
        </is>
      </c>
      <c r="F588" s="8" t="inlineStr">
        <is>
          <t>0000051143-26-000010</t>
        </is>
      </c>
      <c r="G588" s="15" t="n">
        <v>61.86</v>
      </c>
      <c r="H588" s="15" t="n">
        <v>8.69</v>
      </c>
      <c r="I588" s="15" t="n">
        <v>1.607</v>
      </c>
      <c r="J588" s="15" t="n">
        <v>1.176</v>
      </c>
      <c r="K588" s="15" t="n"/>
      <c r="L588" s="15" t="n">
        <v>7.502</v>
      </c>
      <c r="M588" s="15" t="n">
        <v>2.109</v>
      </c>
      <c r="N588" s="15" t="n">
        <v>1.245</v>
      </c>
      <c r="O588" s="15" t="n">
        <v>13.931</v>
      </c>
      <c r="P588" s="15" t="n">
        <v>22.533</v>
      </c>
      <c r="Q588" s="15" t="n">
        <v>21.944</v>
      </c>
      <c r="R588" s="15" t="n">
        <v>13.068</v>
      </c>
      <c r="S588" s="15" t="n">
        <v>7.886</v>
      </c>
      <c r="T588" s="15" t="n">
        <v>6.426</v>
      </c>
      <c r="U588" s="15" t="n">
        <v>4.76</v>
      </c>
      <c r="V588" s="15" t="n">
        <v>50.121</v>
      </c>
      <c r="W588" s="15" t="n">
        <v>32.908</v>
      </c>
      <c r="X588" s="15" t="n">
        <v>29.118</v>
      </c>
      <c r="Y588" s="15" t="n">
        <v>34.122</v>
      </c>
      <c r="Z588" s="15" t="n">
        <v>31.505</v>
      </c>
      <c r="AA588" s="15" t="n">
        <v>65.00700000000001</v>
      </c>
      <c r="AB588" s="16" t="n">
        <v>915.013646</v>
      </c>
      <c r="AC588" s="17">
        <f>IF(AND(ISNUMBER(H588),ISNUMBER(I588)),H588+I588,IF(ISNUMBER(K588),K588,IF(ISNUMBER(H588),H588,"")))</f>
        <v/>
      </c>
      <c r="AD588" s="18">
        <f>IF(OR(NOT(ISNUMBER(J588)),NOT(ISNUMBER(H588)),H588&lt;=0),기준표!$B$8,MIN(MAX(J588/H588,기준표!$B$6),기준표!$B$7))</f>
        <v/>
      </c>
      <c r="AE588" s="17">
        <f>IF(ISNUMBER(AC588),AC588*(1-AD588),"")</f>
        <v/>
      </c>
      <c r="AF588" s="17">
        <f>IF(AND(NOT(ISNUMBER(T588)),NOT(ISNUMBER(V588))),"",IF(ISNUMBER(T588),T588,0)+IF(ISNUMBER(V588),V588,0))</f>
        <v/>
      </c>
      <c r="AG588" s="17">
        <f>IF(E588="금융","",IF(AND(ISNUMBER(P588),ISNUMBER(AF588),ISNUMBER(R588)),P588+AF588-R588,""))</f>
        <v/>
      </c>
      <c r="AH588" s="17">
        <f>IF(E588="금융","",IF(NOT(ISNUMBER(AG588)),"",IF(ISNUMBER(AA588),(AG588+AA588)/2,AG588)))</f>
        <v/>
      </c>
      <c r="AI588" s="19">
        <f>IF(AND(ISNUMBER(AE588),ISNUMBER(AH588),AH588&gt;0),AE588/AH588,"")</f>
        <v/>
      </c>
      <c r="AJ588" s="17">
        <f>IF(E588="금융","",IF(AND(ISNUMBER(P588),ISNUMBER(AF588)),P588+AF588,""))</f>
        <v/>
      </c>
      <c r="AK588" s="19">
        <f>IF(OR(NOT(ISNUMBER(AE588)),NOT(ISNUMBER(AJ588)),AJ588&lt;=0),"",IF(AND(ISNUMBER(G588),AJ588&lt;0.1*G588),"",AE588/AJ588))</f>
        <v/>
      </c>
      <c r="AL588" s="17">
        <f>IF(NOT(ISNUMBER(P588)),"",IF(ISNUMBER(Q588),(P588+Q588)/2,P588))</f>
        <v/>
      </c>
      <c r="AM588" s="19">
        <f>IF(AND(ISNUMBER(L588),ISNUMBER(AL588),AL588&gt;0),L588/AL588,"")</f>
        <v/>
      </c>
      <c r="AN588" s="19">
        <f>IF(AND(ISNUMBER(AM588),ISNUMBER({ROIC})),AM588-{ROIC},"")</f>
        <v/>
      </c>
      <c r="AO588" s="17">
        <f>IF(AND(ISNUMBER(AC588),ISNUMBER(M588)),AC588+M588,"")</f>
        <v/>
      </c>
      <c r="AP588" s="20">
        <f>IF(AND(ISNUMBER(AF588),ISNUMBER(R588),ISNUMBER(AO588),AO588&gt;0),(AF588-R588)/AO588,"")</f>
        <v/>
      </c>
      <c r="AQ588" s="20">
        <f>IF(AND(ISNUMBER(AC588),ISNUMBER(I588),I588&lt;&gt;0,AC588&gt;0),AC588/I588,"")</f>
        <v/>
      </c>
      <c r="AR588" s="17">
        <f>IF(AND(ISNUMBER(W588),ISNUMBER(Y588)),W588-IF(ISNUMBER(R588),R588,0)-(Y588-IF(ISNUMBER(T588),T588,0)),"")</f>
        <v/>
      </c>
      <c r="AS588" s="17">
        <f>IF(AND(ISNUMBER(X588),ISNUMBER(Z588)),X588-IF(ISNUMBER(S588),S588,0)-(Z588-IF(ISNUMBER(U588),U588,0)),"")</f>
        <v/>
      </c>
      <c r="AT588" s="17">
        <f>IF(AND(ISNUMBER(AR588),ISNUMBER(AS588)),AR588-AS588,"")</f>
        <v/>
      </c>
      <c r="AU588" s="17">
        <f>IF(E588="금융","",IF(AND(ISNUMBER(L588),ISNUMBER(M588),ISNUMBER(N588),ISNUMBER(AT588)),L588+M588-N588-AT588,IF(AND(ISNUMBER(O588),ISNUMBER(N588)),O588-N588,"")))</f>
        <v/>
      </c>
      <c r="AV588" s="8">
        <f>IF(E588="금융","금융업 - 정의되지 않음",IF(AND(ISNUMBER(L588),ISNUMBER(M588),ISNUMBER(N588),ISNUMBER(AT588)),"순이익+감가상각-설비투자-운전자본증감",IF(AND(ISNUMBER(O588),ISNUMBER(N588)),"영업현금흐름-설비투자","산출불가")))</f>
        <v/>
      </c>
      <c r="AW588" s="19">
        <f>IF(AND(ISNUMBER(AU588),ISNUMBER(G588),G588&lt;&gt;0),AU588/G588,"")</f>
        <v/>
      </c>
      <c r="AX588" s="19">
        <f>IF(AND(ISNUMBER(AC588),ISNUMBER(G588),G588&lt;&gt;0),AC588/G588,"")</f>
        <v/>
      </c>
    </row>
    <row r="589">
      <c r="A589" s="8" t="inlineStr">
        <is>
          <t>IBM</t>
        </is>
      </c>
      <c r="B589" s="8" t="inlineStr">
        <is>
          <t>INTERNATIONAL BUSINESS MACHINES CORP</t>
        </is>
      </c>
      <c r="C589" s="8" t="n">
        <v>2024</v>
      </c>
      <c r="D589" s="8" t="inlineStr">
        <is>
          <t>2024-12-31</t>
        </is>
      </c>
      <c r="E589" s="8" t="inlineStr">
        <is>
          <t>일반</t>
        </is>
      </c>
      <c r="F589" s="8" t="inlineStr">
        <is>
          <t>0000051143-26-000010</t>
        </is>
      </c>
      <c r="G589" s="15" t="n">
        <v>62.753</v>
      </c>
      <c r="H589" s="15" t="n">
        <v>5.797</v>
      </c>
      <c r="I589" s="15" t="n">
        <v>1.712</v>
      </c>
      <c r="J589" s="15" t="n">
        <v>-0.218</v>
      </c>
      <c r="K589" s="15" t="n"/>
      <c r="L589" s="15" t="n">
        <v>6.023</v>
      </c>
      <c r="M589" s="15" t="n">
        <v>2.168</v>
      </c>
      <c r="N589" s="15" t="n">
        <v>1.048</v>
      </c>
      <c r="O589" s="15" t="n">
        <v>13.445</v>
      </c>
      <c r="P589" s="15" t="n">
        <v>27.307</v>
      </c>
      <c r="Q589" s="15" t="n">
        <v>22.533</v>
      </c>
      <c r="R589" s="15" t="n">
        <v>13.947</v>
      </c>
      <c r="S589" s="15" t="n">
        <v>13.068</v>
      </c>
      <c r="T589" s="15" t="n">
        <v>5.089</v>
      </c>
      <c r="U589" s="15" t="n">
        <v>6.426</v>
      </c>
      <c r="V589" s="15" t="n">
        <v>49.884</v>
      </c>
      <c r="W589" s="15" t="n">
        <v>34.482</v>
      </c>
      <c r="X589" s="15" t="n">
        <v>32.908</v>
      </c>
      <c r="Y589" s="15" t="n">
        <v>33.142</v>
      </c>
      <c r="Z589" s="15" t="n">
        <v>34.122</v>
      </c>
      <c r="AA589" s="15" t="n">
        <v>66.012</v>
      </c>
      <c r="AB589" s="16" t="n">
        <v>926.29007</v>
      </c>
      <c r="AC589" s="17">
        <f>IF(AND(ISNUMBER(H589),ISNUMBER(I589)),H589+I589,IF(ISNUMBER(K589),K589,IF(ISNUMBER(H589),H589,"")))</f>
        <v/>
      </c>
      <c r="AD589" s="18">
        <f>IF(OR(NOT(ISNUMBER(J589)),NOT(ISNUMBER(H589)),H589&lt;=0),기준표!$B$8,MIN(MAX(J589/H589,기준표!$B$6),기준표!$B$7))</f>
        <v/>
      </c>
      <c r="AE589" s="17">
        <f>IF(ISNUMBER(AC589),AC589*(1-AD589),"")</f>
        <v/>
      </c>
      <c r="AF589" s="17">
        <f>IF(AND(NOT(ISNUMBER(T589)),NOT(ISNUMBER(V589))),"",IF(ISNUMBER(T589),T589,0)+IF(ISNUMBER(V589),V589,0))</f>
        <v/>
      </c>
      <c r="AG589" s="17">
        <f>IF(E589="금융","",IF(AND(ISNUMBER(P589),ISNUMBER(AF589),ISNUMBER(R589)),P589+AF589-R589,""))</f>
        <v/>
      </c>
      <c r="AH589" s="17">
        <f>IF(E589="금융","",IF(NOT(ISNUMBER(AG589)),"",IF(ISNUMBER(AA589),(AG589+AA589)/2,AG589)))</f>
        <v/>
      </c>
      <c r="AI589" s="19">
        <f>IF(AND(ISNUMBER(AE589),ISNUMBER(AH589),AH589&gt;0),AE589/AH589,"")</f>
        <v/>
      </c>
      <c r="AJ589" s="17">
        <f>IF(E589="금융","",IF(AND(ISNUMBER(P589),ISNUMBER(AF589)),P589+AF589,""))</f>
        <v/>
      </c>
      <c r="AK589" s="19">
        <f>IF(OR(NOT(ISNUMBER(AE589)),NOT(ISNUMBER(AJ589)),AJ589&lt;=0),"",IF(AND(ISNUMBER(G589),AJ589&lt;0.1*G589),"",AE589/AJ589))</f>
        <v/>
      </c>
      <c r="AL589" s="17">
        <f>IF(NOT(ISNUMBER(P589)),"",IF(ISNUMBER(Q589),(P589+Q589)/2,P589))</f>
        <v/>
      </c>
      <c r="AM589" s="19">
        <f>IF(AND(ISNUMBER(L589),ISNUMBER(AL589),AL589&gt;0),L589/AL589,"")</f>
        <v/>
      </c>
      <c r="AN589" s="19">
        <f>IF(AND(ISNUMBER(AM589),ISNUMBER({ROIC})),AM589-{ROIC},"")</f>
        <v/>
      </c>
      <c r="AO589" s="17">
        <f>IF(AND(ISNUMBER(AC589),ISNUMBER(M589)),AC589+M589,"")</f>
        <v/>
      </c>
      <c r="AP589" s="20">
        <f>IF(AND(ISNUMBER(AF589),ISNUMBER(R589),ISNUMBER(AO589),AO589&gt;0),(AF589-R589)/AO589,"")</f>
        <v/>
      </c>
      <c r="AQ589" s="20">
        <f>IF(AND(ISNUMBER(AC589),ISNUMBER(I589),I589&lt;&gt;0,AC589&gt;0),AC589/I589,"")</f>
        <v/>
      </c>
      <c r="AR589" s="17">
        <f>IF(AND(ISNUMBER(W589),ISNUMBER(Y589)),W589-IF(ISNUMBER(R589),R589,0)-(Y589-IF(ISNUMBER(T589),T589,0)),"")</f>
        <v/>
      </c>
      <c r="AS589" s="17">
        <f>IF(AND(ISNUMBER(X589),ISNUMBER(Z589)),X589-IF(ISNUMBER(S589),S589,0)-(Z589-IF(ISNUMBER(U589),U589,0)),"")</f>
        <v/>
      </c>
      <c r="AT589" s="17">
        <f>IF(AND(ISNUMBER(AR589),ISNUMBER(AS589)),AR589-AS589,"")</f>
        <v/>
      </c>
      <c r="AU589" s="17">
        <f>IF(E589="금융","",IF(AND(ISNUMBER(L589),ISNUMBER(M589),ISNUMBER(N589),ISNUMBER(AT589)),L589+M589-N589-AT589,IF(AND(ISNUMBER(O589),ISNUMBER(N589)),O589-N589,"")))</f>
        <v/>
      </c>
      <c r="AV589" s="8">
        <f>IF(E589="금융","금융업 - 정의되지 않음",IF(AND(ISNUMBER(L589),ISNUMBER(M589),ISNUMBER(N589),ISNUMBER(AT589)),"순이익+감가상각-설비투자-운전자본증감",IF(AND(ISNUMBER(O589),ISNUMBER(N589)),"영업현금흐름-설비투자","산출불가")))</f>
        <v/>
      </c>
      <c r="AW589" s="19">
        <f>IF(AND(ISNUMBER(AU589),ISNUMBER(G589),G589&lt;&gt;0),AU589/G589,"")</f>
        <v/>
      </c>
      <c r="AX589" s="19">
        <f>IF(AND(ISNUMBER(AC589),ISNUMBER(G589),G589&lt;&gt;0),AC589/G589,"")</f>
        <v/>
      </c>
    </row>
    <row r="590">
      <c r="A590" s="8" t="inlineStr">
        <is>
          <t>IBM</t>
        </is>
      </c>
      <c r="B590" s="8" t="inlineStr">
        <is>
          <t>INTERNATIONAL BUSINESS MACHINES CORP</t>
        </is>
      </c>
      <c r="C590" s="8" t="n">
        <v>2025</v>
      </c>
      <c r="D590" s="8" t="inlineStr">
        <is>
          <t>2025-12-31</t>
        </is>
      </c>
      <c r="E590" s="8" t="inlineStr">
        <is>
          <t>일반</t>
        </is>
      </c>
      <c r="F590" s="8" t="inlineStr">
        <is>
          <t>0000051143-26-000010</t>
        </is>
      </c>
      <c r="G590" s="15" t="n">
        <v>67.535</v>
      </c>
      <c r="H590" s="15" t="n">
        <v>10.328</v>
      </c>
      <c r="I590" s="15" t="n">
        <v>1.935</v>
      </c>
      <c r="J590" s="15" t="n">
        <v>-0.242</v>
      </c>
      <c r="K590" s="15" t="n"/>
      <c r="L590" s="15" t="n">
        <v>10.593</v>
      </c>
      <c r="M590" s="15" t="n">
        <v>2.284</v>
      </c>
      <c r="N590" s="15" t="n">
        <v>1.091</v>
      </c>
      <c r="O590" s="15" t="n">
        <v>13.193</v>
      </c>
      <c r="P590" s="15" t="n">
        <v>32.648</v>
      </c>
      <c r="Q590" s="15" t="n">
        <v>27.307</v>
      </c>
      <c r="R590" s="15" t="n">
        <v>13.587</v>
      </c>
      <c r="S590" s="15" t="n">
        <v>13.947</v>
      </c>
      <c r="T590" s="15" t="n">
        <v>6.424</v>
      </c>
      <c r="U590" s="15" t="n">
        <v>5.089</v>
      </c>
      <c r="V590" s="15" t="n">
        <v>54.836</v>
      </c>
      <c r="W590" s="15" t="n">
        <v>36.944</v>
      </c>
      <c r="X590" s="15" t="n">
        <v>34.482</v>
      </c>
      <c r="Y590" s="15" t="n">
        <v>38.658</v>
      </c>
      <c r="Z590" s="15" t="n">
        <v>33.142</v>
      </c>
      <c r="AA590" s="15" t="n">
        <v>68.333</v>
      </c>
      <c r="AB590" s="16" t="n">
        <v>936.952129</v>
      </c>
      <c r="AC590" s="17">
        <f>IF(AND(ISNUMBER(H590),ISNUMBER(I590)),H590+I590,IF(ISNUMBER(K590),K590,IF(ISNUMBER(H590),H590,"")))</f>
        <v/>
      </c>
      <c r="AD590" s="18">
        <f>IF(OR(NOT(ISNUMBER(J590)),NOT(ISNUMBER(H590)),H590&lt;=0),기준표!$B$8,MIN(MAX(J590/H590,기준표!$B$6),기준표!$B$7))</f>
        <v/>
      </c>
      <c r="AE590" s="17">
        <f>IF(ISNUMBER(AC590),AC590*(1-AD590),"")</f>
        <v/>
      </c>
      <c r="AF590" s="17">
        <f>IF(AND(NOT(ISNUMBER(T590)),NOT(ISNUMBER(V590))),"",IF(ISNUMBER(T590),T590,0)+IF(ISNUMBER(V590),V590,0))</f>
        <v/>
      </c>
      <c r="AG590" s="17">
        <f>IF(E590="금융","",IF(AND(ISNUMBER(P590),ISNUMBER(AF590),ISNUMBER(R590)),P590+AF590-R590,""))</f>
        <v/>
      </c>
      <c r="AH590" s="17">
        <f>IF(E590="금융","",IF(NOT(ISNUMBER(AG590)),"",IF(ISNUMBER(AA590),(AG590+AA590)/2,AG590)))</f>
        <v/>
      </c>
      <c r="AI590" s="19">
        <f>IF(AND(ISNUMBER(AE590),ISNUMBER(AH590),AH590&gt;0),AE590/AH590,"")</f>
        <v/>
      </c>
      <c r="AJ590" s="17">
        <f>IF(E590="금융","",IF(AND(ISNUMBER(P590),ISNUMBER(AF590)),P590+AF590,""))</f>
        <v/>
      </c>
      <c r="AK590" s="19">
        <f>IF(OR(NOT(ISNUMBER(AE590)),NOT(ISNUMBER(AJ590)),AJ590&lt;=0),"",IF(AND(ISNUMBER(G590),AJ590&lt;0.1*G590),"",AE590/AJ590))</f>
        <v/>
      </c>
      <c r="AL590" s="17">
        <f>IF(NOT(ISNUMBER(P590)),"",IF(ISNUMBER(Q590),(P590+Q590)/2,P590))</f>
        <v/>
      </c>
      <c r="AM590" s="19">
        <f>IF(AND(ISNUMBER(L590),ISNUMBER(AL590),AL590&gt;0),L590/AL590,"")</f>
        <v/>
      </c>
      <c r="AN590" s="19">
        <f>IF(AND(ISNUMBER(AM590),ISNUMBER({ROIC})),AM590-{ROIC},"")</f>
        <v/>
      </c>
      <c r="AO590" s="17">
        <f>IF(AND(ISNUMBER(AC590),ISNUMBER(M590)),AC590+M590,"")</f>
        <v/>
      </c>
      <c r="AP590" s="20">
        <f>IF(AND(ISNUMBER(AF590),ISNUMBER(R590),ISNUMBER(AO590),AO590&gt;0),(AF590-R590)/AO590,"")</f>
        <v/>
      </c>
      <c r="AQ590" s="20">
        <f>IF(AND(ISNUMBER(AC590),ISNUMBER(I590),I590&lt;&gt;0,AC590&gt;0),AC590/I590,"")</f>
        <v/>
      </c>
      <c r="AR590" s="17">
        <f>IF(AND(ISNUMBER(W590),ISNUMBER(Y590)),W590-IF(ISNUMBER(R590),R590,0)-(Y590-IF(ISNUMBER(T590),T590,0)),"")</f>
        <v/>
      </c>
      <c r="AS590" s="17">
        <f>IF(AND(ISNUMBER(X590),ISNUMBER(Z590)),X590-IF(ISNUMBER(S590),S590,0)-(Z590-IF(ISNUMBER(U590),U590,0)),"")</f>
        <v/>
      </c>
      <c r="AT590" s="17">
        <f>IF(AND(ISNUMBER(AR590),ISNUMBER(AS590)),AR590-AS590,"")</f>
        <v/>
      </c>
      <c r="AU590" s="17">
        <f>IF(E590="금융","",IF(AND(ISNUMBER(L590),ISNUMBER(M590),ISNUMBER(N590),ISNUMBER(AT590)),L590+M590-N590-AT590,IF(AND(ISNUMBER(O590),ISNUMBER(N590)),O590-N590,"")))</f>
        <v/>
      </c>
      <c r="AV590" s="8">
        <f>IF(E590="금융","금융업 - 정의되지 않음",IF(AND(ISNUMBER(L590),ISNUMBER(M590),ISNUMBER(N590),ISNUMBER(AT590)),"순이익+감가상각-설비투자-운전자본증감",IF(AND(ISNUMBER(O590),ISNUMBER(N590)),"영업현금흐름-설비투자","산출불가")))</f>
        <v/>
      </c>
      <c r="AW590" s="19">
        <f>IF(AND(ISNUMBER(AU590),ISNUMBER(G590),G590&lt;&gt;0),AU590/G590,"")</f>
        <v/>
      </c>
      <c r="AX590" s="19">
        <f>IF(AND(ISNUMBER(AC590),ISNUMBER(G590),G590&lt;&gt;0),AC590/G590,"")</f>
        <v/>
      </c>
    </row>
  </sheetData>
  <autoFilter ref="A4:AX5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4" customWidth="1" min="5" max="5"/>
    <col width="14" customWidth="1" min="6" max="6"/>
    <col width="12" customWidth="1" min="7" max="7"/>
    <col width="11" customWidth="1" min="8" max="8"/>
    <col width="11" customWidth="1" min="9" max="9"/>
    <col width="12" customWidth="1" min="10" max="10"/>
    <col width="11" customWidth="1" min="11" max="11"/>
    <col width="9" customWidth="1" min="12" max="12"/>
    <col width="12" customWidth="1" min="13" max="13"/>
    <col width="13" customWidth="1" min="14" max="14"/>
    <col width="12" customWidth="1" min="15" max="15"/>
    <col width="38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품질 순위 — 사업의 질</t>
        </is>
      </c>
    </row>
    <row r="2">
      <c r="A2" s="2" t="inlineStr">
        <is>
          <t>총점은 오른쪽 7개 배점의 합계이고, 각 배점은 왼쪽 지표와 '기준표'의 문턱값으로 계산한 수식입니다. 배점 셀을 클릭하면 어떤 조건으로 몇 점이 됐는지 그대로 보입니다. 가격은 여기에 들어가지 않습니다 — 'DCF계산'과 '밸류에이션'에서 따로 다룹니다.</t>
        </is>
      </c>
    </row>
    <row r="4" ht="34" customHeight="1">
      <c r="A4" s="6" t="inlineStr">
        <is>
          <t>순위</t>
        </is>
      </c>
      <c r="B4" s="6" t="inlineStr">
        <is>
          <t>티커</t>
        </is>
      </c>
      <c r="C4" s="6" t="inlineStr">
        <is>
          <t>기업</t>
        </is>
      </c>
      <c r="D4" s="6" t="inlineStr">
        <is>
          <t>총점</t>
        </is>
      </c>
      <c r="E4" s="6" t="inlineStr">
        <is>
          <t>ROIC 중앙값(총)</t>
        </is>
      </c>
      <c r="F4" s="6" t="inlineStr">
        <is>
          <t>ROIC 중앙값(순)</t>
        </is>
      </c>
      <c r="G4" s="6" t="inlineStr">
        <is>
          <t>두자릿수 년수</t>
        </is>
      </c>
      <c r="H4" s="6" t="inlineStr">
        <is>
          <t>관측 년수</t>
        </is>
      </c>
      <c r="I4" s="6" t="inlineStr">
        <is>
          <t>지속성 비율</t>
        </is>
      </c>
      <c r="J4" s="6" t="inlineStr">
        <is>
          <t>신규 ROIC</t>
        </is>
      </c>
      <c r="K4" s="6" t="inlineStr">
        <is>
          <t>ROIC−WACC</t>
        </is>
      </c>
      <c r="L4" s="6" t="inlineStr">
        <is>
          <t>WACC</t>
        </is>
      </c>
      <c r="M4" s="6" t="inlineStr">
        <is>
          <t>주주이익률</t>
        </is>
      </c>
      <c r="N4" s="6" t="inlineStr">
        <is>
          <t>순부채/EBITDA</t>
        </is>
      </c>
      <c r="O4" s="6" t="inlineStr">
        <is>
          <t>이자보상배율</t>
        </is>
      </c>
      <c r="P4" s="6" t="inlineStr">
        <is>
          <t>해자 판정</t>
        </is>
      </c>
      <c r="Q4" s="6" t="inlineStr">
        <is>
          <t>배점:ROIC</t>
        </is>
      </c>
      <c r="R4" s="6" t="inlineStr">
        <is>
          <t>배점:지속성</t>
        </is>
      </c>
      <c r="S4" s="6" t="inlineStr">
        <is>
          <t>배점:신규ROIC</t>
        </is>
      </c>
      <c r="T4" s="6" t="inlineStr">
        <is>
          <t>배점:스프레드</t>
        </is>
      </c>
      <c r="U4" s="6" t="inlineStr">
        <is>
          <t>배점:주주이익</t>
        </is>
      </c>
      <c r="V4" s="6" t="inlineStr">
        <is>
          <t>배점:순부채</t>
        </is>
      </c>
      <c r="W4" s="6" t="inlineStr">
        <is>
          <t>배점:이자보상</t>
        </is>
      </c>
    </row>
    <row r="5">
      <c r="A5" s="21" t="n">
        <v>1</v>
      </c>
      <c r="B5" s="8" t="inlineStr">
        <is>
          <t>MA</t>
        </is>
      </c>
      <c r="C5" s="8" t="inlineStr">
        <is>
          <t>Mastercard Inc</t>
        </is>
      </c>
      <c r="D5" s="22">
        <f>SUM(Q5:W5)</f>
        <v/>
      </c>
      <c r="E5" s="23" t="n">
        <v>0.492145252200696</v>
      </c>
      <c r="F5" s="23" t="n">
        <v>1.054270399944997</v>
      </c>
      <c r="G5" s="16" t="n">
        <v>12</v>
      </c>
      <c r="H5" s="16" t="n">
        <v>12</v>
      </c>
      <c r="I5" s="19">
        <f>G5/H5</f>
        <v/>
      </c>
      <c r="J5" s="23" t="n">
        <v>0.6603190338824356</v>
      </c>
      <c r="K5" s="23" t="n">
        <v>0.5261396735365974</v>
      </c>
      <c r="L5" s="23" t="n">
        <v>0.07834267566685758</v>
      </c>
      <c r="M5" s="23" t="n">
        <v>0.525925259702298</v>
      </c>
      <c r="N5" s="24" t="n">
        <v>0.4125617570806633</v>
      </c>
      <c r="O5" s="24" t="n">
        <v>26.73130193905817</v>
      </c>
      <c r="P5" s="8" t="inlineStr">
        <is>
          <t>강함 - 장기간 두 자릿수 ROIC + 안정적 마진</t>
        </is>
      </c>
      <c r="Q5" s="25">
        <f>IF(E5&gt;=기준표!$B$10,25,IF(E5&gt;=기준표!$B$11,20,IF(E5&gt;=기준표!$B$12,15,IF(E5&gt;=기준표!$B$13,10,0))))</f>
        <v/>
      </c>
      <c r="R5" s="21">
        <f>IF(N(H5)=0,0,ROUND(20*G5/H5,0))</f>
        <v/>
      </c>
      <c r="S5" s="25">
        <f>IF(NOT(ISNUMBER(J5)),0,IF(J5&gt;=기준표!$B$14,20,IF(J5&gt;=기준표!$B$15,15,IF(J5&gt;=기준표!$B$16,10,IF(J5&gt;0,5,0)))))</f>
        <v/>
      </c>
      <c r="T5" s="25">
        <f>IF(NOT(ISNUMBER(K5)),0,IF(K5&gt;=기준표!$B$17,15,IF(K5&gt;=기준표!$B$18,12,IF(K5&gt;=기준표!$B$19,8,IF(K5&gt;0,4,0)))))</f>
        <v/>
      </c>
      <c r="U5" s="25">
        <f>IF(NOT(ISNUMBER(M5)),0,IF(M5&gt;=기준표!$B$20,10,IF(M5&gt;=기준표!$B$21,7,IF(M5&gt;=기준표!$B$22,4,IF(M5&gt;0,2,0)))))</f>
        <v/>
      </c>
      <c r="V5" s="25">
        <f>IF(NOT(ISNUMBER(N5)),5,IF(N5&lt;=기준표!$B$23,5,IF(N5&lt;=기준표!$B$24,4,IF(N5&lt;=기준표!$B$25,2,0))))</f>
        <v/>
      </c>
      <c r="W5" s="25">
        <f>IF(NOT(ISNUMBER(O5)),0,IF(O5&gt;=기준표!$B$26,5,IF(O5&gt;=기준표!$B$27,3,IF(O5&gt;=기준표!$B$28,1,0))))</f>
        <v/>
      </c>
    </row>
    <row r="6">
      <c r="A6" s="21" t="n">
        <v>2</v>
      </c>
      <c r="B6" s="8" t="inlineStr">
        <is>
          <t>KLAC</t>
        </is>
      </c>
      <c r="C6" s="8" t="inlineStr">
        <is>
          <t>KLA CORP</t>
        </is>
      </c>
      <c r="D6" s="22">
        <f>SUM(Q6:W6)</f>
        <v/>
      </c>
      <c r="E6" s="23" t="n">
        <v>0.4204962875330641</v>
      </c>
      <c r="F6" s="23" t="n">
        <v>0.5237431220283274</v>
      </c>
      <c r="G6" s="16" t="n">
        <v>7</v>
      </c>
      <c r="H6" s="16" t="n">
        <v>7</v>
      </c>
      <c r="I6" s="19">
        <f>G6/H6</f>
        <v/>
      </c>
      <c r="J6" s="23" t="n">
        <v>0.7463213305065343</v>
      </c>
      <c r="K6" s="23" t="n">
        <v>0.3341011387944753</v>
      </c>
      <c r="L6" s="23" t="n">
        <v>0.1108793612348816</v>
      </c>
      <c r="M6" s="23" t="n">
        <v>0.3064869582038764</v>
      </c>
      <c r="N6" s="24" t="n">
        <v>0.6743064469905605</v>
      </c>
      <c r="O6" s="24" t="n">
        <v>20.70863802559415</v>
      </c>
      <c r="P6" s="8" t="inlineStr">
        <is>
          <t>강함 - 장기간 두 자릿수 ROIC, 마진 변동은 있음</t>
        </is>
      </c>
      <c r="Q6" s="25">
        <f>IF(E6&gt;=기준표!$B$10,25,IF(E6&gt;=기준표!$B$11,20,IF(E6&gt;=기준표!$B$12,15,IF(E6&gt;=기준표!$B$13,10,0))))</f>
        <v/>
      </c>
      <c r="R6" s="21">
        <f>IF(N(H6)=0,0,ROUND(20*G6/H6,0))</f>
        <v/>
      </c>
      <c r="S6" s="25">
        <f>IF(NOT(ISNUMBER(J6)),0,IF(J6&gt;=기준표!$B$14,20,IF(J6&gt;=기준표!$B$15,15,IF(J6&gt;=기준표!$B$16,10,IF(J6&gt;0,5,0)))))</f>
        <v/>
      </c>
      <c r="T6" s="25">
        <f>IF(NOT(ISNUMBER(K6)),0,IF(K6&gt;=기준표!$B$17,15,IF(K6&gt;=기준표!$B$18,12,IF(K6&gt;=기준표!$B$19,8,IF(K6&gt;0,4,0)))))</f>
        <v/>
      </c>
      <c r="U6" s="25">
        <f>IF(NOT(ISNUMBER(M6)),0,IF(M6&gt;=기준표!$B$20,10,IF(M6&gt;=기준표!$B$21,7,IF(M6&gt;=기준표!$B$22,4,IF(M6&gt;0,2,0)))))</f>
        <v/>
      </c>
      <c r="V6" s="25">
        <f>IF(NOT(ISNUMBER(N6)),5,IF(N6&lt;=기준표!$B$23,5,IF(N6&lt;=기준표!$B$24,4,IF(N6&lt;=기준표!$B$25,2,0))))</f>
        <v/>
      </c>
      <c r="W6" s="25">
        <f>IF(NOT(ISNUMBER(O6)),0,IF(O6&gt;=기준표!$B$26,5,IF(O6&gt;=기준표!$B$27,3,IF(O6&gt;=기준표!$B$28,1,0))))</f>
        <v/>
      </c>
    </row>
    <row r="7">
      <c r="A7" s="21" t="n">
        <v>3</v>
      </c>
      <c r="B7" s="8" t="inlineStr">
        <is>
          <t>ANET</t>
        </is>
      </c>
      <c r="C7" s="8" t="inlineStr">
        <is>
          <t>Arista Networks, Inc.</t>
        </is>
      </c>
      <c r="D7" s="22">
        <f>SUM(Q7:W7)</f>
        <v/>
      </c>
      <c r="E7" s="23" t="n">
        <v>0.256903981474969</v>
      </c>
      <c r="F7" s="23" t="n">
        <v>1.479902439813047</v>
      </c>
      <c r="G7" s="16" t="n">
        <v>12</v>
      </c>
      <c r="H7" s="16" t="n">
        <v>12</v>
      </c>
      <c r="I7" s="19">
        <f>G7/H7</f>
        <v/>
      </c>
      <c r="J7" s="23" t="n">
        <v>0.2913776022289277</v>
      </c>
      <c r="K7" s="23" t="n">
        <v>0.1668031177110374</v>
      </c>
      <c r="L7" s="23" t="n">
        <v>0.118118622011875</v>
      </c>
      <c r="M7" s="23" t="n">
        <v>0.3215465342479779</v>
      </c>
      <c r="N7" s="24" t="n">
        <v>-2.734492325705704</v>
      </c>
      <c r="O7" s="24" t="n">
        <v>107.9237319511292</v>
      </c>
      <c r="P7" s="8" t="inlineStr">
        <is>
          <t>강함 - 장기간 두 자릿수 ROIC, 마진 변동은 있음</t>
        </is>
      </c>
      <c r="Q7" s="25">
        <f>IF(E7&gt;=기준표!$B$10,25,IF(E7&gt;=기준표!$B$11,20,IF(E7&gt;=기준표!$B$12,15,IF(E7&gt;=기준표!$B$13,10,0))))</f>
        <v/>
      </c>
      <c r="R7" s="21">
        <f>IF(N(H7)=0,0,ROUND(20*G7/H7,0))</f>
        <v/>
      </c>
      <c r="S7" s="25">
        <f>IF(NOT(ISNUMBER(J7)),0,IF(J7&gt;=기준표!$B$14,20,IF(J7&gt;=기준표!$B$15,15,IF(J7&gt;=기준표!$B$16,10,IF(J7&gt;0,5,0)))))</f>
        <v/>
      </c>
      <c r="T7" s="25">
        <f>IF(NOT(ISNUMBER(K7)),0,IF(K7&gt;=기준표!$B$17,15,IF(K7&gt;=기준표!$B$18,12,IF(K7&gt;=기준표!$B$19,8,IF(K7&gt;0,4,0)))))</f>
        <v/>
      </c>
      <c r="U7" s="25">
        <f>IF(NOT(ISNUMBER(M7)),0,IF(M7&gt;=기준표!$B$20,10,IF(M7&gt;=기준표!$B$21,7,IF(M7&gt;=기준표!$B$22,4,IF(M7&gt;0,2,0)))))</f>
        <v/>
      </c>
      <c r="V7" s="25">
        <f>IF(NOT(ISNUMBER(N7)),5,IF(N7&lt;=기준표!$B$23,5,IF(N7&lt;=기준표!$B$24,4,IF(N7&lt;=기준표!$B$25,2,0))))</f>
        <v/>
      </c>
      <c r="W7" s="25">
        <f>IF(NOT(ISNUMBER(O7)),0,IF(O7&gt;=기준표!$B$26,5,IF(O7&gt;=기준표!$B$27,3,IF(O7&gt;=기준표!$B$28,1,0))))</f>
        <v/>
      </c>
    </row>
    <row r="8">
      <c r="A8" s="21" t="n">
        <v>4</v>
      </c>
      <c r="B8" s="8" t="inlineStr">
        <is>
          <t>NVDA</t>
        </is>
      </c>
      <c r="C8" s="8" t="inlineStr">
        <is>
          <t>NVIDIA CORP</t>
        </is>
      </c>
      <c r="D8" s="22">
        <f>SUM(Q8:W8)</f>
        <v/>
      </c>
      <c r="E8" s="23" t="n">
        <v>0.2696670363475838</v>
      </c>
      <c r="F8" s="23" t="n">
        <v>1.079596507136328</v>
      </c>
      <c r="G8" s="16" t="n">
        <v>12</v>
      </c>
      <c r="H8" s="16" t="n">
        <v>12</v>
      </c>
      <c r="I8" s="19">
        <f>G8/H8</f>
        <v/>
      </c>
      <c r="J8" s="23" t="n">
        <v>0.9852990949724743</v>
      </c>
      <c r="K8" s="23" t="n">
        <v>0.799748938870115</v>
      </c>
      <c r="L8" s="23" t="n">
        <v>0.1453451248783932</v>
      </c>
      <c r="M8" s="23" t="n">
        <v>0.2849446384781155</v>
      </c>
      <c r="N8" s="24" t="n">
        <v>-0.007896800338632564</v>
      </c>
      <c r="O8" s="24" t="n">
        <v>547.1389961389962</v>
      </c>
      <c r="P8" s="8" t="inlineStr">
        <is>
          <t>강함 - 장기간 두 자릿수 ROIC, 마진 변동은 있음</t>
        </is>
      </c>
      <c r="Q8" s="25">
        <f>IF(E8&gt;=기준표!$B$10,25,IF(E8&gt;=기준표!$B$11,20,IF(E8&gt;=기준표!$B$12,15,IF(E8&gt;=기준표!$B$13,10,0))))</f>
        <v/>
      </c>
      <c r="R8" s="21">
        <f>IF(N(H8)=0,0,ROUND(20*G8/H8,0))</f>
        <v/>
      </c>
      <c r="S8" s="25">
        <f>IF(NOT(ISNUMBER(J8)),0,IF(J8&gt;=기준표!$B$14,20,IF(J8&gt;=기준표!$B$15,15,IF(J8&gt;=기준표!$B$16,10,IF(J8&gt;0,5,0)))))</f>
        <v/>
      </c>
      <c r="T8" s="25">
        <f>IF(NOT(ISNUMBER(K8)),0,IF(K8&gt;=기준표!$B$17,15,IF(K8&gt;=기준표!$B$18,12,IF(K8&gt;=기준표!$B$19,8,IF(K8&gt;0,4,0)))))</f>
        <v/>
      </c>
      <c r="U8" s="25">
        <f>IF(NOT(ISNUMBER(M8)),0,IF(M8&gt;=기준표!$B$20,10,IF(M8&gt;=기준표!$B$21,7,IF(M8&gt;=기준표!$B$22,4,IF(M8&gt;0,2,0)))))</f>
        <v/>
      </c>
      <c r="V8" s="25">
        <f>IF(NOT(ISNUMBER(N8)),5,IF(N8&lt;=기준표!$B$23,5,IF(N8&lt;=기준표!$B$24,4,IF(N8&lt;=기준표!$B$25,2,0))))</f>
        <v/>
      </c>
      <c r="W8" s="25">
        <f>IF(NOT(ISNUMBER(O8)),0,IF(O8&gt;=기준표!$B$26,5,IF(O8&gt;=기준표!$B$27,3,IF(O8&gt;=기준표!$B$28,1,0))))</f>
        <v/>
      </c>
    </row>
    <row r="9">
      <c r="A9" s="21" t="n">
        <v>5</v>
      </c>
      <c r="B9" s="8" t="inlineStr">
        <is>
          <t>MSFT</t>
        </is>
      </c>
      <c r="C9" s="8" t="inlineStr">
        <is>
          <t>MICROSOFT CORP</t>
        </is>
      </c>
      <c r="D9" s="22">
        <f>SUM(Q9:W9)</f>
        <v/>
      </c>
      <c r="E9" s="23" t="n">
        <v>0.2724272090315821</v>
      </c>
      <c r="F9" s="23" t="n">
        <v>1.000684472176027</v>
      </c>
      <c r="G9" s="16" t="n">
        <v>12</v>
      </c>
      <c r="H9" s="16" t="n">
        <v>12</v>
      </c>
      <c r="I9" s="19">
        <f>G9/H9</f>
        <v/>
      </c>
      <c r="J9" s="23" t="n">
        <v>0.3758063374758936</v>
      </c>
      <c r="K9" s="23" t="n">
        <v>0.2184306112141765</v>
      </c>
      <c r="L9" s="23" t="n">
        <v>0.09493990848427288</v>
      </c>
      <c r="M9" s="23" t="n">
        <v>0.2536630252695656</v>
      </c>
      <c r="N9" s="24" t="n">
        <v>-0.1797919177509408</v>
      </c>
      <c r="O9" s="24" t="n">
        <v>55.38675843985578</v>
      </c>
      <c r="P9" s="8" t="inlineStr">
        <is>
          <t>강함 - 장기간 두 자릿수 ROIC, 마진 변동은 있음</t>
        </is>
      </c>
      <c r="Q9" s="25">
        <f>IF(E9&gt;=기준표!$B$10,25,IF(E9&gt;=기준표!$B$11,20,IF(E9&gt;=기준표!$B$12,15,IF(E9&gt;=기준표!$B$13,10,0))))</f>
        <v/>
      </c>
      <c r="R9" s="21">
        <f>IF(N(H9)=0,0,ROUND(20*G9/H9,0))</f>
        <v/>
      </c>
      <c r="S9" s="25">
        <f>IF(NOT(ISNUMBER(J9)),0,IF(J9&gt;=기준표!$B$14,20,IF(J9&gt;=기준표!$B$15,15,IF(J9&gt;=기준표!$B$16,10,IF(J9&gt;0,5,0)))))</f>
        <v/>
      </c>
      <c r="T9" s="25">
        <f>IF(NOT(ISNUMBER(K9)),0,IF(K9&gt;=기준표!$B$17,15,IF(K9&gt;=기준표!$B$18,12,IF(K9&gt;=기준표!$B$19,8,IF(K9&gt;0,4,0)))))</f>
        <v/>
      </c>
      <c r="U9" s="25">
        <f>IF(NOT(ISNUMBER(M9)),0,IF(M9&gt;=기준표!$B$20,10,IF(M9&gt;=기준표!$B$21,7,IF(M9&gt;=기준표!$B$22,4,IF(M9&gt;0,2,0)))))</f>
        <v/>
      </c>
      <c r="V9" s="25">
        <f>IF(NOT(ISNUMBER(N9)),5,IF(N9&lt;=기준표!$B$23,5,IF(N9&lt;=기준표!$B$24,4,IF(N9&lt;=기준표!$B$25,2,0))))</f>
        <v/>
      </c>
      <c r="W9" s="25">
        <f>IF(NOT(ISNUMBER(O9)),0,IF(O9&gt;=기준표!$B$26,5,IF(O9&gt;=기준표!$B$27,3,IF(O9&gt;=기준표!$B$28,1,0))))</f>
        <v/>
      </c>
    </row>
    <row r="10">
      <c r="A10" s="21" t="n">
        <v>6</v>
      </c>
      <c r="B10" s="8" t="inlineStr">
        <is>
          <t>PM</t>
        </is>
      </c>
      <c r="C10" s="8" t="inlineStr">
        <is>
          <t>Philip Morris International Inc.</t>
        </is>
      </c>
      <c r="D10" s="22">
        <f>SUM(Q10:W10)</f>
        <v/>
      </c>
      <c r="E10" s="23" t="n">
        <v>0.5142989473953934</v>
      </c>
      <c r="F10" s="23" t="n">
        <v>0.6623062258634751</v>
      </c>
      <c r="G10" s="16" t="n">
        <v>12</v>
      </c>
      <c r="H10" s="16" t="n">
        <v>12</v>
      </c>
      <c r="I10" s="19">
        <f>G10/H10</f>
        <v/>
      </c>
      <c r="J10" s="23" t="n">
        <v>0.2363598091128743</v>
      </c>
      <c r="K10" s="23" t="n">
        <v>0.3195672856442748</v>
      </c>
      <c r="L10" s="23" t="n">
        <v>0.05750136347602119</v>
      </c>
      <c r="M10" s="23" t="n">
        <v>0.2634279957181538</v>
      </c>
      <c r="N10" s="24" t="n">
        <v>2.456257594167679</v>
      </c>
      <c r="O10" s="24" t="n">
        <v>9.74606175173283</v>
      </c>
      <c r="P10" s="8" t="inlineStr">
        <is>
          <t>강함 - 장기간 두 자릿수 ROIC + 안정적 마진</t>
        </is>
      </c>
      <c r="Q10" s="25">
        <f>IF(E10&gt;=기준표!$B$10,25,IF(E10&gt;=기준표!$B$11,20,IF(E10&gt;=기준표!$B$12,15,IF(E10&gt;=기준표!$B$13,10,0))))</f>
        <v/>
      </c>
      <c r="R10" s="21">
        <f>IF(N(H10)=0,0,ROUND(20*G10/H10,0))</f>
        <v/>
      </c>
      <c r="S10" s="25">
        <f>IF(NOT(ISNUMBER(J10)),0,IF(J10&gt;=기준표!$B$14,20,IF(J10&gt;=기준표!$B$15,15,IF(J10&gt;=기준표!$B$16,10,IF(J10&gt;0,5,0)))))</f>
        <v/>
      </c>
      <c r="T10" s="25">
        <f>IF(NOT(ISNUMBER(K10)),0,IF(K10&gt;=기준표!$B$17,15,IF(K10&gt;=기준표!$B$18,12,IF(K10&gt;=기준표!$B$19,8,IF(K10&gt;0,4,0)))))</f>
        <v/>
      </c>
      <c r="U10" s="25">
        <f>IF(NOT(ISNUMBER(M10)),0,IF(M10&gt;=기준표!$B$20,10,IF(M10&gt;=기준표!$B$21,7,IF(M10&gt;=기준표!$B$22,4,IF(M10&gt;0,2,0)))))</f>
        <v/>
      </c>
      <c r="V10" s="25">
        <f>IF(NOT(ISNUMBER(N10)),5,IF(N10&lt;=기준표!$B$23,5,IF(N10&lt;=기준표!$B$24,4,IF(N10&lt;=기준표!$B$25,2,0))))</f>
        <v/>
      </c>
      <c r="W10" s="25">
        <f>IF(NOT(ISNUMBER(O10)),0,IF(O10&gt;=기준표!$B$26,5,IF(O10&gt;=기준표!$B$27,3,IF(O10&gt;=기준표!$B$28,1,0))))</f>
        <v/>
      </c>
    </row>
    <row r="11">
      <c r="A11" s="21" t="n">
        <v>7</v>
      </c>
      <c r="B11" s="8" t="inlineStr">
        <is>
          <t>V</t>
        </is>
      </c>
      <c r="C11" s="8" t="inlineStr">
        <is>
          <t>VISA INC.</t>
        </is>
      </c>
      <c r="D11" s="22">
        <f>SUM(Q11:W11)</f>
        <v/>
      </c>
      <c r="E11" s="23" t="n">
        <v>0.2746170411601601</v>
      </c>
      <c r="F11" s="23" t="n">
        <v>0.3791943112471632</v>
      </c>
      <c r="G11" s="16" t="n">
        <v>10</v>
      </c>
      <c r="H11" s="16" t="n">
        <v>10</v>
      </c>
      <c r="I11" s="19">
        <f>G11/H11</f>
        <v/>
      </c>
      <c r="J11" s="23" t="n">
        <v>0.5120400414339144</v>
      </c>
      <c r="K11" s="23" t="n">
        <v>0.2557451139330935</v>
      </c>
      <c r="L11" s="23" t="n">
        <v>0.07819732681825473</v>
      </c>
      <c r="M11" s="23" t="n">
        <v>0.522517911975435</v>
      </c>
      <c r="N11" s="24" t="n">
        <v>0.3079260085374764</v>
      </c>
      <c r="O11" s="24" t="n">
        <v>42.07640067911715</v>
      </c>
      <c r="P11" s="8" t="inlineStr">
        <is>
          <t>강함 - 장기간 두 자릿수 ROIC + 안정적 마진</t>
        </is>
      </c>
      <c r="Q11" s="25">
        <f>IF(E11&gt;=기준표!$B$10,25,IF(E11&gt;=기준표!$B$11,20,IF(E11&gt;=기준표!$B$12,15,IF(E11&gt;=기준표!$B$13,10,0))))</f>
        <v/>
      </c>
      <c r="R11" s="21">
        <f>IF(N(H11)=0,0,ROUND(20*G11/H11,0))</f>
        <v/>
      </c>
      <c r="S11" s="25">
        <f>IF(NOT(ISNUMBER(J11)),0,IF(J11&gt;=기준표!$B$14,20,IF(J11&gt;=기준표!$B$15,15,IF(J11&gt;=기준표!$B$16,10,IF(J11&gt;0,5,0)))))</f>
        <v/>
      </c>
      <c r="T11" s="25">
        <f>IF(NOT(ISNUMBER(K11)),0,IF(K11&gt;=기준표!$B$17,15,IF(K11&gt;=기준표!$B$18,12,IF(K11&gt;=기준표!$B$19,8,IF(K11&gt;0,4,0)))))</f>
        <v/>
      </c>
      <c r="U11" s="25">
        <f>IF(NOT(ISNUMBER(M11)),0,IF(M11&gt;=기준표!$B$20,10,IF(M11&gt;=기준표!$B$21,7,IF(M11&gt;=기준표!$B$22,4,IF(M11&gt;0,2,0)))))</f>
        <v/>
      </c>
      <c r="V11" s="25">
        <f>IF(NOT(ISNUMBER(N11)),5,IF(N11&lt;=기준표!$B$23,5,IF(N11&lt;=기준표!$B$24,4,IF(N11&lt;=기준표!$B$25,2,0))))</f>
        <v/>
      </c>
      <c r="W11" s="25">
        <f>IF(NOT(ISNUMBER(O11)),0,IF(O11&gt;=기준표!$B$26,5,IF(O11&gt;=기준표!$B$27,3,IF(O11&gt;=기준표!$B$28,1,0))))</f>
        <v/>
      </c>
    </row>
    <row r="12">
      <c r="A12" s="21" t="n">
        <v>8</v>
      </c>
      <c r="B12" s="8" t="inlineStr">
        <is>
          <t>LRCX</t>
        </is>
      </c>
      <c r="C12" s="8" t="inlineStr">
        <is>
          <t>LAM RESEARCH CORP</t>
        </is>
      </c>
      <c r="D12" s="22">
        <f>SUM(Q12:W12)</f>
        <v/>
      </c>
      <c r="E12" s="23" t="n">
        <v>0.286591486338165</v>
      </c>
      <c r="F12" s="23" t="n">
        <v>0.4757420249264772</v>
      </c>
      <c r="G12" s="16" t="n">
        <v>10</v>
      </c>
      <c r="H12" s="16" t="n">
        <v>12</v>
      </c>
      <c r="I12" s="19">
        <f>G12/H12</f>
        <v/>
      </c>
      <c r="J12" s="23" t="n">
        <v>0.8684705372091771</v>
      </c>
      <c r="K12" s="23" t="n">
        <v>0.3561313007328384</v>
      </c>
      <c r="L12" s="23" t="n">
        <v>0.1288964699079736</v>
      </c>
      <c r="M12" s="23" t="n">
        <v>0.2779015149654738</v>
      </c>
      <c r="N12" s="24" t="n">
        <v>-0.2096082476693609</v>
      </c>
      <c r="O12" s="24" t="n">
        <v>53.99752410152467</v>
      </c>
      <c r="P12" s="8" t="inlineStr">
        <is>
          <t>보통 - ROIC가 기간에 따라 흔들림</t>
        </is>
      </c>
      <c r="Q12" s="25">
        <f>IF(E12&gt;=기준표!$B$10,25,IF(E12&gt;=기준표!$B$11,20,IF(E12&gt;=기준표!$B$12,15,IF(E12&gt;=기준표!$B$13,10,0))))</f>
        <v/>
      </c>
      <c r="R12" s="21">
        <f>IF(N(H12)=0,0,ROUND(20*G12/H12,0))</f>
        <v/>
      </c>
      <c r="S12" s="25">
        <f>IF(NOT(ISNUMBER(J12)),0,IF(J12&gt;=기준표!$B$14,20,IF(J12&gt;=기준표!$B$15,15,IF(J12&gt;=기준표!$B$16,10,IF(J12&gt;0,5,0)))))</f>
        <v/>
      </c>
      <c r="T12" s="25">
        <f>IF(NOT(ISNUMBER(K12)),0,IF(K12&gt;=기준표!$B$17,15,IF(K12&gt;=기준표!$B$18,12,IF(K12&gt;=기준표!$B$19,8,IF(K12&gt;0,4,0)))))</f>
        <v/>
      </c>
      <c r="U12" s="25">
        <f>IF(NOT(ISNUMBER(M12)),0,IF(M12&gt;=기준표!$B$20,10,IF(M12&gt;=기준표!$B$21,7,IF(M12&gt;=기준표!$B$22,4,IF(M12&gt;0,2,0)))))</f>
        <v/>
      </c>
      <c r="V12" s="25">
        <f>IF(NOT(ISNUMBER(N12)),5,IF(N12&lt;=기준표!$B$23,5,IF(N12&lt;=기준표!$B$24,4,IF(N12&lt;=기준표!$B$25,2,0))))</f>
        <v/>
      </c>
      <c r="W12" s="25">
        <f>IF(NOT(ISNUMBER(O12)),0,IF(O12&gt;=기준표!$B$26,5,IF(O12&gt;=기준표!$B$27,3,IF(O12&gt;=기준표!$B$28,1,0))))</f>
        <v/>
      </c>
    </row>
    <row r="13">
      <c r="A13" s="21" t="n">
        <v>9</v>
      </c>
      <c r="B13" s="8" t="inlineStr">
        <is>
          <t>AMAT</t>
        </is>
      </c>
      <c r="C13" s="8" t="inlineStr">
        <is>
          <t>APPLIED MATERIALS INC /DE</t>
        </is>
      </c>
      <c r="D13" s="22">
        <f>SUM(Q13:W13)</f>
        <v/>
      </c>
      <c r="E13" s="23" t="n">
        <v>0.2592839319718582</v>
      </c>
      <c r="F13" s="23" t="n">
        <v>0.4241684906150595</v>
      </c>
      <c r="G13" s="16" t="n">
        <v>12</v>
      </c>
      <c r="H13" s="16" t="n">
        <v>12</v>
      </c>
      <c r="I13" s="19">
        <f>G13/H13</f>
        <v/>
      </c>
      <c r="J13" s="23" t="n">
        <v>0.3703742742872141</v>
      </c>
      <c r="K13" s="23" t="n">
        <v>0.1588887746645673</v>
      </c>
      <c r="L13" s="23" t="n">
        <v>0.1179096120890992</v>
      </c>
      <c r="M13" s="23" t="n">
        <v>0.1943372501409183</v>
      </c>
      <c r="N13" s="24" t="n">
        <v>-0.2123308270676692</v>
      </c>
      <c r="O13" s="24" t="n">
        <v>35.46468401486989</v>
      </c>
      <c r="P13" s="8" t="inlineStr">
        <is>
          <t>강함 - 장기간 두 자릿수 ROIC + 안정적 마진</t>
        </is>
      </c>
      <c r="Q13" s="25">
        <f>IF(E13&gt;=기준표!$B$10,25,IF(E13&gt;=기준표!$B$11,20,IF(E13&gt;=기준표!$B$12,15,IF(E13&gt;=기준표!$B$13,10,0))))</f>
        <v/>
      </c>
      <c r="R13" s="21">
        <f>IF(N(H13)=0,0,ROUND(20*G13/H13,0))</f>
        <v/>
      </c>
      <c r="S13" s="25">
        <f>IF(NOT(ISNUMBER(J13)),0,IF(J13&gt;=기준표!$B$14,20,IF(J13&gt;=기준표!$B$15,15,IF(J13&gt;=기준표!$B$16,10,IF(J13&gt;0,5,0)))))</f>
        <v/>
      </c>
      <c r="T13" s="25">
        <f>IF(NOT(ISNUMBER(K13)),0,IF(K13&gt;=기준표!$B$17,15,IF(K13&gt;=기준표!$B$18,12,IF(K13&gt;=기준표!$B$19,8,IF(K13&gt;0,4,0)))))</f>
        <v/>
      </c>
      <c r="U13" s="25">
        <f>IF(NOT(ISNUMBER(M13)),0,IF(M13&gt;=기준표!$B$20,10,IF(M13&gt;=기준표!$B$21,7,IF(M13&gt;=기준표!$B$22,4,IF(M13&gt;0,2,0)))))</f>
        <v/>
      </c>
      <c r="V13" s="25">
        <f>IF(NOT(ISNUMBER(N13)),5,IF(N13&lt;=기준표!$B$23,5,IF(N13&lt;=기준표!$B$24,4,IF(N13&lt;=기준표!$B$25,2,0))))</f>
        <v/>
      </c>
      <c r="W13" s="25">
        <f>IF(NOT(ISNUMBER(O13)),0,IF(O13&gt;=기준표!$B$26,5,IF(O13&gt;=기준표!$B$27,3,IF(O13&gt;=기준표!$B$28,1,0))))</f>
        <v/>
      </c>
    </row>
    <row r="14">
      <c r="A14" s="21" t="n">
        <v>10</v>
      </c>
      <c r="B14" s="8" t="inlineStr">
        <is>
          <t>KO</t>
        </is>
      </c>
      <c r="C14" s="8" t="inlineStr">
        <is>
          <t>COCA COLA CO</t>
        </is>
      </c>
      <c r="D14" s="22">
        <f>SUM(Q14:W14)</f>
        <v/>
      </c>
      <c r="E14" s="23" t="n">
        <v>0.2208598798151591</v>
      </c>
      <c r="F14" s="23" t="n">
        <v>0.3509605636189574</v>
      </c>
      <c r="G14" s="16" t="n">
        <v>12</v>
      </c>
      <c r="H14" s="16" t="n">
        <v>12</v>
      </c>
      <c r="I14" s="19">
        <f>G14/H14</f>
        <v/>
      </c>
      <c r="J14" s="23" t="n">
        <v>0.3078368403828218</v>
      </c>
      <c r="K14" s="23" t="n">
        <v>0.1436273729048898</v>
      </c>
      <c r="L14" s="23" t="n">
        <v>0.05748127070147097</v>
      </c>
      <c r="M14" s="23" t="n">
        <v>0.2092363501069668</v>
      </c>
      <c r="N14" s="24" t="n">
        <v>1.590311196663458</v>
      </c>
      <c r="O14" s="24" t="n">
        <v>10.67230955259976</v>
      </c>
      <c r="P14" s="8" t="inlineStr">
        <is>
          <t>강함 - 장기간 두 자릿수 ROIC, 마진 변동은 있음</t>
        </is>
      </c>
      <c r="Q14" s="25">
        <f>IF(E14&gt;=기준표!$B$10,25,IF(E14&gt;=기준표!$B$11,20,IF(E14&gt;=기준표!$B$12,15,IF(E14&gt;=기준표!$B$13,10,0))))</f>
        <v/>
      </c>
      <c r="R14" s="21">
        <f>IF(N(H14)=0,0,ROUND(20*G14/H14,0))</f>
        <v/>
      </c>
      <c r="S14" s="25">
        <f>IF(NOT(ISNUMBER(J14)),0,IF(J14&gt;=기준표!$B$14,20,IF(J14&gt;=기준표!$B$15,15,IF(J14&gt;=기준표!$B$16,10,IF(J14&gt;0,5,0)))))</f>
        <v/>
      </c>
      <c r="T14" s="25">
        <f>IF(NOT(ISNUMBER(K14)),0,IF(K14&gt;=기준표!$B$17,15,IF(K14&gt;=기준표!$B$18,12,IF(K14&gt;=기준표!$B$19,8,IF(K14&gt;0,4,0)))))</f>
        <v/>
      </c>
      <c r="U14" s="25">
        <f>IF(NOT(ISNUMBER(M14)),0,IF(M14&gt;=기준표!$B$20,10,IF(M14&gt;=기준표!$B$21,7,IF(M14&gt;=기준표!$B$22,4,IF(M14&gt;0,2,0)))))</f>
        <v/>
      </c>
      <c r="V14" s="25">
        <f>IF(NOT(ISNUMBER(N14)),5,IF(N14&lt;=기준표!$B$23,5,IF(N14&lt;=기준표!$B$24,4,IF(N14&lt;=기준표!$B$25,2,0))))</f>
        <v/>
      </c>
      <c r="W14" s="25">
        <f>IF(NOT(ISNUMBER(O14)),0,IF(O14&gt;=기준표!$B$26,5,IF(O14&gt;=기준표!$B$27,3,IF(O14&gt;=기준표!$B$28,1,0))))</f>
        <v/>
      </c>
    </row>
    <row r="15">
      <c r="A15" s="21" t="n">
        <v>11</v>
      </c>
      <c r="B15" s="8" t="inlineStr">
        <is>
          <t>META</t>
        </is>
      </c>
      <c r="C15" s="8" t="inlineStr">
        <is>
          <t>Meta Platforms, Inc.</t>
        </is>
      </c>
      <c r="D15" s="22">
        <f>SUM(Q15:W15)</f>
        <v/>
      </c>
      <c r="E15" s="23" t="n">
        <v>0.2234928608550876</v>
      </c>
      <c r="F15" s="23" t="n">
        <v>0.3686343577694907</v>
      </c>
      <c r="G15" s="16" t="n">
        <v>6</v>
      </c>
      <c r="H15" s="16" t="n">
        <v>8</v>
      </c>
      <c r="I15" s="19">
        <f>G15/H15</f>
        <v/>
      </c>
      <c r="J15" s="23" t="n">
        <v>0.280444814391825</v>
      </c>
      <c r="K15" s="23" t="n">
        <v>0.153614047530239</v>
      </c>
      <c r="L15" s="23" t="n">
        <v>0.09759069702760384</v>
      </c>
      <c r="M15" s="23" t="n">
        <v>0.2002490696950379</v>
      </c>
      <c r="N15" s="24" t="n">
        <v>-0.2162858062439652</v>
      </c>
      <c r="O15" s="24" t="n">
        <v>79.83669724770643</v>
      </c>
      <c r="P15" s="8" t="inlineStr">
        <is>
          <t>보통 - ROIC가 기간에 따라 흔들림</t>
        </is>
      </c>
      <c r="Q15" s="25">
        <f>IF(E15&gt;=기준표!$B$10,25,IF(E15&gt;=기준표!$B$11,20,IF(E15&gt;=기준표!$B$12,15,IF(E15&gt;=기준표!$B$13,10,0))))</f>
        <v/>
      </c>
      <c r="R15" s="21">
        <f>IF(N(H15)=0,0,ROUND(20*G15/H15,0))</f>
        <v/>
      </c>
      <c r="S15" s="25">
        <f>IF(NOT(ISNUMBER(J15)),0,IF(J15&gt;=기준표!$B$14,20,IF(J15&gt;=기준표!$B$15,15,IF(J15&gt;=기준표!$B$16,10,IF(J15&gt;0,5,0)))))</f>
        <v/>
      </c>
      <c r="T15" s="25">
        <f>IF(NOT(ISNUMBER(K15)),0,IF(K15&gt;=기준표!$B$17,15,IF(K15&gt;=기준표!$B$18,12,IF(K15&gt;=기준표!$B$19,8,IF(K15&gt;0,4,0)))))</f>
        <v/>
      </c>
      <c r="U15" s="25">
        <f>IF(NOT(ISNUMBER(M15)),0,IF(M15&gt;=기준표!$B$20,10,IF(M15&gt;=기준표!$B$21,7,IF(M15&gt;=기준표!$B$22,4,IF(M15&gt;0,2,0)))))</f>
        <v/>
      </c>
      <c r="V15" s="25">
        <f>IF(NOT(ISNUMBER(N15)),5,IF(N15&lt;=기준표!$B$23,5,IF(N15&lt;=기준표!$B$24,4,IF(N15&lt;=기준표!$B$25,2,0))))</f>
        <v/>
      </c>
      <c r="W15" s="25">
        <f>IF(NOT(ISNUMBER(O15)),0,IF(O15&gt;=기준표!$B$26,5,IF(O15&gt;=기준표!$B$27,3,IF(O15&gt;=기준표!$B$28,1,0))))</f>
        <v/>
      </c>
    </row>
    <row r="16">
      <c r="A16" s="21" t="n">
        <v>12</v>
      </c>
      <c r="B16" s="8" t="inlineStr">
        <is>
          <t>JNJ</t>
        </is>
      </c>
      <c r="C16" s="8" t="inlineStr">
        <is>
          <t>JOHNSON &amp; JOHNSON</t>
        </is>
      </c>
      <c r="D16" s="22">
        <f>SUM(Q16:W16)</f>
        <v/>
      </c>
      <c r="E16" s="23" t="n">
        <v>0.1644697126988775</v>
      </c>
      <c r="F16" s="23" t="n">
        <v>0.2134223931095791</v>
      </c>
      <c r="G16" s="16" t="n">
        <v>8</v>
      </c>
      <c r="H16" s="16" t="n">
        <v>8</v>
      </c>
      <c r="I16" s="19">
        <f>G16/H16</f>
        <v/>
      </c>
      <c r="J16" s="23" t="n">
        <v>0.3476466457589323</v>
      </c>
      <c r="K16" s="23" t="n">
        <v>0.1792073224845683</v>
      </c>
      <c r="L16" s="23" t="n">
        <v>0.05311724303065211</v>
      </c>
      <c r="M16" s="23" t="n">
        <v>0.2827067828819551</v>
      </c>
      <c r="N16" s="24" t="n">
        <v>0.6780172938740714</v>
      </c>
      <c r="O16" s="24" t="n">
        <v>34.55406797116375</v>
      </c>
      <c r="P16" s="8" t="inlineStr">
        <is>
          <t>강함 - 장기간 두 자릿수 ROIC, 마진 변동은 있음</t>
        </is>
      </c>
      <c r="Q16" s="25">
        <f>IF(E16&gt;=기준표!$B$10,25,IF(E16&gt;=기준표!$B$11,20,IF(E16&gt;=기준표!$B$12,15,IF(E16&gt;=기준표!$B$13,10,0))))</f>
        <v/>
      </c>
      <c r="R16" s="21">
        <f>IF(N(H16)=0,0,ROUND(20*G16/H16,0))</f>
        <v/>
      </c>
      <c r="S16" s="25">
        <f>IF(NOT(ISNUMBER(J16)),0,IF(J16&gt;=기준표!$B$14,20,IF(J16&gt;=기준표!$B$15,15,IF(J16&gt;=기준표!$B$16,10,IF(J16&gt;0,5,0)))))</f>
        <v/>
      </c>
      <c r="T16" s="25">
        <f>IF(NOT(ISNUMBER(K16)),0,IF(K16&gt;=기준표!$B$17,15,IF(K16&gt;=기준표!$B$18,12,IF(K16&gt;=기준표!$B$19,8,IF(K16&gt;0,4,0)))))</f>
        <v/>
      </c>
      <c r="U16" s="25">
        <f>IF(NOT(ISNUMBER(M16)),0,IF(M16&gt;=기준표!$B$20,10,IF(M16&gt;=기준표!$B$21,7,IF(M16&gt;=기준표!$B$22,4,IF(M16&gt;0,2,0)))))</f>
        <v/>
      </c>
      <c r="V16" s="25">
        <f>IF(NOT(ISNUMBER(N16)),5,IF(N16&lt;=기준표!$B$23,5,IF(N16&lt;=기준표!$B$24,4,IF(N16&lt;=기준표!$B$25,2,0))))</f>
        <v/>
      </c>
      <c r="W16" s="25">
        <f>IF(NOT(ISNUMBER(O16)),0,IF(O16&gt;=기준표!$B$26,5,IF(O16&gt;=기준표!$B$27,3,IF(O16&gt;=기준표!$B$28,1,0))))</f>
        <v/>
      </c>
    </row>
    <row r="17">
      <c r="A17" s="21" t="n">
        <v>13</v>
      </c>
      <c r="B17" s="8" t="inlineStr">
        <is>
          <t>HD</t>
        </is>
      </c>
      <c r="C17" s="8" t="inlineStr">
        <is>
          <t>HOME DEPOT, INC.</t>
        </is>
      </c>
      <c r="D17" s="22">
        <f>SUM(Q17:W17)</f>
        <v/>
      </c>
      <c r="E17" s="23" t="n">
        <v>0.3988693964879054</v>
      </c>
      <c r="F17" s="23" t="n">
        <v>0.451726427868866</v>
      </c>
      <c r="G17" s="16" t="n">
        <v>12</v>
      </c>
      <c r="H17" s="16" t="n">
        <v>12</v>
      </c>
      <c r="I17" s="19">
        <f>G17/H17</f>
        <v/>
      </c>
      <c r="J17" s="23" t="n">
        <v>0.2163655928557041</v>
      </c>
      <c r="K17" s="23" t="n">
        <v>0.1746272126562626</v>
      </c>
      <c r="L17" s="23" t="n">
        <v>0.08365873528856085</v>
      </c>
      <c r="M17" s="23" t="n">
        <v>0.08826811439748235</v>
      </c>
      <c r="N17" s="24" t="n">
        <v>2.035184279191129</v>
      </c>
      <c r="O17" s="24" t="n">
        <v>8.712271973466004</v>
      </c>
      <c r="P17" s="8" t="inlineStr">
        <is>
          <t>강함 - 장기간 두 자릿수 ROIC + 안정적 마진</t>
        </is>
      </c>
      <c r="Q17" s="25">
        <f>IF(E17&gt;=기준표!$B$10,25,IF(E17&gt;=기준표!$B$11,20,IF(E17&gt;=기준표!$B$12,15,IF(E17&gt;=기준표!$B$13,10,0))))</f>
        <v/>
      </c>
      <c r="R17" s="21">
        <f>IF(N(H17)=0,0,ROUND(20*G17/H17,0))</f>
        <v/>
      </c>
      <c r="S17" s="25">
        <f>IF(NOT(ISNUMBER(J17)),0,IF(J17&gt;=기준표!$B$14,20,IF(J17&gt;=기준표!$B$15,15,IF(J17&gt;=기준표!$B$16,10,IF(J17&gt;0,5,0)))))</f>
        <v/>
      </c>
      <c r="T17" s="25">
        <f>IF(NOT(ISNUMBER(K17)),0,IF(K17&gt;=기준표!$B$17,15,IF(K17&gt;=기준표!$B$18,12,IF(K17&gt;=기준표!$B$19,8,IF(K17&gt;0,4,0)))))</f>
        <v/>
      </c>
      <c r="U17" s="25">
        <f>IF(NOT(ISNUMBER(M17)),0,IF(M17&gt;=기준표!$B$20,10,IF(M17&gt;=기준표!$B$21,7,IF(M17&gt;=기준표!$B$22,4,IF(M17&gt;0,2,0)))))</f>
        <v/>
      </c>
      <c r="V17" s="25">
        <f>IF(NOT(ISNUMBER(N17)),5,IF(N17&lt;=기준표!$B$23,5,IF(N17&lt;=기준표!$B$24,4,IF(N17&lt;=기준표!$B$25,2,0))))</f>
        <v/>
      </c>
      <c r="W17" s="25">
        <f>IF(NOT(ISNUMBER(O17)),0,IF(O17&gt;=기준표!$B$26,5,IF(O17&gt;=기준표!$B$27,3,IF(O17&gt;=기준표!$B$28,1,0))))</f>
        <v/>
      </c>
    </row>
    <row r="18">
      <c r="A18" s="21" t="n">
        <v>14</v>
      </c>
      <c r="B18" s="8" t="inlineStr">
        <is>
          <t>GOOG</t>
        </is>
      </c>
      <c r="C18" s="8" t="inlineStr">
        <is>
          <t>Alphabet Inc.</t>
        </is>
      </c>
      <c r="D18" s="22">
        <f>SUM(Q18:W18)</f>
        <v/>
      </c>
      <c r="E18" s="23" t="n">
        <v>0.1542616596099078</v>
      </c>
      <c r="F18" s="23" t="n">
        <v>0.377073935995532</v>
      </c>
      <c r="G18" s="16" t="n">
        <v>12</v>
      </c>
      <c r="H18" s="16" t="n">
        <v>12</v>
      </c>
      <c r="I18" s="19">
        <f>G18/H18</f>
        <v/>
      </c>
      <c r="J18" s="23" t="n">
        <v>0.4045533924635744</v>
      </c>
      <c r="K18" s="23" t="n">
        <v>0.2308405445781425</v>
      </c>
      <c r="L18" s="23" t="n">
        <v>0.09957343826435333</v>
      </c>
      <c r="M18" s="23" t="n">
        <v>0.1727396876732054</v>
      </c>
      <c r="N18" s="24" t="n">
        <v>-0.4303202027692614</v>
      </c>
      <c r="O18" s="24" t="n">
        <v>216.7961956521739</v>
      </c>
      <c r="P18" s="8" t="inlineStr">
        <is>
          <t>강함 - 장기간 두 자릿수 ROIC, 마진 변동은 있음</t>
        </is>
      </c>
      <c r="Q18" s="25">
        <f>IF(E18&gt;=기준표!$B$10,25,IF(E18&gt;=기준표!$B$11,20,IF(E18&gt;=기준표!$B$12,15,IF(E18&gt;=기준표!$B$13,10,0))))</f>
        <v/>
      </c>
      <c r="R18" s="21">
        <f>IF(N(H18)=0,0,ROUND(20*G18/H18,0))</f>
        <v/>
      </c>
      <c r="S18" s="25">
        <f>IF(NOT(ISNUMBER(J18)),0,IF(J18&gt;=기준표!$B$14,20,IF(J18&gt;=기준표!$B$15,15,IF(J18&gt;=기준표!$B$16,10,IF(J18&gt;0,5,0)))))</f>
        <v/>
      </c>
      <c r="T18" s="25">
        <f>IF(NOT(ISNUMBER(K18)),0,IF(K18&gt;=기준표!$B$17,15,IF(K18&gt;=기준표!$B$18,12,IF(K18&gt;=기준표!$B$19,8,IF(K18&gt;0,4,0)))))</f>
        <v/>
      </c>
      <c r="U18" s="25">
        <f>IF(NOT(ISNUMBER(M18)),0,IF(M18&gt;=기준표!$B$20,10,IF(M18&gt;=기준표!$B$21,7,IF(M18&gt;=기준표!$B$22,4,IF(M18&gt;0,2,0)))))</f>
        <v/>
      </c>
      <c r="V18" s="25">
        <f>IF(NOT(ISNUMBER(N18)),5,IF(N18&lt;=기준표!$B$23,5,IF(N18&lt;=기준표!$B$24,4,IF(N18&lt;=기준표!$B$25,2,0))))</f>
        <v/>
      </c>
      <c r="W18" s="25">
        <f>IF(NOT(ISNUMBER(O18)),0,IF(O18&gt;=기준표!$B$26,5,IF(O18&gt;=기준표!$B$27,3,IF(O18&gt;=기준표!$B$28,1,0))))</f>
        <v/>
      </c>
    </row>
    <row r="19">
      <c r="A19" s="21" t="n">
        <v>15</v>
      </c>
      <c r="B19" s="8" t="inlineStr">
        <is>
          <t>LLY</t>
        </is>
      </c>
      <c r="C19" s="8" t="inlineStr">
        <is>
          <t>ELI LILLY &amp; Co</t>
        </is>
      </c>
      <c r="D19" s="22">
        <f>SUM(Q19:W19)</f>
        <v/>
      </c>
      <c r="E19" s="23" t="n">
        <v>0.2055465236118036</v>
      </c>
      <c r="F19" s="23" t="n">
        <v>0.2430708046174326</v>
      </c>
      <c r="G19" s="16" t="n">
        <v>11</v>
      </c>
      <c r="H19" s="16" t="n">
        <v>12</v>
      </c>
      <c r="I19" s="19">
        <f>G19/H19</f>
        <v/>
      </c>
      <c r="J19" s="23" t="n">
        <v>0.5406549746924957</v>
      </c>
      <c r="K19" s="23" t="n">
        <v>0.3002758982491863</v>
      </c>
      <c r="L19" s="23" t="n">
        <v>0.06496034879930349</v>
      </c>
      <c r="M19" s="23" t="n">
        <v>0.09337670108470519</v>
      </c>
      <c r="N19" s="24" t="n">
        <v>1.231003039513678</v>
      </c>
      <c r="O19" s="24" t="n">
        <v>29.74972067039106</v>
      </c>
      <c r="P19" s="8" t="inlineStr">
        <is>
          <t>강함 - 장기간 두 자릿수 ROIC, 마진 변동은 있음</t>
        </is>
      </c>
      <c r="Q19" s="25">
        <f>IF(E19&gt;=기준표!$B$10,25,IF(E19&gt;=기준표!$B$11,20,IF(E19&gt;=기준표!$B$12,15,IF(E19&gt;=기준표!$B$13,10,0))))</f>
        <v/>
      </c>
      <c r="R19" s="21">
        <f>IF(N(H19)=0,0,ROUND(20*G19/H19,0))</f>
        <v/>
      </c>
      <c r="S19" s="25">
        <f>IF(NOT(ISNUMBER(J19)),0,IF(J19&gt;=기준표!$B$14,20,IF(J19&gt;=기준표!$B$15,15,IF(J19&gt;=기준표!$B$16,10,IF(J19&gt;0,5,0)))))</f>
        <v/>
      </c>
      <c r="T19" s="25">
        <f>IF(NOT(ISNUMBER(K19)),0,IF(K19&gt;=기준표!$B$17,15,IF(K19&gt;=기준표!$B$18,12,IF(K19&gt;=기준표!$B$19,8,IF(K19&gt;0,4,0)))))</f>
        <v/>
      </c>
      <c r="U19" s="25">
        <f>IF(NOT(ISNUMBER(M19)),0,IF(M19&gt;=기준표!$B$20,10,IF(M19&gt;=기준표!$B$21,7,IF(M19&gt;=기준표!$B$22,4,IF(M19&gt;0,2,0)))))</f>
        <v/>
      </c>
      <c r="V19" s="25">
        <f>IF(NOT(ISNUMBER(N19)),5,IF(N19&lt;=기준표!$B$23,5,IF(N19&lt;=기준표!$B$24,4,IF(N19&lt;=기준표!$B$25,2,0))))</f>
        <v/>
      </c>
      <c r="W19" s="25">
        <f>IF(NOT(ISNUMBER(O19)),0,IF(O19&gt;=기준표!$B$26,5,IF(O19&gt;=기준표!$B$27,3,IF(O19&gt;=기준표!$B$28,1,0))))</f>
        <v/>
      </c>
    </row>
    <row r="20">
      <c r="A20" s="21" t="n">
        <v>16</v>
      </c>
      <c r="B20" s="8" t="inlineStr">
        <is>
          <t>COST</t>
        </is>
      </c>
      <c r="C20" s="8" t="inlineStr">
        <is>
          <t>COSTCO WHOLESALE CORP /NEW</t>
        </is>
      </c>
      <c r="D20" s="22">
        <f>SUM(Q20:W20)</f>
        <v/>
      </c>
      <c r="E20" s="23" t="n">
        <v>0.1816379284251667</v>
      </c>
      <c r="F20" s="23" t="n">
        <v>0.3202437868691693</v>
      </c>
      <c r="G20" s="16" t="n">
        <v>12</v>
      </c>
      <c r="H20" s="16" t="n">
        <v>12</v>
      </c>
      <c r="I20" s="19">
        <f>G20/H20</f>
        <v/>
      </c>
      <c r="J20" s="23" t="n">
        <v>0.4078636002346854</v>
      </c>
      <c r="K20" s="23" t="n">
        <v>0.1699309505816755</v>
      </c>
      <c r="L20" s="23" t="n">
        <v>0.08489039807946297</v>
      </c>
      <c r="M20" s="23" t="n">
        <v>0.02321598084939535</v>
      </c>
      <c r="N20" s="24" t="n">
        <v>-0.7087625018659501</v>
      </c>
      <c r="O20" s="24" t="n">
        <v>71.24675324675324</v>
      </c>
      <c r="P20" s="8" t="inlineStr">
        <is>
          <t>강함 - 장기간 두 자릿수 ROIC + 안정적 마진</t>
        </is>
      </c>
      <c r="Q20" s="25">
        <f>IF(E20&gt;=기준표!$B$10,25,IF(E20&gt;=기준표!$B$11,20,IF(E20&gt;=기준표!$B$12,15,IF(E20&gt;=기준표!$B$13,10,0))))</f>
        <v/>
      </c>
      <c r="R20" s="21">
        <f>IF(N(H20)=0,0,ROUND(20*G20/H20,0))</f>
        <v/>
      </c>
      <c r="S20" s="25">
        <f>IF(NOT(ISNUMBER(J20)),0,IF(J20&gt;=기준표!$B$14,20,IF(J20&gt;=기준표!$B$15,15,IF(J20&gt;=기준표!$B$16,10,IF(J20&gt;0,5,0)))))</f>
        <v/>
      </c>
      <c r="T20" s="25">
        <f>IF(NOT(ISNUMBER(K20)),0,IF(K20&gt;=기준표!$B$17,15,IF(K20&gt;=기준표!$B$18,12,IF(K20&gt;=기준표!$B$19,8,IF(K20&gt;0,4,0)))))</f>
        <v/>
      </c>
      <c r="U20" s="25">
        <f>IF(NOT(ISNUMBER(M20)),0,IF(M20&gt;=기준표!$B$20,10,IF(M20&gt;=기준표!$B$21,7,IF(M20&gt;=기준표!$B$22,4,IF(M20&gt;0,2,0)))))</f>
        <v/>
      </c>
      <c r="V20" s="25">
        <f>IF(NOT(ISNUMBER(N20)),5,IF(N20&lt;=기준표!$B$23,5,IF(N20&lt;=기준표!$B$24,4,IF(N20&lt;=기준표!$B$25,2,0))))</f>
        <v/>
      </c>
      <c r="W20" s="25">
        <f>IF(NOT(ISNUMBER(O20)),0,IF(O20&gt;=기준표!$B$26,5,IF(O20&gt;=기준표!$B$27,3,IF(O20&gt;=기준표!$B$28,1,0))))</f>
        <v/>
      </c>
    </row>
    <row r="21">
      <c r="A21" s="21" t="n">
        <v>17</v>
      </c>
      <c r="B21" s="8" t="inlineStr">
        <is>
          <t>AAPL</t>
        </is>
      </c>
      <c r="C21" s="8" t="inlineStr">
        <is>
          <t>Apple Inc.</t>
        </is>
      </c>
      <c r="D21" s="22">
        <f>SUM(Q21:W21)</f>
        <v/>
      </c>
      <c r="E21" s="23" t="n">
        <v>0.3347047894655559</v>
      </c>
      <c r="F21" s="23" t="n">
        <v>0.5919464240338786</v>
      </c>
      <c r="G21" s="16" t="n">
        <v>12</v>
      </c>
      <c r="H21" s="16" t="n">
        <v>12</v>
      </c>
      <c r="I21" s="19">
        <f>G21/H21</f>
        <v/>
      </c>
      <c r="J21" s="23" t="n"/>
      <c r="K21" s="23" t="n">
        <v>0.6126033889189518</v>
      </c>
      <c r="L21" s="23" t="n">
        <v>0.09351467104842635</v>
      </c>
      <c r="M21" s="23" t="n">
        <v>0.2588753393089988</v>
      </c>
      <c r="N21" s="24" t="n">
        <v>0.2485768369856578</v>
      </c>
      <c r="O21" s="24" t="n">
        <v>29.91838291380625</v>
      </c>
      <c r="P21" s="8" t="inlineStr">
        <is>
          <t>강함 - 장기간 두 자릿수 ROIC + 안정적 마진</t>
        </is>
      </c>
      <c r="Q21" s="25">
        <f>IF(E21&gt;=기준표!$B$10,25,IF(E21&gt;=기준표!$B$11,20,IF(E21&gt;=기준표!$B$12,15,IF(E21&gt;=기준표!$B$13,10,0))))</f>
        <v/>
      </c>
      <c r="R21" s="21">
        <f>IF(N(H21)=0,0,ROUND(20*G21/H21,0))</f>
        <v/>
      </c>
      <c r="S21" s="25">
        <f>IF(NOT(ISNUMBER(J21)),0,IF(J21&gt;=기준표!$B$14,20,IF(J21&gt;=기준표!$B$15,15,IF(J21&gt;=기준표!$B$16,10,IF(J21&gt;0,5,0)))))</f>
        <v/>
      </c>
      <c r="T21" s="25">
        <f>IF(NOT(ISNUMBER(K21)),0,IF(K21&gt;=기준표!$B$17,15,IF(K21&gt;=기준표!$B$18,12,IF(K21&gt;=기준표!$B$19,8,IF(K21&gt;0,4,0)))))</f>
        <v/>
      </c>
      <c r="U21" s="25">
        <f>IF(NOT(ISNUMBER(M21)),0,IF(M21&gt;=기준표!$B$20,10,IF(M21&gt;=기준표!$B$21,7,IF(M21&gt;=기준표!$B$22,4,IF(M21&gt;0,2,0)))))</f>
        <v/>
      </c>
      <c r="V21" s="25">
        <f>IF(NOT(ISNUMBER(N21)),5,IF(N21&lt;=기준표!$B$23,5,IF(N21&lt;=기준표!$B$24,4,IF(N21&lt;=기준표!$B$25,2,0))))</f>
        <v/>
      </c>
      <c r="W21" s="25">
        <f>IF(NOT(ISNUMBER(O21)),0,IF(O21&gt;=기준표!$B$26,5,IF(O21&gt;=기준표!$B$27,3,IF(O21&gt;=기준표!$B$28,1,0))))</f>
        <v/>
      </c>
    </row>
    <row r="22">
      <c r="A22" s="21" t="n">
        <v>18</v>
      </c>
      <c r="B22" s="8" t="inlineStr">
        <is>
          <t>TXN</t>
        </is>
      </c>
      <c r="C22" s="8" t="inlineStr">
        <is>
          <t>TEXAS INSTRUMENTS INC</t>
        </is>
      </c>
      <c r="D22" s="22">
        <f>SUM(Q22:W22)</f>
        <v/>
      </c>
      <c r="E22" s="23" t="n">
        <v>0.2634669682642616</v>
      </c>
      <c r="F22" s="23" t="n">
        <v>0.3834148977919824</v>
      </c>
      <c r="G22" s="16" t="n">
        <v>12</v>
      </c>
      <c r="H22" s="16" t="n">
        <v>12</v>
      </c>
      <c r="I22" s="19">
        <f>G22/H22</f>
        <v/>
      </c>
      <c r="J22" s="23" t="n">
        <v>0.1681153449282681</v>
      </c>
      <c r="K22" s="23" t="n">
        <v>0.07603155156910849</v>
      </c>
      <c r="L22" s="23" t="n">
        <v>0.1040597574585353</v>
      </c>
      <c r="M22" s="23" t="n">
        <v>0.07175067070038244</v>
      </c>
      <c r="N22" s="24" t="n">
        <v>1.121894504956554</v>
      </c>
      <c r="O22" s="24" t="n">
        <v>11.51565377532228</v>
      </c>
      <c r="P22" s="8" t="inlineStr">
        <is>
          <t>강함 - 장기간 두 자릿수 ROIC + 안정적 마진</t>
        </is>
      </c>
      <c r="Q22" s="25">
        <f>IF(E22&gt;=기준표!$B$10,25,IF(E22&gt;=기준표!$B$11,20,IF(E22&gt;=기준표!$B$12,15,IF(E22&gt;=기준표!$B$13,10,0))))</f>
        <v/>
      </c>
      <c r="R22" s="21">
        <f>IF(N(H22)=0,0,ROUND(20*G22/H22,0))</f>
        <v/>
      </c>
      <c r="S22" s="25">
        <f>IF(NOT(ISNUMBER(J22)),0,IF(J22&gt;=기준표!$B$14,20,IF(J22&gt;=기준표!$B$15,15,IF(J22&gt;=기준표!$B$16,10,IF(J22&gt;0,5,0)))))</f>
        <v/>
      </c>
      <c r="T22" s="25">
        <f>IF(NOT(ISNUMBER(K22)),0,IF(K22&gt;=기준표!$B$17,15,IF(K22&gt;=기준표!$B$18,12,IF(K22&gt;=기준표!$B$19,8,IF(K22&gt;0,4,0)))))</f>
        <v/>
      </c>
      <c r="U22" s="25">
        <f>IF(NOT(ISNUMBER(M22)),0,IF(M22&gt;=기준표!$B$20,10,IF(M22&gt;=기준표!$B$21,7,IF(M22&gt;=기준표!$B$22,4,IF(M22&gt;0,2,0)))))</f>
        <v/>
      </c>
      <c r="V22" s="25">
        <f>IF(NOT(ISNUMBER(N22)),5,IF(N22&lt;=기준표!$B$23,5,IF(N22&lt;=기준표!$B$24,4,IF(N22&lt;=기준표!$B$25,2,0))))</f>
        <v/>
      </c>
      <c r="W22" s="25">
        <f>IF(NOT(ISNUMBER(O22)),0,IF(O22&gt;=기준표!$B$26,5,IF(O22&gt;=기준표!$B$27,3,IF(O22&gt;=기준표!$B$28,1,0))))</f>
        <v/>
      </c>
    </row>
    <row r="23">
      <c r="A23" s="21" t="n">
        <v>19</v>
      </c>
      <c r="B23" s="8" t="inlineStr">
        <is>
          <t>MRK</t>
        </is>
      </c>
      <c r="C23" s="8" t="inlineStr">
        <is>
          <t>Merck &amp; Co., Inc.</t>
        </is>
      </c>
      <c r="D23" s="22">
        <f>SUM(Q23:W23)</f>
        <v/>
      </c>
      <c r="E23" s="23" t="n">
        <v>0.1098829512936383</v>
      </c>
      <c r="F23" s="23" t="n">
        <v>0.1325935815956038</v>
      </c>
      <c r="G23" s="16" t="n">
        <v>7</v>
      </c>
      <c r="H23" s="16" t="n">
        <v>12</v>
      </c>
      <c r="I23" s="19">
        <f>G23/H23</f>
        <v/>
      </c>
      <c r="J23" s="23" t="n">
        <v>0.3315904676542277</v>
      </c>
      <c r="K23" s="23" t="n">
        <v>0.1589228034156143</v>
      </c>
      <c r="L23" s="23" t="n">
        <v>0.05081436342587072</v>
      </c>
      <c r="M23" s="23" t="n">
        <v>0.2045192352063497</v>
      </c>
      <c r="N23" s="24" t="n">
        <v>1.365346107032078</v>
      </c>
      <c r="O23" s="24" t="n">
        <v>16.5246868091378</v>
      </c>
      <c r="P23" s="8" t="inlineStr">
        <is>
          <t>약함 - 두 자릿수 ROIC를 지킨 해가 절반 미만</t>
        </is>
      </c>
      <c r="Q23" s="25">
        <f>IF(E23&gt;=기준표!$B$10,25,IF(E23&gt;=기준표!$B$11,20,IF(E23&gt;=기준표!$B$12,15,IF(E23&gt;=기준표!$B$13,10,0))))</f>
        <v/>
      </c>
      <c r="R23" s="21">
        <f>IF(N(H23)=0,0,ROUND(20*G23/H23,0))</f>
        <v/>
      </c>
      <c r="S23" s="25">
        <f>IF(NOT(ISNUMBER(J23)),0,IF(J23&gt;=기준표!$B$14,20,IF(J23&gt;=기준표!$B$15,15,IF(J23&gt;=기준표!$B$16,10,IF(J23&gt;0,5,0)))))</f>
        <v/>
      </c>
      <c r="T23" s="25">
        <f>IF(NOT(ISNUMBER(K23)),0,IF(K23&gt;=기준표!$B$17,15,IF(K23&gt;=기준표!$B$18,12,IF(K23&gt;=기준표!$B$19,8,IF(K23&gt;0,4,0)))))</f>
        <v/>
      </c>
      <c r="U23" s="25">
        <f>IF(NOT(ISNUMBER(M23)),0,IF(M23&gt;=기준표!$B$20,10,IF(M23&gt;=기준표!$B$21,7,IF(M23&gt;=기준표!$B$22,4,IF(M23&gt;0,2,0)))))</f>
        <v/>
      </c>
      <c r="V23" s="25">
        <f>IF(NOT(ISNUMBER(N23)),5,IF(N23&lt;=기준표!$B$23,5,IF(N23&lt;=기준표!$B$24,4,IF(N23&lt;=기준표!$B$25,2,0))))</f>
        <v/>
      </c>
      <c r="W23" s="25">
        <f>IF(NOT(ISNUMBER(O23)),0,IF(O23&gt;=기준표!$B$26,5,IF(O23&gt;=기준표!$B$27,3,IF(O23&gt;=기준표!$B$28,1,0))))</f>
        <v/>
      </c>
    </row>
    <row r="24">
      <c r="A24" s="21" t="n">
        <v>20</v>
      </c>
      <c r="B24" s="8" t="inlineStr">
        <is>
          <t>NFLX</t>
        </is>
      </c>
      <c r="C24" s="8" t="inlineStr">
        <is>
          <t>NETFLIX INC</t>
        </is>
      </c>
      <c r="D24" s="22">
        <f>SUM(Q24:W24)</f>
        <v/>
      </c>
      <c r="E24" s="23" t="n">
        <v>0.1388969281777263</v>
      </c>
      <c r="F24" s="23" t="n">
        <v>0.1914233576186617</v>
      </c>
      <c r="G24" s="16" t="n">
        <v>8</v>
      </c>
      <c r="H24" s="16" t="n">
        <v>12</v>
      </c>
      <c r="I24" s="19">
        <f>G24/H24</f>
        <v/>
      </c>
      <c r="J24" s="23" t="n">
        <v>0.2985695032091198</v>
      </c>
      <c r="K24" s="23" t="n">
        <v>0.1722792243666901</v>
      </c>
      <c r="L24" s="23" t="n">
        <v>0.1139801650212084</v>
      </c>
      <c r="M24" s="23" t="n">
        <v>0.1890086844118474</v>
      </c>
      <c r="N24" s="24" t="n">
        <v>0.3904208299743842</v>
      </c>
      <c r="O24" s="24" t="n">
        <v>17.38427322249553</v>
      </c>
      <c r="P24" s="8" t="inlineStr">
        <is>
          <t>보통 - ROIC가 기간에 따라 흔들림</t>
        </is>
      </c>
      <c r="Q24" s="25">
        <f>IF(E24&gt;=기준표!$B$10,25,IF(E24&gt;=기준표!$B$11,20,IF(E24&gt;=기준표!$B$12,15,IF(E24&gt;=기준표!$B$13,10,0))))</f>
        <v/>
      </c>
      <c r="R24" s="21">
        <f>IF(N(H24)=0,0,ROUND(20*G24/H24,0))</f>
        <v/>
      </c>
      <c r="S24" s="25">
        <f>IF(NOT(ISNUMBER(J24)),0,IF(J24&gt;=기준표!$B$14,20,IF(J24&gt;=기준표!$B$15,15,IF(J24&gt;=기준표!$B$16,10,IF(J24&gt;0,5,0)))))</f>
        <v/>
      </c>
      <c r="T24" s="25">
        <f>IF(NOT(ISNUMBER(K24)),0,IF(K24&gt;=기준표!$B$17,15,IF(K24&gt;=기준표!$B$18,12,IF(K24&gt;=기준표!$B$19,8,IF(K24&gt;0,4,0)))))</f>
        <v/>
      </c>
      <c r="U24" s="25">
        <f>IF(NOT(ISNUMBER(M24)),0,IF(M24&gt;=기준표!$B$20,10,IF(M24&gt;=기준표!$B$21,7,IF(M24&gt;=기준표!$B$22,4,IF(M24&gt;0,2,0)))))</f>
        <v/>
      </c>
      <c r="V24" s="25">
        <f>IF(NOT(ISNUMBER(N24)),5,IF(N24&lt;=기준표!$B$23,5,IF(N24&lt;=기준표!$B$24,4,IF(N24&lt;=기준표!$B$25,2,0))))</f>
        <v/>
      </c>
      <c r="W24" s="25">
        <f>IF(NOT(ISNUMBER(O24)),0,IF(O24&gt;=기준표!$B$26,5,IF(O24&gt;=기준표!$B$27,3,IF(O24&gt;=기준표!$B$28,1,0))))</f>
        <v/>
      </c>
    </row>
    <row r="25">
      <c r="A25" s="21" t="n">
        <v>21</v>
      </c>
      <c r="B25" s="8" t="inlineStr">
        <is>
          <t>ORCL</t>
        </is>
      </c>
      <c r="C25" s="8" t="inlineStr">
        <is>
          <t>ORACLE CORP</t>
        </is>
      </c>
      <c r="D25" s="22">
        <f>SUM(Q25:W25)</f>
        <v/>
      </c>
      <c r="E25" s="23" t="n">
        <v>0.5451645847750904</v>
      </c>
      <c r="F25" s="23" t="n">
        <v>0.7026182531894014</v>
      </c>
      <c r="G25" s="16" t="n">
        <v>11</v>
      </c>
      <c r="H25" s="16" t="n">
        <v>11</v>
      </c>
      <c r="I25" s="19">
        <f>G25/H25</f>
        <v/>
      </c>
      <c r="J25" s="23" t="n"/>
      <c r="K25" s="23" t="n">
        <v>0.4217380372116294</v>
      </c>
      <c r="L25" s="23" t="n">
        <v>0.123426547563461</v>
      </c>
      <c r="M25" s="23" t="n">
        <v>0.07794533459000942</v>
      </c>
      <c r="N25" s="24" t="n">
        <v>-0.7771588620342397</v>
      </c>
      <c r="O25" s="24" t="n">
        <v>5.251793868232224</v>
      </c>
      <c r="P25" s="8" t="inlineStr">
        <is>
          <t>강함 - 장기간 두 자릿수 ROIC + 안정적 마진</t>
        </is>
      </c>
      <c r="Q25" s="25">
        <f>IF(E25&gt;=기준표!$B$10,25,IF(E25&gt;=기준표!$B$11,20,IF(E25&gt;=기준표!$B$12,15,IF(E25&gt;=기준표!$B$13,10,0))))</f>
        <v/>
      </c>
      <c r="R25" s="21">
        <f>IF(N(H25)=0,0,ROUND(20*G25/H25,0))</f>
        <v/>
      </c>
      <c r="S25" s="25">
        <f>IF(NOT(ISNUMBER(J25)),0,IF(J25&gt;=기준표!$B$14,20,IF(J25&gt;=기준표!$B$15,15,IF(J25&gt;=기준표!$B$16,10,IF(J25&gt;0,5,0)))))</f>
        <v/>
      </c>
      <c r="T25" s="25">
        <f>IF(NOT(ISNUMBER(K25)),0,IF(K25&gt;=기준표!$B$17,15,IF(K25&gt;=기준표!$B$18,12,IF(K25&gt;=기준표!$B$19,8,IF(K25&gt;0,4,0)))))</f>
        <v/>
      </c>
      <c r="U25" s="25">
        <f>IF(NOT(ISNUMBER(M25)),0,IF(M25&gt;=기준표!$B$20,10,IF(M25&gt;=기준표!$B$21,7,IF(M25&gt;=기준표!$B$22,4,IF(M25&gt;0,2,0)))))</f>
        <v/>
      </c>
      <c r="V25" s="25">
        <f>IF(NOT(ISNUMBER(N25)),5,IF(N25&lt;=기준표!$B$23,5,IF(N25&lt;=기준표!$B$24,4,IF(N25&lt;=기준표!$B$25,2,0))))</f>
        <v/>
      </c>
      <c r="W25" s="25">
        <f>IF(NOT(ISNUMBER(O25)),0,IF(O25&gt;=기준표!$B$26,5,IF(O25&gt;=기준표!$B$27,3,IF(O25&gt;=기준표!$B$28,1,0))))</f>
        <v/>
      </c>
    </row>
    <row r="26">
      <c r="A26" s="21" t="n">
        <v>22</v>
      </c>
      <c r="B26" s="8" t="inlineStr">
        <is>
          <t>AVGO</t>
        </is>
      </c>
      <c r="C26" s="8" t="inlineStr">
        <is>
          <t>Broadcom Inc.</t>
        </is>
      </c>
      <c r="D26" s="22">
        <f>SUM(Q26:W26)</f>
        <v/>
      </c>
      <c r="E26" s="23" t="n">
        <v>0.1749859753023299</v>
      </c>
      <c r="F26" s="23" t="n">
        <v>0.1924258160237389</v>
      </c>
      <c r="G26" s="16" t="n">
        <v>7</v>
      </c>
      <c r="H26" s="16" t="n">
        <v>9</v>
      </c>
      <c r="I26" s="19">
        <f>G26/H26</f>
        <v/>
      </c>
      <c r="J26" s="23" t="n">
        <v>0.1905173587474472</v>
      </c>
      <c r="K26" s="23" t="n">
        <v>0.06479781599724012</v>
      </c>
      <c r="L26" s="23" t="n">
        <v>0.1101881593050898</v>
      </c>
      <c r="M26" s="23" t="n">
        <v>0.2792273858531469</v>
      </c>
      <c r="N26" s="24" t="n">
        <v>1.846565835627805</v>
      </c>
      <c r="O26" s="24" t="n">
        <v>8.080685358255451</v>
      </c>
      <c r="P26" s="8" t="inlineStr">
        <is>
          <t>보통 - ROIC가 기간에 따라 흔들림</t>
        </is>
      </c>
      <c r="Q26" s="25">
        <f>IF(E26&gt;=기준표!$B$10,25,IF(E26&gt;=기준표!$B$11,20,IF(E26&gt;=기준표!$B$12,15,IF(E26&gt;=기준표!$B$13,10,0))))</f>
        <v/>
      </c>
      <c r="R26" s="21">
        <f>IF(N(H26)=0,0,ROUND(20*G26/H26,0))</f>
        <v/>
      </c>
      <c r="S26" s="25">
        <f>IF(NOT(ISNUMBER(J26)),0,IF(J26&gt;=기준표!$B$14,20,IF(J26&gt;=기준표!$B$15,15,IF(J26&gt;=기준표!$B$16,10,IF(J26&gt;0,5,0)))))</f>
        <v/>
      </c>
      <c r="T26" s="25">
        <f>IF(NOT(ISNUMBER(K26)),0,IF(K26&gt;=기준표!$B$17,15,IF(K26&gt;=기준표!$B$18,12,IF(K26&gt;=기준표!$B$19,8,IF(K26&gt;0,4,0)))))</f>
        <v/>
      </c>
      <c r="U26" s="25">
        <f>IF(NOT(ISNUMBER(M26)),0,IF(M26&gt;=기준표!$B$20,10,IF(M26&gt;=기준표!$B$21,7,IF(M26&gt;=기준표!$B$22,4,IF(M26&gt;0,2,0)))))</f>
        <v/>
      </c>
      <c r="V26" s="25">
        <f>IF(NOT(ISNUMBER(N26)),5,IF(N26&lt;=기준표!$B$23,5,IF(N26&lt;=기준표!$B$24,4,IF(N26&lt;=기준표!$B$25,2,0))))</f>
        <v/>
      </c>
      <c r="W26" s="25">
        <f>IF(NOT(ISNUMBER(O26)),0,IF(O26&gt;=기준표!$B$26,5,IF(O26&gt;=기준표!$B$27,3,IF(O26&gt;=기준표!$B$28,1,0))))</f>
        <v/>
      </c>
    </row>
    <row r="27">
      <c r="A27" s="21" t="n">
        <v>23</v>
      </c>
      <c r="B27" s="8" t="inlineStr">
        <is>
          <t>AMZN</t>
        </is>
      </c>
      <c r="C27" s="8" t="inlineStr">
        <is>
          <t>AMAZON COM INC</t>
        </is>
      </c>
      <c r="D27" s="22">
        <f>SUM(Q27:W27)</f>
        <v/>
      </c>
      <c r="E27" s="23" t="n">
        <v>0.1371856187625446</v>
      </c>
      <c r="F27" s="23" t="n">
        <v>0.3066294185206699</v>
      </c>
      <c r="G27" s="16" t="n">
        <v>8</v>
      </c>
      <c r="H27" s="16" t="n">
        <v>12</v>
      </c>
      <c r="I27" s="19">
        <f>G27/H27</f>
        <v/>
      </c>
      <c r="J27" s="23" t="n">
        <v>0.2043718830732573</v>
      </c>
      <c r="K27" s="23" t="n">
        <v>0.08477170215155211</v>
      </c>
      <c r="L27" s="23" t="n">
        <v>0.109748497963706</v>
      </c>
      <c r="M27" s="23" t="n">
        <v>0.03754795271275346</v>
      </c>
      <c r="N27" s="24" t="n">
        <v>-0.3304262100749361</v>
      </c>
      <c r="O27" s="24" t="n">
        <v>43.79287598944591</v>
      </c>
      <c r="P27" s="8" t="inlineStr">
        <is>
          <t>보통 - ROIC가 기간에 따라 흔들림</t>
        </is>
      </c>
      <c r="Q27" s="25">
        <f>IF(E27&gt;=기준표!$B$10,25,IF(E27&gt;=기준표!$B$11,20,IF(E27&gt;=기준표!$B$12,15,IF(E27&gt;=기준표!$B$13,10,0))))</f>
        <v/>
      </c>
      <c r="R27" s="21">
        <f>IF(N(H27)=0,0,ROUND(20*G27/H27,0))</f>
        <v/>
      </c>
      <c r="S27" s="25">
        <f>IF(NOT(ISNUMBER(J27)),0,IF(J27&gt;=기준표!$B$14,20,IF(J27&gt;=기준표!$B$15,15,IF(J27&gt;=기준표!$B$16,10,IF(J27&gt;0,5,0)))))</f>
        <v/>
      </c>
      <c r="T27" s="25">
        <f>IF(NOT(ISNUMBER(K27)),0,IF(K27&gt;=기준표!$B$17,15,IF(K27&gt;=기준표!$B$18,12,IF(K27&gt;=기준표!$B$19,8,IF(K27&gt;0,4,0)))))</f>
        <v/>
      </c>
      <c r="U27" s="25">
        <f>IF(NOT(ISNUMBER(M27)),0,IF(M27&gt;=기준표!$B$20,10,IF(M27&gt;=기준표!$B$21,7,IF(M27&gt;=기준표!$B$22,4,IF(M27&gt;0,2,0)))))</f>
        <v/>
      </c>
      <c r="V27" s="25">
        <f>IF(NOT(ISNUMBER(N27)),5,IF(N27&lt;=기준표!$B$23,5,IF(N27&lt;=기준표!$B$24,4,IF(N27&lt;=기준표!$B$25,2,0))))</f>
        <v/>
      </c>
      <c r="W27" s="25">
        <f>IF(NOT(ISNUMBER(O27)),0,IF(O27&gt;=기준표!$B$26,5,IF(O27&gt;=기준표!$B$27,3,IF(O27&gt;=기준표!$B$28,1,0))))</f>
        <v/>
      </c>
    </row>
    <row r="28">
      <c r="A28" s="21" t="n">
        <v>24</v>
      </c>
      <c r="B28" s="8" t="inlineStr">
        <is>
          <t>PG</t>
        </is>
      </c>
      <c r="C28" s="8" t="inlineStr">
        <is>
          <t>PROCTER &amp; GAMBLE Co</t>
        </is>
      </c>
      <c r="D28" s="22">
        <f>SUM(Q28:W28)</f>
        <v/>
      </c>
      <c r="E28" s="23" t="n">
        <v>0.1665771659733149</v>
      </c>
      <c r="F28" s="23" t="n">
        <v>0.212369442623644</v>
      </c>
      <c r="G28" s="16" t="n">
        <v>10</v>
      </c>
      <c r="H28" s="16" t="n">
        <v>12</v>
      </c>
      <c r="I28" s="19">
        <f>G28/H28</f>
        <v/>
      </c>
      <c r="J28" s="23" t="n"/>
      <c r="K28" s="23" t="n">
        <v>0.1323614103583906</v>
      </c>
      <c r="L28" s="23" t="n">
        <v>0.05981755572498262</v>
      </c>
      <c r="M28" s="23" t="n">
        <v>0.1729792120325087</v>
      </c>
      <c r="N28" s="24" t="n">
        <v>0.9910706971409847</v>
      </c>
      <c r="O28" s="24" t="n">
        <v>24.23489167616876</v>
      </c>
      <c r="P28" s="8" t="inlineStr">
        <is>
          <t>보통 - ROIC가 기간에 따라 흔들림</t>
        </is>
      </c>
      <c r="Q28" s="25">
        <f>IF(E28&gt;=기준표!$B$10,25,IF(E28&gt;=기준표!$B$11,20,IF(E28&gt;=기준표!$B$12,15,IF(E28&gt;=기준표!$B$13,10,0))))</f>
        <v/>
      </c>
      <c r="R28" s="21">
        <f>IF(N(H28)=0,0,ROUND(20*G28/H28,0))</f>
        <v/>
      </c>
      <c r="S28" s="25">
        <f>IF(NOT(ISNUMBER(J28)),0,IF(J28&gt;=기준표!$B$14,20,IF(J28&gt;=기준표!$B$15,15,IF(J28&gt;=기준표!$B$16,10,IF(J28&gt;0,5,0)))))</f>
        <v/>
      </c>
      <c r="T28" s="25">
        <f>IF(NOT(ISNUMBER(K28)),0,IF(K28&gt;=기준표!$B$17,15,IF(K28&gt;=기준표!$B$18,12,IF(K28&gt;=기준표!$B$19,8,IF(K28&gt;0,4,0)))))</f>
        <v/>
      </c>
      <c r="U28" s="25">
        <f>IF(NOT(ISNUMBER(M28)),0,IF(M28&gt;=기준표!$B$20,10,IF(M28&gt;=기준표!$B$21,7,IF(M28&gt;=기준표!$B$22,4,IF(M28&gt;0,2,0)))))</f>
        <v/>
      </c>
      <c r="V28" s="25">
        <f>IF(NOT(ISNUMBER(N28)),5,IF(N28&lt;=기준표!$B$23,5,IF(N28&lt;=기준표!$B$24,4,IF(N28&lt;=기준표!$B$25,2,0))))</f>
        <v/>
      </c>
      <c r="W28" s="25">
        <f>IF(NOT(ISNUMBER(O28)),0,IF(O28&gt;=기준표!$B$26,5,IF(O28&gt;=기준표!$B$27,3,IF(O28&gt;=기준표!$B$28,1,0))))</f>
        <v/>
      </c>
    </row>
    <row r="29">
      <c r="A29" s="21" t="n">
        <v>25</v>
      </c>
      <c r="B29" s="8" t="inlineStr">
        <is>
          <t>WMT</t>
        </is>
      </c>
      <c r="C29" s="8" t="inlineStr">
        <is>
          <t>Walmart Inc.</t>
        </is>
      </c>
      <c r="D29" s="22">
        <f>SUM(Q29:W29)</f>
        <v/>
      </c>
      <c r="E29" s="23" t="n">
        <v>0.1500770714733591</v>
      </c>
      <c r="F29" s="23" t="n">
        <v>0.1603135834117076</v>
      </c>
      <c r="G29" s="16" t="n">
        <v>12</v>
      </c>
      <c r="H29" s="16" t="n">
        <v>12</v>
      </c>
      <c r="I29" s="19">
        <f>G29/H29</f>
        <v/>
      </c>
      <c r="J29" s="23" t="n"/>
      <c r="K29" s="23" t="n">
        <v>0.1077360463294793</v>
      </c>
      <c r="L29" s="23" t="n">
        <v>0.07131750086565673</v>
      </c>
      <c r="M29" s="23" t="n">
        <v>0.0163480947578815</v>
      </c>
      <c r="N29" s="24" t="n">
        <v>0.6630354424874972</v>
      </c>
      <c r="O29" s="24" t="n">
        <v>13.71311475409836</v>
      </c>
      <c r="P29" s="8" t="inlineStr">
        <is>
          <t>강함 - 장기간 두 자릿수 ROIC + 안정적 마진</t>
        </is>
      </c>
      <c r="Q29" s="25">
        <f>IF(E29&gt;=기준표!$B$10,25,IF(E29&gt;=기준표!$B$11,20,IF(E29&gt;=기준표!$B$12,15,IF(E29&gt;=기준표!$B$13,10,0))))</f>
        <v/>
      </c>
      <c r="R29" s="21">
        <f>IF(N(H29)=0,0,ROUND(20*G29/H29,0))</f>
        <v/>
      </c>
      <c r="S29" s="25">
        <f>IF(NOT(ISNUMBER(J29)),0,IF(J29&gt;=기준표!$B$14,20,IF(J29&gt;=기준표!$B$15,15,IF(J29&gt;=기준표!$B$16,10,IF(J29&gt;0,5,0)))))</f>
        <v/>
      </c>
      <c r="T29" s="25">
        <f>IF(NOT(ISNUMBER(K29)),0,IF(K29&gt;=기준표!$B$17,15,IF(K29&gt;=기준표!$B$18,12,IF(K29&gt;=기준표!$B$19,8,IF(K29&gt;0,4,0)))))</f>
        <v/>
      </c>
      <c r="U29" s="25">
        <f>IF(NOT(ISNUMBER(M29)),0,IF(M29&gt;=기준표!$B$20,10,IF(M29&gt;=기준표!$B$21,7,IF(M29&gt;=기준표!$B$22,4,IF(M29&gt;0,2,0)))))</f>
        <v/>
      </c>
      <c r="V29" s="25">
        <f>IF(NOT(ISNUMBER(N29)),5,IF(N29&lt;=기준표!$B$23,5,IF(N29&lt;=기준표!$B$24,4,IF(N29&lt;=기준표!$B$25,2,0))))</f>
        <v/>
      </c>
      <c r="W29" s="25">
        <f>IF(NOT(ISNUMBER(O29)),0,IF(O29&gt;=기준표!$B$26,5,IF(O29&gt;=기준표!$B$27,3,IF(O29&gt;=기준표!$B$28,1,0))))</f>
        <v/>
      </c>
    </row>
    <row r="30">
      <c r="A30" s="21" t="n">
        <v>26</v>
      </c>
      <c r="B30" s="8" t="inlineStr">
        <is>
          <t>DELL</t>
        </is>
      </c>
      <c r="C30" s="8" t="inlineStr">
        <is>
          <t>Dell Technologies Inc.</t>
        </is>
      </c>
      <c r="D30" s="22">
        <f>SUM(Q30:W30)</f>
        <v/>
      </c>
      <c r="E30" s="23" t="n">
        <v>0.07595218207261642</v>
      </c>
      <c r="F30" s="23" t="n">
        <v>0.09542338462377169</v>
      </c>
      <c r="G30" s="16" t="n">
        <v>5</v>
      </c>
      <c r="H30" s="16" t="n">
        <v>11</v>
      </c>
      <c r="I30" s="19">
        <f>G30/H30</f>
        <v/>
      </c>
      <c r="J30" s="23" t="n">
        <v>0.6948583545078297</v>
      </c>
      <c r="K30" s="23" t="n">
        <v>0.1748682148216079</v>
      </c>
      <c r="L30" s="23" t="n">
        <v>0.1018491297470566</v>
      </c>
      <c r="M30" s="23" t="n">
        <v>0.05997991861755535</v>
      </c>
      <c r="N30" s="24" t="n">
        <v>1.685369557880527</v>
      </c>
      <c r="O30" s="24" t="n">
        <v>5.655769230769231</v>
      </c>
      <c r="P30" s="8" t="inlineStr">
        <is>
          <t>약함 - 두 자릿수 ROIC를 지킨 해가 절반 미만</t>
        </is>
      </c>
      <c r="Q30" s="25">
        <f>IF(E30&gt;=기준표!$B$10,25,IF(E30&gt;=기준표!$B$11,20,IF(E30&gt;=기준표!$B$12,15,IF(E30&gt;=기준표!$B$13,10,0))))</f>
        <v/>
      </c>
      <c r="R30" s="21">
        <f>IF(N(H30)=0,0,ROUND(20*G30/H30,0))</f>
        <v/>
      </c>
      <c r="S30" s="25">
        <f>IF(NOT(ISNUMBER(J30)),0,IF(J30&gt;=기준표!$B$14,20,IF(J30&gt;=기준표!$B$15,15,IF(J30&gt;=기준표!$B$16,10,IF(J30&gt;0,5,0)))))</f>
        <v/>
      </c>
      <c r="T30" s="25">
        <f>IF(NOT(ISNUMBER(K30)),0,IF(K30&gt;=기준표!$B$17,15,IF(K30&gt;=기준표!$B$18,12,IF(K30&gt;=기준표!$B$19,8,IF(K30&gt;0,4,0)))))</f>
        <v/>
      </c>
      <c r="U30" s="25">
        <f>IF(NOT(ISNUMBER(M30)),0,IF(M30&gt;=기준표!$B$20,10,IF(M30&gt;=기준표!$B$21,7,IF(M30&gt;=기준표!$B$22,4,IF(M30&gt;0,2,0)))))</f>
        <v/>
      </c>
      <c r="V30" s="25">
        <f>IF(NOT(ISNUMBER(N30)),5,IF(N30&lt;=기준표!$B$23,5,IF(N30&lt;=기준표!$B$24,4,IF(N30&lt;=기준표!$B$25,2,0))))</f>
        <v/>
      </c>
      <c r="W30" s="25">
        <f>IF(NOT(ISNUMBER(O30)),0,IF(O30&gt;=기준표!$B$26,5,IF(O30&gt;=기준표!$B$27,3,IF(O30&gt;=기준표!$B$28,1,0))))</f>
        <v/>
      </c>
    </row>
    <row r="31">
      <c r="A31" s="21" t="n">
        <v>27</v>
      </c>
      <c r="B31" s="8" t="inlineStr">
        <is>
          <t>CSCO</t>
        </is>
      </c>
      <c r="C31" s="8" t="inlineStr">
        <is>
          <t>CISCO SYSTEMS, INC.</t>
        </is>
      </c>
      <c r="D31" s="22">
        <f>SUM(Q31:W31)</f>
        <v/>
      </c>
      <c r="E31" s="23" t="n">
        <v>0.1633808102504949</v>
      </c>
      <c r="F31" s="23" t="n">
        <v>0.2303080031388862</v>
      </c>
      <c r="G31" s="16" t="n">
        <v>9</v>
      </c>
      <c r="H31" s="16" t="n">
        <v>12</v>
      </c>
      <c r="I31" s="19">
        <f>G31/H31</f>
        <v/>
      </c>
      <c r="J31" s="23" t="n"/>
      <c r="K31" s="23" t="n">
        <v>0.06494315354429411</v>
      </c>
      <c r="L31" s="23" t="n">
        <v>0.08888020964248622</v>
      </c>
      <c r="M31" s="23" t="n">
        <v>0.1953371996043214</v>
      </c>
      <c r="N31" s="24" t="n">
        <v>0.8947211229746883</v>
      </c>
      <c r="O31" s="24" t="n">
        <v>7.967984934086629</v>
      </c>
      <c r="P31" s="8" t="inlineStr">
        <is>
          <t>보통 - ROIC가 기간에 따라 흔들림</t>
        </is>
      </c>
      <c r="Q31" s="25">
        <f>IF(E31&gt;=기준표!$B$10,25,IF(E31&gt;=기준표!$B$11,20,IF(E31&gt;=기준표!$B$12,15,IF(E31&gt;=기준표!$B$13,10,0))))</f>
        <v/>
      </c>
      <c r="R31" s="21">
        <f>IF(N(H31)=0,0,ROUND(20*G31/H31,0))</f>
        <v/>
      </c>
      <c r="S31" s="25">
        <f>IF(NOT(ISNUMBER(J31)),0,IF(J31&gt;=기준표!$B$14,20,IF(J31&gt;=기준표!$B$15,15,IF(J31&gt;=기준표!$B$16,10,IF(J31&gt;0,5,0)))))</f>
        <v/>
      </c>
      <c r="T31" s="25">
        <f>IF(NOT(ISNUMBER(K31)),0,IF(K31&gt;=기준표!$B$17,15,IF(K31&gt;=기준표!$B$18,12,IF(K31&gt;=기준표!$B$19,8,IF(K31&gt;0,4,0)))))</f>
        <v/>
      </c>
      <c r="U31" s="25">
        <f>IF(NOT(ISNUMBER(M31)),0,IF(M31&gt;=기준표!$B$20,10,IF(M31&gt;=기준표!$B$21,7,IF(M31&gt;=기준표!$B$22,4,IF(M31&gt;0,2,0)))))</f>
        <v/>
      </c>
      <c r="V31" s="25">
        <f>IF(NOT(ISNUMBER(N31)),5,IF(N31&lt;=기준표!$B$23,5,IF(N31&lt;=기준표!$B$24,4,IF(N31&lt;=기준표!$B$25,2,0))))</f>
        <v/>
      </c>
      <c r="W31" s="25">
        <f>IF(NOT(ISNUMBER(O31)),0,IF(O31&gt;=기준표!$B$26,5,IF(O31&gt;=기준표!$B$27,3,IF(O31&gt;=기준표!$B$28,1,0))))</f>
        <v/>
      </c>
    </row>
    <row r="32">
      <c r="A32" s="21" t="n">
        <v>28</v>
      </c>
      <c r="B32" s="8" t="inlineStr">
        <is>
          <t>PLTR</t>
        </is>
      </c>
      <c r="C32" s="8" t="inlineStr">
        <is>
          <t>Palantir Technologies Inc.</t>
        </is>
      </c>
      <c r="D32" s="22">
        <f>SUM(Q32:W32)</f>
        <v/>
      </c>
      <c r="E32" s="23" t="n">
        <v>0.06955738971717344</v>
      </c>
      <c r="F32" s="23" t="n"/>
      <c r="G32" s="16" t="n">
        <v>1</v>
      </c>
      <c r="H32" s="16" t="n">
        <v>5</v>
      </c>
      <c r="I32" s="19">
        <f>G32/H32</f>
        <v/>
      </c>
      <c r="J32" s="23" t="n">
        <v>0.2254555366035925</v>
      </c>
      <c r="K32" s="23" t="n">
        <v>0.1015305641217786</v>
      </c>
      <c r="L32" s="23" t="n">
        <v>0.1152983916390787</v>
      </c>
      <c r="M32" s="23" t="n">
        <v>0.1437610224124634</v>
      </c>
      <c r="N32" s="24" t="n">
        <v>-5.002688590156649</v>
      </c>
      <c r="O32" s="24" t="n">
        <v>69.32593659942363</v>
      </c>
      <c r="P32" s="8" t="inlineStr">
        <is>
          <t>약함 - 두 자릿수 ROIC를 지킨 해가 절반 미만</t>
        </is>
      </c>
      <c r="Q32" s="25">
        <f>IF(E32&gt;=기준표!$B$10,25,IF(E32&gt;=기준표!$B$11,20,IF(E32&gt;=기준표!$B$12,15,IF(E32&gt;=기준표!$B$13,10,0))))</f>
        <v/>
      </c>
      <c r="R32" s="21">
        <f>IF(N(H32)=0,0,ROUND(20*G32/H32,0))</f>
        <v/>
      </c>
      <c r="S32" s="25">
        <f>IF(NOT(ISNUMBER(J32)),0,IF(J32&gt;=기준표!$B$14,20,IF(J32&gt;=기준표!$B$15,15,IF(J32&gt;=기준표!$B$16,10,IF(J32&gt;0,5,0)))))</f>
        <v/>
      </c>
      <c r="T32" s="25">
        <f>IF(NOT(ISNUMBER(K32)),0,IF(K32&gt;=기준표!$B$17,15,IF(K32&gt;=기준표!$B$18,12,IF(K32&gt;=기준표!$B$19,8,IF(K32&gt;0,4,0)))))</f>
        <v/>
      </c>
      <c r="U32" s="25">
        <f>IF(NOT(ISNUMBER(M32)),0,IF(M32&gt;=기준표!$B$20,10,IF(M32&gt;=기준표!$B$21,7,IF(M32&gt;=기준표!$B$22,4,IF(M32&gt;0,2,0)))))</f>
        <v/>
      </c>
      <c r="V32" s="25">
        <f>IF(NOT(ISNUMBER(N32)),5,IF(N32&lt;=기준표!$B$23,5,IF(N32&lt;=기준표!$B$24,4,IF(N32&lt;=기준표!$B$25,2,0))))</f>
        <v/>
      </c>
      <c r="W32" s="25">
        <f>IF(NOT(ISNUMBER(O32)),0,IF(O32&gt;=기준표!$B$26,5,IF(O32&gt;=기준표!$B$27,3,IF(O32&gt;=기준표!$B$28,1,0))))</f>
        <v/>
      </c>
    </row>
    <row r="33">
      <c r="A33" s="21" t="n">
        <v>29</v>
      </c>
      <c r="B33" s="8" t="inlineStr">
        <is>
          <t>PANW</t>
        </is>
      </c>
      <c r="C33" s="8" t="inlineStr">
        <is>
          <t>Palo Alto Networks Inc</t>
        </is>
      </c>
      <c r="D33" s="22">
        <f>SUM(Q33:W33)</f>
        <v/>
      </c>
      <c r="E33" s="23" t="n">
        <v>-0.027989414525393</v>
      </c>
      <c r="F33" s="23" t="n">
        <v>-0.1249679529555178</v>
      </c>
      <c r="G33" s="16" t="n">
        <v>2</v>
      </c>
      <c r="H33" s="16" t="n">
        <v>12</v>
      </c>
      <c r="I33" s="19">
        <f>G33/H33</f>
        <v/>
      </c>
      <c r="J33" s="23" t="n">
        <v>0.2161180962571564</v>
      </c>
      <c r="K33" s="23" t="n">
        <v>0.07530120598949824</v>
      </c>
      <c r="L33" s="23" t="n">
        <v>0.08747738574143277</v>
      </c>
      <c r="M33" s="23" t="n">
        <v>0.1181684971056335</v>
      </c>
      <c r="N33" s="24" t="n">
        <v>-1.494876679882601</v>
      </c>
      <c r="O33" s="24" t="n">
        <v>532.9</v>
      </c>
      <c r="P33" s="8" t="inlineStr">
        <is>
          <t>약함 - 두 자릿수 ROIC를 지킨 해가 절반 미만</t>
        </is>
      </c>
      <c r="Q33" s="25">
        <f>IF(E33&gt;=기준표!$B$10,25,IF(E33&gt;=기준표!$B$11,20,IF(E33&gt;=기준표!$B$12,15,IF(E33&gt;=기준표!$B$13,10,0))))</f>
        <v/>
      </c>
      <c r="R33" s="21">
        <f>IF(N(H33)=0,0,ROUND(20*G33/H33,0))</f>
        <v/>
      </c>
      <c r="S33" s="25">
        <f>IF(NOT(ISNUMBER(J33)),0,IF(J33&gt;=기준표!$B$14,20,IF(J33&gt;=기준표!$B$15,15,IF(J33&gt;=기준표!$B$16,10,IF(J33&gt;0,5,0)))))</f>
        <v/>
      </c>
      <c r="T33" s="25">
        <f>IF(NOT(ISNUMBER(K33)),0,IF(K33&gt;=기준표!$B$17,15,IF(K33&gt;=기준표!$B$18,12,IF(K33&gt;=기준표!$B$19,8,IF(K33&gt;0,4,0)))))</f>
        <v/>
      </c>
      <c r="U33" s="25">
        <f>IF(NOT(ISNUMBER(M33)),0,IF(M33&gt;=기준표!$B$20,10,IF(M33&gt;=기준표!$B$21,7,IF(M33&gt;=기준표!$B$22,4,IF(M33&gt;0,2,0)))))</f>
        <v/>
      </c>
      <c r="V33" s="25">
        <f>IF(NOT(ISNUMBER(N33)),5,IF(N33&lt;=기준표!$B$23,5,IF(N33&lt;=기준표!$B$24,4,IF(N33&lt;=기준표!$B$25,2,0))))</f>
        <v/>
      </c>
      <c r="W33" s="25">
        <f>IF(NOT(ISNUMBER(O33)),0,IF(O33&gt;=기준표!$B$26,5,IF(O33&gt;=기준표!$B$27,3,IF(O33&gt;=기준표!$B$28,1,0))))</f>
        <v/>
      </c>
    </row>
    <row r="34">
      <c r="A34" s="21" t="n">
        <v>30</v>
      </c>
      <c r="B34" s="8" t="inlineStr">
        <is>
          <t>MU</t>
        </is>
      </c>
      <c r="C34" s="8" t="inlineStr">
        <is>
          <t>MICRON TECHNOLOGY INC</t>
        </is>
      </c>
      <c r="D34" s="22">
        <f>SUM(Q34:W34)</f>
        <v/>
      </c>
      <c r="E34" s="23" t="n">
        <v>0.1466629673512195</v>
      </c>
      <c r="F34" s="23" t="n">
        <v>0.1746811638006112</v>
      </c>
      <c r="G34" s="16" t="n">
        <v>8</v>
      </c>
      <c r="H34" s="16" t="n">
        <v>12</v>
      </c>
      <c r="I34" s="19">
        <f>G34/H34</f>
        <v/>
      </c>
      <c r="J34" s="23" t="n">
        <v>0.129816530972601</v>
      </c>
      <c r="K34" s="23" t="n">
        <v>-0.00369936214392641</v>
      </c>
      <c r="L34" s="23" t="n">
        <v>0.1443682337085319</v>
      </c>
      <c r="M34" s="23" t="n">
        <v>0.01797509474824039</v>
      </c>
      <c r="N34" s="24" t="n">
        <v>0.231023102310231</v>
      </c>
      <c r="O34" s="24" t="n">
        <v>21.23899371069182</v>
      </c>
      <c r="P34" s="8" t="inlineStr">
        <is>
          <t>보통 - ROIC가 기간에 따라 흔들림</t>
        </is>
      </c>
      <c r="Q34" s="25">
        <f>IF(E34&gt;=기준표!$B$10,25,IF(E34&gt;=기준표!$B$11,20,IF(E34&gt;=기준표!$B$12,15,IF(E34&gt;=기준표!$B$13,10,0))))</f>
        <v/>
      </c>
      <c r="R34" s="21">
        <f>IF(N(H34)=0,0,ROUND(20*G34/H34,0))</f>
        <v/>
      </c>
      <c r="S34" s="25">
        <f>IF(NOT(ISNUMBER(J34)),0,IF(J34&gt;=기준표!$B$14,20,IF(J34&gt;=기준표!$B$15,15,IF(J34&gt;=기준표!$B$16,10,IF(J34&gt;0,5,0)))))</f>
        <v/>
      </c>
      <c r="T34" s="25">
        <f>IF(NOT(ISNUMBER(K34)),0,IF(K34&gt;=기준표!$B$17,15,IF(K34&gt;=기준표!$B$18,12,IF(K34&gt;=기준표!$B$19,8,IF(K34&gt;0,4,0)))))</f>
        <v/>
      </c>
      <c r="U34" s="25">
        <f>IF(NOT(ISNUMBER(M34)),0,IF(M34&gt;=기준표!$B$20,10,IF(M34&gt;=기준표!$B$21,7,IF(M34&gt;=기준표!$B$22,4,IF(M34&gt;0,2,0)))))</f>
        <v/>
      </c>
      <c r="V34" s="25">
        <f>IF(NOT(ISNUMBER(N34)),5,IF(N34&lt;=기준표!$B$23,5,IF(N34&lt;=기준표!$B$24,4,IF(N34&lt;=기준표!$B$25,2,0))))</f>
        <v/>
      </c>
      <c r="W34" s="25">
        <f>IF(NOT(ISNUMBER(O34)),0,IF(O34&gt;=기준표!$B$26,5,IF(O34&gt;=기준표!$B$27,3,IF(O34&gt;=기준표!$B$28,1,0))))</f>
        <v/>
      </c>
    </row>
    <row r="35">
      <c r="A35" s="21" t="n">
        <v>31</v>
      </c>
      <c r="B35" s="8" t="inlineStr">
        <is>
          <t>ABBV</t>
        </is>
      </c>
      <c r="C35" s="8" t="inlineStr">
        <is>
          <t>AbbVie Inc.</t>
        </is>
      </c>
      <c r="D35" s="22">
        <f>SUM(Q35:W35)</f>
        <v/>
      </c>
      <c r="E35" s="23" t="n">
        <v>0.1629356987849618</v>
      </c>
      <c r="F35" s="23" t="n">
        <v>0.1996746242114941</v>
      </c>
      <c r="G35" s="16" t="n">
        <v>8</v>
      </c>
      <c r="H35" s="16" t="n">
        <v>12</v>
      </c>
      <c r="I35" s="19">
        <f>G35/H35</f>
        <v/>
      </c>
      <c r="J35" s="23" t="n">
        <v>0.08284276425514671</v>
      </c>
      <c r="K35" s="23" t="n">
        <v>0.04595261558928918</v>
      </c>
      <c r="L35" s="23" t="n">
        <v>0.05400731015810178</v>
      </c>
      <c r="M35" s="23" t="n">
        <v>0.09115276742287073</v>
      </c>
      <c r="N35" s="24" t="n">
        <v>5.480198985563792</v>
      </c>
      <c r="O35" s="24" t="n">
        <v>3.280331835464915</v>
      </c>
      <c r="P35" s="8" t="inlineStr">
        <is>
          <t>보통 - ROIC가 기간에 따라 흔들림</t>
        </is>
      </c>
      <c r="Q35" s="25">
        <f>IF(E35&gt;=기준표!$B$10,25,IF(E35&gt;=기준표!$B$11,20,IF(E35&gt;=기준표!$B$12,15,IF(E35&gt;=기준표!$B$13,10,0))))</f>
        <v/>
      </c>
      <c r="R35" s="21">
        <f>IF(N(H35)=0,0,ROUND(20*G35/H35,0))</f>
        <v/>
      </c>
      <c r="S35" s="25">
        <f>IF(NOT(ISNUMBER(J35)),0,IF(J35&gt;=기준표!$B$14,20,IF(J35&gt;=기준표!$B$15,15,IF(J35&gt;=기준표!$B$16,10,IF(J35&gt;0,5,0)))))</f>
        <v/>
      </c>
      <c r="T35" s="25">
        <f>IF(NOT(ISNUMBER(K35)),0,IF(K35&gt;=기준표!$B$17,15,IF(K35&gt;=기준표!$B$18,12,IF(K35&gt;=기준표!$B$19,8,IF(K35&gt;0,4,0)))))</f>
        <v/>
      </c>
      <c r="U35" s="25">
        <f>IF(NOT(ISNUMBER(M35)),0,IF(M35&gt;=기준표!$B$20,10,IF(M35&gt;=기준표!$B$21,7,IF(M35&gt;=기준표!$B$22,4,IF(M35&gt;0,2,0)))))</f>
        <v/>
      </c>
      <c r="V35" s="25">
        <f>IF(NOT(ISNUMBER(N35)),5,IF(N35&lt;=기준표!$B$23,5,IF(N35&lt;=기준표!$B$24,4,IF(N35&lt;=기준표!$B$25,2,0))))</f>
        <v/>
      </c>
      <c r="W35" s="25">
        <f>IF(NOT(ISNUMBER(O35)),0,IF(O35&gt;=기준표!$B$26,5,IF(O35&gt;=기준표!$B$27,3,IF(O35&gt;=기준표!$B$28,1,0))))</f>
        <v/>
      </c>
    </row>
    <row r="36">
      <c r="A36" s="21" t="n">
        <v>32</v>
      </c>
      <c r="B36" s="8" t="inlineStr">
        <is>
          <t>IBM</t>
        </is>
      </c>
      <c r="C36" s="8" t="inlineStr">
        <is>
          <t>INTERNATIONAL BUSINESS MACHINES CORP</t>
        </is>
      </c>
      <c r="D36" s="22">
        <f>SUM(Q36:W36)</f>
        <v/>
      </c>
      <c r="E36" s="23" t="n">
        <v>0.1239254068079874</v>
      </c>
      <c r="F36" s="23" t="n">
        <v>0.1463249030012257</v>
      </c>
      <c r="G36" s="16" t="n">
        <v>8</v>
      </c>
      <c r="H36" s="16" t="n">
        <v>12</v>
      </c>
      <c r="I36" s="19">
        <f>G36/H36</f>
        <v/>
      </c>
      <c r="J36" s="23" t="n">
        <v>-0.108733246654494</v>
      </c>
      <c r="K36" s="23" t="n">
        <v>0.06429415213019825</v>
      </c>
      <c r="L36" s="23" t="n">
        <v>0.0679492469662215</v>
      </c>
      <c r="M36" s="23" t="n">
        <v>0.1084410307076952</v>
      </c>
      <c r="N36" s="24" t="n">
        <v>3.277170550628996</v>
      </c>
      <c r="O36" s="24" t="n">
        <v>6.337467700258398</v>
      </c>
      <c r="P36" s="8" t="inlineStr">
        <is>
          <t>보통 - ROIC가 기간에 따라 흔들림</t>
        </is>
      </c>
      <c r="Q36" s="25">
        <f>IF(E36&gt;=기준표!$B$10,25,IF(E36&gt;=기준표!$B$11,20,IF(E36&gt;=기준표!$B$12,15,IF(E36&gt;=기준표!$B$13,10,0))))</f>
        <v/>
      </c>
      <c r="R36" s="21">
        <f>IF(N(H36)=0,0,ROUND(20*G36/H36,0))</f>
        <v/>
      </c>
      <c r="S36" s="25">
        <f>IF(NOT(ISNUMBER(J36)),0,IF(J36&gt;=기준표!$B$14,20,IF(J36&gt;=기준표!$B$15,15,IF(J36&gt;=기준표!$B$16,10,IF(J36&gt;0,5,0)))))</f>
        <v/>
      </c>
      <c r="T36" s="25">
        <f>IF(NOT(ISNUMBER(K36)),0,IF(K36&gt;=기준표!$B$17,15,IF(K36&gt;=기준표!$B$18,12,IF(K36&gt;=기준표!$B$19,8,IF(K36&gt;0,4,0)))))</f>
        <v/>
      </c>
      <c r="U36" s="25">
        <f>IF(NOT(ISNUMBER(M36)),0,IF(M36&gt;=기준표!$B$20,10,IF(M36&gt;=기준표!$B$21,7,IF(M36&gt;=기준표!$B$22,4,IF(M36&gt;0,2,0)))))</f>
        <v/>
      </c>
      <c r="V36" s="25">
        <f>IF(NOT(ISNUMBER(N36)),5,IF(N36&lt;=기준표!$B$23,5,IF(N36&lt;=기준표!$B$24,4,IF(N36&lt;=기준표!$B$25,2,0))))</f>
        <v/>
      </c>
      <c r="W36" s="25">
        <f>IF(NOT(ISNUMBER(O36)),0,IF(O36&gt;=기준표!$B$26,5,IF(O36&gt;=기준표!$B$27,3,IF(O36&gt;=기준표!$B$28,1,0))))</f>
        <v/>
      </c>
    </row>
    <row r="37">
      <c r="A37" s="21" t="n">
        <v>33</v>
      </c>
      <c r="B37" s="8" t="inlineStr">
        <is>
          <t>GEV</t>
        </is>
      </c>
      <c r="C37" s="8" t="inlineStr">
        <is>
          <t>GE Vernova Inc.</t>
        </is>
      </c>
      <c r="D37" s="22">
        <f>SUM(Q37:W37)</f>
        <v/>
      </c>
      <c r="E37" s="23" t="n">
        <v>0.03065499641344111</v>
      </c>
      <c r="F37" s="23" t="n">
        <v>0.08680075612239385</v>
      </c>
      <c r="G37" s="16" t="n">
        <v>1</v>
      </c>
      <c r="H37" s="16" t="n">
        <v>3</v>
      </c>
      <c r="I37" s="19">
        <f>G37/H37</f>
        <v/>
      </c>
      <c r="J37" s="23" t="n">
        <v>0.6869406239516941</v>
      </c>
      <c r="K37" s="23" t="n">
        <v>0.01289469469241146</v>
      </c>
      <c r="L37" s="23" t="n">
        <v>0.1017063830061806</v>
      </c>
      <c r="M37" s="23" t="n">
        <v>0.02536929704279082</v>
      </c>
      <c r="N37" s="24" t="n">
        <v>-4.385921118322516</v>
      </c>
      <c r="O37" s="24" t="n"/>
      <c r="P37" s="8" t="inlineStr">
        <is>
          <t>판정보류 — 관측 3년뿐 (분사·상장 이력)</t>
        </is>
      </c>
      <c r="Q37" s="25">
        <f>IF(E37&gt;=기준표!$B$10,25,IF(E37&gt;=기준표!$B$11,20,IF(E37&gt;=기준표!$B$12,15,IF(E37&gt;=기준표!$B$13,10,0))))</f>
        <v/>
      </c>
      <c r="R37" s="21">
        <f>IF(N(H37)=0,0,ROUND(20*G37/H37,0))</f>
        <v/>
      </c>
      <c r="S37" s="25">
        <f>IF(NOT(ISNUMBER(J37)),0,IF(J37&gt;=기준표!$B$14,20,IF(J37&gt;=기준표!$B$15,15,IF(J37&gt;=기준표!$B$16,10,IF(J37&gt;0,5,0)))))</f>
        <v/>
      </c>
      <c r="T37" s="25">
        <f>IF(NOT(ISNUMBER(K37)),0,IF(K37&gt;=기준표!$B$17,15,IF(K37&gt;=기준표!$B$18,12,IF(K37&gt;=기준표!$B$19,8,IF(K37&gt;0,4,0)))))</f>
        <v/>
      </c>
      <c r="U37" s="25">
        <f>IF(NOT(ISNUMBER(M37)),0,IF(M37&gt;=기준표!$B$20,10,IF(M37&gt;=기준표!$B$21,7,IF(M37&gt;=기준표!$B$22,4,IF(M37&gt;0,2,0)))))</f>
        <v/>
      </c>
      <c r="V37" s="25">
        <f>IF(NOT(ISNUMBER(N37)),5,IF(N37&lt;=기준표!$B$23,5,IF(N37&lt;=기준표!$B$24,4,IF(N37&lt;=기준표!$B$25,2,0))))</f>
        <v/>
      </c>
      <c r="W37" s="25">
        <f>IF(NOT(ISNUMBER(O37)),0,IF(O37&gt;=기준표!$B$26,5,IF(O37&gt;=기준표!$B$27,3,IF(O37&gt;=기준표!$B$28,1,0))))</f>
        <v/>
      </c>
    </row>
    <row r="38">
      <c r="A38" s="21" t="n">
        <v>34</v>
      </c>
      <c r="B38" s="8" t="inlineStr">
        <is>
          <t>CAT</t>
        </is>
      </c>
      <c r="C38" s="8" t="inlineStr">
        <is>
          <t>CATERPILLAR INC</t>
        </is>
      </c>
      <c r="D38" s="22">
        <f>SUM(Q38:W38)</f>
        <v/>
      </c>
      <c r="E38" s="23" t="n">
        <v>0.1225163617871039</v>
      </c>
      <c r="F38" s="23" t="n">
        <v>0.1523814296290538</v>
      </c>
      <c r="G38" s="16" t="n">
        <v>7</v>
      </c>
      <c r="H38" s="16" t="n">
        <v>12</v>
      </c>
      <c r="I38" s="19">
        <f>G38/H38</f>
        <v/>
      </c>
      <c r="J38" s="23" t="n"/>
      <c r="K38" s="23" t="n">
        <v>0.04426487062443628</v>
      </c>
      <c r="L38" s="23" t="n">
        <v>0.1116025479011918</v>
      </c>
      <c r="M38" s="23" t="n">
        <v>0.1150335113701934</v>
      </c>
      <c r="N38" s="24" t="n">
        <v>1.95511816894058</v>
      </c>
      <c r="O38" s="24" t="n"/>
      <c r="P38" s="8" t="inlineStr">
        <is>
          <t>약함 - 두 자릿수 ROIC를 지킨 해가 절반 미만</t>
        </is>
      </c>
      <c r="Q38" s="25">
        <f>IF(E38&gt;=기준표!$B$10,25,IF(E38&gt;=기준표!$B$11,20,IF(E38&gt;=기준표!$B$12,15,IF(E38&gt;=기준표!$B$13,10,0))))</f>
        <v/>
      </c>
      <c r="R38" s="21">
        <f>IF(N(H38)=0,0,ROUND(20*G38/H38,0))</f>
        <v/>
      </c>
      <c r="S38" s="25">
        <f>IF(NOT(ISNUMBER(J38)),0,IF(J38&gt;=기준표!$B$14,20,IF(J38&gt;=기준표!$B$15,15,IF(J38&gt;=기준표!$B$16,10,IF(J38&gt;0,5,0)))))</f>
        <v/>
      </c>
      <c r="T38" s="25">
        <f>IF(NOT(ISNUMBER(K38)),0,IF(K38&gt;=기준표!$B$17,15,IF(K38&gt;=기준표!$B$18,12,IF(K38&gt;=기준표!$B$19,8,IF(K38&gt;0,4,0)))))</f>
        <v/>
      </c>
      <c r="U38" s="25">
        <f>IF(NOT(ISNUMBER(M38)),0,IF(M38&gt;=기준표!$B$20,10,IF(M38&gt;=기준표!$B$21,7,IF(M38&gt;=기준표!$B$22,4,IF(M38&gt;0,2,0)))))</f>
        <v/>
      </c>
      <c r="V38" s="25">
        <f>IF(NOT(ISNUMBER(N38)),5,IF(N38&lt;=기준표!$B$23,5,IF(N38&lt;=기준표!$B$24,4,IF(N38&lt;=기준표!$B$25,2,0))))</f>
        <v/>
      </c>
      <c r="W38" s="25">
        <f>IF(NOT(ISNUMBER(O38)),0,IF(O38&gt;=기준표!$B$26,5,IF(O38&gt;=기준표!$B$27,3,IF(O38&gt;=기준표!$B$28,1,0))))</f>
        <v/>
      </c>
    </row>
    <row r="39">
      <c r="A39" s="21" t="n">
        <v>35</v>
      </c>
      <c r="B39" s="8" t="inlineStr">
        <is>
          <t>GE</t>
        </is>
      </c>
      <c r="C39" s="8" t="inlineStr">
        <is>
          <t>GENERAL ELECTRIC CO</t>
        </is>
      </c>
      <c r="D39" s="22">
        <f>SUM(Q39:W39)</f>
        <v/>
      </c>
      <c r="E39" s="23" t="n">
        <v>0.02312994259943782</v>
      </c>
      <c r="F39" s="23" t="n">
        <v>0.03570848230826214</v>
      </c>
      <c r="G39" s="16" t="n">
        <v>3</v>
      </c>
      <c r="H39" s="16" t="n">
        <v>12</v>
      </c>
      <c r="I39" s="19">
        <f>G39/H39</f>
        <v/>
      </c>
      <c r="J39" s="23" t="n"/>
      <c r="K39" s="23" t="n">
        <v>0.1262386294934142</v>
      </c>
      <c r="L39" s="23" t="n">
        <v>0.1057890140559743</v>
      </c>
      <c r="M39" s="23" t="n">
        <v>0.2058752874154913</v>
      </c>
      <c r="N39" s="24" t="n">
        <v>0.5929301297983982</v>
      </c>
      <c r="O39" s="24" t="n"/>
      <c r="P39" s="8" t="inlineStr">
        <is>
          <t>약함 - 두 자릿수 ROIC를 지킨 해가 절반 미만</t>
        </is>
      </c>
      <c r="Q39" s="25">
        <f>IF(E39&gt;=기준표!$B$10,25,IF(E39&gt;=기준표!$B$11,20,IF(E39&gt;=기준표!$B$12,15,IF(E39&gt;=기준표!$B$13,10,0))))</f>
        <v/>
      </c>
      <c r="R39" s="21">
        <f>IF(N(H39)=0,0,ROUND(20*G39/H39,0))</f>
        <v/>
      </c>
      <c r="S39" s="25">
        <f>IF(NOT(ISNUMBER(J39)),0,IF(J39&gt;=기준표!$B$14,20,IF(J39&gt;=기준표!$B$15,15,IF(J39&gt;=기준표!$B$16,10,IF(J39&gt;0,5,0)))))</f>
        <v/>
      </c>
      <c r="T39" s="25">
        <f>IF(NOT(ISNUMBER(K39)),0,IF(K39&gt;=기준표!$B$17,15,IF(K39&gt;=기준표!$B$18,12,IF(K39&gt;=기준표!$B$19,8,IF(K39&gt;0,4,0)))))</f>
        <v/>
      </c>
      <c r="U39" s="25">
        <f>IF(NOT(ISNUMBER(M39)),0,IF(M39&gt;=기준표!$B$20,10,IF(M39&gt;=기준표!$B$21,7,IF(M39&gt;=기준표!$B$22,4,IF(M39&gt;0,2,0)))))</f>
        <v/>
      </c>
      <c r="V39" s="25">
        <f>IF(NOT(ISNUMBER(N39)),5,IF(N39&lt;=기준표!$B$23,5,IF(N39&lt;=기준표!$B$24,4,IF(N39&lt;=기준표!$B$25,2,0))))</f>
        <v/>
      </c>
      <c r="W39" s="25">
        <f>IF(NOT(ISNUMBER(O39)),0,IF(O39&gt;=기준표!$B$26,5,IF(O39&gt;=기준표!$B$27,3,IF(O39&gt;=기준표!$B$28,1,0))))</f>
        <v/>
      </c>
    </row>
    <row r="40">
      <c r="A40" s="21" t="n">
        <v>36</v>
      </c>
      <c r="B40" s="8" t="inlineStr">
        <is>
          <t>INTC</t>
        </is>
      </c>
      <c r="C40" s="8" t="inlineStr">
        <is>
          <t>INTEL CORP</t>
        </is>
      </c>
      <c r="D40" s="22">
        <f>SUM(Q40:W40)</f>
        <v/>
      </c>
      <c r="E40" s="23" t="n">
        <v>0.1307357541579524</v>
      </c>
      <c r="F40" s="23" t="n">
        <v>0.1255632386770606</v>
      </c>
      <c r="G40" s="16" t="n">
        <v>8</v>
      </c>
      <c r="H40" s="16" t="n">
        <v>12</v>
      </c>
      <c r="I40" s="19">
        <f>G40/H40</f>
        <v/>
      </c>
      <c r="J40" s="23" t="n">
        <v>-0.1143017699292362</v>
      </c>
      <c r="K40" s="23" t="n">
        <v>-0.1264291099779927</v>
      </c>
      <c r="L40" s="23" t="n">
        <v>0.1366745742255915</v>
      </c>
      <c r="M40" s="23" t="n">
        <v>-0.1434166461695646</v>
      </c>
      <c r="N40" s="24" t="n">
        <v>0.6506527415143604</v>
      </c>
      <c r="O40" s="24" t="n">
        <v>2.427131072410632</v>
      </c>
      <c r="P40" s="8" t="inlineStr">
        <is>
          <t>보통 - ROIC가 기간에 따라 흔들림</t>
        </is>
      </c>
      <c r="Q40" s="25">
        <f>IF(E40&gt;=기준표!$B$10,25,IF(E40&gt;=기준표!$B$11,20,IF(E40&gt;=기준표!$B$12,15,IF(E40&gt;=기준표!$B$13,10,0))))</f>
        <v/>
      </c>
      <c r="R40" s="21">
        <f>IF(N(H40)=0,0,ROUND(20*G40/H40,0))</f>
        <v/>
      </c>
      <c r="S40" s="25">
        <f>IF(NOT(ISNUMBER(J40)),0,IF(J40&gt;=기준표!$B$14,20,IF(J40&gt;=기준표!$B$15,15,IF(J40&gt;=기준표!$B$16,10,IF(J40&gt;0,5,0)))))</f>
        <v/>
      </c>
      <c r="T40" s="25">
        <f>IF(NOT(ISNUMBER(K40)),0,IF(K40&gt;=기준표!$B$17,15,IF(K40&gt;=기준표!$B$18,12,IF(K40&gt;=기준표!$B$19,8,IF(K40&gt;0,4,0)))))</f>
        <v/>
      </c>
      <c r="U40" s="25">
        <f>IF(NOT(ISNUMBER(M40)),0,IF(M40&gt;=기준표!$B$20,10,IF(M40&gt;=기준표!$B$21,7,IF(M40&gt;=기준표!$B$22,4,IF(M40&gt;0,2,0)))))</f>
        <v/>
      </c>
      <c r="V40" s="25">
        <f>IF(NOT(ISNUMBER(N40)),5,IF(N40&lt;=기준표!$B$23,5,IF(N40&lt;=기준표!$B$24,4,IF(N40&lt;=기준표!$B$25,2,0))))</f>
        <v/>
      </c>
      <c r="W40" s="25">
        <f>IF(NOT(ISNUMBER(O40)),0,IF(O40&gt;=기준표!$B$26,5,IF(O40&gt;=기준표!$B$27,3,IF(O40&gt;=기준표!$B$28,1,0))))</f>
        <v/>
      </c>
    </row>
    <row r="41">
      <c r="A41" s="21" t="n">
        <v>37</v>
      </c>
      <c r="B41" s="8" t="inlineStr">
        <is>
          <t>RTX</t>
        </is>
      </c>
      <c r="C41" s="8" t="inlineStr">
        <is>
          <t>RTX Corp</t>
        </is>
      </c>
      <c r="D41" s="22">
        <f>SUM(Q41:W41)</f>
        <v/>
      </c>
      <c r="E41" s="23" t="n">
        <v>0.06405703572314747</v>
      </c>
      <c r="F41" s="23" t="n">
        <v>0.06819177978193243</v>
      </c>
      <c r="G41" s="16" t="n">
        <v>4</v>
      </c>
      <c r="H41" s="16" t="n">
        <v>12</v>
      </c>
      <c r="I41" s="19">
        <f>G41/H41</f>
        <v/>
      </c>
      <c r="J41" s="23" t="n">
        <v>0.008072857746361141</v>
      </c>
      <c r="K41" s="23" t="n">
        <v>0.01718484888963603</v>
      </c>
      <c r="L41" s="23" t="n">
        <v>0.05854842239885507</v>
      </c>
      <c r="M41" s="23" t="n">
        <v>0.1000341678573647</v>
      </c>
      <c r="N41" s="24" t="n">
        <v>1.923307501096652</v>
      </c>
      <c r="O41" s="24" t="n">
        <v>4.326530612244898</v>
      </c>
      <c r="P41" s="8" t="inlineStr">
        <is>
          <t>약함 - 두 자릿수 ROIC를 지킨 해가 절반 미만</t>
        </is>
      </c>
      <c r="Q41" s="25">
        <f>IF(E41&gt;=기준표!$B$10,25,IF(E41&gt;=기준표!$B$11,20,IF(E41&gt;=기준표!$B$12,15,IF(E41&gt;=기준표!$B$13,10,0))))</f>
        <v/>
      </c>
      <c r="R41" s="21">
        <f>IF(N(H41)=0,0,ROUND(20*G41/H41,0))</f>
        <v/>
      </c>
      <c r="S41" s="25">
        <f>IF(NOT(ISNUMBER(J41)),0,IF(J41&gt;=기준표!$B$14,20,IF(J41&gt;=기준표!$B$15,15,IF(J41&gt;=기준표!$B$16,10,IF(J41&gt;0,5,0)))))</f>
        <v/>
      </c>
      <c r="T41" s="25">
        <f>IF(NOT(ISNUMBER(K41)),0,IF(K41&gt;=기준표!$B$17,15,IF(K41&gt;=기준표!$B$18,12,IF(K41&gt;=기준표!$B$19,8,IF(K41&gt;0,4,0)))))</f>
        <v/>
      </c>
      <c r="U41" s="25">
        <f>IF(NOT(ISNUMBER(M41)),0,IF(M41&gt;=기준표!$B$20,10,IF(M41&gt;=기준표!$B$21,7,IF(M41&gt;=기준표!$B$22,4,IF(M41&gt;0,2,0)))))</f>
        <v/>
      </c>
      <c r="V41" s="25">
        <f>IF(NOT(ISNUMBER(N41)),5,IF(N41&lt;=기준표!$B$23,5,IF(N41&lt;=기준표!$B$24,4,IF(N41&lt;=기준표!$B$25,2,0))))</f>
        <v/>
      </c>
      <c r="W41" s="25">
        <f>IF(NOT(ISNUMBER(O41)),0,IF(O41&gt;=기준표!$B$26,5,IF(O41&gt;=기준표!$B$27,3,IF(O41&gt;=기준표!$B$28,1,0))))</f>
        <v/>
      </c>
    </row>
    <row r="42">
      <c r="A42" s="21" t="n">
        <v>38</v>
      </c>
      <c r="B42" s="8" t="inlineStr">
        <is>
          <t>XOM</t>
        </is>
      </c>
      <c r="C42" s="8" t="inlineStr">
        <is>
          <t>EXXON MOBIL CORP</t>
        </is>
      </c>
      <c r="D42" s="22">
        <f>SUM(Q42:W42)</f>
        <v/>
      </c>
      <c r="E42" s="23" t="n">
        <v>0.09740153659367687</v>
      </c>
      <c r="F42" s="23" t="n">
        <v>0.1009688158836083</v>
      </c>
      <c r="G42" s="16" t="n">
        <v>5</v>
      </c>
      <c r="H42" s="16" t="n">
        <v>12</v>
      </c>
      <c r="I42" s="19">
        <f>G42/H42</f>
        <v/>
      </c>
      <c r="J42" s="23" t="n">
        <v>-0.0357907346418788</v>
      </c>
      <c r="K42" s="23" t="n">
        <v>0.04624141546840328</v>
      </c>
      <c r="L42" s="23" t="n">
        <v>0.05304189672503477</v>
      </c>
      <c r="M42" s="23" t="n">
        <v>0.09454353018579173</v>
      </c>
      <c r="N42" s="24" t="n">
        <v>0.4841447601084522</v>
      </c>
      <c r="O42" s="24" t="n">
        <v>69.43781094527363</v>
      </c>
      <c r="P42" s="8" t="inlineStr">
        <is>
          <t>약함 - 두 자릿수 ROIC를 지킨 해가 절반 미만</t>
        </is>
      </c>
      <c r="Q42" s="25">
        <f>IF(E42&gt;=기준표!$B$10,25,IF(E42&gt;=기준표!$B$11,20,IF(E42&gt;=기준표!$B$12,15,IF(E42&gt;=기준표!$B$13,10,0))))</f>
        <v/>
      </c>
      <c r="R42" s="21">
        <f>IF(N(H42)=0,0,ROUND(20*G42/H42,0))</f>
        <v/>
      </c>
      <c r="S42" s="25">
        <f>IF(NOT(ISNUMBER(J42)),0,IF(J42&gt;=기준표!$B$14,20,IF(J42&gt;=기준표!$B$15,15,IF(J42&gt;=기준표!$B$16,10,IF(J42&gt;0,5,0)))))</f>
        <v/>
      </c>
      <c r="T42" s="25">
        <f>IF(NOT(ISNUMBER(K42)),0,IF(K42&gt;=기준표!$B$17,15,IF(K42&gt;=기준표!$B$18,12,IF(K42&gt;=기준표!$B$19,8,IF(K42&gt;0,4,0)))))</f>
        <v/>
      </c>
      <c r="U42" s="25">
        <f>IF(NOT(ISNUMBER(M42)),0,IF(M42&gt;=기준표!$B$20,10,IF(M42&gt;=기준표!$B$21,7,IF(M42&gt;=기준표!$B$22,4,IF(M42&gt;0,2,0)))))</f>
        <v/>
      </c>
      <c r="V42" s="25">
        <f>IF(NOT(ISNUMBER(N42)),5,IF(N42&lt;=기준표!$B$23,5,IF(N42&lt;=기준표!$B$24,4,IF(N42&lt;=기준표!$B$25,2,0))))</f>
        <v/>
      </c>
      <c r="W42" s="25">
        <f>IF(NOT(ISNUMBER(O42)),0,IF(O42&gt;=기준표!$B$26,5,IF(O42&gt;=기준표!$B$27,3,IF(O42&gt;=기준표!$B$28,1,0))))</f>
        <v/>
      </c>
    </row>
    <row r="43">
      <c r="A43" s="21" t="n">
        <v>39</v>
      </c>
      <c r="B43" s="8" t="inlineStr">
        <is>
          <t>TSLA</t>
        </is>
      </c>
      <c r="C43" s="8" t="inlineStr">
        <is>
          <t>Tesla, Inc.</t>
        </is>
      </c>
      <c r="D43" s="22">
        <f>SUM(Q43:W43)</f>
        <v/>
      </c>
      <c r="E43" s="23" t="n">
        <v>0.0479523958964732</v>
      </c>
      <c r="F43" s="23" t="n">
        <v>0.09069018939369805</v>
      </c>
      <c r="G43" s="16" t="n">
        <v>4</v>
      </c>
      <c r="H43" s="16" t="n">
        <v>11</v>
      </c>
      <c r="I43" s="19">
        <f>G43/H43</f>
        <v/>
      </c>
      <c r="J43" s="23" t="n">
        <v>0.05203145001578954</v>
      </c>
      <c r="K43" s="23" t="n">
        <v>-0.08236868662743349</v>
      </c>
      <c r="L43" s="23" t="n">
        <v>0.1303210825239067</v>
      </c>
      <c r="M43" s="23" t="n">
        <v>0.06819130392084653</v>
      </c>
      <c r="N43" s="24" t="n">
        <v>-3.372722149164005</v>
      </c>
      <c r="O43" s="24" t="n">
        <v>16.61538461538462</v>
      </c>
      <c r="P43" s="8" t="inlineStr">
        <is>
          <t>약함 - 두 자릿수 ROIC를 지킨 해가 절반 미만</t>
        </is>
      </c>
      <c r="Q43" s="25">
        <f>IF(E43&gt;=기준표!$B$10,25,IF(E43&gt;=기준표!$B$11,20,IF(E43&gt;=기준표!$B$12,15,IF(E43&gt;=기준표!$B$13,10,0))))</f>
        <v/>
      </c>
      <c r="R43" s="21">
        <f>IF(N(H43)=0,0,ROUND(20*G43/H43,0))</f>
        <v/>
      </c>
      <c r="S43" s="25">
        <f>IF(NOT(ISNUMBER(J43)),0,IF(J43&gt;=기준표!$B$14,20,IF(J43&gt;=기준표!$B$15,15,IF(J43&gt;=기준표!$B$16,10,IF(J43&gt;0,5,0)))))</f>
        <v/>
      </c>
      <c r="T43" s="25">
        <f>IF(NOT(ISNUMBER(K43)),0,IF(K43&gt;=기준표!$B$17,15,IF(K43&gt;=기준표!$B$18,12,IF(K43&gt;=기준표!$B$19,8,IF(K43&gt;0,4,0)))))</f>
        <v/>
      </c>
      <c r="U43" s="25">
        <f>IF(NOT(ISNUMBER(M43)),0,IF(M43&gt;=기준표!$B$20,10,IF(M43&gt;=기준표!$B$21,7,IF(M43&gt;=기준표!$B$22,4,IF(M43&gt;0,2,0)))))</f>
        <v/>
      </c>
      <c r="V43" s="25">
        <f>IF(NOT(ISNUMBER(N43)),5,IF(N43&lt;=기준표!$B$23,5,IF(N43&lt;=기준표!$B$24,4,IF(N43&lt;=기준표!$B$25,2,0))))</f>
        <v/>
      </c>
      <c r="W43" s="25">
        <f>IF(NOT(ISNUMBER(O43)),0,IF(O43&gt;=기준표!$B$26,5,IF(O43&gt;=기준표!$B$27,3,IF(O43&gt;=기준표!$B$28,1,0))))</f>
        <v/>
      </c>
    </row>
    <row r="44">
      <c r="A44" s="21" t="n">
        <v>40</v>
      </c>
      <c r="B44" s="8" t="inlineStr">
        <is>
          <t>AMD</t>
        </is>
      </c>
      <c r="C44" s="8" t="inlineStr">
        <is>
          <t>ADVANCED MICRO DEVICES INC</t>
        </is>
      </c>
      <c r="D44" s="22">
        <f>SUM(Q44:W44)</f>
        <v/>
      </c>
      <c r="E44" s="23" t="n">
        <v>0.041665222077513</v>
      </c>
      <c r="F44" s="23" t="n">
        <v>0.05915650747697535</v>
      </c>
      <c r="G44" s="16" t="n">
        <v>4</v>
      </c>
      <c r="H44" s="16" t="n">
        <v>12</v>
      </c>
      <c r="I44" s="19">
        <f>G44/H44</f>
        <v/>
      </c>
      <c r="J44" s="23" t="n">
        <v>0.07050968180086466</v>
      </c>
      <c r="K44" s="23" t="n">
        <v>-0.09277254953276362</v>
      </c>
      <c r="L44" s="23" t="n">
        <v>0.1578215496124385</v>
      </c>
      <c r="M44" s="23" t="n">
        <v>-0.004653868528214078</v>
      </c>
      <c r="N44" s="24" t="n">
        <v>-1.521378165213782</v>
      </c>
      <c r="O44" s="24" t="n">
        <v>32.80152671755725</v>
      </c>
      <c r="P44" s="8" t="inlineStr">
        <is>
          <t>약함 - 두 자릿수 ROIC를 지킨 해가 절반 미만</t>
        </is>
      </c>
      <c r="Q44" s="25">
        <f>IF(E44&gt;=기준표!$B$10,25,IF(E44&gt;=기준표!$B$11,20,IF(E44&gt;=기준표!$B$12,15,IF(E44&gt;=기준표!$B$13,10,0))))</f>
        <v/>
      </c>
      <c r="R44" s="21">
        <f>IF(N(H44)=0,0,ROUND(20*G44/H44,0))</f>
        <v/>
      </c>
      <c r="S44" s="25">
        <f>IF(NOT(ISNUMBER(J44)),0,IF(J44&gt;=기준표!$B$14,20,IF(J44&gt;=기준표!$B$15,15,IF(J44&gt;=기준표!$B$16,10,IF(J44&gt;0,5,0)))))</f>
        <v/>
      </c>
      <c r="T44" s="25">
        <f>IF(NOT(ISNUMBER(K44)),0,IF(K44&gt;=기준표!$B$17,15,IF(K44&gt;=기준표!$B$18,12,IF(K44&gt;=기준표!$B$19,8,IF(K44&gt;0,4,0)))))</f>
        <v/>
      </c>
      <c r="U44" s="25">
        <f>IF(NOT(ISNUMBER(M44)),0,IF(M44&gt;=기준표!$B$20,10,IF(M44&gt;=기준표!$B$21,7,IF(M44&gt;=기준표!$B$22,4,IF(M44&gt;0,2,0)))))</f>
        <v/>
      </c>
      <c r="V44" s="25">
        <f>IF(NOT(ISNUMBER(N44)),5,IF(N44&lt;=기준표!$B$23,5,IF(N44&lt;=기준표!$B$24,4,IF(N44&lt;=기준표!$B$25,2,0))))</f>
        <v/>
      </c>
      <c r="W44" s="25">
        <f>IF(NOT(ISNUMBER(O44)),0,IF(O44&gt;=기준표!$B$26,5,IF(O44&gt;=기준표!$B$27,3,IF(O44&gt;=기준표!$B$28,1,0))))</f>
        <v/>
      </c>
    </row>
    <row r="45">
      <c r="A45" s="21" t="n">
        <v>41</v>
      </c>
      <c r="B45" s="8" t="inlineStr">
        <is>
          <t>CVX</t>
        </is>
      </c>
      <c r="C45" s="8" t="inlineStr">
        <is>
          <t>CHEVRON CORP</t>
        </is>
      </c>
      <c r="D45" s="22">
        <f>SUM(Q45:W45)</f>
        <v/>
      </c>
      <c r="E45" s="23" t="n">
        <v>0.07390500094317146</v>
      </c>
      <c r="F45" s="23" t="n">
        <v>0.06517945976852266</v>
      </c>
      <c r="G45" s="16" t="n">
        <v>3</v>
      </c>
      <c r="H45" s="16" t="n">
        <v>12</v>
      </c>
      <c r="I45" s="19">
        <f>G45/H45</f>
        <v/>
      </c>
      <c r="J45" s="23" t="n">
        <v>-0.1366567752712011</v>
      </c>
      <c r="K45" s="23" t="n">
        <v>-0.0008045357918565754</v>
      </c>
      <c r="L45" s="23" t="n">
        <v>0.06358417113781951</v>
      </c>
      <c r="M45" s="23" t="n">
        <v>0.104747970878183</v>
      </c>
      <c r="N45" s="24" t="n">
        <v>1.056507349362406</v>
      </c>
      <c r="O45" s="24" t="n">
        <v>17.22267871815941</v>
      </c>
      <c r="P45" s="8" t="inlineStr">
        <is>
          <t>약함 - 두 자릿수 ROIC를 지킨 해가 절반 미만</t>
        </is>
      </c>
      <c r="Q45" s="25">
        <f>IF(E45&gt;=기준표!$B$10,25,IF(E45&gt;=기준표!$B$11,20,IF(E45&gt;=기준표!$B$12,15,IF(E45&gt;=기준표!$B$13,10,0))))</f>
        <v/>
      </c>
      <c r="R45" s="21">
        <f>IF(N(H45)=0,0,ROUND(20*G45/H45,0))</f>
        <v/>
      </c>
      <c r="S45" s="25">
        <f>IF(NOT(ISNUMBER(J45)),0,IF(J45&gt;=기준표!$B$14,20,IF(J45&gt;=기준표!$B$15,15,IF(J45&gt;=기준표!$B$16,10,IF(J45&gt;0,5,0)))))</f>
        <v/>
      </c>
      <c r="T45" s="25">
        <f>IF(NOT(ISNUMBER(K45)),0,IF(K45&gt;=기준표!$B$17,15,IF(K45&gt;=기준표!$B$18,12,IF(K45&gt;=기준표!$B$19,8,IF(K45&gt;0,4,0)))))</f>
        <v/>
      </c>
      <c r="U45" s="25">
        <f>IF(NOT(ISNUMBER(M45)),0,IF(M45&gt;=기준표!$B$20,10,IF(M45&gt;=기준표!$B$21,7,IF(M45&gt;=기준표!$B$22,4,IF(M45&gt;0,2,0)))))</f>
        <v/>
      </c>
      <c r="V45" s="25">
        <f>IF(NOT(ISNUMBER(N45)),5,IF(N45&lt;=기준표!$B$23,5,IF(N45&lt;=기준표!$B$24,4,IF(N45&lt;=기준표!$B$25,2,0))))</f>
        <v/>
      </c>
      <c r="W45" s="25">
        <f>IF(NOT(ISNUMBER(O45)),0,IF(O45&gt;=기준표!$B$26,5,IF(O45&gt;=기준표!$B$27,3,IF(O45&gt;=기준표!$B$28,1,0))))</f>
        <v/>
      </c>
    </row>
  </sheetData>
  <autoFilter ref="A4:W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5" customWidth="1" min="19" max="19"/>
    <col width="15" customWidth="1" min="20" max="20"/>
    <col width="13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</cols>
  <sheetData>
    <row r="1">
      <c r="A1" s="1" t="inlineStr">
        <is>
          <t>DCF 계산 — 10년치 현금흐름과 할인 과정</t>
        </is>
      </c>
    </row>
    <row r="2">
      <c r="A2" s="2" t="inlineStr">
        <is>
          <t>회사마다 보수·기준·낙관 3개 행이 있습니다. 1~10년차 열은 각각 그 해 주주이익을 현재가치로 할인한 값이고, 적정가치는 그 합계에 영구가치의 현재가치를 더한 것입니다. 할인율·영구성장률·성장률 배수는 '기준표'에서 가져옵니다. 금액 단위는 십억 USD.</t>
        </is>
      </c>
    </row>
    <row r="4" ht="34" customHeight="1">
      <c r="A4" s="6" t="inlineStr">
        <is>
          <t>티커</t>
        </is>
      </c>
      <c r="B4" s="6" t="inlineStr">
        <is>
          <t>기업</t>
        </is>
      </c>
      <c r="C4" s="6" t="inlineStr">
        <is>
          <t>시나리오</t>
        </is>
      </c>
      <c r="D4" s="6" t="inlineStr">
        <is>
          <t>기준 주주이익</t>
        </is>
      </c>
      <c r="E4" s="6" t="inlineStr">
        <is>
          <t>과거 성장률</t>
        </is>
      </c>
      <c r="F4" s="6" t="inlineStr">
        <is>
          <t>적용 성장률</t>
        </is>
      </c>
      <c r="G4" s="6" t="inlineStr">
        <is>
          <t>할인율</t>
        </is>
      </c>
      <c r="H4" s="6" t="inlineStr">
        <is>
          <t>영구성장률</t>
        </is>
      </c>
      <c r="I4" s="6" t="inlineStr">
        <is>
          <t>1년차 PV</t>
        </is>
      </c>
      <c r="J4" s="6" t="inlineStr">
        <is>
          <t>2년차 PV</t>
        </is>
      </c>
      <c r="K4" s="6" t="inlineStr">
        <is>
          <t>3년차 PV</t>
        </is>
      </c>
      <c r="L4" s="6" t="inlineStr">
        <is>
          <t>4년차 PV</t>
        </is>
      </c>
      <c r="M4" s="6" t="inlineStr">
        <is>
          <t>5년차 PV</t>
        </is>
      </c>
      <c r="N4" s="6" t="inlineStr">
        <is>
          <t>6년차 PV</t>
        </is>
      </c>
      <c r="O4" s="6" t="inlineStr">
        <is>
          <t>7년차 PV</t>
        </is>
      </c>
      <c r="P4" s="6" t="inlineStr">
        <is>
          <t>8년차 PV</t>
        </is>
      </c>
      <c r="Q4" s="6" t="inlineStr">
        <is>
          <t>9년차 PV</t>
        </is>
      </c>
      <c r="R4" s="6" t="inlineStr">
        <is>
          <t>10년차 PV</t>
        </is>
      </c>
      <c r="S4" s="6" t="inlineStr">
        <is>
          <t>예측기간 PV 합계</t>
        </is>
      </c>
      <c r="T4" s="6" t="inlineStr">
        <is>
          <t>10년차 현금흐름</t>
        </is>
      </c>
      <c r="U4" s="6" t="inlineStr">
        <is>
          <t>영구가치</t>
        </is>
      </c>
      <c r="V4" s="6" t="inlineStr">
        <is>
          <t>영구가치 PV</t>
        </is>
      </c>
      <c r="W4" s="6" t="inlineStr">
        <is>
          <t>적정가치</t>
        </is>
      </c>
      <c r="X4" s="6" t="inlineStr">
        <is>
          <t>시가총액</t>
        </is>
      </c>
      <c r="Y4" s="6" t="inlineStr">
        <is>
          <t>안전마진</t>
        </is>
      </c>
      <c r="Z4" s="6" t="inlineStr">
        <is>
          <t>판정</t>
        </is>
      </c>
    </row>
    <row r="5">
      <c r="A5" s="8" t="inlineStr">
        <is>
          <t>MRK</t>
        </is>
      </c>
      <c r="B5" s="8" t="inlineStr">
        <is>
          <t>Merck &amp; Co., Inc.</t>
        </is>
      </c>
      <c r="C5" s="8" t="inlineStr">
        <is>
          <t>보수</t>
        </is>
      </c>
      <c r="D5" s="15" t="n">
        <v>13.296</v>
      </c>
      <c r="E5" s="23" t="n">
        <v>0.1254622093798146</v>
      </c>
      <c r="F5" s="18">
        <f>IF(NOT(ISNUMBER(E5)),0.03,MAX(0,MIN(E5*기준표!$B$33,기준표!$B$40)))</f>
        <v/>
      </c>
      <c r="G5" s="18">
        <f>기준표!$B$31</f>
        <v/>
      </c>
      <c r="H5" s="18">
        <f>기준표!$B$32</f>
        <v/>
      </c>
      <c r="I5" s="17">
        <f>$D5*(1+$F5)^1/(1+$G5)^1</f>
        <v/>
      </c>
      <c r="J5" s="17">
        <f>$D5*(1+$F5)^2/(1+$G5)^2</f>
        <v/>
      </c>
      <c r="K5" s="17">
        <f>$D5*(1+$F5)^3/(1+$G5)^3</f>
        <v/>
      </c>
      <c r="L5" s="17">
        <f>$D5*(1+$F5)^4/(1+$G5)^4</f>
        <v/>
      </c>
      <c r="M5" s="17">
        <f>$D5*(1+$F5)^5/(1+$G5)^5</f>
        <v/>
      </c>
      <c r="N5" s="17">
        <f>$D5*(1+$F5)^6/(1+$G5)^6</f>
        <v/>
      </c>
      <c r="O5" s="17">
        <f>$D5*(1+$F5)^7/(1+$G5)^7</f>
        <v/>
      </c>
      <c r="P5" s="17">
        <f>$D5*(1+$F5)^8/(1+$G5)^8</f>
        <v/>
      </c>
      <c r="Q5" s="17">
        <f>$D5*(1+$F5)^9/(1+$G5)^9</f>
        <v/>
      </c>
      <c r="R5" s="17">
        <f>$D5*(1+$F5)^10/(1+$G5)^10</f>
        <v/>
      </c>
      <c r="S5" s="26">
        <f>SUM(I5:R5)</f>
        <v/>
      </c>
      <c r="T5" s="17">
        <f>$D5*(1+$F5)^10</f>
        <v/>
      </c>
      <c r="U5" s="17">
        <f>IF($G5&lt;=$H5,"",T5*(1+$H5)/($G5-$H5))</f>
        <v/>
      </c>
      <c r="V5" s="17">
        <f>IF(ISNUMBER(U5),U5/(1+$G5)^10,"")</f>
        <v/>
      </c>
      <c r="W5" s="26">
        <f>IF(ISNUMBER(V5),S5+V5,"")</f>
        <v/>
      </c>
      <c r="X5" s="15" t="n">
        <v>323.6855610327599</v>
      </c>
      <c r="Y5" s="19">
        <f>IF(AND(ISNUMBER(W5),W5&lt;&gt;0,ISNUMBER(X5)),(W5-X5)/W5,"")</f>
        <v/>
      </c>
      <c r="Z5" s="27">
        <f>IF(NOT(ISNUMBER(Y5)),"판정불가",IF(Y5&gt;=기준표!$B$42,"투자가능",IF(Y5&gt;=0,"경계선","범위밖")))</f>
        <v/>
      </c>
    </row>
    <row r="6">
      <c r="A6" s="8" t="inlineStr">
        <is>
          <t>MRK</t>
        </is>
      </c>
      <c r="B6" s="8" t="inlineStr">
        <is>
          <t>Merck &amp; Co., Inc.</t>
        </is>
      </c>
      <c r="C6" s="8" t="inlineStr">
        <is>
          <t>기준</t>
        </is>
      </c>
      <c r="D6" s="15" t="n">
        <v>13.296</v>
      </c>
      <c r="E6" s="23" t="n">
        <v>0.1254622093798146</v>
      </c>
      <c r="F6" s="18">
        <f>IF(NOT(ISNUMBER(E6)),0.03,MAX(0,MIN(E6*기준표!$B$36,기준표!$B$40)))</f>
        <v/>
      </c>
      <c r="G6" s="18">
        <f>기준표!$B$34</f>
        <v/>
      </c>
      <c r="H6" s="18">
        <f>기준표!$B$35</f>
        <v/>
      </c>
      <c r="I6" s="17">
        <f>$D6*(1+$F6)^1/(1+$G6)^1</f>
        <v/>
      </c>
      <c r="J6" s="17">
        <f>$D6*(1+$F6)^2/(1+$G6)^2</f>
        <v/>
      </c>
      <c r="K6" s="17">
        <f>$D6*(1+$F6)^3/(1+$G6)^3</f>
        <v/>
      </c>
      <c r="L6" s="17">
        <f>$D6*(1+$F6)^4/(1+$G6)^4</f>
        <v/>
      </c>
      <c r="M6" s="17">
        <f>$D6*(1+$F6)^5/(1+$G6)^5</f>
        <v/>
      </c>
      <c r="N6" s="17">
        <f>$D6*(1+$F6)^6/(1+$G6)^6</f>
        <v/>
      </c>
      <c r="O6" s="17">
        <f>$D6*(1+$F6)^7/(1+$G6)^7</f>
        <v/>
      </c>
      <c r="P6" s="17">
        <f>$D6*(1+$F6)^8/(1+$G6)^8</f>
        <v/>
      </c>
      <c r="Q6" s="17">
        <f>$D6*(1+$F6)^9/(1+$G6)^9</f>
        <v/>
      </c>
      <c r="R6" s="17">
        <f>$D6*(1+$F6)^10/(1+$G6)^10</f>
        <v/>
      </c>
      <c r="S6" s="26">
        <f>SUM(I6:R6)</f>
        <v/>
      </c>
      <c r="T6" s="17">
        <f>$D6*(1+$F6)^10</f>
        <v/>
      </c>
      <c r="U6" s="17">
        <f>IF($G6&lt;=$H6,"",T6*(1+$H6)/($G6-$H6))</f>
        <v/>
      </c>
      <c r="V6" s="17">
        <f>IF(ISNUMBER(U6),U6/(1+$G6)^10,"")</f>
        <v/>
      </c>
      <c r="W6" s="26">
        <f>IF(ISNUMBER(V6),S6+V6,"")</f>
        <v/>
      </c>
      <c r="X6" s="15" t="n">
        <v>323.6855610327599</v>
      </c>
      <c r="Y6" s="19">
        <f>IF(AND(ISNUMBER(W6),W6&lt;&gt;0,ISNUMBER(X6)),(W6-X6)/W6,"")</f>
        <v/>
      </c>
      <c r="Z6" s="27">
        <f>IF(NOT(ISNUMBER(Y6)),"판정불가",IF(Y6&gt;=기준표!$B$42,"투자가능",IF(Y6&gt;=0,"경계선","범위밖")))</f>
        <v/>
      </c>
    </row>
    <row r="7">
      <c r="A7" s="8" t="inlineStr">
        <is>
          <t>MRK</t>
        </is>
      </c>
      <c r="B7" s="8" t="inlineStr">
        <is>
          <t>Merck &amp; Co., Inc.</t>
        </is>
      </c>
      <c r="C7" s="8" t="inlineStr">
        <is>
          <t>낙관</t>
        </is>
      </c>
      <c r="D7" s="15" t="n">
        <v>13.296</v>
      </c>
      <c r="E7" s="23" t="n">
        <v>0.1254622093798146</v>
      </c>
      <c r="F7" s="18">
        <f>IF(NOT(ISNUMBER(E7)),0.03,MAX(0,MIN(E7*기준표!$B$39,기준표!$B$41)))</f>
        <v/>
      </c>
      <c r="G7" s="18">
        <f>기준표!$B$37</f>
        <v/>
      </c>
      <c r="H7" s="18">
        <f>기준표!$B$38</f>
        <v/>
      </c>
      <c r="I7" s="17">
        <f>$D7*(1+$F7)^1/(1+$G7)^1</f>
        <v/>
      </c>
      <c r="J7" s="17">
        <f>$D7*(1+$F7)^2/(1+$G7)^2</f>
        <v/>
      </c>
      <c r="K7" s="17">
        <f>$D7*(1+$F7)^3/(1+$G7)^3</f>
        <v/>
      </c>
      <c r="L7" s="17">
        <f>$D7*(1+$F7)^4/(1+$G7)^4</f>
        <v/>
      </c>
      <c r="M7" s="17">
        <f>$D7*(1+$F7)^5/(1+$G7)^5</f>
        <v/>
      </c>
      <c r="N7" s="17">
        <f>$D7*(1+$F7)^6/(1+$G7)^6</f>
        <v/>
      </c>
      <c r="O7" s="17">
        <f>$D7*(1+$F7)^7/(1+$G7)^7</f>
        <v/>
      </c>
      <c r="P7" s="17">
        <f>$D7*(1+$F7)^8/(1+$G7)^8</f>
        <v/>
      </c>
      <c r="Q7" s="17">
        <f>$D7*(1+$F7)^9/(1+$G7)^9</f>
        <v/>
      </c>
      <c r="R7" s="17">
        <f>$D7*(1+$F7)^10/(1+$G7)^10</f>
        <v/>
      </c>
      <c r="S7" s="26">
        <f>SUM(I7:R7)</f>
        <v/>
      </c>
      <c r="T7" s="17">
        <f>$D7*(1+$F7)^10</f>
        <v/>
      </c>
      <c r="U7" s="17">
        <f>IF($G7&lt;=$H7,"",T7*(1+$H7)/($G7-$H7))</f>
        <v/>
      </c>
      <c r="V7" s="17">
        <f>IF(ISNUMBER(U7),U7/(1+$G7)^10,"")</f>
        <v/>
      </c>
      <c r="W7" s="26">
        <f>IF(ISNUMBER(V7),S7+V7,"")</f>
        <v/>
      </c>
      <c r="X7" s="15" t="n">
        <v>323.6855610327599</v>
      </c>
      <c r="Y7" s="19">
        <f>IF(AND(ISNUMBER(W7),W7&lt;&gt;0,ISNUMBER(X7)),(W7-X7)/W7,"")</f>
        <v/>
      </c>
      <c r="Z7" s="27">
        <f>IF(NOT(ISNUMBER(Y7)),"판정불가",IF(Y7&gt;=기준표!$B$42,"투자가능",IF(Y7&gt;=0,"경계선","범위밖")))</f>
        <v/>
      </c>
    </row>
    <row r="8">
      <c r="A8" s="8" t="inlineStr">
        <is>
          <t>MA</t>
        </is>
      </c>
      <c r="B8" s="8" t="inlineStr">
        <is>
          <t>Mastercard Inc</t>
        </is>
      </c>
      <c r="C8" s="8" t="inlineStr">
        <is>
          <t>보수</t>
        </is>
      </c>
      <c r="D8" s="15" t="n">
        <v>17.24561519089805</v>
      </c>
      <c r="E8" s="23" t="n">
        <v>0.1656984724590316</v>
      </c>
      <c r="F8" s="18">
        <f>IF(NOT(ISNUMBER(E8)),0.03,MAX(0,MIN(E8*기준표!$B$33,기준표!$B$40)))</f>
        <v/>
      </c>
      <c r="G8" s="18">
        <f>기준표!$B$31</f>
        <v/>
      </c>
      <c r="H8" s="18">
        <f>기준표!$B$32</f>
        <v/>
      </c>
      <c r="I8" s="17">
        <f>$D8*(1+$F8)^1/(1+$G8)^1</f>
        <v/>
      </c>
      <c r="J8" s="17">
        <f>$D8*(1+$F8)^2/(1+$G8)^2</f>
        <v/>
      </c>
      <c r="K8" s="17">
        <f>$D8*(1+$F8)^3/(1+$G8)^3</f>
        <v/>
      </c>
      <c r="L8" s="17">
        <f>$D8*(1+$F8)^4/(1+$G8)^4</f>
        <v/>
      </c>
      <c r="M8" s="17">
        <f>$D8*(1+$F8)^5/(1+$G8)^5</f>
        <v/>
      </c>
      <c r="N8" s="17">
        <f>$D8*(1+$F8)^6/(1+$G8)^6</f>
        <v/>
      </c>
      <c r="O8" s="17">
        <f>$D8*(1+$F8)^7/(1+$G8)^7</f>
        <v/>
      </c>
      <c r="P8" s="17">
        <f>$D8*(1+$F8)^8/(1+$G8)^8</f>
        <v/>
      </c>
      <c r="Q8" s="17">
        <f>$D8*(1+$F8)^9/(1+$G8)^9</f>
        <v/>
      </c>
      <c r="R8" s="17">
        <f>$D8*(1+$F8)^10/(1+$G8)^10</f>
        <v/>
      </c>
      <c r="S8" s="26">
        <f>SUM(I8:R8)</f>
        <v/>
      </c>
      <c r="T8" s="17">
        <f>$D8*(1+$F8)^10</f>
        <v/>
      </c>
      <c r="U8" s="17">
        <f>IF($G8&lt;=$H8,"",T8*(1+$H8)/($G8-$H8))</f>
        <v/>
      </c>
      <c r="V8" s="17">
        <f>IF(ISNUMBER(U8),U8/(1+$G8)^10,"")</f>
        <v/>
      </c>
      <c r="W8" s="26">
        <f>IF(ISNUMBER(V8),S8+V8,"")</f>
        <v/>
      </c>
      <c r="X8" s="15" t="n">
        <v>502.2419391858699</v>
      </c>
      <c r="Y8" s="19">
        <f>IF(AND(ISNUMBER(W8),W8&lt;&gt;0,ISNUMBER(X8)),(W8-X8)/W8,"")</f>
        <v/>
      </c>
      <c r="Z8" s="27">
        <f>IF(NOT(ISNUMBER(Y8)),"판정불가",IF(Y8&gt;=기준표!$B$42,"투자가능",IF(Y8&gt;=0,"경계선","범위밖")))</f>
        <v/>
      </c>
    </row>
    <row r="9">
      <c r="A9" s="8" t="inlineStr">
        <is>
          <t>MA</t>
        </is>
      </c>
      <c r="B9" s="8" t="inlineStr">
        <is>
          <t>Mastercard Inc</t>
        </is>
      </c>
      <c r="C9" s="8" t="inlineStr">
        <is>
          <t>기준</t>
        </is>
      </c>
      <c r="D9" s="15" t="n">
        <v>17.24561519089805</v>
      </c>
      <c r="E9" s="23" t="n">
        <v>0.1656984724590316</v>
      </c>
      <c r="F9" s="18">
        <f>IF(NOT(ISNUMBER(E9)),0.03,MAX(0,MIN(E9*기준표!$B$36,기준표!$B$40)))</f>
        <v/>
      </c>
      <c r="G9" s="18">
        <f>기준표!$B$34</f>
        <v/>
      </c>
      <c r="H9" s="18">
        <f>기준표!$B$35</f>
        <v/>
      </c>
      <c r="I9" s="17">
        <f>$D9*(1+$F9)^1/(1+$G9)^1</f>
        <v/>
      </c>
      <c r="J9" s="17">
        <f>$D9*(1+$F9)^2/(1+$G9)^2</f>
        <v/>
      </c>
      <c r="K9" s="17">
        <f>$D9*(1+$F9)^3/(1+$G9)^3</f>
        <v/>
      </c>
      <c r="L9" s="17">
        <f>$D9*(1+$F9)^4/(1+$G9)^4</f>
        <v/>
      </c>
      <c r="M9" s="17">
        <f>$D9*(1+$F9)^5/(1+$G9)^5</f>
        <v/>
      </c>
      <c r="N9" s="17">
        <f>$D9*(1+$F9)^6/(1+$G9)^6</f>
        <v/>
      </c>
      <c r="O9" s="17">
        <f>$D9*(1+$F9)^7/(1+$G9)^7</f>
        <v/>
      </c>
      <c r="P9" s="17">
        <f>$D9*(1+$F9)^8/(1+$G9)^8</f>
        <v/>
      </c>
      <c r="Q9" s="17">
        <f>$D9*(1+$F9)^9/(1+$G9)^9</f>
        <v/>
      </c>
      <c r="R9" s="17">
        <f>$D9*(1+$F9)^10/(1+$G9)^10</f>
        <v/>
      </c>
      <c r="S9" s="26">
        <f>SUM(I9:R9)</f>
        <v/>
      </c>
      <c r="T9" s="17">
        <f>$D9*(1+$F9)^10</f>
        <v/>
      </c>
      <c r="U9" s="17">
        <f>IF($G9&lt;=$H9,"",T9*(1+$H9)/($G9-$H9))</f>
        <v/>
      </c>
      <c r="V9" s="17">
        <f>IF(ISNUMBER(U9),U9/(1+$G9)^10,"")</f>
        <v/>
      </c>
      <c r="W9" s="26">
        <f>IF(ISNUMBER(V9),S9+V9,"")</f>
        <v/>
      </c>
      <c r="X9" s="15" t="n">
        <v>502.2419391858699</v>
      </c>
      <c r="Y9" s="19">
        <f>IF(AND(ISNUMBER(W9),W9&lt;&gt;0,ISNUMBER(X9)),(W9-X9)/W9,"")</f>
        <v/>
      </c>
      <c r="Z9" s="27">
        <f>IF(NOT(ISNUMBER(Y9)),"판정불가",IF(Y9&gt;=기준표!$B$42,"투자가능",IF(Y9&gt;=0,"경계선","범위밖")))</f>
        <v/>
      </c>
    </row>
    <row r="10">
      <c r="A10" s="8" t="inlineStr">
        <is>
          <t>MA</t>
        </is>
      </c>
      <c r="B10" s="8" t="inlineStr">
        <is>
          <t>Mastercard Inc</t>
        </is>
      </c>
      <c r="C10" s="8" t="inlineStr">
        <is>
          <t>낙관</t>
        </is>
      </c>
      <c r="D10" s="15" t="n">
        <v>17.24561519089805</v>
      </c>
      <c r="E10" s="23" t="n">
        <v>0.1656984724590316</v>
      </c>
      <c r="F10" s="18">
        <f>IF(NOT(ISNUMBER(E10)),0.03,MAX(0,MIN(E10*기준표!$B$39,기준표!$B$41)))</f>
        <v/>
      </c>
      <c r="G10" s="18">
        <f>기준표!$B$37</f>
        <v/>
      </c>
      <c r="H10" s="18">
        <f>기준표!$B$38</f>
        <v/>
      </c>
      <c r="I10" s="17">
        <f>$D10*(1+$F10)^1/(1+$G10)^1</f>
        <v/>
      </c>
      <c r="J10" s="17">
        <f>$D10*(1+$F10)^2/(1+$G10)^2</f>
        <v/>
      </c>
      <c r="K10" s="17">
        <f>$D10*(1+$F10)^3/(1+$G10)^3</f>
        <v/>
      </c>
      <c r="L10" s="17">
        <f>$D10*(1+$F10)^4/(1+$G10)^4</f>
        <v/>
      </c>
      <c r="M10" s="17">
        <f>$D10*(1+$F10)^5/(1+$G10)^5</f>
        <v/>
      </c>
      <c r="N10" s="17">
        <f>$D10*(1+$F10)^6/(1+$G10)^6</f>
        <v/>
      </c>
      <c r="O10" s="17">
        <f>$D10*(1+$F10)^7/(1+$G10)^7</f>
        <v/>
      </c>
      <c r="P10" s="17">
        <f>$D10*(1+$F10)^8/(1+$G10)^8</f>
        <v/>
      </c>
      <c r="Q10" s="17">
        <f>$D10*(1+$F10)^9/(1+$G10)^9</f>
        <v/>
      </c>
      <c r="R10" s="17">
        <f>$D10*(1+$F10)^10/(1+$G10)^10</f>
        <v/>
      </c>
      <c r="S10" s="26">
        <f>SUM(I10:R10)</f>
        <v/>
      </c>
      <c r="T10" s="17">
        <f>$D10*(1+$F10)^10</f>
        <v/>
      </c>
      <c r="U10" s="17">
        <f>IF($G10&lt;=$H10,"",T10*(1+$H10)/($G10-$H10))</f>
        <v/>
      </c>
      <c r="V10" s="17">
        <f>IF(ISNUMBER(U10),U10/(1+$G10)^10,"")</f>
        <v/>
      </c>
      <c r="W10" s="26">
        <f>IF(ISNUMBER(V10),S10+V10,"")</f>
        <v/>
      </c>
      <c r="X10" s="15" t="n">
        <v>502.2419391858699</v>
      </c>
      <c r="Y10" s="19">
        <f>IF(AND(ISNUMBER(W10),W10&lt;&gt;0,ISNUMBER(X10)),(W10-X10)/W10,"")</f>
        <v/>
      </c>
      <c r="Z10" s="27">
        <f>IF(NOT(ISNUMBER(Y10)),"판정불가",IF(Y10&gt;=기준표!$B$42,"투자가능",IF(Y10&gt;=0,"경계선","범위밖")))</f>
        <v/>
      </c>
    </row>
    <row r="11">
      <c r="A11" s="8" t="inlineStr">
        <is>
          <t>V</t>
        </is>
      </c>
      <c r="B11" s="8" t="inlineStr">
        <is>
          <t>VISA INC.</t>
        </is>
      </c>
      <c r="C11" s="8" t="inlineStr">
        <is>
          <t>보수</t>
        </is>
      </c>
      <c r="D11" s="15" t="n">
        <v>20.9007164790174</v>
      </c>
      <c r="E11" s="23" t="n">
        <v>0.1246318809520324</v>
      </c>
      <c r="F11" s="18">
        <f>IF(NOT(ISNUMBER(E11)),0.03,MAX(0,MIN(E11*기준표!$B$33,기준표!$B$40)))</f>
        <v/>
      </c>
      <c r="G11" s="18">
        <f>기준표!$B$31</f>
        <v/>
      </c>
      <c r="H11" s="18">
        <f>기준표!$B$32</f>
        <v/>
      </c>
      <c r="I11" s="17">
        <f>$D11*(1+$F11)^1/(1+$G11)^1</f>
        <v/>
      </c>
      <c r="J11" s="17">
        <f>$D11*(1+$F11)^2/(1+$G11)^2</f>
        <v/>
      </c>
      <c r="K11" s="17">
        <f>$D11*(1+$F11)^3/(1+$G11)^3</f>
        <v/>
      </c>
      <c r="L11" s="17">
        <f>$D11*(1+$F11)^4/(1+$G11)^4</f>
        <v/>
      </c>
      <c r="M11" s="17">
        <f>$D11*(1+$F11)^5/(1+$G11)^5</f>
        <v/>
      </c>
      <c r="N11" s="17">
        <f>$D11*(1+$F11)^6/(1+$G11)^6</f>
        <v/>
      </c>
      <c r="O11" s="17">
        <f>$D11*(1+$F11)^7/(1+$G11)^7</f>
        <v/>
      </c>
      <c r="P11" s="17">
        <f>$D11*(1+$F11)^8/(1+$G11)^8</f>
        <v/>
      </c>
      <c r="Q11" s="17">
        <f>$D11*(1+$F11)^9/(1+$G11)^9</f>
        <v/>
      </c>
      <c r="R11" s="17">
        <f>$D11*(1+$F11)^10/(1+$G11)^10</f>
        <v/>
      </c>
      <c r="S11" s="26">
        <f>SUM(I11:R11)</f>
        <v/>
      </c>
      <c r="T11" s="17">
        <f>$D11*(1+$F11)^10</f>
        <v/>
      </c>
      <c r="U11" s="17">
        <f>IF($G11&lt;=$H11,"",T11*(1+$H11)/($G11-$H11))</f>
        <v/>
      </c>
      <c r="V11" s="17">
        <f>IF(ISNUMBER(U11),U11/(1+$G11)^10,"")</f>
        <v/>
      </c>
      <c r="W11" s="26">
        <f>IF(ISNUMBER(V11),S11+V11,"")</f>
        <v/>
      </c>
      <c r="X11" s="15" t="n">
        <v>609.7743884964</v>
      </c>
      <c r="Y11" s="19">
        <f>IF(AND(ISNUMBER(W11),W11&lt;&gt;0,ISNUMBER(X11)),(W11-X11)/W11,"")</f>
        <v/>
      </c>
      <c r="Z11" s="27">
        <f>IF(NOT(ISNUMBER(Y11)),"판정불가",IF(Y11&gt;=기준표!$B$42,"투자가능",IF(Y11&gt;=0,"경계선","범위밖")))</f>
        <v/>
      </c>
    </row>
    <row r="12">
      <c r="A12" s="8" t="inlineStr">
        <is>
          <t>V</t>
        </is>
      </c>
      <c r="B12" s="8" t="inlineStr">
        <is>
          <t>VISA INC.</t>
        </is>
      </c>
      <c r="C12" s="8" t="inlineStr">
        <is>
          <t>기준</t>
        </is>
      </c>
      <c r="D12" s="15" t="n">
        <v>20.9007164790174</v>
      </c>
      <c r="E12" s="23" t="n">
        <v>0.1246318809520324</v>
      </c>
      <c r="F12" s="18">
        <f>IF(NOT(ISNUMBER(E12)),0.03,MAX(0,MIN(E12*기준표!$B$36,기준표!$B$40)))</f>
        <v/>
      </c>
      <c r="G12" s="18">
        <f>기준표!$B$34</f>
        <v/>
      </c>
      <c r="H12" s="18">
        <f>기준표!$B$35</f>
        <v/>
      </c>
      <c r="I12" s="17">
        <f>$D12*(1+$F12)^1/(1+$G12)^1</f>
        <v/>
      </c>
      <c r="J12" s="17">
        <f>$D12*(1+$F12)^2/(1+$G12)^2</f>
        <v/>
      </c>
      <c r="K12" s="17">
        <f>$D12*(1+$F12)^3/(1+$G12)^3</f>
        <v/>
      </c>
      <c r="L12" s="17">
        <f>$D12*(1+$F12)^4/(1+$G12)^4</f>
        <v/>
      </c>
      <c r="M12" s="17">
        <f>$D12*(1+$F12)^5/(1+$G12)^5</f>
        <v/>
      </c>
      <c r="N12" s="17">
        <f>$D12*(1+$F12)^6/(1+$G12)^6</f>
        <v/>
      </c>
      <c r="O12" s="17">
        <f>$D12*(1+$F12)^7/(1+$G12)^7</f>
        <v/>
      </c>
      <c r="P12" s="17">
        <f>$D12*(1+$F12)^8/(1+$G12)^8</f>
        <v/>
      </c>
      <c r="Q12" s="17">
        <f>$D12*(1+$F12)^9/(1+$G12)^9</f>
        <v/>
      </c>
      <c r="R12" s="17">
        <f>$D12*(1+$F12)^10/(1+$G12)^10</f>
        <v/>
      </c>
      <c r="S12" s="26">
        <f>SUM(I12:R12)</f>
        <v/>
      </c>
      <c r="T12" s="17">
        <f>$D12*(1+$F12)^10</f>
        <v/>
      </c>
      <c r="U12" s="17">
        <f>IF($G12&lt;=$H12,"",T12*(1+$H12)/($G12-$H12))</f>
        <v/>
      </c>
      <c r="V12" s="17">
        <f>IF(ISNUMBER(U12),U12/(1+$G12)^10,"")</f>
        <v/>
      </c>
      <c r="W12" s="26">
        <f>IF(ISNUMBER(V12),S12+V12,"")</f>
        <v/>
      </c>
      <c r="X12" s="15" t="n">
        <v>609.7743884964</v>
      </c>
      <c r="Y12" s="19">
        <f>IF(AND(ISNUMBER(W12),W12&lt;&gt;0,ISNUMBER(X12)),(W12-X12)/W12,"")</f>
        <v/>
      </c>
      <c r="Z12" s="27">
        <f>IF(NOT(ISNUMBER(Y12)),"판정불가",IF(Y12&gt;=기준표!$B$42,"투자가능",IF(Y12&gt;=0,"경계선","범위밖")))</f>
        <v/>
      </c>
    </row>
    <row r="13">
      <c r="A13" s="8" t="inlineStr">
        <is>
          <t>V</t>
        </is>
      </c>
      <c r="B13" s="8" t="inlineStr">
        <is>
          <t>VISA INC.</t>
        </is>
      </c>
      <c r="C13" s="8" t="inlineStr">
        <is>
          <t>낙관</t>
        </is>
      </c>
      <c r="D13" s="15" t="n">
        <v>20.9007164790174</v>
      </c>
      <c r="E13" s="23" t="n">
        <v>0.1246318809520324</v>
      </c>
      <c r="F13" s="18">
        <f>IF(NOT(ISNUMBER(E13)),0.03,MAX(0,MIN(E13*기준표!$B$39,기준표!$B$41)))</f>
        <v/>
      </c>
      <c r="G13" s="18">
        <f>기준표!$B$37</f>
        <v/>
      </c>
      <c r="H13" s="18">
        <f>기준표!$B$38</f>
        <v/>
      </c>
      <c r="I13" s="17">
        <f>$D13*(1+$F13)^1/(1+$G13)^1</f>
        <v/>
      </c>
      <c r="J13" s="17">
        <f>$D13*(1+$F13)^2/(1+$G13)^2</f>
        <v/>
      </c>
      <c r="K13" s="17">
        <f>$D13*(1+$F13)^3/(1+$G13)^3</f>
        <v/>
      </c>
      <c r="L13" s="17">
        <f>$D13*(1+$F13)^4/(1+$G13)^4</f>
        <v/>
      </c>
      <c r="M13" s="17">
        <f>$D13*(1+$F13)^5/(1+$G13)^5</f>
        <v/>
      </c>
      <c r="N13" s="17">
        <f>$D13*(1+$F13)^6/(1+$G13)^6</f>
        <v/>
      </c>
      <c r="O13" s="17">
        <f>$D13*(1+$F13)^7/(1+$G13)^7</f>
        <v/>
      </c>
      <c r="P13" s="17">
        <f>$D13*(1+$F13)^8/(1+$G13)^8</f>
        <v/>
      </c>
      <c r="Q13" s="17">
        <f>$D13*(1+$F13)^9/(1+$G13)^9</f>
        <v/>
      </c>
      <c r="R13" s="17">
        <f>$D13*(1+$F13)^10/(1+$G13)^10</f>
        <v/>
      </c>
      <c r="S13" s="26">
        <f>SUM(I13:R13)</f>
        <v/>
      </c>
      <c r="T13" s="17">
        <f>$D13*(1+$F13)^10</f>
        <v/>
      </c>
      <c r="U13" s="17">
        <f>IF($G13&lt;=$H13,"",T13*(1+$H13)/($G13-$H13))</f>
        <v/>
      </c>
      <c r="V13" s="17">
        <f>IF(ISNUMBER(U13),U13/(1+$G13)^10,"")</f>
        <v/>
      </c>
      <c r="W13" s="26">
        <f>IF(ISNUMBER(V13),S13+V13,"")</f>
        <v/>
      </c>
      <c r="X13" s="15" t="n">
        <v>609.7743884964</v>
      </c>
      <c r="Y13" s="19">
        <f>IF(AND(ISNUMBER(W13),W13&lt;&gt;0,ISNUMBER(X13)),(W13-X13)/W13,"")</f>
        <v/>
      </c>
      <c r="Z13" s="27">
        <f>IF(NOT(ISNUMBER(Y13)),"판정불가",IF(Y13&gt;=기준표!$B$42,"투자가능",IF(Y13&gt;=0,"경계선","범위밖")))</f>
        <v/>
      </c>
    </row>
    <row r="14">
      <c r="A14" s="8" t="inlineStr">
        <is>
          <t>HD</t>
        </is>
      </c>
      <c r="B14" s="8" t="inlineStr">
        <is>
          <t>HOME DEPOT, INC.</t>
        </is>
      </c>
      <c r="C14" s="8" t="inlineStr">
        <is>
          <t>보수</t>
        </is>
      </c>
      <c r="D14" s="15" t="n">
        <v>14.53625788332059</v>
      </c>
      <c r="E14" s="23" t="n">
        <v>0.07052883376884411</v>
      </c>
      <c r="F14" s="18">
        <f>IF(NOT(ISNUMBER(E14)),0.03,MAX(0,MIN(E14*기준표!$B$33,기준표!$B$40)))</f>
        <v/>
      </c>
      <c r="G14" s="18">
        <f>기준표!$B$31</f>
        <v/>
      </c>
      <c r="H14" s="18">
        <f>기준표!$B$32</f>
        <v/>
      </c>
      <c r="I14" s="17">
        <f>$D14*(1+$F14)^1/(1+$G14)^1</f>
        <v/>
      </c>
      <c r="J14" s="17">
        <f>$D14*(1+$F14)^2/(1+$G14)^2</f>
        <v/>
      </c>
      <c r="K14" s="17">
        <f>$D14*(1+$F14)^3/(1+$G14)^3</f>
        <v/>
      </c>
      <c r="L14" s="17">
        <f>$D14*(1+$F14)^4/(1+$G14)^4</f>
        <v/>
      </c>
      <c r="M14" s="17">
        <f>$D14*(1+$F14)^5/(1+$G14)^5</f>
        <v/>
      </c>
      <c r="N14" s="17">
        <f>$D14*(1+$F14)^6/(1+$G14)^6</f>
        <v/>
      </c>
      <c r="O14" s="17">
        <f>$D14*(1+$F14)^7/(1+$G14)^7</f>
        <v/>
      </c>
      <c r="P14" s="17">
        <f>$D14*(1+$F14)^8/(1+$G14)^8</f>
        <v/>
      </c>
      <c r="Q14" s="17">
        <f>$D14*(1+$F14)^9/(1+$G14)^9</f>
        <v/>
      </c>
      <c r="R14" s="17">
        <f>$D14*(1+$F14)^10/(1+$G14)^10</f>
        <v/>
      </c>
      <c r="S14" s="26">
        <f>SUM(I14:R14)</f>
        <v/>
      </c>
      <c r="T14" s="17">
        <f>$D14*(1+$F14)^10</f>
        <v/>
      </c>
      <c r="U14" s="17">
        <f>IF($G14&lt;=$H14,"",T14*(1+$H14)/($G14-$H14))</f>
        <v/>
      </c>
      <c r="V14" s="17">
        <f>IF(ISNUMBER(U14),U14/(1+$G14)^10,"")</f>
        <v/>
      </c>
      <c r="W14" s="26">
        <f>IF(ISNUMBER(V14),S14+V14,"")</f>
        <v/>
      </c>
      <c r="X14" s="15" t="n">
        <v>349.38090204348</v>
      </c>
      <c r="Y14" s="19">
        <f>IF(AND(ISNUMBER(W14),W14&lt;&gt;0,ISNUMBER(X14)),(W14-X14)/W14,"")</f>
        <v/>
      </c>
      <c r="Z14" s="27">
        <f>IF(NOT(ISNUMBER(Y14)),"판정불가",IF(Y14&gt;=기준표!$B$42,"투자가능",IF(Y14&gt;=0,"경계선","범위밖")))</f>
        <v/>
      </c>
    </row>
    <row r="15">
      <c r="A15" s="8" t="inlineStr">
        <is>
          <t>HD</t>
        </is>
      </c>
      <c r="B15" s="8" t="inlineStr">
        <is>
          <t>HOME DEPOT, INC.</t>
        </is>
      </c>
      <c r="C15" s="8" t="inlineStr">
        <is>
          <t>기준</t>
        </is>
      </c>
      <c r="D15" s="15" t="n">
        <v>14.53625788332059</v>
      </c>
      <c r="E15" s="23" t="n">
        <v>0.07052883376884411</v>
      </c>
      <c r="F15" s="18">
        <f>IF(NOT(ISNUMBER(E15)),0.03,MAX(0,MIN(E15*기준표!$B$36,기준표!$B$40)))</f>
        <v/>
      </c>
      <c r="G15" s="18">
        <f>기준표!$B$34</f>
        <v/>
      </c>
      <c r="H15" s="18">
        <f>기준표!$B$35</f>
        <v/>
      </c>
      <c r="I15" s="17">
        <f>$D15*(1+$F15)^1/(1+$G15)^1</f>
        <v/>
      </c>
      <c r="J15" s="17">
        <f>$D15*(1+$F15)^2/(1+$G15)^2</f>
        <v/>
      </c>
      <c r="K15" s="17">
        <f>$D15*(1+$F15)^3/(1+$G15)^3</f>
        <v/>
      </c>
      <c r="L15" s="17">
        <f>$D15*(1+$F15)^4/(1+$G15)^4</f>
        <v/>
      </c>
      <c r="M15" s="17">
        <f>$D15*(1+$F15)^5/(1+$G15)^5</f>
        <v/>
      </c>
      <c r="N15" s="17">
        <f>$D15*(1+$F15)^6/(1+$G15)^6</f>
        <v/>
      </c>
      <c r="O15" s="17">
        <f>$D15*(1+$F15)^7/(1+$G15)^7</f>
        <v/>
      </c>
      <c r="P15" s="17">
        <f>$D15*(1+$F15)^8/(1+$G15)^8</f>
        <v/>
      </c>
      <c r="Q15" s="17">
        <f>$D15*(1+$F15)^9/(1+$G15)^9</f>
        <v/>
      </c>
      <c r="R15" s="17">
        <f>$D15*(1+$F15)^10/(1+$G15)^10</f>
        <v/>
      </c>
      <c r="S15" s="26">
        <f>SUM(I15:R15)</f>
        <v/>
      </c>
      <c r="T15" s="17">
        <f>$D15*(1+$F15)^10</f>
        <v/>
      </c>
      <c r="U15" s="17">
        <f>IF($G15&lt;=$H15,"",T15*(1+$H15)/($G15-$H15))</f>
        <v/>
      </c>
      <c r="V15" s="17">
        <f>IF(ISNUMBER(U15),U15/(1+$G15)^10,"")</f>
        <v/>
      </c>
      <c r="W15" s="26">
        <f>IF(ISNUMBER(V15),S15+V15,"")</f>
        <v/>
      </c>
      <c r="X15" s="15" t="n">
        <v>349.38090204348</v>
      </c>
      <c r="Y15" s="19">
        <f>IF(AND(ISNUMBER(W15),W15&lt;&gt;0,ISNUMBER(X15)),(W15-X15)/W15,"")</f>
        <v/>
      </c>
      <c r="Z15" s="27">
        <f>IF(NOT(ISNUMBER(Y15)),"판정불가",IF(Y15&gt;=기준표!$B$42,"투자가능",IF(Y15&gt;=0,"경계선","범위밖")))</f>
        <v/>
      </c>
    </row>
    <row r="16">
      <c r="A16" s="8" t="inlineStr">
        <is>
          <t>HD</t>
        </is>
      </c>
      <c r="B16" s="8" t="inlineStr">
        <is>
          <t>HOME DEPOT, INC.</t>
        </is>
      </c>
      <c r="C16" s="8" t="inlineStr">
        <is>
          <t>낙관</t>
        </is>
      </c>
      <c r="D16" s="15" t="n">
        <v>14.53625788332059</v>
      </c>
      <c r="E16" s="23" t="n">
        <v>0.07052883376884411</v>
      </c>
      <c r="F16" s="18">
        <f>IF(NOT(ISNUMBER(E16)),0.03,MAX(0,MIN(E16*기준표!$B$39,기준표!$B$41)))</f>
        <v/>
      </c>
      <c r="G16" s="18">
        <f>기준표!$B$37</f>
        <v/>
      </c>
      <c r="H16" s="18">
        <f>기준표!$B$38</f>
        <v/>
      </c>
      <c r="I16" s="17">
        <f>$D16*(1+$F16)^1/(1+$G16)^1</f>
        <v/>
      </c>
      <c r="J16" s="17">
        <f>$D16*(1+$F16)^2/(1+$G16)^2</f>
        <v/>
      </c>
      <c r="K16" s="17">
        <f>$D16*(1+$F16)^3/(1+$G16)^3</f>
        <v/>
      </c>
      <c r="L16" s="17">
        <f>$D16*(1+$F16)^4/(1+$G16)^4</f>
        <v/>
      </c>
      <c r="M16" s="17">
        <f>$D16*(1+$F16)^5/(1+$G16)^5</f>
        <v/>
      </c>
      <c r="N16" s="17">
        <f>$D16*(1+$F16)^6/(1+$G16)^6</f>
        <v/>
      </c>
      <c r="O16" s="17">
        <f>$D16*(1+$F16)^7/(1+$G16)^7</f>
        <v/>
      </c>
      <c r="P16" s="17">
        <f>$D16*(1+$F16)^8/(1+$G16)^8</f>
        <v/>
      </c>
      <c r="Q16" s="17">
        <f>$D16*(1+$F16)^9/(1+$G16)^9</f>
        <v/>
      </c>
      <c r="R16" s="17">
        <f>$D16*(1+$F16)^10/(1+$G16)^10</f>
        <v/>
      </c>
      <c r="S16" s="26">
        <f>SUM(I16:R16)</f>
        <v/>
      </c>
      <c r="T16" s="17">
        <f>$D16*(1+$F16)^10</f>
        <v/>
      </c>
      <c r="U16" s="17">
        <f>IF($G16&lt;=$H16,"",T16*(1+$H16)/($G16-$H16))</f>
        <v/>
      </c>
      <c r="V16" s="17">
        <f>IF(ISNUMBER(U16),U16/(1+$G16)^10,"")</f>
        <v/>
      </c>
      <c r="W16" s="26">
        <f>IF(ISNUMBER(V16),S16+V16,"")</f>
        <v/>
      </c>
      <c r="X16" s="15" t="n">
        <v>349.38090204348</v>
      </c>
      <c r="Y16" s="19">
        <f>IF(AND(ISNUMBER(W16),W16&lt;&gt;0,ISNUMBER(X16)),(W16-X16)/W16,"")</f>
        <v/>
      </c>
      <c r="Z16" s="27">
        <f>IF(NOT(ISNUMBER(Y16)),"판정불가",IF(Y16&gt;=기준표!$B$42,"투자가능",IF(Y16&gt;=0,"경계선","범위밖")))</f>
        <v/>
      </c>
    </row>
    <row r="17">
      <c r="A17" s="8" t="inlineStr">
        <is>
          <t>XOM</t>
        </is>
      </c>
      <c r="B17" s="8" t="inlineStr">
        <is>
          <t>EXXON MOBIL CORP</t>
        </is>
      </c>
      <c r="C17" s="8" t="inlineStr">
        <is>
          <t>보수</t>
        </is>
      </c>
      <c r="D17" s="15" t="n">
        <v>31.41095338186707</v>
      </c>
      <c r="E17" s="23" t="n">
        <v>0.04822520780487816</v>
      </c>
      <c r="F17" s="18">
        <f>IF(NOT(ISNUMBER(E17)),0.03,MAX(0,MIN(E17*기준표!$B$33,기준표!$B$40)))</f>
        <v/>
      </c>
      <c r="G17" s="18">
        <f>기준표!$B$31</f>
        <v/>
      </c>
      <c r="H17" s="18">
        <f>기준표!$B$32</f>
        <v/>
      </c>
      <c r="I17" s="17">
        <f>$D17*(1+$F17)^1/(1+$G17)^1</f>
        <v/>
      </c>
      <c r="J17" s="17">
        <f>$D17*(1+$F17)^2/(1+$G17)^2</f>
        <v/>
      </c>
      <c r="K17" s="17">
        <f>$D17*(1+$F17)^3/(1+$G17)^3</f>
        <v/>
      </c>
      <c r="L17" s="17">
        <f>$D17*(1+$F17)^4/(1+$G17)^4</f>
        <v/>
      </c>
      <c r="M17" s="17">
        <f>$D17*(1+$F17)^5/(1+$G17)^5</f>
        <v/>
      </c>
      <c r="N17" s="17">
        <f>$D17*(1+$F17)^6/(1+$G17)^6</f>
        <v/>
      </c>
      <c r="O17" s="17">
        <f>$D17*(1+$F17)^7/(1+$G17)^7</f>
        <v/>
      </c>
      <c r="P17" s="17">
        <f>$D17*(1+$F17)^8/(1+$G17)^8</f>
        <v/>
      </c>
      <c r="Q17" s="17">
        <f>$D17*(1+$F17)^9/(1+$G17)^9</f>
        <v/>
      </c>
      <c r="R17" s="17">
        <f>$D17*(1+$F17)^10/(1+$G17)^10</f>
        <v/>
      </c>
      <c r="S17" s="26">
        <f>SUM(I17:R17)</f>
        <v/>
      </c>
      <c r="T17" s="17">
        <f>$D17*(1+$F17)^10</f>
        <v/>
      </c>
      <c r="U17" s="17">
        <f>IF($G17&lt;=$H17,"",T17*(1+$H17)/($G17-$H17))</f>
        <v/>
      </c>
      <c r="V17" s="17">
        <f>IF(ISNUMBER(U17),U17/(1+$G17)^10,"")</f>
        <v/>
      </c>
      <c r="W17" s="26">
        <f>IF(ISNUMBER(V17),S17+V17,"")</f>
        <v/>
      </c>
      <c r="X17" s="15" t="n">
        <v>665.80713215487</v>
      </c>
      <c r="Y17" s="19">
        <f>IF(AND(ISNUMBER(W17),W17&lt;&gt;0,ISNUMBER(X17)),(W17-X17)/W17,"")</f>
        <v/>
      </c>
      <c r="Z17" s="27">
        <f>IF(NOT(ISNUMBER(Y17)),"판정불가",IF(Y17&gt;=기준표!$B$42,"투자가능",IF(Y17&gt;=0,"경계선","범위밖")))</f>
        <v/>
      </c>
    </row>
    <row r="18">
      <c r="A18" s="8" t="inlineStr">
        <is>
          <t>XOM</t>
        </is>
      </c>
      <c r="B18" s="8" t="inlineStr">
        <is>
          <t>EXXON MOBIL CORP</t>
        </is>
      </c>
      <c r="C18" s="8" t="inlineStr">
        <is>
          <t>기준</t>
        </is>
      </c>
      <c r="D18" s="15" t="n">
        <v>31.41095338186707</v>
      </c>
      <c r="E18" s="23" t="n">
        <v>0.04822520780487816</v>
      </c>
      <c r="F18" s="18">
        <f>IF(NOT(ISNUMBER(E18)),0.03,MAX(0,MIN(E18*기준표!$B$36,기준표!$B$40)))</f>
        <v/>
      </c>
      <c r="G18" s="18">
        <f>기준표!$B$34</f>
        <v/>
      </c>
      <c r="H18" s="18">
        <f>기준표!$B$35</f>
        <v/>
      </c>
      <c r="I18" s="17">
        <f>$D18*(1+$F18)^1/(1+$G18)^1</f>
        <v/>
      </c>
      <c r="J18" s="17">
        <f>$D18*(1+$F18)^2/(1+$G18)^2</f>
        <v/>
      </c>
      <c r="K18" s="17">
        <f>$D18*(1+$F18)^3/(1+$G18)^3</f>
        <v/>
      </c>
      <c r="L18" s="17">
        <f>$D18*(1+$F18)^4/(1+$G18)^4</f>
        <v/>
      </c>
      <c r="M18" s="17">
        <f>$D18*(1+$F18)^5/(1+$G18)^5</f>
        <v/>
      </c>
      <c r="N18" s="17">
        <f>$D18*(1+$F18)^6/(1+$G18)^6</f>
        <v/>
      </c>
      <c r="O18" s="17">
        <f>$D18*(1+$F18)^7/(1+$G18)^7</f>
        <v/>
      </c>
      <c r="P18" s="17">
        <f>$D18*(1+$F18)^8/(1+$G18)^8</f>
        <v/>
      </c>
      <c r="Q18" s="17">
        <f>$D18*(1+$F18)^9/(1+$G18)^9</f>
        <v/>
      </c>
      <c r="R18" s="17">
        <f>$D18*(1+$F18)^10/(1+$G18)^10</f>
        <v/>
      </c>
      <c r="S18" s="26">
        <f>SUM(I18:R18)</f>
        <v/>
      </c>
      <c r="T18" s="17">
        <f>$D18*(1+$F18)^10</f>
        <v/>
      </c>
      <c r="U18" s="17">
        <f>IF($G18&lt;=$H18,"",T18*(1+$H18)/($G18-$H18))</f>
        <v/>
      </c>
      <c r="V18" s="17">
        <f>IF(ISNUMBER(U18),U18/(1+$G18)^10,"")</f>
        <v/>
      </c>
      <c r="W18" s="26">
        <f>IF(ISNUMBER(V18),S18+V18,"")</f>
        <v/>
      </c>
      <c r="X18" s="15" t="n">
        <v>665.80713215487</v>
      </c>
      <c r="Y18" s="19">
        <f>IF(AND(ISNUMBER(W18),W18&lt;&gt;0,ISNUMBER(X18)),(W18-X18)/W18,"")</f>
        <v/>
      </c>
      <c r="Z18" s="27">
        <f>IF(NOT(ISNUMBER(Y18)),"판정불가",IF(Y18&gt;=기준표!$B$42,"투자가능",IF(Y18&gt;=0,"경계선","범위밖")))</f>
        <v/>
      </c>
    </row>
    <row r="19">
      <c r="A19" s="8" t="inlineStr">
        <is>
          <t>XOM</t>
        </is>
      </c>
      <c r="B19" s="8" t="inlineStr">
        <is>
          <t>EXXON MOBIL CORP</t>
        </is>
      </c>
      <c r="C19" s="8" t="inlineStr">
        <is>
          <t>낙관</t>
        </is>
      </c>
      <c r="D19" s="15" t="n">
        <v>31.41095338186707</v>
      </c>
      <c r="E19" s="23" t="n">
        <v>0.04822520780487816</v>
      </c>
      <c r="F19" s="18">
        <f>IF(NOT(ISNUMBER(E19)),0.03,MAX(0,MIN(E19*기준표!$B$39,기준표!$B$41)))</f>
        <v/>
      </c>
      <c r="G19" s="18">
        <f>기준표!$B$37</f>
        <v/>
      </c>
      <c r="H19" s="18">
        <f>기준표!$B$38</f>
        <v/>
      </c>
      <c r="I19" s="17">
        <f>$D19*(1+$F19)^1/(1+$G19)^1</f>
        <v/>
      </c>
      <c r="J19" s="17">
        <f>$D19*(1+$F19)^2/(1+$G19)^2</f>
        <v/>
      </c>
      <c r="K19" s="17">
        <f>$D19*(1+$F19)^3/(1+$G19)^3</f>
        <v/>
      </c>
      <c r="L19" s="17">
        <f>$D19*(1+$F19)^4/(1+$G19)^4</f>
        <v/>
      </c>
      <c r="M19" s="17">
        <f>$D19*(1+$F19)^5/(1+$G19)^5</f>
        <v/>
      </c>
      <c r="N19" s="17">
        <f>$D19*(1+$F19)^6/(1+$G19)^6</f>
        <v/>
      </c>
      <c r="O19" s="17">
        <f>$D19*(1+$F19)^7/(1+$G19)^7</f>
        <v/>
      </c>
      <c r="P19" s="17">
        <f>$D19*(1+$F19)^8/(1+$G19)^8</f>
        <v/>
      </c>
      <c r="Q19" s="17">
        <f>$D19*(1+$F19)^9/(1+$G19)^9</f>
        <v/>
      </c>
      <c r="R19" s="17">
        <f>$D19*(1+$F19)^10/(1+$G19)^10</f>
        <v/>
      </c>
      <c r="S19" s="26">
        <f>SUM(I19:R19)</f>
        <v/>
      </c>
      <c r="T19" s="17">
        <f>$D19*(1+$F19)^10</f>
        <v/>
      </c>
      <c r="U19" s="17">
        <f>IF($G19&lt;=$H19,"",T19*(1+$H19)/($G19-$H19))</f>
        <v/>
      </c>
      <c r="V19" s="17">
        <f>IF(ISNUMBER(U19),U19/(1+$G19)^10,"")</f>
        <v/>
      </c>
      <c r="W19" s="26">
        <f>IF(ISNUMBER(V19),S19+V19,"")</f>
        <v/>
      </c>
      <c r="X19" s="15" t="n">
        <v>665.80713215487</v>
      </c>
      <c r="Y19" s="19">
        <f>IF(AND(ISNUMBER(W19),W19&lt;&gt;0,ISNUMBER(X19)),(W19-X19)/W19,"")</f>
        <v/>
      </c>
      <c r="Z19" s="27">
        <f>IF(NOT(ISNUMBER(Y19)),"판정불가",IF(Y19&gt;=기준표!$B$42,"투자가능",IF(Y19&gt;=0,"경계선","범위밖")))</f>
        <v/>
      </c>
    </row>
    <row r="20">
      <c r="A20" s="8" t="inlineStr">
        <is>
          <t>CVX</t>
        </is>
      </c>
      <c r="B20" s="8" t="inlineStr">
        <is>
          <t>CHEVRON CORP</t>
        </is>
      </c>
      <c r="C20" s="8" t="inlineStr">
        <is>
          <t>보수</t>
        </is>
      </c>
      <c r="D20" s="15" t="n">
        <v>19.80061368307381</v>
      </c>
      <c r="E20" s="23" t="n"/>
      <c r="F20" s="18">
        <f>IF(NOT(ISNUMBER(E20)),0.03,MAX(0,MIN(E20*기준표!$B$33,기준표!$B$40)))</f>
        <v/>
      </c>
      <c r="G20" s="18">
        <f>기준표!$B$31</f>
        <v/>
      </c>
      <c r="H20" s="18">
        <f>기준표!$B$32</f>
        <v/>
      </c>
      <c r="I20" s="17">
        <f>$D20*(1+$F20)^1/(1+$G20)^1</f>
        <v/>
      </c>
      <c r="J20" s="17">
        <f>$D20*(1+$F20)^2/(1+$G20)^2</f>
        <v/>
      </c>
      <c r="K20" s="17">
        <f>$D20*(1+$F20)^3/(1+$G20)^3</f>
        <v/>
      </c>
      <c r="L20" s="17">
        <f>$D20*(1+$F20)^4/(1+$G20)^4</f>
        <v/>
      </c>
      <c r="M20" s="17">
        <f>$D20*(1+$F20)^5/(1+$G20)^5</f>
        <v/>
      </c>
      <c r="N20" s="17">
        <f>$D20*(1+$F20)^6/(1+$G20)^6</f>
        <v/>
      </c>
      <c r="O20" s="17">
        <f>$D20*(1+$F20)^7/(1+$G20)^7</f>
        <v/>
      </c>
      <c r="P20" s="17">
        <f>$D20*(1+$F20)^8/(1+$G20)^8</f>
        <v/>
      </c>
      <c r="Q20" s="17">
        <f>$D20*(1+$F20)^9/(1+$G20)^9</f>
        <v/>
      </c>
      <c r="R20" s="17">
        <f>$D20*(1+$F20)^10/(1+$G20)^10</f>
        <v/>
      </c>
      <c r="S20" s="26">
        <f>SUM(I20:R20)</f>
        <v/>
      </c>
      <c r="T20" s="17">
        <f>$D20*(1+$F20)^10</f>
        <v/>
      </c>
      <c r="U20" s="17">
        <f>IF($G20&lt;=$H20,"",T20*(1+$H20)/($G20-$H20))</f>
        <v/>
      </c>
      <c r="V20" s="17">
        <f>IF(ISNUMBER(U20),U20/(1+$G20)^10,"")</f>
        <v/>
      </c>
      <c r="W20" s="26">
        <f>IF(ISNUMBER(V20),S20+V20,"")</f>
        <v/>
      </c>
      <c r="X20" s="15" t="n">
        <v>388.92059540649</v>
      </c>
      <c r="Y20" s="19">
        <f>IF(AND(ISNUMBER(W20),W20&lt;&gt;0,ISNUMBER(X20)),(W20-X20)/W20,"")</f>
        <v/>
      </c>
      <c r="Z20" s="27">
        <f>IF(NOT(ISNUMBER(Y20)),"판정불가",IF(Y20&gt;=기준표!$B$42,"투자가능",IF(Y20&gt;=0,"경계선","범위밖")))</f>
        <v/>
      </c>
    </row>
    <row r="21">
      <c r="A21" s="8" t="inlineStr">
        <is>
          <t>CVX</t>
        </is>
      </c>
      <c r="B21" s="8" t="inlineStr">
        <is>
          <t>CHEVRON CORP</t>
        </is>
      </c>
      <c r="C21" s="8" t="inlineStr">
        <is>
          <t>기준</t>
        </is>
      </c>
      <c r="D21" s="15" t="n">
        <v>19.80061368307381</v>
      </c>
      <c r="E21" s="23" t="n"/>
      <c r="F21" s="18">
        <f>IF(NOT(ISNUMBER(E21)),0.03,MAX(0,MIN(E21*기준표!$B$36,기준표!$B$40)))</f>
        <v/>
      </c>
      <c r="G21" s="18">
        <f>기준표!$B$34</f>
        <v/>
      </c>
      <c r="H21" s="18">
        <f>기준표!$B$35</f>
        <v/>
      </c>
      <c r="I21" s="17">
        <f>$D21*(1+$F21)^1/(1+$G21)^1</f>
        <v/>
      </c>
      <c r="J21" s="17">
        <f>$D21*(1+$F21)^2/(1+$G21)^2</f>
        <v/>
      </c>
      <c r="K21" s="17">
        <f>$D21*(1+$F21)^3/(1+$G21)^3</f>
        <v/>
      </c>
      <c r="L21" s="17">
        <f>$D21*(1+$F21)^4/(1+$G21)^4</f>
        <v/>
      </c>
      <c r="M21" s="17">
        <f>$D21*(1+$F21)^5/(1+$G21)^5</f>
        <v/>
      </c>
      <c r="N21" s="17">
        <f>$D21*(1+$F21)^6/(1+$G21)^6</f>
        <v/>
      </c>
      <c r="O21" s="17">
        <f>$D21*(1+$F21)^7/(1+$G21)^7</f>
        <v/>
      </c>
      <c r="P21" s="17">
        <f>$D21*(1+$F21)^8/(1+$G21)^8</f>
        <v/>
      </c>
      <c r="Q21" s="17">
        <f>$D21*(1+$F21)^9/(1+$G21)^9</f>
        <v/>
      </c>
      <c r="R21" s="17">
        <f>$D21*(1+$F21)^10/(1+$G21)^10</f>
        <v/>
      </c>
      <c r="S21" s="26">
        <f>SUM(I21:R21)</f>
        <v/>
      </c>
      <c r="T21" s="17">
        <f>$D21*(1+$F21)^10</f>
        <v/>
      </c>
      <c r="U21" s="17">
        <f>IF($G21&lt;=$H21,"",T21*(1+$H21)/($G21-$H21))</f>
        <v/>
      </c>
      <c r="V21" s="17">
        <f>IF(ISNUMBER(U21),U21/(1+$G21)^10,"")</f>
        <v/>
      </c>
      <c r="W21" s="26">
        <f>IF(ISNUMBER(V21),S21+V21,"")</f>
        <v/>
      </c>
      <c r="X21" s="15" t="n">
        <v>388.92059540649</v>
      </c>
      <c r="Y21" s="19">
        <f>IF(AND(ISNUMBER(W21),W21&lt;&gt;0,ISNUMBER(X21)),(W21-X21)/W21,"")</f>
        <v/>
      </c>
      <c r="Z21" s="27">
        <f>IF(NOT(ISNUMBER(Y21)),"판정불가",IF(Y21&gt;=기준표!$B$42,"투자가능",IF(Y21&gt;=0,"경계선","범위밖")))</f>
        <v/>
      </c>
    </row>
    <row r="22">
      <c r="A22" s="8" t="inlineStr">
        <is>
          <t>CVX</t>
        </is>
      </c>
      <c r="B22" s="8" t="inlineStr">
        <is>
          <t>CHEVRON CORP</t>
        </is>
      </c>
      <c r="C22" s="8" t="inlineStr">
        <is>
          <t>낙관</t>
        </is>
      </c>
      <c r="D22" s="15" t="n">
        <v>19.80061368307381</v>
      </c>
      <c r="E22" s="23" t="n"/>
      <c r="F22" s="18">
        <f>IF(NOT(ISNUMBER(E22)),0.03,MAX(0,MIN(E22*기준표!$B$39,기준표!$B$41)))</f>
        <v/>
      </c>
      <c r="G22" s="18">
        <f>기준표!$B$37</f>
        <v/>
      </c>
      <c r="H22" s="18">
        <f>기준표!$B$38</f>
        <v/>
      </c>
      <c r="I22" s="17">
        <f>$D22*(1+$F22)^1/(1+$G22)^1</f>
        <v/>
      </c>
      <c r="J22" s="17">
        <f>$D22*(1+$F22)^2/(1+$G22)^2</f>
        <v/>
      </c>
      <c r="K22" s="17">
        <f>$D22*(1+$F22)^3/(1+$G22)^3</f>
        <v/>
      </c>
      <c r="L22" s="17">
        <f>$D22*(1+$F22)^4/(1+$G22)^4</f>
        <v/>
      </c>
      <c r="M22" s="17">
        <f>$D22*(1+$F22)^5/(1+$G22)^5</f>
        <v/>
      </c>
      <c r="N22" s="17">
        <f>$D22*(1+$F22)^6/(1+$G22)^6</f>
        <v/>
      </c>
      <c r="O22" s="17">
        <f>$D22*(1+$F22)^7/(1+$G22)^7</f>
        <v/>
      </c>
      <c r="P22" s="17">
        <f>$D22*(1+$F22)^8/(1+$G22)^8</f>
        <v/>
      </c>
      <c r="Q22" s="17">
        <f>$D22*(1+$F22)^9/(1+$G22)^9</f>
        <v/>
      </c>
      <c r="R22" s="17">
        <f>$D22*(1+$F22)^10/(1+$G22)^10</f>
        <v/>
      </c>
      <c r="S22" s="26">
        <f>SUM(I22:R22)</f>
        <v/>
      </c>
      <c r="T22" s="17">
        <f>$D22*(1+$F22)^10</f>
        <v/>
      </c>
      <c r="U22" s="17">
        <f>IF($G22&lt;=$H22,"",T22*(1+$H22)/($G22-$H22))</f>
        <v/>
      </c>
      <c r="V22" s="17">
        <f>IF(ISNUMBER(U22),U22/(1+$G22)^10,"")</f>
        <v/>
      </c>
      <c r="W22" s="26">
        <f>IF(ISNUMBER(V22),S22+V22,"")</f>
        <v/>
      </c>
      <c r="X22" s="15" t="n">
        <v>388.92059540649</v>
      </c>
      <c r="Y22" s="19">
        <f>IF(AND(ISNUMBER(W22),W22&lt;&gt;0,ISNUMBER(X22)),(W22-X22)/W22,"")</f>
        <v/>
      </c>
      <c r="Z22" s="27">
        <f>IF(NOT(ISNUMBER(Y22)),"판정불가",IF(Y22&gt;=기준표!$B$42,"투자가능",IF(Y22&gt;=0,"경계선","범위밖")))</f>
        <v/>
      </c>
    </row>
    <row r="23">
      <c r="A23" s="8" t="inlineStr">
        <is>
          <t>JNJ</t>
        </is>
      </c>
      <c r="B23" s="8" t="inlineStr">
        <is>
          <t>JOHNSON &amp; JOHNSON</t>
        </is>
      </c>
      <c r="C23" s="8" t="inlineStr">
        <is>
          <t>보수</t>
        </is>
      </c>
      <c r="D23" s="15" t="n">
        <v>26.629</v>
      </c>
      <c r="E23" s="23" t="n">
        <v>0.05358810039246253</v>
      </c>
      <c r="F23" s="18">
        <f>IF(NOT(ISNUMBER(E23)),0.03,MAX(0,MIN(E23*기준표!$B$33,기준표!$B$40)))</f>
        <v/>
      </c>
      <c r="G23" s="18">
        <f>기준표!$B$31</f>
        <v/>
      </c>
      <c r="H23" s="18">
        <f>기준표!$B$32</f>
        <v/>
      </c>
      <c r="I23" s="17">
        <f>$D23*(1+$F23)^1/(1+$G23)^1</f>
        <v/>
      </c>
      <c r="J23" s="17">
        <f>$D23*(1+$F23)^2/(1+$G23)^2</f>
        <v/>
      </c>
      <c r="K23" s="17">
        <f>$D23*(1+$F23)^3/(1+$G23)^3</f>
        <v/>
      </c>
      <c r="L23" s="17">
        <f>$D23*(1+$F23)^4/(1+$G23)^4</f>
        <v/>
      </c>
      <c r="M23" s="17">
        <f>$D23*(1+$F23)^5/(1+$G23)^5</f>
        <v/>
      </c>
      <c r="N23" s="17">
        <f>$D23*(1+$F23)^6/(1+$G23)^6</f>
        <v/>
      </c>
      <c r="O23" s="17">
        <f>$D23*(1+$F23)^7/(1+$G23)^7</f>
        <v/>
      </c>
      <c r="P23" s="17">
        <f>$D23*(1+$F23)^8/(1+$G23)^8</f>
        <v/>
      </c>
      <c r="Q23" s="17">
        <f>$D23*(1+$F23)^9/(1+$G23)^9</f>
        <v/>
      </c>
      <c r="R23" s="17">
        <f>$D23*(1+$F23)^10/(1+$G23)^10</f>
        <v/>
      </c>
      <c r="S23" s="26">
        <f>SUM(I23:R23)</f>
        <v/>
      </c>
      <c r="T23" s="17">
        <f>$D23*(1+$F23)^10</f>
        <v/>
      </c>
      <c r="U23" s="17">
        <f>IF($G23&lt;=$H23,"",T23*(1+$H23)/($G23-$H23))</f>
        <v/>
      </c>
      <c r="V23" s="17">
        <f>IF(ISNUMBER(U23),U23/(1+$G23)^10,"")</f>
        <v/>
      </c>
      <c r="W23" s="26">
        <f>IF(ISNUMBER(V23),S23+V23,"")</f>
        <v/>
      </c>
      <c r="X23" s="15" t="n">
        <v>630.9356404341601</v>
      </c>
      <c r="Y23" s="19">
        <f>IF(AND(ISNUMBER(W23),W23&lt;&gt;0,ISNUMBER(X23)),(W23-X23)/W23,"")</f>
        <v/>
      </c>
      <c r="Z23" s="27">
        <f>IF(NOT(ISNUMBER(Y23)),"판정불가",IF(Y23&gt;=기준표!$B$42,"투자가능",IF(Y23&gt;=0,"경계선","범위밖")))</f>
        <v/>
      </c>
    </row>
    <row r="24">
      <c r="A24" s="8" t="inlineStr">
        <is>
          <t>JNJ</t>
        </is>
      </c>
      <c r="B24" s="8" t="inlineStr">
        <is>
          <t>JOHNSON &amp; JOHNSON</t>
        </is>
      </c>
      <c r="C24" s="8" t="inlineStr">
        <is>
          <t>기준</t>
        </is>
      </c>
      <c r="D24" s="15" t="n">
        <v>26.629</v>
      </c>
      <c r="E24" s="23" t="n">
        <v>0.05358810039246253</v>
      </c>
      <c r="F24" s="18">
        <f>IF(NOT(ISNUMBER(E24)),0.03,MAX(0,MIN(E24*기준표!$B$36,기준표!$B$40)))</f>
        <v/>
      </c>
      <c r="G24" s="18">
        <f>기준표!$B$34</f>
        <v/>
      </c>
      <c r="H24" s="18">
        <f>기준표!$B$35</f>
        <v/>
      </c>
      <c r="I24" s="17">
        <f>$D24*(1+$F24)^1/(1+$G24)^1</f>
        <v/>
      </c>
      <c r="J24" s="17">
        <f>$D24*(1+$F24)^2/(1+$G24)^2</f>
        <v/>
      </c>
      <c r="K24" s="17">
        <f>$D24*(1+$F24)^3/(1+$G24)^3</f>
        <v/>
      </c>
      <c r="L24" s="17">
        <f>$D24*(1+$F24)^4/(1+$G24)^4</f>
        <v/>
      </c>
      <c r="M24" s="17">
        <f>$D24*(1+$F24)^5/(1+$G24)^5</f>
        <v/>
      </c>
      <c r="N24" s="17">
        <f>$D24*(1+$F24)^6/(1+$G24)^6</f>
        <v/>
      </c>
      <c r="O24" s="17">
        <f>$D24*(1+$F24)^7/(1+$G24)^7</f>
        <v/>
      </c>
      <c r="P24" s="17">
        <f>$D24*(1+$F24)^8/(1+$G24)^8</f>
        <v/>
      </c>
      <c r="Q24" s="17">
        <f>$D24*(1+$F24)^9/(1+$G24)^9</f>
        <v/>
      </c>
      <c r="R24" s="17">
        <f>$D24*(1+$F24)^10/(1+$G24)^10</f>
        <v/>
      </c>
      <c r="S24" s="26">
        <f>SUM(I24:R24)</f>
        <v/>
      </c>
      <c r="T24" s="17">
        <f>$D24*(1+$F24)^10</f>
        <v/>
      </c>
      <c r="U24" s="17">
        <f>IF($G24&lt;=$H24,"",T24*(1+$H24)/($G24-$H24))</f>
        <v/>
      </c>
      <c r="V24" s="17">
        <f>IF(ISNUMBER(U24),U24/(1+$G24)^10,"")</f>
        <v/>
      </c>
      <c r="W24" s="26">
        <f>IF(ISNUMBER(V24),S24+V24,"")</f>
        <v/>
      </c>
      <c r="X24" s="15" t="n">
        <v>630.9356404341601</v>
      </c>
      <c r="Y24" s="19">
        <f>IF(AND(ISNUMBER(W24),W24&lt;&gt;0,ISNUMBER(X24)),(W24-X24)/W24,"")</f>
        <v/>
      </c>
      <c r="Z24" s="27">
        <f>IF(NOT(ISNUMBER(Y24)),"판정불가",IF(Y24&gt;=기준표!$B$42,"투자가능",IF(Y24&gt;=0,"경계선","범위밖")))</f>
        <v/>
      </c>
    </row>
    <row r="25">
      <c r="A25" s="8" t="inlineStr">
        <is>
          <t>JNJ</t>
        </is>
      </c>
      <c r="B25" s="8" t="inlineStr">
        <is>
          <t>JOHNSON &amp; JOHNSON</t>
        </is>
      </c>
      <c r="C25" s="8" t="inlineStr">
        <is>
          <t>낙관</t>
        </is>
      </c>
      <c r="D25" s="15" t="n">
        <v>26.629</v>
      </c>
      <c r="E25" s="23" t="n">
        <v>0.05358810039246253</v>
      </c>
      <c r="F25" s="18">
        <f>IF(NOT(ISNUMBER(E25)),0.03,MAX(0,MIN(E25*기준표!$B$39,기준표!$B$41)))</f>
        <v/>
      </c>
      <c r="G25" s="18">
        <f>기준표!$B$37</f>
        <v/>
      </c>
      <c r="H25" s="18">
        <f>기준표!$B$38</f>
        <v/>
      </c>
      <c r="I25" s="17">
        <f>$D25*(1+$F25)^1/(1+$G25)^1</f>
        <v/>
      </c>
      <c r="J25" s="17">
        <f>$D25*(1+$F25)^2/(1+$G25)^2</f>
        <v/>
      </c>
      <c r="K25" s="17">
        <f>$D25*(1+$F25)^3/(1+$G25)^3</f>
        <v/>
      </c>
      <c r="L25" s="17">
        <f>$D25*(1+$F25)^4/(1+$G25)^4</f>
        <v/>
      </c>
      <c r="M25" s="17">
        <f>$D25*(1+$F25)^5/(1+$G25)^5</f>
        <v/>
      </c>
      <c r="N25" s="17">
        <f>$D25*(1+$F25)^6/(1+$G25)^6</f>
        <v/>
      </c>
      <c r="O25" s="17">
        <f>$D25*(1+$F25)^7/(1+$G25)^7</f>
        <v/>
      </c>
      <c r="P25" s="17">
        <f>$D25*(1+$F25)^8/(1+$G25)^8</f>
        <v/>
      </c>
      <c r="Q25" s="17">
        <f>$D25*(1+$F25)^9/(1+$G25)^9</f>
        <v/>
      </c>
      <c r="R25" s="17">
        <f>$D25*(1+$F25)^10/(1+$G25)^10</f>
        <v/>
      </c>
      <c r="S25" s="26">
        <f>SUM(I25:R25)</f>
        <v/>
      </c>
      <c r="T25" s="17">
        <f>$D25*(1+$F25)^10</f>
        <v/>
      </c>
      <c r="U25" s="17">
        <f>IF($G25&lt;=$H25,"",T25*(1+$H25)/($G25-$H25))</f>
        <v/>
      </c>
      <c r="V25" s="17">
        <f>IF(ISNUMBER(U25),U25/(1+$G25)^10,"")</f>
        <v/>
      </c>
      <c r="W25" s="26">
        <f>IF(ISNUMBER(V25),S25+V25,"")</f>
        <v/>
      </c>
      <c r="X25" s="15" t="n">
        <v>630.9356404341601</v>
      </c>
      <c r="Y25" s="19">
        <f>IF(AND(ISNUMBER(W25),W25&lt;&gt;0,ISNUMBER(X25)),(W25-X25)/W25,"")</f>
        <v/>
      </c>
      <c r="Z25" s="27">
        <f>IF(NOT(ISNUMBER(Y25)),"판정불가",IF(Y25&gt;=기준표!$B$42,"투자가능",IF(Y25&gt;=0,"경계선","범위밖")))</f>
        <v/>
      </c>
    </row>
    <row r="26">
      <c r="A26" s="8" t="inlineStr">
        <is>
          <t>PG</t>
        </is>
      </c>
      <c r="B26" s="8" t="inlineStr">
        <is>
          <t>PROCTER &amp; GAMBLE Co</t>
        </is>
      </c>
      <c r="C26" s="8" t="inlineStr">
        <is>
          <t>보수</t>
        </is>
      </c>
      <c r="D26" s="15" t="n">
        <v>15.0547267816133</v>
      </c>
      <c r="E26" s="23" t="n">
        <v>0.03105608981912589</v>
      </c>
      <c r="F26" s="18">
        <f>IF(NOT(ISNUMBER(E26)),0.03,MAX(0,MIN(E26*기준표!$B$33,기준표!$B$40)))</f>
        <v/>
      </c>
      <c r="G26" s="18">
        <f>기준표!$B$31</f>
        <v/>
      </c>
      <c r="H26" s="18">
        <f>기준표!$B$32</f>
        <v/>
      </c>
      <c r="I26" s="17">
        <f>$D26*(1+$F26)^1/(1+$G26)^1</f>
        <v/>
      </c>
      <c r="J26" s="17">
        <f>$D26*(1+$F26)^2/(1+$G26)^2</f>
        <v/>
      </c>
      <c r="K26" s="17">
        <f>$D26*(1+$F26)^3/(1+$G26)^3</f>
        <v/>
      </c>
      <c r="L26" s="17">
        <f>$D26*(1+$F26)^4/(1+$G26)^4</f>
        <v/>
      </c>
      <c r="M26" s="17">
        <f>$D26*(1+$F26)^5/(1+$G26)^5</f>
        <v/>
      </c>
      <c r="N26" s="17">
        <f>$D26*(1+$F26)^6/(1+$G26)^6</f>
        <v/>
      </c>
      <c r="O26" s="17">
        <f>$D26*(1+$F26)^7/(1+$G26)^7</f>
        <v/>
      </c>
      <c r="P26" s="17">
        <f>$D26*(1+$F26)^8/(1+$G26)^8</f>
        <v/>
      </c>
      <c r="Q26" s="17">
        <f>$D26*(1+$F26)^9/(1+$G26)^9</f>
        <v/>
      </c>
      <c r="R26" s="17">
        <f>$D26*(1+$F26)^10/(1+$G26)^10</f>
        <v/>
      </c>
      <c r="S26" s="26">
        <f>SUM(I26:R26)</f>
        <v/>
      </c>
      <c r="T26" s="17">
        <f>$D26*(1+$F26)^10</f>
        <v/>
      </c>
      <c r="U26" s="17">
        <f>IF($G26&lt;=$H26,"",T26*(1+$H26)/($G26-$H26))</f>
        <v/>
      </c>
      <c r="V26" s="17">
        <f>IF(ISNUMBER(U26),U26/(1+$G26)^10,"")</f>
        <v/>
      </c>
      <c r="W26" s="26">
        <f>IF(ISNUMBER(V26),S26+V26,"")</f>
        <v/>
      </c>
      <c r="X26" s="15" t="n">
        <v>340.3899773064</v>
      </c>
      <c r="Y26" s="19">
        <f>IF(AND(ISNUMBER(W26),W26&lt;&gt;0,ISNUMBER(X26)),(W26-X26)/W26,"")</f>
        <v/>
      </c>
      <c r="Z26" s="27">
        <f>IF(NOT(ISNUMBER(Y26)),"판정불가",IF(Y26&gt;=기준표!$B$42,"투자가능",IF(Y26&gt;=0,"경계선","범위밖")))</f>
        <v/>
      </c>
    </row>
    <row r="27">
      <c r="A27" s="8" t="inlineStr">
        <is>
          <t>PG</t>
        </is>
      </c>
      <c r="B27" s="8" t="inlineStr">
        <is>
          <t>PROCTER &amp; GAMBLE Co</t>
        </is>
      </c>
      <c r="C27" s="8" t="inlineStr">
        <is>
          <t>기준</t>
        </is>
      </c>
      <c r="D27" s="15" t="n">
        <v>15.0547267816133</v>
      </c>
      <c r="E27" s="23" t="n">
        <v>0.03105608981912589</v>
      </c>
      <c r="F27" s="18">
        <f>IF(NOT(ISNUMBER(E27)),0.03,MAX(0,MIN(E27*기준표!$B$36,기준표!$B$40)))</f>
        <v/>
      </c>
      <c r="G27" s="18">
        <f>기준표!$B$34</f>
        <v/>
      </c>
      <c r="H27" s="18">
        <f>기준표!$B$35</f>
        <v/>
      </c>
      <c r="I27" s="17">
        <f>$D27*(1+$F27)^1/(1+$G27)^1</f>
        <v/>
      </c>
      <c r="J27" s="17">
        <f>$D27*(1+$F27)^2/(1+$G27)^2</f>
        <v/>
      </c>
      <c r="K27" s="17">
        <f>$D27*(1+$F27)^3/(1+$G27)^3</f>
        <v/>
      </c>
      <c r="L27" s="17">
        <f>$D27*(1+$F27)^4/(1+$G27)^4</f>
        <v/>
      </c>
      <c r="M27" s="17">
        <f>$D27*(1+$F27)^5/(1+$G27)^5</f>
        <v/>
      </c>
      <c r="N27" s="17">
        <f>$D27*(1+$F27)^6/(1+$G27)^6</f>
        <v/>
      </c>
      <c r="O27" s="17">
        <f>$D27*(1+$F27)^7/(1+$G27)^7</f>
        <v/>
      </c>
      <c r="P27" s="17">
        <f>$D27*(1+$F27)^8/(1+$G27)^8</f>
        <v/>
      </c>
      <c r="Q27" s="17">
        <f>$D27*(1+$F27)^9/(1+$G27)^9</f>
        <v/>
      </c>
      <c r="R27" s="17">
        <f>$D27*(1+$F27)^10/(1+$G27)^10</f>
        <v/>
      </c>
      <c r="S27" s="26">
        <f>SUM(I27:R27)</f>
        <v/>
      </c>
      <c r="T27" s="17">
        <f>$D27*(1+$F27)^10</f>
        <v/>
      </c>
      <c r="U27" s="17">
        <f>IF($G27&lt;=$H27,"",T27*(1+$H27)/($G27-$H27))</f>
        <v/>
      </c>
      <c r="V27" s="17">
        <f>IF(ISNUMBER(U27),U27/(1+$G27)^10,"")</f>
        <v/>
      </c>
      <c r="W27" s="26">
        <f>IF(ISNUMBER(V27),S27+V27,"")</f>
        <v/>
      </c>
      <c r="X27" s="15" t="n">
        <v>340.3899773064</v>
      </c>
      <c r="Y27" s="19">
        <f>IF(AND(ISNUMBER(W27),W27&lt;&gt;0,ISNUMBER(X27)),(W27-X27)/W27,"")</f>
        <v/>
      </c>
      <c r="Z27" s="27">
        <f>IF(NOT(ISNUMBER(Y27)),"판정불가",IF(Y27&gt;=기준표!$B$42,"투자가능",IF(Y27&gt;=0,"경계선","범위밖")))</f>
        <v/>
      </c>
    </row>
    <row r="28">
      <c r="A28" s="8" t="inlineStr">
        <is>
          <t>PG</t>
        </is>
      </c>
      <c r="B28" s="8" t="inlineStr">
        <is>
          <t>PROCTER &amp; GAMBLE Co</t>
        </is>
      </c>
      <c r="C28" s="8" t="inlineStr">
        <is>
          <t>낙관</t>
        </is>
      </c>
      <c r="D28" s="15" t="n">
        <v>15.0547267816133</v>
      </c>
      <c r="E28" s="23" t="n">
        <v>0.03105608981912589</v>
      </c>
      <c r="F28" s="18">
        <f>IF(NOT(ISNUMBER(E28)),0.03,MAX(0,MIN(E28*기준표!$B$39,기준표!$B$41)))</f>
        <v/>
      </c>
      <c r="G28" s="18">
        <f>기준표!$B$37</f>
        <v/>
      </c>
      <c r="H28" s="18">
        <f>기준표!$B$38</f>
        <v/>
      </c>
      <c r="I28" s="17">
        <f>$D28*(1+$F28)^1/(1+$G28)^1</f>
        <v/>
      </c>
      <c r="J28" s="17">
        <f>$D28*(1+$F28)^2/(1+$G28)^2</f>
        <v/>
      </c>
      <c r="K28" s="17">
        <f>$D28*(1+$F28)^3/(1+$G28)^3</f>
        <v/>
      </c>
      <c r="L28" s="17">
        <f>$D28*(1+$F28)^4/(1+$G28)^4</f>
        <v/>
      </c>
      <c r="M28" s="17">
        <f>$D28*(1+$F28)^5/(1+$G28)^5</f>
        <v/>
      </c>
      <c r="N28" s="17">
        <f>$D28*(1+$F28)^6/(1+$G28)^6</f>
        <v/>
      </c>
      <c r="O28" s="17">
        <f>$D28*(1+$F28)^7/(1+$G28)^7</f>
        <v/>
      </c>
      <c r="P28" s="17">
        <f>$D28*(1+$F28)^8/(1+$G28)^8</f>
        <v/>
      </c>
      <c r="Q28" s="17">
        <f>$D28*(1+$F28)^9/(1+$G28)^9</f>
        <v/>
      </c>
      <c r="R28" s="17">
        <f>$D28*(1+$F28)^10/(1+$G28)^10</f>
        <v/>
      </c>
      <c r="S28" s="26">
        <f>SUM(I28:R28)</f>
        <v/>
      </c>
      <c r="T28" s="17">
        <f>$D28*(1+$F28)^10</f>
        <v/>
      </c>
      <c r="U28" s="17">
        <f>IF($G28&lt;=$H28,"",T28*(1+$H28)/($G28-$H28))</f>
        <v/>
      </c>
      <c r="V28" s="17">
        <f>IF(ISNUMBER(U28),U28/(1+$G28)^10,"")</f>
        <v/>
      </c>
      <c r="W28" s="26">
        <f>IF(ISNUMBER(V28),S28+V28,"")</f>
        <v/>
      </c>
      <c r="X28" s="15" t="n">
        <v>340.3899773064</v>
      </c>
      <c r="Y28" s="19">
        <f>IF(AND(ISNUMBER(W28),W28&lt;&gt;0,ISNUMBER(X28)),(W28-X28)/W28,"")</f>
        <v/>
      </c>
      <c r="Z28" s="27">
        <f>IF(NOT(ISNUMBER(Y28)),"판정불가",IF(Y28&gt;=기준표!$B$42,"투자가능",IF(Y28&gt;=0,"경계선","범위밖")))</f>
        <v/>
      </c>
    </row>
    <row r="29">
      <c r="A29" s="8" t="inlineStr">
        <is>
          <t>PM</t>
        </is>
      </c>
      <c r="B29" s="8" t="inlineStr">
        <is>
          <t>Philip Morris International Inc.</t>
        </is>
      </c>
      <c r="C29" s="8" t="inlineStr">
        <is>
          <t>보수</t>
        </is>
      </c>
      <c r="D29" s="15" t="n">
        <v>10.70782116995152</v>
      </c>
      <c r="E29" s="23" t="n">
        <v>0.03598015089875672</v>
      </c>
      <c r="F29" s="18">
        <f>IF(NOT(ISNUMBER(E29)),0.03,MAX(0,MIN(E29*기준표!$B$33,기준표!$B$40)))</f>
        <v/>
      </c>
      <c r="G29" s="18">
        <f>기준표!$B$31</f>
        <v/>
      </c>
      <c r="H29" s="18">
        <f>기준표!$B$32</f>
        <v/>
      </c>
      <c r="I29" s="17">
        <f>$D29*(1+$F29)^1/(1+$G29)^1</f>
        <v/>
      </c>
      <c r="J29" s="17">
        <f>$D29*(1+$F29)^2/(1+$G29)^2</f>
        <v/>
      </c>
      <c r="K29" s="17">
        <f>$D29*(1+$F29)^3/(1+$G29)^3</f>
        <v/>
      </c>
      <c r="L29" s="17">
        <f>$D29*(1+$F29)^4/(1+$G29)^4</f>
        <v/>
      </c>
      <c r="M29" s="17">
        <f>$D29*(1+$F29)^5/(1+$G29)^5</f>
        <v/>
      </c>
      <c r="N29" s="17">
        <f>$D29*(1+$F29)^6/(1+$G29)^6</f>
        <v/>
      </c>
      <c r="O29" s="17">
        <f>$D29*(1+$F29)^7/(1+$G29)^7</f>
        <v/>
      </c>
      <c r="P29" s="17">
        <f>$D29*(1+$F29)^8/(1+$G29)^8</f>
        <v/>
      </c>
      <c r="Q29" s="17">
        <f>$D29*(1+$F29)^9/(1+$G29)^9</f>
        <v/>
      </c>
      <c r="R29" s="17">
        <f>$D29*(1+$F29)^10/(1+$G29)^10</f>
        <v/>
      </c>
      <c r="S29" s="26">
        <f>SUM(I29:R29)</f>
        <v/>
      </c>
      <c r="T29" s="17">
        <f>$D29*(1+$F29)^10</f>
        <v/>
      </c>
      <c r="U29" s="17">
        <f>IF($G29&lt;=$H29,"",T29*(1+$H29)/($G29-$H29))</f>
        <v/>
      </c>
      <c r="V29" s="17">
        <f>IF(ISNUMBER(U29),U29/(1+$G29)^10,"")</f>
        <v/>
      </c>
      <c r="W29" s="26">
        <f>IF(ISNUMBER(V29),S29+V29,"")</f>
        <v/>
      </c>
      <c r="X29" s="15" t="n">
        <v>289.542401694</v>
      </c>
      <c r="Y29" s="19">
        <f>IF(AND(ISNUMBER(W29),W29&lt;&gt;0,ISNUMBER(X29)),(W29-X29)/W29,"")</f>
        <v/>
      </c>
      <c r="Z29" s="27">
        <f>IF(NOT(ISNUMBER(Y29)),"판정불가",IF(Y29&gt;=기준표!$B$42,"투자가능",IF(Y29&gt;=0,"경계선","범위밖")))</f>
        <v/>
      </c>
    </row>
    <row r="30">
      <c r="A30" s="8" t="inlineStr">
        <is>
          <t>PM</t>
        </is>
      </c>
      <c r="B30" s="8" t="inlineStr">
        <is>
          <t>Philip Morris International Inc.</t>
        </is>
      </c>
      <c r="C30" s="8" t="inlineStr">
        <is>
          <t>기준</t>
        </is>
      </c>
      <c r="D30" s="15" t="n">
        <v>10.70782116995152</v>
      </c>
      <c r="E30" s="23" t="n">
        <v>0.03598015089875672</v>
      </c>
      <c r="F30" s="18">
        <f>IF(NOT(ISNUMBER(E30)),0.03,MAX(0,MIN(E30*기준표!$B$36,기준표!$B$40)))</f>
        <v/>
      </c>
      <c r="G30" s="18">
        <f>기준표!$B$34</f>
        <v/>
      </c>
      <c r="H30" s="18">
        <f>기준표!$B$35</f>
        <v/>
      </c>
      <c r="I30" s="17">
        <f>$D30*(1+$F30)^1/(1+$G30)^1</f>
        <v/>
      </c>
      <c r="J30" s="17">
        <f>$D30*(1+$F30)^2/(1+$G30)^2</f>
        <v/>
      </c>
      <c r="K30" s="17">
        <f>$D30*(1+$F30)^3/(1+$G30)^3</f>
        <v/>
      </c>
      <c r="L30" s="17">
        <f>$D30*(1+$F30)^4/(1+$G30)^4</f>
        <v/>
      </c>
      <c r="M30" s="17">
        <f>$D30*(1+$F30)^5/(1+$G30)^5</f>
        <v/>
      </c>
      <c r="N30" s="17">
        <f>$D30*(1+$F30)^6/(1+$G30)^6</f>
        <v/>
      </c>
      <c r="O30" s="17">
        <f>$D30*(1+$F30)^7/(1+$G30)^7</f>
        <v/>
      </c>
      <c r="P30" s="17">
        <f>$D30*(1+$F30)^8/(1+$G30)^8</f>
        <v/>
      </c>
      <c r="Q30" s="17">
        <f>$D30*(1+$F30)^9/(1+$G30)^9</f>
        <v/>
      </c>
      <c r="R30" s="17">
        <f>$D30*(1+$F30)^10/(1+$G30)^10</f>
        <v/>
      </c>
      <c r="S30" s="26">
        <f>SUM(I30:R30)</f>
        <v/>
      </c>
      <c r="T30" s="17">
        <f>$D30*(1+$F30)^10</f>
        <v/>
      </c>
      <c r="U30" s="17">
        <f>IF($G30&lt;=$H30,"",T30*(1+$H30)/($G30-$H30))</f>
        <v/>
      </c>
      <c r="V30" s="17">
        <f>IF(ISNUMBER(U30),U30/(1+$G30)^10,"")</f>
        <v/>
      </c>
      <c r="W30" s="26">
        <f>IF(ISNUMBER(V30),S30+V30,"")</f>
        <v/>
      </c>
      <c r="X30" s="15" t="n">
        <v>289.542401694</v>
      </c>
      <c r="Y30" s="19">
        <f>IF(AND(ISNUMBER(W30),W30&lt;&gt;0,ISNUMBER(X30)),(W30-X30)/W30,"")</f>
        <v/>
      </c>
      <c r="Z30" s="27">
        <f>IF(NOT(ISNUMBER(Y30)),"판정불가",IF(Y30&gt;=기준표!$B$42,"투자가능",IF(Y30&gt;=0,"경계선","범위밖")))</f>
        <v/>
      </c>
    </row>
    <row r="31">
      <c r="A31" s="8" t="inlineStr">
        <is>
          <t>PM</t>
        </is>
      </c>
      <c r="B31" s="8" t="inlineStr">
        <is>
          <t>Philip Morris International Inc.</t>
        </is>
      </c>
      <c r="C31" s="8" t="inlineStr">
        <is>
          <t>낙관</t>
        </is>
      </c>
      <c r="D31" s="15" t="n">
        <v>10.70782116995152</v>
      </c>
      <c r="E31" s="23" t="n">
        <v>0.03598015089875672</v>
      </c>
      <c r="F31" s="18">
        <f>IF(NOT(ISNUMBER(E31)),0.03,MAX(0,MIN(E31*기준표!$B$39,기준표!$B$41)))</f>
        <v/>
      </c>
      <c r="G31" s="18">
        <f>기준표!$B$37</f>
        <v/>
      </c>
      <c r="H31" s="18">
        <f>기준표!$B$38</f>
        <v/>
      </c>
      <c r="I31" s="17">
        <f>$D31*(1+$F31)^1/(1+$G31)^1</f>
        <v/>
      </c>
      <c r="J31" s="17">
        <f>$D31*(1+$F31)^2/(1+$G31)^2</f>
        <v/>
      </c>
      <c r="K31" s="17">
        <f>$D31*(1+$F31)^3/(1+$G31)^3</f>
        <v/>
      </c>
      <c r="L31" s="17">
        <f>$D31*(1+$F31)^4/(1+$G31)^4</f>
        <v/>
      </c>
      <c r="M31" s="17">
        <f>$D31*(1+$F31)^5/(1+$G31)^5</f>
        <v/>
      </c>
      <c r="N31" s="17">
        <f>$D31*(1+$F31)^6/(1+$G31)^6</f>
        <v/>
      </c>
      <c r="O31" s="17">
        <f>$D31*(1+$F31)^7/(1+$G31)^7</f>
        <v/>
      </c>
      <c r="P31" s="17">
        <f>$D31*(1+$F31)^8/(1+$G31)^8</f>
        <v/>
      </c>
      <c r="Q31" s="17">
        <f>$D31*(1+$F31)^9/(1+$G31)^9</f>
        <v/>
      </c>
      <c r="R31" s="17">
        <f>$D31*(1+$F31)^10/(1+$G31)^10</f>
        <v/>
      </c>
      <c r="S31" s="26">
        <f>SUM(I31:R31)</f>
        <v/>
      </c>
      <c r="T31" s="17">
        <f>$D31*(1+$F31)^10</f>
        <v/>
      </c>
      <c r="U31" s="17">
        <f>IF($G31&lt;=$H31,"",T31*(1+$H31)/($G31-$H31))</f>
        <v/>
      </c>
      <c r="V31" s="17">
        <f>IF(ISNUMBER(U31),U31/(1+$G31)^10,"")</f>
        <v/>
      </c>
      <c r="W31" s="26">
        <f>IF(ISNUMBER(V31),S31+V31,"")</f>
        <v/>
      </c>
      <c r="X31" s="15" t="n">
        <v>289.542401694</v>
      </c>
      <c r="Y31" s="19">
        <f>IF(AND(ISNUMBER(W31),W31&lt;&gt;0,ISNUMBER(X31)),(W31-X31)/W31,"")</f>
        <v/>
      </c>
      <c r="Z31" s="27">
        <f>IF(NOT(ISNUMBER(Y31)),"판정불가",IF(Y31&gt;=기준표!$B$42,"투자가능",IF(Y31&gt;=0,"경계선","범위밖")))</f>
        <v/>
      </c>
    </row>
    <row r="32">
      <c r="A32" s="8" t="inlineStr">
        <is>
          <t>DELL</t>
        </is>
      </c>
      <c r="B32" s="8" t="inlineStr">
        <is>
          <t>Dell Technologies Inc.</t>
        </is>
      </c>
      <c r="C32" s="8" t="inlineStr">
        <is>
          <t>보수</t>
        </is>
      </c>
      <c r="D32" s="15" t="n">
        <v>6.81</v>
      </c>
      <c r="E32" s="23" t="n">
        <v>0.1141890648955131</v>
      </c>
      <c r="F32" s="18">
        <f>IF(NOT(ISNUMBER(E32)),0.03,MAX(0,MIN(E32*기준표!$B$33,기준표!$B$40)))</f>
        <v/>
      </c>
      <c r="G32" s="18">
        <f>기준표!$B$31</f>
        <v/>
      </c>
      <c r="H32" s="18">
        <f>기준표!$B$32</f>
        <v/>
      </c>
      <c r="I32" s="17">
        <f>$D32*(1+$F32)^1/(1+$G32)^1</f>
        <v/>
      </c>
      <c r="J32" s="17">
        <f>$D32*(1+$F32)^2/(1+$G32)^2</f>
        <v/>
      </c>
      <c r="K32" s="17">
        <f>$D32*(1+$F32)^3/(1+$G32)^3</f>
        <v/>
      </c>
      <c r="L32" s="17">
        <f>$D32*(1+$F32)^4/(1+$G32)^4</f>
        <v/>
      </c>
      <c r="M32" s="17">
        <f>$D32*(1+$F32)^5/(1+$G32)^5</f>
        <v/>
      </c>
      <c r="N32" s="17">
        <f>$D32*(1+$F32)^6/(1+$G32)^6</f>
        <v/>
      </c>
      <c r="O32" s="17">
        <f>$D32*(1+$F32)^7/(1+$G32)^7</f>
        <v/>
      </c>
      <c r="P32" s="17">
        <f>$D32*(1+$F32)^8/(1+$G32)^8</f>
        <v/>
      </c>
      <c r="Q32" s="17">
        <f>$D32*(1+$F32)^9/(1+$G32)^9</f>
        <v/>
      </c>
      <c r="R32" s="17">
        <f>$D32*(1+$F32)^10/(1+$G32)^10</f>
        <v/>
      </c>
      <c r="S32" s="26">
        <f>SUM(I32:R32)</f>
        <v/>
      </c>
      <c r="T32" s="17">
        <f>$D32*(1+$F32)^10</f>
        <v/>
      </c>
      <c r="U32" s="17">
        <f>IF($G32&lt;=$H32,"",T32*(1+$H32)/($G32-$H32))</f>
        <v/>
      </c>
      <c r="V32" s="17">
        <f>IF(ISNUMBER(U32),U32/(1+$G32)^10,"")</f>
        <v/>
      </c>
      <c r="W32" s="26">
        <f>IF(ISNUMBER(V32),S32+V32,"")</f>
        <v/>
      </c>
      <c r="X32" s="15" t="n">
        <v>295.67530074388</v>
      </c>
      <c r="Y32" s="19">
        <f>IF(AND(ISNUMBER(W32),W32&lt;&gt;0,ISNUMBER(X32)),(W32-X32)/W32,"")</f>
        <v/>
      </c>
      <c r="Z32" s="27">
        <f>IF(NOT(ISNUMBER(Y32)),"판정불가",IF(Y32&gt;=기준표!$B$42,"투자가능",IF(Y32&gt;=0,"경계선","범위밖")))</f>
        <v/>
      </c>
    </row>
    <row r="33">
      <c r="A33" s="8" t="inlineStr">
        <is>
          <t>DELL</t>
        </is>
      </c>
      <c r="B33" s="8" t="inlineStr">
        <is>
          <t>Dell Technologies Inc.</t>
        </is>
      </c>
      <c r="C33" s="8" t="inlineStr">
        <is>
          <t>기준</t>
        </is>
      </c>
      <c r="D33" s="15" t="n">
        <v>6.81</v>
      </c>
      <c r="E33" s="23" t="n">
        <v>0.1141890648955131</v>
      </c>
      <c r="F33" s="18">
        <f>IF(NOT(ISNUMBER(E33)),0.03,MAX(0,MIN(E33*기준표!$B$36,기준표!$B$40)))</f>
        <v/>
      </c>
      <c r="G33" s="18">
        <f>기준표!$B$34</f>
        <v/>
      </c>
      <c r="H33" s="18">
        <f>기준표!$B$35</f>
        <v/>
      </c>
      <c r="I33" s="17">
        <f>$D33*(1+$F33)^1/(1+$G33)^1</f>
        <v/>
      </c>
      <c r="J33" s="17">
        <f>$D33*(1+$F33)^2/(1+$G33)^2</f>
        <v/>
      </c>
      <c r="K33" s="17">
        <f>$D33*(1+$F33)^3/(1+$G33)^3</f>
        <v/>
      </c>
      <c r="L33" s="17">
        <f>$D33*(1+$F33)^4/(1+$G33)^4</f>
        <v/>
      </c>
      <c r="M33" s="17">
        <f>$D33*(1+$F33)^5/(1+$G33)^5</f>
        <v/>
      </c>
      <c r="N33" s="17">
        <f>$D33*(1+$F33)^6/(1+$G33)^6</f>
        <v/>
      </c>
      <c r="O33" s="17">
        <f>$D33*(1+$F33)^7/(1+$G33)^7</f>
        <v/>
      </c>
      <c r="P33" s="17">
        <f>$D33*(1+$F33)^8/(1+$G33)^8</f>
        <v/>
      </c>
      <c r="Q33" s="17">
        <f>$D33*(1+$F33)^9/(1+$G33)^9</f>
        <v/>
      </c>
      <c r="R33" s="17">
        <f>$D33*(1+$F33)^10/(1+$G33)^10</f>
        <v/>
      </c>
      <c r="S33" s="26">
        <f>SUM(I33:R33)</f>
        <v/>
      </c>
      <c r="T33" s="17">
        <f>$D33*(1+$F33)^10</f>
        <v/>
      </c>
      <c r="U33" s="17">
        <f>IF($G33&lt;=$H33,"",T33*(1+$H33)/($G33-$H33))</f>
        <v/>
      </c>
      <c r="V33" s="17">
        <f>IF(ISNUMBER(U33),U33/(1+$G33)^10,"")</f>
        <v/>
      </c>
      <c r="W33" s="26">
        <f>IF(ISNUMBER(V33),S33+V33,"")</f>
        <v/>
      </c>
      <c r="X33" s="15" t="n">
        <v>295.67530074388</v>
      </c>
      <c r="Y33" s="19">
        <f>IF(AND(ISNUMBER(W33),W33&lt;&gt;0,ISNUMBER(X33)),(W33-X33)/W33,"")</f>
        <v/>
      </c>
      <c r="Z33" s="27">
        <f>IF(NOT(ISNUMBER(Y33)),"판정불가",IF(Y33&gt;=기준표!$B$42,"투자가능",IF(Y33&gt;=0,"경계선","범위밖")))</f>
        <v/>
      </c>
    </row>
    <row r="34">
      <c r="A34" s="8" t="inlineStr">
        <is>
          <t>DELL</t>
        </is>
      </c>
      <c r="B34" s="8" t="inlineStr">
        <is>
          <t>Dell Technologies Inc.</t>
        </is>
      </c>
      <c r="C34" s="8" t="inlineStr">
        <is>
          <t>낙관</t>
        </is>
      </c>
      <c r="D34" s="15" t="n">
        <v>6.81</v>
      </c>
      <c r="E34" s="23" t="n">
        <v>0.1141890648955131</v>
      </c>
      <c r="F34" s="18">
        <f>IF(NOT(ISNUMBER(E34)),0.03,MAX(0,MIN(E34*기준표!$B$39,기준표!$B$41)))</f>
        <v/>
      </c>
      <c r="G34" s="18">
        <f>기준표!$B$37</f>
        <v/>
      </c>
      <c r="H34" s="18">
        <f>기준표!$B$38</f>
        <v/>
      </c>
      <c r="I34" s="17">
        <f>$D34*(1+$F34)^1/(1+$G34)^1</f>
        <v/>
      </c>
      <c r="J34" s="17">
        <f>$D34*(1+$F34)^2/(1+$G34)^2</f>
        <v/>
      </c>
      <c r="K34" s="17">
        <f>$D34*(1+$F34)^3/(1+$G34)^3</f>
        <v/>
      </c>
      <c r="L34" s="17">
        <f>$D34*(1+$F34)^4/(1+$G34)^4</f>
        <v/>
      </c>
      <c r="M34" s="17">
        <f>$D34*(1+$F34)^5/(1+$G34)^5</f>
        <v/>
      </c>
      <c r="N34" s="17">
        <f>$D34*(1+$F34)^6/(1+$G34)^6</f>
        <v/>
      </c>
      <c r="O34" s="17">
        <f>$D34*(1+$F34)^7/(1+$G34)^7</f>
        <v/>
      </c>
      <c r="P34" s="17">
        <f>$D34*(1+$F34)^8/(1+$G34)^8</f>
        <v/>
      </c>
      <c r="Q34" s="17">
        <f>$D34*(1+$F34)^9/(1+$G34)^9</f>
        <v/>
      </c>
      <c r="R34" s="17">
        <f>$D34*(1+$F34)^10/(1+$G34)^10</f>
        <v/>
      </c>
      <c r="S34" s="26">
        <f>SUM(I34:R34)</f>
        <v/>
      </c>
      <c r="T34" s="17">
        <f>$D34*(1+$F34)^10</f>
        <v/>
      </c>
      <c r="U34" s="17">
        <f>IF($G34&lt;=$H34,"",T34*(1+$H34)/($G34-$H34))</f>
        <v/>
      </c>
      <c r="V34" s="17">
        <f>IF(ISNUMBER(U34),U34/(1+$G34)^10,"")</f>
        <v/>
      </c>
      <c r="W34" s="26">
        <f>IF(ISNUMBER(V34),S34+V34,"")</f>
        <v/>
      </c>
      <c r="X34" s="15" t="n">
        <v>295.67530074388</v>
      </c>
      <c r="Y34" s="19">
        <f>IF(AND(ISNUMBER(W34),W34&lt;&gt;0,ISNUMBER(X34)),(W34-X34)/W34,"")</f>
        <v/>
      </c>
      <c r="Z34" s="27">
        <f>IF(NOT(ISNUMBER(Y34)),"판정불가",IF(Y34&gt;=기준표!$B$42,"투자가능",IF(Y34&gt;=0,"경계선","범위밖")))</f>
        <v/>
      </c>
    </row>
    <row r="35">
      <c r="A35" s="8" t="inlineStr">
        <is>
          <t>META</t>
        </is>
      </c>
      <c r="B35" s="8" t="inlineStr">
        <is>
          <t>Meta Platforms, Inc.</t>
        </is>
      </c>
      <c r="C35" s="8" t="inlineStr">
        <is>
          <t>보수</t>
        </is>
      </c>
      <c r="D35" s="15" t="n">
        <v>40.24325454033298</v>
      </c>
      <c r="E35" s="23" t="n">
        <v>0.07931307726698233</v>
      </c>
      <c r="F35" s="18">
        <f>IF(NOT(ISNUMBER(E35)),0.03,MAX(0,MIN(E35*기준표!$B$33,기준표!$B$40)))</f>
        <v/>
      </c>
      <c r="G35" s="18">
        <f>기준표!$B$31</f>
        <v/>
      </c>
      <c r="H35" s="18">
        <f>기준표!$B$32</f>
        <v/>
      </c>
      <c r="I35" s="17">
        <f>$D35*(1+$F35)^1/(1+$G35)^1</f>
        <v/>
      </c>
      <c r="J35" s="17">
        <f>$D35*(1+$F35)^2/(1+$G35)^2</f>
        <v/>
      </c>
      <c r="K35" s="17">
        <f>$D35*(1+$F35)^3/(1+$G35)^3</f>
        <v/>
      </c>
      <c r="L35" s="17">
        <f>$D35*(1+$F35)^4/(1+$G35)^4</f>
        <v/>
      </c>
      <c r="M35" s="17">
        <f>$D35*(1+$F35)^5/(1+$G35)^5</f>
        <v/>
      </c>
      <c r="N35" s="17">
        <f>$D35*(1+$F35)^6/(1+$G35)^6</f>
        <v/>
      </c>
      <c r="O35" s="17">
        <f>$D35*(1+$F35)^7/(1+$G35)^7</f>
        <v/>
      </c>
      <c r="P35" s="17">
        <f>$D35*(1+$F35)^8/(1+$G35)^8</f>
        <v/>
      </c>
      <c r="Q35" s="17">
        <f>$D35*(1+$F35)^9/(1+$G35)^9</f>
        <v/>
      </c>
      <c r="R35" s="17">
        <f>$D35*(1+$F35)^10/(1+$G35)^10</f>
        <v/>
      </c>
      <c r="S35" s="26">
        <f>SUM(I35:R35)</f>
        <v/>
      </c>
      <c r="T35" s="17">
        <f>$D35*(1+$F35)^10</f>
        <v/>
      </c>
      <c r="U35" s="17">
        <f>IF($G35&lt;=$H35,"",T35*(1+$H35)/($G35-$H35))</f>
        <v/>
      </c>
      <c r="V35" s="17">
        <f>IF(ISNUMBER(U35),U35/(1+$G35)^10,"")</f>
        <v/>
      </c>
      <c r="W35" s="26">
        <f>IF(ISNUMBER(V35),S35+V35,"")</f>
        <v/>
      </c>
      <c r="X35" s="15" t="n">
        <v>1504.88313664288</v>
      </c>
      <c r="Y35" s="19">
        <f>IF(AND(ISNUMBER(W35),W35&lt;&gt;0,ISNUMBER(X35)),(W35-X35)/W35,"")</f>
        <v/>
      </c>
      <c r="Z35" s="27">
        <f>IF(NOT(ISNUMBER(Y35)),"판정불가",IF(Y35&gt;=기준표!$B$42,"투자가능",IF(Y35&gt;=0,"경계선","범위밖")))</f>
        <v/>
      </c>
    </row>
    <row r="36">
      <c r="A36" s="8" t="inlineStr">
        <is>
          <t>META</t>
        </is>
      </c>
      <c r="B36" s="8" t="inlineStr">
        <is>
          <t>Meta Platforms, Inc.</t>
        </is>
      </c>
      <c r="C36" s="8" t="inlineStr">
        <is>
          <t>기준</t>
        </is>
      </c>
      <c r="D36" s="15" t="n">
        <v>40.24325454033298</v>
      </c>
      <c r="E36" s="23" t="n">
        <v>0.07931307726698233</v>
      </c>
      <c r="F36" s="18">
        <f>IF(NOT(ISNUMBER(E36)),0.03,MAX(0,MIN(E36*기준표!$B$36,기준표!$B$40)))</f>
        <v/>
      </c>
      <c r="G36" s="18">
        <f>기준표!$B$34</f>
        <v/>
      </c>
      <c r="H36" s="18">
        <f>기준표!$B$35</f>
        <v/>
      </c>
      <c r="I36" s="17">
        <f>$D36*(1+$F36)^1/(1+$G36)^1</f>
        <v/>
      </c>
      <c r="J36" s="17">
        <f>$D36*(1+$F36)^2/(1+$G36)^2</f>
        <v/>
      </c>
      <c r="K36" s="17">
        <f>$D36*(1+$F36)^3/(1+$G36)^3</f>
        <v/>
      </c>
      <c r="L36" s="17">
        <f>$D36*(1+$F36)^4/(1+$G36)^4</f>
        <v/>
      </c>
      <c r="M36" s="17">
        <f>$D36*(1+$F36)^5/(1+$G36)^5</f>
        <v/>
      </c>
      <c r="N36" s="17">
        <f>$D36*(1+$F36)^6/(1+$G36)^6</f>
        <v/>
      </c>
      <c r="O36" s="17">
        <f>$D36*(1+$F36)^7/(1+$G36)^7</f>
        <v/>
      </c>
      <c r="P36" s="17">
        <f>$D36*(1+$F36)^8/(1+$G36)^8</f>
        <v/>
      </c>
      <c r="Q36" s="17">
        <f>$D36*(1+$F36)^9/(1+$G36)^9</f>
        <v/>
      </c>
      <c r="R36" s="17">
        <f>$D36*(1+$F36)^10/(1+$G36)^10</f>
        <v/>
      </c>
      <c r="S36" s="26">
        <f>SUM(I36:R36)</f>
        <v/>
      </c>
      <c r="T36" s="17">
        <f>$D36*(1+$F36)^10</f>
        <v/>
      </c>
      <c r="U36" s="17">
        <f>IF($G36&lt;=$H36,"",T36*(1+$H36)/($G36-$H36))</f>
        <v/>
      </c>
      <c r="V36" s="17">
        <f>IF(ISNUMBER(U36),U36/(1+$G36)^10,"")</f>
        <v/>
      </c>
      <c r="W36" s="26">
        <f>IF(ISNUMBER(V36),S36+V36,"")</f>
        <v/>
      </c>
      <c r="X36" s="15" t="n">
        <v>1504.88313664288</v>
      </c>
      <c r="Y36" s="19">
        <f>IF(AND(ISNUMBER(W36),W36&lt;&gt;0,ISNUMBER(X36)),(W36-X36)/W36,"")</f>
        <v/>
      </c>
      <c r="Z36" s="27">
        <f>IF(NOT(ISNUMBER(Y36)),"판정불가",IF(Y36&gt;=기준표!$B$42,"투자가능",IF(Y36&gt;=0,"경계선","범위밖")))</f>
        <v/>
      </c>
    </row>
    <row r="37">
      <c r="A37" s="8" t="inlineStr">
        <is>
          <t>META</t>
        </is>
      </c>
      <c r="B37" s="8" t="inlineStr">
        <is>
          <t>Meta Platforms, Inc.</t>
        </is>
      </c>
      <c r="C37" s="8" t="inlineStr">
        <is>
          <t>낙관</t>
        </is>
      </c>
      <c r="D37" s="15" t="n">
        <v>40.24325454033298</v>
      </c>
      <c r="E37" s="23" t="n">
        <v>0.07931307726698233</v>
      </c>
      <c r="F37" s="18">
        <f>IF(NOT(ISNUMBER(E37)),0.03,MAX(0,MIN(E37*기준표!$B$39,기준표!$B$41)))</f>
        <v/>
      </c>
      <c r="G37" s="18">
        <f>기준표!$B$37</f>
        <v/>
      </c>
      <c r="H37" s="18">
        <f>기준표!$B$38</f>
        <v/>
      </c>
      <c r="I37" s="17">
        <f>$D37*(1+$F37)^1/(1+$G37)^1</f>
        <v/>
      </c>
      <c r="J37" s="17">
        <f>$D37*(1+$F37)^2/(1+$G37)^2</f>
        <v/>
      </c>
      <c r="K37" s="17">
        <f>$D37*(1+$F37)^3/(1+$G37)^3</f>
        <v/>
      </c>
      <c r="L37" s="17">
        <f>$D37*(1+$F37)^4/(1+$G37)^4</f>
        <v/>
      </c>
      <c r="M37" s="17">
        <f>$D37*(1+$F37)^5/(1+$G37)^5</f>
        <v/>
      </c>
      <c r="N37" s="17">
        <f>$D37*(1+$F37)^6/(1+$G37)^6</f>
        <v/>
      </c>
      <c r="O37" s="17">
        <f>$D37*(1+$F37)^7/(1+$G37)^7</f>
        <v/>
      </c>
      <c r="P37" s="17">
        <f>$D37*(1+$F37)^8/(1+$G37)^8</f>
        <v/>
      </c>
      <c r="Q37" s="17">
        <f>$D37*(1+$F37)^9/(1+$G37)^9</f>
        <v/>
      </c>
      <c r="R37" s="17">
        <f>$D37*(1+$F37)^10/(1+$G37)^10</f>
        <v/>
      </c>
      <c r="S37" s="26">
        <f>SUM(I37:R37)</f>
        <v/>
      </c>
      <c r="T37" s="17">
        <f>$D37*(1+$F37)^10</f>
        <v/>
      </c>
      <c r="U37" s="17">
        <f>IF($G37&lt;=$H37,"",T37*(1+$H37)/($G37-$H37))</f>
        <v/>
      </c>
      <c r="V37" s="17">
        <f>IF(ISNUMBER(U37),U37/(1+$G37)^10,"")</f>
        <v/>
      </c>
      <c r="W37" s="26">
        <f>IF(ISNUMBER(V37),S37+V37,"")</f>
        <v/>
      </c>
      <c r="X37" s="15" t="n">
        <v>1504.88313664288</v>
      </c>
      <c r="Y37" s="19">
        <f>IF(AND(ISNUMBER(W37),W37&lt;&gt;0,ISNUMBER(X37)),(W37-X37)/W37,"")</f>
        <v/>
      </c>
      <c r="Z37" s="27">
        <f>IF(NOT(ISNUMBER(Y37)),"판정불가",IF(Y37&gt;=기준표!$B$42,"투자가능",IF(Y37&gt;=0,"경계선","범위밖")))</f>
        <v/>
      </c>
    </row>
    <row r="38">
      <c r="A38" s="8" t="inlineStr">
        <is>
          <t>RTX</t>
        </is>
      </c>
      <c r="B38" s="8" t="inlineStr">
        <is>
          <t>RTX Corp</t>
        </is>
      </c>
      <c r="C38" s="8" t="inlineStr">
        <is>
          <t>보수</t>
        </is>
      </c>
      <c r="D38" s="15" t="n">
        <v>8.863327374666087</v>
      </c>
      <c r="E38" s="23" t="n"/>
      <c r="F38" s="18">
        <f>IF(NOT(ISNUMBER(E38)),0.03,MAX(0,MIN(E38*기준표!$B$33,기준표!$B$40)))</f>
        <v/>
      </c>
      <c r="G38" s="18">
        <f>기준표!$B$31</f>
        <v/>
      </c>
      <c r="H38" s="18">
        <f>기준표!$B$32</f>
        <v/>
      </c>
      <c r="I38" s="17">
        <f>$D38*(1+$F38)^1/(1+$G38)^1</f>
        <v/>
      </c>
      <c r="J38" s="17">
        <f>$D38*(1+$F38)^2/(1+$G38)^2</f>
        <v/>
      </c>
      <c r="K38" s="17">
        <f>$D38*(1+$F38)^3/(1+$G38)^3</f>
        <v/>
      </c>
      <c r="L38" s="17">
        <f>$D38*(1+$F38)^4/(1+$G38)^4</f>
        <v/>
      </c>
      <c r="M38" s="17">
        <f>$D38*(1+$F38)^5/(1+$G38)^5</f>
        <v/>
      </c>
      <c r="N38" s="17">
        <f>$D38*(1+$F38)^6/(1+$G38)^6</f>
        <v/>
      </c>
      <c r="O38" s="17">
        <f>$D38*(1+$F38)^7/(1+$G38)^7</f>
        <v/>
      </c>
      <c r="P38" s="17">
        <f>$D38*(1+$F38)^8/(1+$G38)^8</f>
        <v/>
      </c>
      <c r="Q38" s="17">
        <f>$D38*(1+$F38)^9/(1+$G38)^9</f>
        <v/>
      </c>
      <c r="R38" s="17">
        <f>$D38*(1+$F38)^10/(1+$G38)^10</f>
        <v/>
      </c>
      <c r="S38" s="26">
        <f>SUM(I38:R38)</f>
        <v/>
      </c>
      <c r="T38" s="17">
        <f>$D38*(1+$F38)^10</f>
        <v/>
      </c>
      <c r="U38" s="17">
        <f>IF($G38&lt;=$H38,"",T38*(1+$H38)/($G38-$H38))</f>
        <v/>
      </c>
      <c r="V38" s="17">
        <f>IF(ISNUMBER(U38),U38/(1+$G38)^10,"")</f>
        <v/>
      </c>
      <c r="W38" s="26">
        <f>IF(ISNUMBER(V38),S38+V38,"")</f>
        <v/>
      </c>
      <c r="X38" s="15" t="n">
        <v>300.83351394512</v>
      </c>
      <c r="Y38" s="19">
        <f>IF(AND(ISNUMBER(W38),W38&lt;&gt;0,ISNUMBER(X38)),(W38-X38)/W38,"")</f>
        <v/>
      </c>
      <c r="Z38" s="27">
        <f>IF(NOT(ISNUMBER(Y38)),"판정불가",IF(Y38&gt;=기준표!$B$42,"투자가능",IF(Y38&gt;=0,"경계선","범위밖")))</f>
        <v/>
      </c>
    </row>
    <row r="39">
      <c r="A39" s="8" t="inlineStr">
        <is>
          <t>RTX</t>
        </is>
      </c>
      <c r="B39" s="8" t="inlineStr">
        <is>
          <t>RTX Corp</t>
        </is>
      </c>
      <c r="C39" s="8" t="inlineStr">
        <is>
          <t>기준</t>
        </is>
      </c>
      <c r="D39" s="15" t="n">
        <v>8.863327374666087</v>
      </c>
      <c r="E39" s="23" t="n"/>
      <c r="F39" s="18">
        <f>IF(NOT(ISNUMBER(E39)),0.03,MAX(0,MIN(E39*기준표!$B$36,기준표!$B$40)))</f>
        <v/>
      </c>
      <c r="G39" s="18">
        <f>기준표!$B$34</f>
        <v/>
      </c>
      <c r="H39" s="18">
        <f>기준표!$B$35</f>
        <v/>
      </c>
      <c r="I39" s="17">
        <f>$D39*(1+$F39)^1/(1+$G39)^1</f>
        <v/>
      </c>
      <c r="J39" s="17">
        <f>$D39*(1+$F39)^2/(1+$G39)^2</f>
        <v/>
      </c>
      <c r="K39" s="17">
        <f>$D39*(1+$F39)^3/(1+$G39)^3</f>
        <v/>
      </c>
      <c r="L39" s="17">
        <f>$D39*(1+$F39)^4/(1+$G39)^4</f>
        <v/>
      </c>
      <c r="M39" s="17">
        <f>$D39*(1+$F39)^5/(1+$G39)^5</f>
        <v/>
      </c>
      <c r="N39" s="17">
        <f>$D39*(1+$F39)^6/(1+$G39)^6</f>
        <v/>
      </c>
      <c r="O39" s="17">
        <f>$D39*(1+$F39)^7/(1+$G39)^7</f>
        <v/>
      </c>
      <c r="P39" s="17">
        <f>$D39*(1+$F39)^8/(1+$G39)^8</f>
        <v/>
      </c>
      <c r="Q39" s="17">
        <f>$D39*(1+$F39)^9/(1+$G39)^9</f>
        <v/>
      </c>
      <c r="R39" s="17">
        <f>$D39*(1+$F39)^10/(1+$G39)^10</f>
        <v/>
      </c>
      <c r="S39" s="26">
        <f>SUM(I39:R39)</f>
        <v/>
      </c>
      <c r="T39" s="17">
        <f>$D39*(1+$F39)^10</f>
        <v/>
      </c>
      <c r="U39" s="17">
        <f>IF($G39&lt;=$H39,"",T39*(1+$H39)/($G39-$H39))</f>
        <v/>
      </c>
      <c r="V39" s="17">
        <f>IF(ISNUMBER(U39),U39/(1+$G39)^10,"")</f>
        <v/>
      </c>
      <c r="W39" s="26">
        <f>IF(ISNUMBER(V39),S39+V39,"")</f>
        <v/>
      </c>
      <c r="X39" s="15" t="n">
        <v>300.83351394512</v>
      </c>
      <c r="Y39" s="19">
        <f>IF(AND(ISNUMBER(W39),W39&lt;&gt;0,ISNUMBER(X39)),(W39-X39)/W39,"")</f>
        <v/>
      </c>
      <c r="Z39" s="27">
        <f>IF(NOT(ISNUMBER(Y39)),"판정불가",IF(Y39&gt;=기준표!$B$42,"투자가능",IF(Y39&gt;=0,"경계선","범위밖")))</f>
        <v/>
      </c>
    </row>
    <row r="40">
      <c r="A40" s="8" t="inlineStr">
        <is>
          <t>RTX</t>
        </is>
      </c>
      <c r="B40" s="8" t="inlineStr">
        <is>
          <t>RTX Corp</t>
        </is>
      </c>
      <c r="C40" s="8" t="inlineStr">
        <is>
          <t>낙관</t>
        </is>
      </c>
      <c r="D40" s="15" t="n">
        <v>8.863327374666087</v>
      </c>
      <c r="E40" s="23" t="n"/>
      <c r="F40" s="18">
        <f>IF(NOT(ISNUMBER(E40)),0.03,MAX(0,MIN(E40*기준표!$B$39,기준표!$B$41)))</f>
        <v/>
      </c>
      <c r="G40" s="18">
        <f>기준표!$B$37</f>
        <v/>
      </c>
      <c r="H40" s="18">
        <f>기준표!$B$38</f>
        <v/>
      </c>
      <c r="I40" s="17">
        <f>$D40*(1+$F40)^1/(1+$G40)^1</f>
        <v/>
      </c>
      <c r="J40" s="17">
        <f>$D40*(1+$F40)^2/(1+$G40)^2</f>
        <v/>
      </c>
      <c r="K40" s="17">
        <f>$D40*(1+$F40)^3/(1+$G40)^3</f>
        <v/>
      </c>
      <c r="L40" s="17">
        <f>$D40*(1+$F40)^4/(1+$G40)^4</f>
        <v/>
      </c>
      <c r="M40" s="17">
        <f>$D40*(1+$F40)^5/(1+$G40)^5</f>
        <v/>
      </c>
      <c r="N40" s="17">
        <f>$D40*(1+$F40)^6/(1+$G40)^6</f>
        <v/>
      </c>
      <c r="O40" s="17">
        <f>$D40*(1+$F40)^7/(1+$G40)^7</f>
        <v/>
      </c>
      <c r="P40" s="17">
        <f>$D40*(1+$F40)^8/(1+$G40)^8</f>
        <v/>
      </c>
      <c r="Q40" s="17">
        <f>$D40*(1+$F40)^9/(1+$G40)^9</f>
        <v/>
      </c>
      <c r="R40" s="17">
        <f>$D40*(1+$F40)^10/(1+$G40)^10</f>
        <v/>
      </c>
      <c r="S40" s="26">
        <f>SUM(I40:R40)</f>
        <v/>
      </c>
      <c r="T40" s="17">
        <f>$D40*(1+$F40)^10</f>
        <v/>
      </c>
      <c r="U40" s="17">
        <f>IF($G40&lt;=$H40,"",T40*(1+$H40)/($G40-$H40))</f>
        <v/>
      </c>
      <c r="V40" s="17">
        <f>IF(ISNUMBER(U40),U40/(1+$G40)^10,"")</f>
        <v/>
      </c>
      <c r="W40" s="26">
        <f>IF(ISNUMBER(V40),S40+V40,"")</f>
        <v/>
      </c>
      <c r="X40" s="15" t="n">
        <v>300.83351394512</v>
      </c>
      <c r="Y40" s="19">
        <f>IF(AND(ISNUMBER(W40),W40&lt;&gt;0,ISNUMBER(X40)),(W40-X40)/W40,"")</f>
        <v/>
      </c>
      <c r="Z40" s="27">
        <f>IF(NOT(ISNUMBER(Y40)),"판정불가",IF(Y40&gt;=기준표!$B$42,"투자가능",IF(Y40&gt;=0,"경계선","범위밖")))</f>
        <v/>
      </c>
    </row>
    <row r="41">
      <c r="A41" s="8" t="inlineStr">
        <is>
          <t>AAPL</t>
        </is>
      </c>
      <c r="B41" s="8" t="inlineStr">
        <is>
          <t>Apple Inc.</t>
        </is>
      </c>
      <c r="C41" s="8" t="inlineStr">
        <is>
          <t>보수</t>
        </is>
      </c>
      <c r="D41" s="15" t="n">
        <v>107.7338200821722</v>
      </c>
      <c r="E41" s="23" t="n">
        <v>0.05936792708291416</v>
      </c>
      <c r="F41" s="18">
        <f>IF(NOT(ISNUMBER(E41)),0.03,MAX(0,MIN(E41*기준표!$B$33,기준표!$B$40)))</f>
        <v/>
      </c>
      <c r="G41" s="18">
        <f>기준표!$B$31</f>
        <v/>
      </c>
      <c r="H41" s="18">
        <f>기준표!$B$32</f>
        <v/>
      </c>
      <c r="I41" s="17">
        <f>$D41*(1+$F41)^1/(1+$G41)^1</f>
        <v/>
      </c>
      <c r="J41" s="17">
        <f>$D41*(1+$F41)^2/(1+$G41)^2</f>
        <v/>
      </c>
      <c r="K41" s="17">
        <f>$D41*(1+$F41)^3/(1+$G41)^3</f>
        <v/>
      </c>
      <c r="L41" s="17">
        <f>$D41*(1+$F41)^4/(1+$G41)^4</f>
        <v/>
      </c>
      <c r="M41" s="17">
        <f>$D41*(1+$F41)^5/(1+$G41)^5</f>
        <v/>
      </c>
      <c r="N41" s="17">
        <f>$D41*(1+$F41)^6/(1+$G41)^6</f>
        <v/>
      </c>
      <c r="O41" s="17">
        <f>$D41*(1+$F41)^7/(1+$G41)^7</f>
        <v/>
      </c>
      <c r="P41" s="17">
        <f>$D41*(1+$F41)^8/(1+$G41)^8</f>
        <v/>
      </c>
      <c r="Q41" s="17">
        <f>$D41*(1+$F41)^9/(1+$G41)^9</f>
        <v/>
      </c>
      <c r="R41" s="17">
        <f>$D41*(1+$F41)^10/(1+$G41)^10</f>
        <v/>
      </c>
      <c r="S41" s="26">
        <f>SUM(I41:R41)</f>
        <v/>
      </c>
      <c r="T41" s="17">
        <f>$D41*(1+$F41)^10</f>
        <v/>
      </c>
      <c r="U41" s="17">
        <f>IF($G41&lt;=$H41,"",T41*(1+$H41)/($G41-$H41))</f>
        <v/>
      </c>
      <c r="V41" s="17">
        <f>IF(ISNUMBER(U41),U41/(1+$G41)^10,"")</f>
        <v/>
      </c>
      <c r="W41" s="26">
        <f>IF(ISNUMBER(V41),S41+V41,"")</f>
        <v/>
      </c>
      <c r="X41" s="15" t="n">
        <v>4554.95857578</v>
      </c>
      <c r="Y41" s="19">
        <f>IF(AND(ISNUMBER(W41),W41&lt;&gt;0,ISNUMBER(X41)),(W41-X41)/W41,"")</f>
        <v/>
      </c>
      <c r="Z41" s="27">
        <f>IF(NOT(ISNUMBER(Y41)),"판정불가",IF(Y41&gt;=기준표!$B$42,"투자가능",IF(Y41&gt;=0,"경계선","범위밖")))</f>
        <v/>
      </c>
    </row>
    <row r="42">
      <c r="A42" s="8" t="inlineStr">
        <is>
          <t>AAPL</t>
        </is>
      </c>
      <c r="B42" s="8" t="inlineStr">
        <is>
          <t>Apple Inc.</t>
        </is>
      </c>
      <c r="C42" s="8" t="inlineStr">
        <is>
          <t>기준</t>
        </is>
      </c>
      <c r="D42" s="15" t="n">
        <v>107.7338200821722</v>
      </c>
      <c r="E42" s="23" t="n">
        <v>0.05936792708291416</v>
      </c>
      <c r="F42" s="18">
        <f>IF(NOT(ISNUMBER(E42)),0.03,MAX(0,MIN(E42*기준표!$B$36,기준표!$B$40)))</f>
        <v/>
      </c>
      <c r="G42" s="18">
        <f>기준표!$B$34</f>
        <v/>
      </c>
      <c r="H42" s="18">
        <f>기준표!$B$35</f>
        <v/>
      </c>
      <c r="I42" s="17">
        <f>$D42*(1+$F42)^1/(1+$G42)^1</f>
        <v/>
      </c>
      <c r="J42" s="17">
        <f>$D42*(1+$F42)^2/(1+$G42)^2</f>
        <v/>
      </c>
      <c r="K42" s="17">
        <f>$D42*(1+$F42)^3/(1+$G42)^3</f>
        <v/>
      </c>
      <c r="L42" s="17">
        <f>$D42*(1+$F42)^4/(1+$G42)^4</f>
        <v/>
      </c>
      <c r="M42" s="17">
        <f>$D42*(1+$F42)^5/(1+$G42)^5</f>
        <v/>
      </c>
      <c r="N42" s="17">
        <f>$D42*(1+$F42)^6/(1+$G42)^6</f>
        <v/>
      </c>
      <c r="O42" s="17">
        <f>$D42*(1+$F42)^7/(1+$G42)^7</f>
        <v/>
      </c>
      <c r="P42" s="17">
        <f>$D42*(1+$F42)^8/(1+$G42)^8</f>
        <v/>
      </c>
      <c r="Q42" s="17">
        <f>$D42*(1+$F42)^9/(1+$G42)^9</f>
        <v/>
      </c>
      <c r="R42" s="17">
        <f>$D42*(1+$F42)^10/(1+$G42)^10</f>
        <v/>
      </c>
      <c r="S42" s="26">
        <f>SUM(I42:R42)</f>
        <v/>
      </c>
      <c r="T42" s="17">
        <f>$D42*(1+$F42)^10</f>
        <v/>
      </c>
      <c r="U42" s="17">
        <f>IF($G42&lt;=$H42,"",T42*(1+$H42)/($G42-$H42))</f>
        <v/>
      </c>
      <c r="V42" s="17">
        <f>IF(ISNUMBER(U42),U42/(1+$G42)^10,"")</f>
        <v/>
      </c>
      <c r="W42" s="26">
        <f>IF(ISNUMBER(V42),S42+V42,"")</f>
        <v/>
      </c>
      <c r="X42" s="15" t="n">
        <v>4554.95857578</v>
      </c>
      <c r="Y42" s="19">
        <f>IF(AND(ISNUMBER(W42),W42&lt;&gt;0,ISNUMBER(X42)),(W42-X42)/W42,"")</f>
        <v/>
      </c>
      <c r="Z42" s="27">
        <f>IF(NOT(ISNUMBER(Y42)),"판정불가",IF(Y42&gt;=기준표!$B$42,"투자가능",IF(Y42&gt;=0,"경계선","범위밖")))</f>
        <v/>
      </c>
    </row>
    <row r="43">
      <c r="A43" s="8" t="inlineStr">
        <is>
          <t>AAPL</t>
        </is>
      </c>
      <c r="B43" s="8" t="inlineStr">
        <is>
          <t>Apple Inc.</t>
        </is>
      </c>
      <c r="C43" s="8" t="inlineStr">
        <is>
          <t>낙관</t>
        </is>
      </c>
      <c r="D43" s="15" t="n">
        <v>107.7338200821722</v>
      </c>
      <c r="E43" s="23" t="n">
        <v>0.05936792708291416</v>
      </c>
      <c r="F43" s="18">
        <f>IF(NOT(ISNUMBER(E43)),0.03,MAX(0,MIN(E43*기준표!$B$39,기준표!$B$41)))</f>
        <v/>
      </c>
      <c r="G43" s="18">
        <f>기준표!$B$37</f>
        <v/>
      </c>
      <c r="H43" s="18">
        <f>기준표!$B$38</f>
        <v/>
      </c>
      <c r="I43" s="17">
        <f>$D43*(1+$F43)^1/(1+$G43)^1</f>
        <v/>
      </c>
      <c r="J43" s="17">
        <f>$D43*(1+$F43)^2/(1+$G43)^2</f>
        <v/>
      </c>
      <c r="K43" s="17">
        <f>$D43*(1+$F43)^3/(1+$G43)^3</f>
        <v/>
      </c>
      <c r="L43" s="17">
        <f>$D43*(1+$F43)^4/(1+$G43)^4</f>
        <v/>
      </c>
      <c r="M43" s="17">
        <f>$D43*(1+$F43)^5/(1+$G43)^5</f>
        <v/>
      </c>
      <c r="N43" s="17">
        <f>$D43*(1+$F43)^6/(1+$G43)^6</f>
        <v/>
      </c>
      <c r="O43" s="17">
        <f>$D43*(1+$F43)^7/(1+$G43)^7</f>
        <v/>
      </c>
      <c r="P43" s="17">
        <f>$D43*(1+$F43)^8/(1+$G43)^8</f>
        <v/>
      </c>
      <c r="Q43" s="17">
        <f>$D43*(1+$F43)^9/(1+$G43)^9</f>
        <v/>
      </c>
      <c r="R43" s="17">
        <f>$D43*(1+$F43)^10/(1+$G43)^10</f>
        <v/>
      </c>
      <c r="S43" s="26">
        <f>SUM(I43:R43)</f>
        <v/>
      </c>
      <c r="T43" s="17">
        <f>$D43*(1+$F43)^10</f>
        <v/>
      </c>
      <c r="U43" s="17">
        <f>IF($G43&lt;=$H43,"",T43*(1+$H43)/($G43-$H43))</f>
        <v/>
      </c>
      <c r="V43" s="17">
        <f>IF(ISNUMBER(U43),U43/(1+$G43)^10,"")</f>
        <v/>
      </c>
      <c r="W43" s="26">
        <f>IF(ISNUMBER(V43),S43+V43,"")</f>
        <v/>
      </c>
      <c r="X43" s="15" t="n">
        <v>4554.95857578</v>
      </c>
      <c r="Y43" s="19">
        <f>IF(AND(ISNUMBER(W43),W43&lt;&gt;0,ISNUMBER(X43)),(W43-X43)/W43,"")</f>
        <v/>
      </c>
      <c r="Z43" s="27">
        <f>IF(NOT(ISNUMBER(Y43)),"판정불가",IF(Y43&gt;=기준표!$B$42,"투자가능",IF(Y43&gt;=0,"경계선","범위밖")))</f>
        <v/>
      </c>
    </row>
    <row r="44">
      <c r="A44" s="8" t="inlineStr">
        <is>
          <t>LRCX</t>
        </is>
      </c>
      <c r="B44" s="8" t="inlineStr">
        <is>
          <t>LAM RESEARCH CORP</t>
        </is>
      </c>
      <c r="C44" s="8" t="inlineStr">
        <is>
          <t>보수</t>
        </is>
      </c>
      <c r="D44" s="15" t="n">
        <v>6.456399747723214</v>
      </c>
      <c r="E44" s="23" t="n">
        <v>0.2139257046447209</v>
      </c>
      <c r="F44" s="18">
        <f>IF(NOT(ISNUMBER(E44)),0.03,MAX(0,MIN(E44*기준표!$B$33,기준표!$B$40)))</f>
        <v/>
      </c>
      <c r="G44" s="18">
        <f>기준표!$B$31</f>
        <v/>
      </c>
      <c r="H44" s="18">
        <f>기준표!$B$32</f>
        <v/>
      </c>
      <c r="I44" s="17">
        <f>$D44*(1+$F44)^1/(1+$G44)^1</f>
        <v/>
      </c>
      <c r="J44" s="17">
        <f>$D44*(1+$F44)^2/(1+$G44)^2</f>
        <v/>
      </c>
      <c r="K44" s="17">
        <f>$D44*(1+$F44)^3/(1+$G44)^3</f>
        <v/>
      </c>
      <c r="L44" s="17">
        <f>$D44*(1+$F44)^4/(1+$G44)^4</f>
        <v/>
      </c>
      <c r="M44" s="17">
        <f>$D44*(1+$F44)^5/(1+$G44)^5</f>
        <v/>
      </c>
      <c r="N44" s="17">
        <f>$D44*(1+$F44)^6/(1+$G44)^6</f>
        <v/>
      </c>
      <c r="O44" s="17">
        <f>$D44*(1+$F44)^7/(1+$G44)^7</f>
        <v/>
      </c>
      <c r="P44" s="17">
        <f>$D44*(1+$F44)^8/(1+$G44)^8</f>
        <v/>
      </c>
      <c r="Q44" s="17">
        <f>$D44*(1+$F44)^9/(1+$G44)^9</f>
        <v/>
      </c>
      <c r="R44" s="17">
        <f>$D44*(1+$F44)^10/(1+$G44)^10</f>
        <v/>
      </c>
      <c r="S44" s="26">
        <f>SUM(I44:R44)</f>
        <v/>
      </c>
      <c r="T44" s="17">
        <f>$D44*(1+$F44)^10</f>
        <v/>
      </c>
      <c r="U44" s="17">
        <f>IF($G44&lt;=$H44,"",T44*(1+$H44)/($G44-$H44))</f>
        <v/>
      </c>
      <c r="V44" s="17">
        <f>IF(ISNUMBER(U44),U44/(1+$G44)^10,"")</f>
        <v/>
      </c>
      <c r="W44" s="26">
        <f>IF(ISNUMBER(V44),S44+V44,"")</f>
        <v/>
      </c>
      <c r="X44" s="15" t="n">
        <v>383.4047544</v>
      </c>
      <c r="Y44" s="19">
        <f>IF(AND(ISNUMBER(W44),W44&lt;&gt;0,ISNUMBER(X44)),(W44-X44)/W44,"")</f>
        <v/>
      </c>
      <c r="Z44" s="27">
        <f>IF(NOT(ISNUMBER(Y44)),"판정불가",IF(Y44&gt;=기준표!$B$42,"투자가능",IF(Y44&gt;=0,"경계선","범위밖")))</f>
        <v/>
      </c>
    </row>
    <row r="45">
      <c r="A45" s="8" t="inlineStr">
        <is>
          <t>LRCX</t>
        </is>
      </c>
      <c r="B45" s="8" t="inlineStr">
        <is>
          <t>LAM RESEARCH CORP</t>
        </is>
      </c>
      <c r="C45" s="8" t="inlineStr">
        <is>
          <t>기준</t>
        </is>
      </c>
      <c r="D45" s="15" t="n">
        <v>6.456399747723214</v>
      </c>
      <c r="E45" s="23" t="n">
        <v>0.2139257046447209</v>
      </c>
      <c r="F45" s="18">
        <f>IF(NOT(ISNUMBER(E45)),0.03,MAX(0,MIN(E45*기준표!$B$36,기준표!$B$40)))</f>
        <v/>
      </c>
      <c r="G45" s="18">
        <f>기준표!$B$34</f>
        <v/>
      </c>
      <c r="H45" s="18">
        <f>기준표!$B$35</f>
        <v/>
      </c>
      <c r="I45" s="17">
        <f>$D45*(1+$F45)^1/(1+$G45)^1</f>
        <v/>
      </c>
      <c r="J45" s="17">
        <f>$D45*(1+$F45)^2/(1+$G45)^2</f>
        <v/>
      </c>
      <c r="K45" s="17">
        <f>$D45*(1+$F45)^3/(1+$G45)^3</f>
        <v/>
      </c>
      <c r="L45" s="17">
        <f>$D45*(1+$F45)^4/(1+$G45)^4</f>
        <v/>
      </c>
      <c r="M45" s="17">
        <f>$D45*(1+$F45)^5/(1+$G45)^5</f>
        <v/>
      </c>
      <c r="N45" s="17">
        <f>$D45*(1+$F45)^6/(1+$G45)^6</f>
        <v/>
      </c>
      <c r="O45" s="17">
        <f>$D45*(1+$F45)^7/(1+$G45)^7</f>
        <v/>
      </c>
      <c r="P45" s="17">
        <f>$D45*(1+$F45)^8/(1+$G45)^8</f>
        <v/>
      </c>
      <c r="Q45" s="17">
        <f>$D45*(1+$F45)^9/(1+$G45)^9</f>
        <v/>
      </c>
      <c r="R45" s="17">
        <f>$D45*(1+$F45)^10/(1+$G45)^10</f>
        <v/>
      </c>
      <c r="S45" s="26">
        <f>SUM(I45:R45)</f>
        <v/>
      </c>
      <c r="T45" s="17">
        <f>$D45*(1+$F45)^10</f>
        <v/>
      </c>
      <c r="U45" s="17">
        <f>IF($G45&lt;=$H45,"",T45*(1+$H45)/($G45-$H45))</f>
        <v/>
      </c>
      <c r="V45" s="17">
        <f>IF(ISNUMBER(U45),U45/(1+$G45)^10,"")</f>
        <v/>
      </c>
      <c r="W45" s="26">
        <f>IF(ISNUMBER(V45),S45+V45,"")</f>
        <v/>
      </c>
      <c r="X45" s="15" t="n">
        <v>383.4047544</v>
      </c>
      <c r="Y45" s="19">
        <f>IF(AND(ISNUMBER(W45),W45&lt;&gt;0,ISNUMBER(X45)),(W45-X45)/W45,"")</f>
        <v/>
      </c>
      <c r="Z45" s="27">
        <f>IF(NOT(ISNUMBER(Y45)),"판정불가",IF(Y45&gt;=기준표!$B$42,"투자가능",IF(Y45&gt;=0,"경계선","범위밖")))</f>
        <v/>
      </c>
    </row>
    <row r="46">
      <c r="A46" s="8" t="inlineStr">
        <is>
          <t>LRCX</t>
        </is>
      </c>
      <c r="B46" s="8" t="inlineStr">
        <is>
          <t>LAM RESEARCH CORP</t>
        </is>
      </c>
      <c r="C46" s="8" t="inlineStr">
        <is>
          <t>낙관</t>
        </is>
      </c>
      <c r="D46" s="15" t="n">
        <v>6.456399747723214</v>
      </c>
      <c r="E46" s="23" t="n">
        <v>0.2139257046447209</v>
      </c>
      <c r="F46" s="18">
        <f>IF(NOT(ISNUMBER(E46)),0.03,MAX(0,MIN(E46*기준표!$B$39,기준표!$B$41)))</f>
        <v/>
      </c>
      <c r="G46" s="18">
        <f>기준표!$B$37</f>
        <v/>
      </c>
      <c r="H46" s="18">
        <f>기준표!$B$38</f>
        <v/>
      </c>
      <c r="I46" s="17">
        <f>$D46*(1+$F46)^1/(1+$G46)^1</f>
        <v/>
      </c>
      <c r="J46" s="17">
        <f>$D46*(1+$F46)^2/(1+$G46)^2</f>
        <v/>
      </c>
      <c r="K46" s="17">
        <f>$D46*(1+$F46)^3/(1+$G46)^3</f>
        <v/>
      </c>
      <c r="L46" s="17">
        <f>$D46*(1+$F46)^4/(1+$G46)^4</f>
        <v/>
      </c>
      <c r="M46" s="17">
        <f>$D46*(1+$F46)^5/(1+$G46)^5</f>
        <v/>
      </c>
      <c r="N46" s="17">
        <f>$D46*(1+$F46)^6/(1+$G46)^6</f>
        <v/>
      </c>
      <c r="O46" s="17">
        <f>$D46*(1+$F46)^7/(1+$G46)^7</f>
        <v/>
      </c>
      <c r="P46" s="17">
        <f>$D46*(1+$F46)^8/(1+$G46)^8</f>
        <v/>
      </c>
      <c r="Q46" s="17">
        <f>$D46*(1+$F46)^9/(1+$G46)^9</f>
        <v/>
      </c>
      <c r="R46" s="17">
        <f>$D46*(1+$F46)^10/(1+$G46)^10</f>
        <v/>
      </c>
      <c r="S46" s="26">
        <f>SUM(I46:R46)</f>
        <v/>
      </c>
      <c r="T46" s="17">
        <f>$D46*(1+$F46)^10</f>
        <v/>
      </c>
      <c r="U46" s="17">
        <f>IF($G46&lt;=$H46,"",T46*(1+$H46)/($G46-$H46))</f>
        <v/>
      </c>
      <c r="V46" s="17">
        <f>IF(ISNUMBER(U46),U46/(1+$G46)^10,"")</f>
        <v/>
      </c>
      <c r="W46" s="26">
        <f>IF(ISNUMBER(V46),S46+V46,"")</f>
        <v/>
      </c>
      <c r="X46" s="15" t="n">
        <v>383.4047544</v>
      </c>
      <c r="Y46" s="19">
        <f>IF(AND(ISNUMBER(W46),W46&lt;&gt;0,ISNUMBER(X46)),(W46-X46)/W46,"")</f>
        <v/>
      </c>
      <c r="Z46" s="27">
        <f>IF(NOT(ISNUMBER(Y46)),"판정불가",IF(Y46&gt;=기준표!$B$42,"투자가능",IF(Y46&gt;=0,"경계선","범위밖")))</f>
        <v/>
      </c>
    </row>
    <row r="47">
      <c r="A47" s="8" t="inlineStr">
        <is>
          <t>KLAC</t>
        </is>
      </c>
      <c r="B47" s="8" t="inlineStr">
        <is>
          <t>KLA CORP</t>
        </is>
      </c>
      <c r="C47" s="8" t="inlineStr">
        <is>
          <t>보수</t>
        </is>
      </c>
      <c r="D47" s="15" t="n">
        <v>4.161932293242543</v>
      </c>
      <c r="E47" s="23" t="n">
        <v>0.1632510485629033</v>
      </c>
      <c r="F47" s="18">
        <f>IF(NOT(ISNUMBER(E47)),0.03,MAX(0,MIN(E47*기준표!$B$33,기준표!$B$40)))</f>
        <v/>
      </c>
      <c r="G47" s="18">
        <f>기준표!$B$31</f>
        <v/>
      </c>
      <c r="H47" s="18">
        <f>기준표!$B$32</f>
        <v/>
      </c>
      <c r="I47" s="17">
        <f>$D47*(1+$F47)^1/(1+$G47)^1</f>
        <v/>
      </c>
      <c r="J47" s="17">
        <f>$D47*(1+$F47)^2/(1+$G47)^2</f>
        <v/>
      </c>
      <c r="K47" s="17">
        <f>$D47*(1+$F47)^3/(1+$G47)^3</f>
        <v/>
      </c>
      <c r="L47" s="17">
        <f>$D47*(1+$F47)^4/(1+$G47)^4</f>
        <v/>
      </c>
      <c r="M47" s="17">
        <f>$D47*(1+$F47)^5/(1+$G47)^5</f>
        <v/>
      </c>
      <c r="N47" s="17">
        <f>$D47*(1+$F47)^6/(1+$G47)^6</f>
        <v/>
      </c>
      <c r="O47" s="17">
        <f>$D47*(1+$F47)^7/(1+$G47)^7</f>
        <v/>
      </c>
      <c r="P47" s="17">
        <f>$D47*(1+$F47)^8/(1+$G47)^8</f>
        <v/>
      </c>
      <c r="Q47" s="17">
        <f>$D47*(1+$F47)^9/(1+$G47)^9</f>
        <v/>
      </c>
      <c r="R47" s="17">
        <f>$D47*(1+$F47)^10/(1+$G47)^10</f>
        <v/>
      </c>
      <c r="S47" s="26">
        <f>SUM(I47:R47)</f>
        <v/>
      </c>
      <c r="T47" s="17">
        <f>$D47*(1+$F47)^10</f>
        <v/>
      </c>
      <c r="U47" s="17">
        <f>IF($G47&lt;=$H47,"",T47*(1+$H47)/($G47-$H47))</f>
        <v/>
      </c>
      <c r="V47" s="17">
        <f>IF(ISNUMBER(U47),U47/(1+$G47)^10,"")</f>
        <v/>
      </c>
      <c r="W47" s="26">
        <f>IF(ISNUMBER(V47),S47+V47,"")</f>
        <v/>
      </c>
      <c r="X47" s="15" t="n">
        <v>251.82382695542</v>
      </c>
      <c r="Y47" s="19">
        <f>IF(AND(ISNUMBER(W47),W47&lt;&gt;0,ISNUMBER(X47)),(W47-X47)/W47,"")</f>
        <v/>
      </c>
      <c r="Z47" s="27">
        <f>IF(NOT(ISNUMBER(Y47)),"판정불가",IF(Y47&gt;=기준표!$B$42,"투자가능",IF(Y47&gt;=0,"경계선","범위밖")))</f>
        <v/>
      </c>
    </row>
    <row r="48">
      <c r="A48" s="8" t="inlineStr">
        <is>
          <t>KLAC</t>
        </is>
      </c>
      <c r="B48" s="8" t="inlineStr">
        <is>
          <t>KLA CORP</t>
        </is>
      </c>
      <c r="C48" s="8" t="inlineStr">
        <is>
          <t>기준</t>
        </is>
      </c>
      <c r="D48" s="15" t="n">
        <v>4.161932293242543</v>
      </c>
      <c r="E48" s="23" t="n">
        <v>0.1632510485629033</v>
      </c>
      <c r="F48" s="18">
        <f>IF(NOT(ISNUMBER(E48)),0.03,MAX(0,MIN(E48*기준표!$B$36,기준표!$B$40)))</f>
        <v/>
      </c>
      <c r="G48" s="18">
        <f>기준표!$B$34</f>
        <v/>
      </c>
      <c r="H48" s="18">
        <f>기준표!$B$35</f>
        <v/>
      </c>
      <c r="I48" s="17">
        <f>$D48*(1+$F48)^1/(1+$G48)^1</f>
        <v/>
      </c>
      <c r="J48" s="17">
        <f>$D48*(1+$F48)^2/(1+$G48)^2</f>
        <v/>
      </c>
      <c r="K48" s="17">
        <f>$D48*(1+$F48)^3/(1+$G48)^3</f>
        <v/>
      </c>
      <c r="L48" s="17">
        <f>$D48*(1+$F48)^4/(1+$G48)^4</f>
        <v/>
      </c>
      <c r="M48" s="17">
        <f>$D48*(1+$F48)^5/(1+$G48)^5</f>
        <v/>
      </c>
      <c r="N48" s="17">
        <f>$D48*(1+$F48)^6/(1+$G48)^6</f>
        <v/>
      </c>
      <c r="O48" s="17">
        <f>$D48*(1+$F48)^7/(1+$G48)^7</f>
        <v/>
      </c>
      <c r="P48" s="17">
        <f>$D48*(1+$F48)^8/(1+$G48)^8</f>
        <v/>
      </c>
      <c r="Q48" s="17">
        <f>$D48*(1+$F48)^9/(1+$G48)^9</f>
        <v/>
      </c>
      <c r="R48" s="17">
        <f>$D48*(1+$F48)^10/(1+$G48)^10</f>
        <v/>
      </c>
      <c r="S48" s="26">
        <f>SUM(I48:R48)</f>
        <v/>
      </c>
      <c r="T48" s="17">
        <f>$D48*(1+$F48)^10</f>
        <v/>
      </c>
      <c r="U48" s="17">
        <f>IF($G48&lt;=$H48,"",T48*(1+$H48)/($G48-$H48))</f>
        <v/>
      </c>
      <c r="V48" s="17">
        <f>IF(ISNUMBER(U48),U48/(1+$G48)^10,"")</f>
        <v/>
      </c>
      <c r="W48" s="26">
        <f>IF(ISNUMBER(V48),S48+V48,"")</f>
        <v/>
      </c>
      <c r="X48" s="15" t="n">
        <v>251.82382695542</v>
      </c>
      <c r="Y48" s="19">
        <f>IF(AND(ISNUMBER(W48),W48&lt;&gt;0,ISNUMBER(X48)),(W48-X48)/W48,"")</f>
        <v/>
      </c>
      <c r="Z48" s="27">
        <f>IF(NOT(ISNUMBER(Y48)),"판정불가",IF(Y48&gt;=기준표!$B$42,"투자가능",IF(Y48&gt;=0,"경계선","범위밖")))</f>
        <v/>
      </c>
    </row>
    <row r="49">
      <c r="A49" s="8" t="inlineStr">
        <is>
          <t>KLAC</t>
        </is>
      </c>
      <c r="B49" s="8" t="inlineStr">
        <is>
          <t>KLA CORP</t>
        </is>
      </c>
      <c r="C49" s="8" t="inlineStr">
        <is>
          <t>낙관</t>
        </is>
      </c>
      <c r="D49" s="15" t="n">
        <v>4.161932293242543</v>
      </c>
      <c r="E49" s="23" t="n">
        <v>0.1632510485629033</v>
      </c>
      <c r="F49" s="18">
        <f>IF(NOT(ISNUMBER(E49)),0.03,MAX(0,MIN(E49*기준표!$B$39,기준표!$B$41)))</f>
        <v/>
      </c>
      <c r="G49" s="18">
        <f>기준표!$B$37</f>
        <v/>
      </c>
      <c r="H49" s="18">
        <f>기준표!$B$38</f>
        <v/>
      </c>
      <c r="I49" s="17">
        <f>$D49*(1+$F49)^1/(1+$G49)^1</f>
        <v/>
      </c>
      <c r="J49" s="17">
        <f>$D49*(1+$F49)^2/(1+$G49)^2</f>
        <v/>
      </c>
      <c r="K49" s="17">
        <f>$D49*(1+$F49)^3/(1+$G49)^3</f>
        <v/>
      </c>
      <c r="L49" s="17">
        <f>$D49*(1+$F49)^4/(1+$G49)^4</f>
        <v/>
      </c>
      <c r="M49" s="17">
        <f>$D49*(1+$F49)^5/(1+$G49)^5</f>
        <v/>
      </c>
      <c r="N49" s="17">
        <f>$D49*(1+$F49)^6/(1+$G49)^6</f>
        <v/>
      </c>
      <c r="O49" s="17">
        <f>$D49*(1+$F49)^7/(1+$G49)^7</f>
        <v/>
      </c>
      <c r="P49" s="17">
        <f>$D49*(1+$F49)^8/(1+$G49)^8</f>
        <v/>
      </c>
      <c r="Q49" s="17">
        <f>$D49*(1+$F49)^9/(1+$G49)^9</f>
        <v/>
      </c>
      <c r="R49" s="17">
        <f>$D49*(1+$F49)^10/(1+$G49)^10</f>
        <v/>
      </c>
      <c r="S49" s="26">
        <f>SUM(I49:R49)</f>
        <v/>
      </c>
      <c r="T49" s="17">
        <f>$D49*(1+$F49)^10</f>
        <v/>
      </c>
      <c r="U49" s="17">
        <f>IF($G49&lt;=$H49,"",T49*(1+$H49)/($G49-$H49))</f>
        <v/>
      </c>
      <c r="V49" s="17">
        <f>IF(ISNUMBER(U49),U49/(1+$G49)^10,"")</f>
        <v/>
      </c>
      <c r="W49" s="26">
        <f>IF(ISNUMBER(V49),S49+V49,"")</f>
        <v/>
      </c>
      <c r="X49" s="15" t="n">
        <v>251.82382695542</v>
      </c>
      <c r="Y49" s="19">
        <f>IF(AND(ISNUMBER(W49),W49&lt;&gt;0,ISNUMBER(X49)),(W49-X49)/W49,"")</f>
        <v/>
      </c>
      <c r="Z49" s="27">
        <f>IF(NOT(ISNUMBER(Y49)),"판정불가",IF(Y49&gt;=기준표!$B$42,"투자가능",IF(Y49&gt;=0,"경계선","범위밖")))</f>
        <v/>
      </c>
    </row>
    <row r="50">
      <c r="A50" s="8" t="inlineStr">
        <is>
          <t>GOOG</t>
        </is>
      </c>
      <c r="B50" s="8" t="inlineStr">
        <is>
          <t>Alphabet Inc.</t>
        </is>
      </c>
      <c r="C50" s="8" t="inlineStr">
        <is>
          <t>보수</t>
        </is>
      </c>
      <c r="D50" s="15" t="n">
        <v>69.58576482352336</v>
      </c>
      <c r="E50" s="23" t="n">
        <v>0.1685691286661672</v>
      </c>
      <c r="F50" s="18">
        <f>IF(NOT(ISNUMBER(E50)),0.03,MAX(0,MIN(E50*기준표!$B$33,기준표!$B$40)))</f>
        <v/>
      </c>
      <c r="G50" s="18">
        <f>기준표!$B$31</f>
        <v/>
      </c>
      <c r="H50" s="18">
        <f>기준표!$B$32</f>
        <v/>
      </c>
      <c r="I50" s="17">
        <f>$D50*(1+$F50)^1/(1+$G50)^1</f>
        <v/>
      </c>
      <c r="J50" s="17">
        <f>$D50*(1+$F50)^2/(1+$G50)^2</f>
        <v/>
      </c>
      <c r="K50" s="17">
        <f>$D50*(1+$F50)^3/(1+$G50)^3</f>
        <v/>
      </c>
      <c r="L50" s="17">
        <f>$D50*(1+$F50)^4/(1+$G50)^4</f>
        <v/>
      </c>
      <c r="M50" s="17">
        <f>$D50*(1+$F50)^5/(1+$G50)^5</f>
        <v/>
      </c>
      <c r="N50" s="17">
        <f>$D50*(1+$F50)^6/(1+$G50)^6</f>
        <v/>
      </c>
      <c r="O50" s="17">
        <f>$D50*(1+$F50)^7/(1+$G50)^7</f>
        <v/>
      </c>
      <c r="P50" s="17">
        <f>$D50*(1+$F50)^8/(1+$G50)^8</f>
        <v/>
      </c>
      <c r="Q50" s="17">
        <f>$D50*(1+$F50)^9/(1+$G50)^9</f>
        <v/>
      </c>
      <c r="R50" s="17">
        <f>$D50*(1+$F50)^10/(1+$G50)^10</f>
        <v/>
      </c>
      <c r="S50" s="26">
        <f>SUM(I50:R50)</f>
        <v/>
      </c>
      <c r="T50" s="17">
        <f>$D50*(1+$F50)^10</f>
        <v/>
      </c>
      <c r="U50" s="17">
        <f>IF($G50&lt;=$H50,"",T50*(1+$H50)/($G50-$H50))</f>
        <v/>
      </c>
      <c r="V50" s="17">
        <f>IF(ISNUMBER(U50),U50/(1+$G50)^10,"")</f>
        <v/>
      </c>
      <c r="W50" s="26">
        <f>IF(ISNUMBER(V50),S50+V50,"")</f>
        <v/>
      </c>
      <c r="X50" s="15" t="n">
        <v>4304.596479999999</v>
      </c>
      <c r="Y50" s="19">
        <f>IF(AND(ISNUMBER(W50),W50&lt;&gt;0,ISNUMBER(X50)),(W50-X50)/W50,"")</f>
        <v/>
      </c>
      <c r="Z50" s="27">
        <f>IF(NOT(ISNUMBER(Y50)),"판정불가",IF(Y50&gt;=기준표!$B$42,"투자가능",IF(Y50&gt;=0,"경계선","범위밖")))</f>
        <v/>
      </c>
    </row>
    <row r="51">
      <c r="A51" s="8" t="inlineStr">
        <is>
          <t>GOOG</t>
        </is>
      </c>
      <c r="B51" s="8" t="inlineStr">
        <is>
          <t>Alphabet Inc.</t>
        </is>
      </c>
      <c r="C51" s="8" t="inlineStr">
        <is>
          <t>기준</t>
        </is>
      </c>
      <c r="D51" s="15" t="n">
        <v>69.58576482352336</v>
      </c>
      <c r="E51" s="23" t="n">
        <v>0.1685691286661672</v>
      </c>
      <c r="F51" s="18">
        <f>IF(NOT(ISNUMBER(E51)),0.03,MAX(0,MIN(E51*기준표!$B$36,기준표!$B$40)))</f>
        <v/>
      </c>
      <c r="G51" s="18">
        <f>기준표!$B$34</f>
        <v/>
      </c>
      <c r="H51" s="18">
        <f>기준표!$B$35</f>
        <v/>
      </c>
      <c r="I51" s="17">
        <f>$D51*(1+$F51)^1/(1+$G51)^1</f>
        <v/>
      </c>
      <c r="J51" s="17">
        <f>$D51*(1+$F51)^2/(1+$G51)^2</f>
        <v/>
      </c>
      <c r="K51" s="17">
        <f>$D51*(1+$F51)^3/(1+$G51)^3</f>
        <v/>
      </c>
      <c r="L51" s="17">
        <f>$D51*(1+$F51)^4/(1+$G51)^4</f>
        <v/>
      </c>
      <c r="M51" s="17">
        <f>$D51*(1+$F51)^5/(1+$G51)^5</f>
        <v/>
      </c>
      <c r="N51" s="17">
        <f>$D51*(1+$F51)^6/(1+$G51)^6</f>
        <v/>
      </c>
      <c r="O51" s="17">
        <f>$D51*(1+$F51)^7/(1+$G51)^7</f>
        <v/>
      </c>
      <c r="P51" s="17">
        <f>$D51*(1+$F51)^8/(1+$G51)^8</f>
        <v/>
      </c>
      <c r="Q51" s="17">
        <f>$D51*(1+$F51)^9/(1+$G51)^9</f>
        <v/>
      </c>
      <c r="R51" s="17">
        <f>$D51*(1+$F51)^10/(1+$G51)^10</f>
        <v/>
      </c>
      <c r="S51" s="26">
        <f>SUM(I51:R51)</f>
        <v/>
      </c>
      <c r="T51" s="17">
        <f>$D51*(1+$F51)^10</f>
        <v/>
      </c>
      <c r="U51" s="17">
        <f>IF($G51&lt;=$H51,"",T51*(1+$H51)/($G51-$H51))</f>
        <v/>
      </c>
      <c r="V51" s="17">
        <f>IF(ISNUMBER(U51),U51/(1+$G51)^10,"")</f>
        <v/>
      </c>
      <c r="W51" s="26">
        <f>IF(ISNUMBER(V51),S51+V51,"")</f>
        <v/>
      </c>
      <c r="X51" s="15" t="n">
        <v>4304.596479999999</v>
      </c>
      <c r="Y51" s="19">
        <f>IF(AND(ISNUMBER(W51),W51&lt;&gt;0,ISNUMBER(X51)),(W51-X51)/W51,"")</f>
        <v/>
      </c>
      <c r="Z51" s="27">
        <f>IF(NOT(ISNUMBER(Y51)),"판정불가",IF(Y51&gt;=기준표!$B$42,"투자가능",IF(Y51&gt;=0,"경계선","범위밖")))</f>
        <v/>
      </c>
    </row>
    <row r="52">
      <c r="A52" s="8" t="inlineStr">
        <is>
          <t>GOOG</t>
        </is>
      </c>
      <c r="B52" s="8" t="inlineStr">
        <is>
          <t>Alphabet Inc.</t>
        </is>
      </c>
      <c r="C52" s="8" t="inlineStr">
        <is>
          <t>낙관</t>
        </is>
      </c>
      <c r="D52" s="15" t="n">
        <v>69.58576482352336</v>
      </c>
      <c r="E52" s="23" t="n">
        <v>0.1685691286661672</v>
      </c>
      <c r="F52" s="18">
        <f>IF(NOT(ISNUMBER(E52)),0.03,MAX(0,MIN(E52*기준표!$B$39,기준표!$B$41)))</f>
        <v/>
      </c>
      <c r="G52" s="18">
        <f>기준표!$B$37</f>
        <v/>
      </c>
      <c r="H52" s="18">
        <f>기준표!$B$38</f>
        <v/>
      </c>
      <c r="I52" s="17">
        <f>$D52*(1+$F52)^1/(1+$G52)^1</f>
        <v/>
      </c>
      <c r="J52" s="17">
        <f>$D52*(1+$F52)^2/(1+$G52)^2</f>
        <v/>
      </c>
      <c r="K52" s="17">
        <f>$D52*(1+$F52)^3/(1+$G52)^3</f>
        <v/>
      </c>
      <c r="L52" s="17">
        <f>$D52*(1+$F52)^4/(1+$G52)^4</f>
        <v/>
      </c>
      <c r="M52" s="17">
        <f>$D52*(1+$F52)^5/(1+$G52)^5</f>
        <v/>
      </c>
      <c r="N52" s="17">
        <f>$D52*(1+$F52)^6/(1+$G52)^6</f>
        <v/>
      </c>
      <c r="O52" s="17">
        <f>$D52*(1+$F52)^7/(1+$G52)^7</f>
        <v/>
      </c>
      <c r="P52" s="17">
        <f>$D52*(1+$F52)^8/(1+$G52)^8</f>
        <v/>
      </c>
      <c r="Q52" s="17">
        <f>$D52*(1+$F52)^9/(1+$G52)^9</f>
        <v/>
      </c>
      <c r="R52" s="17">
        <f>$D52*(1+$F52)^10/(1+$G52)^10</f>
        <v/>
      </c>
      <c r="S52" s="26">
        <f>SUM(I52:R52)</f>
        <v/>
      </c>
      <c r="T52" s="17">
        <f>$D52*(1+$F52)^10</f>
        <v/>
      </c>
      <c r="U52" s="17">
        <f>IF($G52&lt;=$H52,"",T52*(1+$H52)/($G52-$H52))</f>
        <v/>
      </c>
      <c r="V52" s="17">
        <f>IF(ISNUMBER(U52),U52/(1+$G52)^10,"")</f>
        <v/>
      </c>
      <c r="W52" s="26">
        <f>IF(ISNUMBER(V52),S52+V52,"")</f>
        <v/>
      </c>
      <c r="X52" s="15" t="n">
        <v>4304.596479999999</v>
      </c>
      <c r="Y52" s="19">
        <f>IF(AND(ISNUMBER(W52),W52&lt;&gt;0,ISNUMBER(X52)),(W52-X52)/W52,"")</f>
        <v/>
      </c>
      <c r="Z52" s="27">
        <f>IF(NOT(ISNUMBER(Y52)),"판정불가",IF(Y52&gt;=기준표!$B$42,"투자가능",IF(Y52&gt;=0,"경계선","범위밖")))</f>
        <v/>
      </c>
    </row>
    <row r="53">
      <c r="A53" s="8" t="inlineStr">
        <is>
          <t>IBM</t>
        </is>
      </c>
      <c r="B53" s="8" t="inlineStr">
        <is>
          <t>INTERNATIONAL BUSINESS MACHINES CORP</t>
        </is>
      </c>
      <c r="C53" s="8" t="inlineStr">
        <is>
          <t>보수</t>
        </is>
      </c>
      <c r="D53" s="15" t="n">
        <v>7.323565008844199</v>
      </c>
      <c r="E53" s="23" t="n">
        <v>0.0001176527745498923</v>
      </c>
      <c r="F53" s="18">
        <f>IF(NOT(ISNUMBER(E53)),0.03,MAX(0,MIN(E53*기준표!$B$33,기준표!$B$40)))</f>
        <v/>
      </c>
      <c r="G53" s="18">
        <f>기준표!$B$31</f>
        <v/>
      </c>
      <c r="H53" s="18">
        <f>기준표!$B$32</f>
        <v/>
      </c>
      <c r="I53" s="17">
        <f>$D53*(1+$F53)^1/(1+$G53)^1</f>
        <v/>
      </c>
      <c r="J53" s="17">
        <f>$D53*(1+$F53)^2/(1+$G53)^2</f>
        <v/>
      </c>
      <c r="K53" s="17">
        <f>$D53*(1+$F53)^3/(1+$G53)^3</f>
        <v/>
      </c>
      <c r="L53" s="17">
        <f>$D53*(1+$F53)^4/(1+$G53)^4</f>
        <v/>
      </c>
      <c r="M53" s="17">
        <f>$D53*(1+$F53)^5/(1+$G53)^5</f>
        <v/>
      </c>
      <c r="N53" s="17">
        <f>$D53*(1+$F53)^6/(1+$G53)^6</f>
        <v/>
      </c>
      <c r="O53" s="17">
        <f>$D53*(1+$F53)^7/(1+$G53)^7</f>
        <v/>
      </c>
      <c r="P53" s="17">
        <f>$D53*(1+$F53)^8/(1+$G53)^8</f>
        <v/>
      </c>
      <c r="Q53" s="17">
        <f>$D53*(1+$F53)^9/(1+$G53)^9</f>
        <v/>
      </c>
      <c r="R53" s="17">
        <f>$D53*(1+$F53)^10/(1+$G53)^10</f>
        <v/>
      </c>
      <c r="S53" s="26">
        <f>SUM(I53:R53)</f>
        <v/>
      </c>
      <c r="T53" s="17">
        <f>$D53*(1+$F53)^10</f>
        <v/>
      </c>
      <c r="U53" s="17">
        <f>IF($G53&lt;=$H53,"",T53*(1+$H53)/($G53-$H53))</f>
        <v/>
      </c>
      <c r="V53" s="17">
        <f>IF(ISNUMBER(U53),U53/(1+$G53)^10,"")</f>
        <v/>
      </c>
      <c r="W53" s="26">
        <f>IF(ISNUMBER(V53),S53+V53,"")</f>
        <v/>
      </c>
      <c r="X53" s="15" t="n">
        <v>221.66691000924</v>
      </c>
      <c r="Y53" s="19">
        <f>IF(AND(ISNUMBER(W53),W53&lt;&gt;0,ISNUMBER(X53)),(W53-X53)/W53,"")</f>
        <v/>
      </c>
      <c r="Z53" s="27">
        <f>IF(NOT(ISNUMBER(Y53)),"판정불가",IF(Y53&gt;=기준표!$B$42,"투자가능",IF(Y53&gt;=0,"경계선","범위밖")))</f>
        <v/>
      </c>
    </row>
    <row r="54">
      <c r="A54" s="8" t="inlineStr">
        <is>
          <t>IBM</t>
        </is>
      </c>
      <c r="B54" s="8" t="inlineStr">
        <is>
          <t>INTERNATIONAL BUSINESS MACHINES CORP</t>
        </is>
      </c>
      <c r="C54" s="8" t="inlineStr">
        <is>
          <t>기준</t>
        </is>
      </c>
      <c r="D54" s="15" t="n">
        <v>7.323565008844199</v>
      </c>
      <c r="E54" s="23" t="n">
        <v>0.0001176527745498923</v>
      </c>
      <c r="F54" s="18">
        <f>IF(NOT(ISNUMBER(E54)),0.03,MAX(0,MIN(E54*기준표!$B$36,기준표!$B$40)))</f>
        <v/>
      </c>
      <c r="G54" s="18">
        <f>기준표!$B$34</f>
        <v/>
      </c>
      <c r="H54" s="18">
        <f>기준표!$B$35</f>
        <v/>
      </c>
      <c r="I54" s="17">
        <f>$D54*(1+$F54)^1/(1+$G54)^1</f>
        <v/>
      </c>
      <c r="J54" s="17">
        <f>$D54*(1+$F54)^2/(1+$G54)^2</f>
        <v/>
      </c>
      <c r="K54" s="17">
        <f>$D54*(1+$F54)^3/(1+$G54)^3</f>
        <v/>
      </c>
      <c r="L54" s="17">
        <f>$D54*(1+$F54)^4/(1+$G54)^4</f>
        <v/>
      </c>
      <c r="M54" s="17">
        <f>$D54*(1+$F54)^5/(1+$G54)^5</f>
        <v/>
      </c>
      <c r="N54" s="17">
        <f>$D54*(1+$F54)^6/(1+$G54)^6</f>
        <v/>
      </c>
      <c r="O54" s="17">
        <f>$D54*(1+$F54)^7/(1+$G54)^7</f>
        <v/>
      </c>
      <c r="P54" s="17">
        <f>$D54*(1+$F54)^8/(1+$G54)^8</f>
        <v/>
      </c>
      <c r="Q54" s="17">
        <f>$D54*(1+$F54)^9/(1+$G54)^9</f>
        <v/>
      </c>
      <c r="R54" s="17">
        <f>$D54*(1+$F54)^10/(1+$G54)^10</f>
        <v/>
      </c>
      <c r="S54" s="26">
        <f>SUM(I54:R54)</f>
        <v/>
      </c>
      <c r="T54" s="17">
        <f>$D54*(1+$F54)^10</f>
        <v/>
      </c>
      <c r="U54" s="17">
        <f>IF($G54&lt;=$H54,"",T54*(1+$H54)/($G54-$H54))</f>
        <v/>
      </c>
      <c r="V54" s="17">
        <f>IF(ISNUMBER(U54),U54/(1+$G54)^10,"")</f>
        <v/>
      </c>
      <c r="W54" s="26">
        <f>IF(ISNUMBER(V54),S54+V54,"")</f>
        <v/>
      </c>
      <c r="X54" s="15" t="n">
        <v>221.66691000924</v>
      </c>
      <c r="Y54" s="19">
        <f>IF(AND(ISNUMBER(W54),W54&lt;&gt;0,ISNUMBER(X54)),(W54-X54)/W54,"")</f>
        <v/>
      </c>
      <c r="Z54" s="27">
        <f>IF(NOT(ISNUMBER(Y54)),"판정불가",IF(Y54&gt;=기준표!$B$42,"투자가능",IF(Y54&gt;=0,"경계선","범위밖")))</f>
        <v/>
      </c>
    </row>
    <row r="55">
      <c r="A55" s="8" t="inlineStr">
        <is>
          <t>IBM</t>
        </is>
      </c>
      <c r="B55" s="8" t="inlineStr">
        <is>
          <t>INTERNATIONAL BUSINESS MACHINES CORP</t>
        </is>
      </c>
      <c r="C55" s="8" t="inlineStr">
        <is>
          <t>낙관</t>
        </is>
      </c>
      <c r="D55" s="15" t="n">
        <v>7.323565008844199</v>
      </c>
      <c r="E55" s="23" t="n">
        <v>0.0001176527745498923</v>
      </c>
      <c r="F55" s="18">
        <f>IF(NOT(ISNUMBER(E55)),0.03,MAX(0,MIN(E55*기준표!$B$39,기준표!$B$41)))</f>
        <v/>
      </c>
      <c r="G55" s="18">
        <f>기준표!$B$37</f>
        <v/>
      </c>
      <c r="H55" s="18">
        <f>기준표!$B$38</f>
        <v/>
      </c>
      <c r="I55" s="17">
        <f>$D55*(1+$F55)^1/(1+$G55)^1</f>
        <v/>
      </c>
      <c r="J55" s="17">
        <f>$D55*(1+$F55)^2/(1+$G55)^2</f>
        <v/>
      </c>
      <c r="K55" s="17">
        <f>$D55*(1+$F55)^3/(1+$G55)^3</f>
        <v/>
      </c>
      <c r="L55" s="17">
        <f>$D55*(1+$F55)^4/(1+$G55)^4</f>
        <v/>
      </c>
      <c r="M55" s="17">
        <f>$D55*(1+$F55)^5/(1+$G55)^5</f>
        <v/>
      </c>
      <c r="N55" s="17">
        <f>$D55*(1+$F55)^6/(1+$G55)^6</f>
        <v/>
      </c>
      <c r="O55" s="17">
        <f>$D55*(1+$F55)^7/(1+$G55)^7</f>
        <v/>
      </c>
      <c r="P55" s="17">
        <f>$D55*(1+$F55)^8/(1+$G55)^8</f>
        <v/>
      </c>
      <c r="Q55" s="17">
        <f>$D55*(1+$F55)^9/(1+$G55)^9</f>
        <v/>
      </c>
      <c r="R55" s="17">
        <f>$D55*(1+$F55)^10/(1+$G55)^10</f>
        <v/>
      </c>
      <c r="S55" s="26">
        <f>SUM(I55:R55)</f>
        <v/>
      </c>
      <c r="T55" s="17">
        <f>$D55*(1+$F55)^10</f>
        <v/>
      </c>
      <c r="U55" s="17">
        <f>IF($G55&lt;=$H55,"",T55*(1+$H55)/($G55-$H55))</f>
        <v/>
      </c>
      <c r="V55" s="17">
        <f>IF(ISNUMBER(U55),U55/(1+$G55)^10,"")</f>
        <v/>
      </c>
      <c r="W55" s="26">
        <f>IF(ISNUMBER(V55),S55+V55,"")</f>
        <v/>
      </c>
      <c r="X55" s="15" t="n">
        <v>221.66691000924</v>
      </c>
      <c r="Y55" s="19">
        <f>IF(AND(ISNUMBER(W55),W55&lt;&gt;0,ISNUMBER(X55)),(W55-X55)/W55,"")</f>
        <v/>
      </c>
      <c r="Z55" s="27">
        <f>IF(NOT(ISNUMBER(Y55)),"판정불가",IF(Y55&gt;=기준표!$B$42,"투자가능",IF(Y55&gt;=0,"경계선","범위밖")))</f>
        <v/>
      </c>
    </row>
    <row r="56">
      <c r="A56" s="8" t="inlineStr">
        <is>
          <t>NFLX</t>
        </is>
      </c>
      <c r="B56" s="8" t="inlineStr">
        <is>
          <t>NETFLIX INC</t>
        </is>
      </c>
      <c r="C56" s="8" t="inlineStr">
        <is>
          <t>보수</t>
        </is>
      </c>
      <c r="D56" s="15" t="n">
        <v>8.53998619209314</v>
      </c>
      <c r="E56" s="23" t="n"/>
      <c r="F56" s="18">
        <f>IF(NOT(ISNUMBER(E56)),0.03,MAX(0,MIN(E56*기준표!$B$33,기준표!$B$40)))</f>
        <v/>
      </c>
      <c r="G56" s="18">
        <f>기준표!$B$31</f>
        <v/>
      </c>
      <c r="H56" s="18">
        <f>기준표!$B$32</f>
        <v/>
      </c>
      <c r="I56" s="17">
        <f>$D56*(1+$F56)^1/(1+$G56)^1</f>
        <v/>
      </c>
      <c r="J56" s="17">
        <f>$D56*(1+$F56)^2/(1+$G56)^2</f>
        <v/>
      </c>
      <c r="K56" s="17">
        <f>$D56*(1+$F56)^3/(1+$G56)^3</f>
        <v/>
      </c>
      <c r="L56" s="17">
        <f>$D56*(1+$F56)^4/(1+$G56)^4</f>
        <v/>
      </c>
      <c r="M56" s="17">
        <f>$D56*(1+$F56)^5/(1+$G56)^5</f>
        <v/>
      </c>
      <c r="N56" s="17">
        <f>$D56*(1+$F56)^6/(1+$G56)^6</f>
        <v/>
      </c>
      <c r="O56" s="17">
        <f>$D56*(1+$F56)^7/(1+$G56)^7</f>
        <v/>
      </c>
      <c r="P56" s="17">
        <f>$D56*(1+$F56)^8/(1+$G56)^8</f>
        <v/>
      </c>
      <c r="Q56" s="17">
        <f>$D56*(1+$F56)^9/(1+$G56)^9</f>
        <v/>
      </c>
      <c r="R56" s="17">
        <f>$D56*(1+$F56)^10/(1+$G56)^10</f>
        <v/>
      </c>
      <c r="S56" s="26">
        <f>SUM(I56:R56)</f>
        <v/>
      </c>
      <c r="T56" s="17">
        <f>$D56*(1+$F56)^10</f>
        <v/>
      </c>
      <c r="U56" s="17">
        <f>IF($G56&lt;=$H56,"",T56*(1+$H56)/($G56-$H56))</f>
        <v/>
      </c>
      <c r="V56" s="17">
        <f>IF(ISNUMBER(U56),U56/(1+$G56)^10,"")</f>
        <v/>
      </c>
      <c r="W56" s="26">
        <f>IF(ISNUMBER(V56),S56+V56,"")</f>
        <v/>
      </c>
      <c r="X56" s="15" t="n">
        <v>322.1087504235</v>
      </c>
      <c r="Y56" s="19">
        <f>IF(AND(ISNUMBER(W56),W56&lt;&gt;0,ISNUMBER(X56)),(W56-X56)/W56,"")</f>
        <v/>
      </c>
      <c r="Z56" s="27">
        <f>IF(NOT(ISNUMBER(Y56)),"판정불가",IF(Y56&gt;=기준표!$B$42,"투자가능",IF(Y56&gt;=0,"경계선","범위밖")))</f>
        <v/>
      </c>
    </row>
    <row r="57">
      <c r="A57" s="8" t="inlineStr">
        <is>
          <t>NFLX</t>
        </is>
      </c>
      <c r="B57" s="8" t="inlineStr">
        <is>
          <t>NETFLIX INC</t>
        </is>
      </c>
      <c r="C57" s="8" t="inlineStr">
        <is>
          <t>기준</t>
        </is>
      </c>
      <c r="D57" s="15" t="n">
        <v>8.53998619209314</v>
      </c>
      <c r="E57" s="23" t="n"/>
      <c r="F57" s="18">
        <f>IF(NOT(ISNUMBER(E57)),0.03,MAX(0,MIN(E57*기준표!$B$36,기준표!$B$40)))</f>
        <v/>
      </c>
      <c r="G57" s="18">
        <f>기준표!$B$34</f>
        <v/>
      </c>
      <c r="H57" s="18">
        <f>기준표!$B$35</f>
        <v/>
      </c>
      <c r="I57" s="17">
        <f>$D57*(1+$F57)^1/(1+$G57)^1</f>
        <v/>
      </c>
      <c r="J57" s="17">
        <f>$D57*(1+$F57)^2/(1+$G57)^2</f>
        <v/>
      </c>
      <c r="K57" s="17">
        <f>$D57*(1+$F57)^3/(1+$G57)^3</f>
        <v/>
      </c>
      <c r="L57" s="17">
        <f>$D57*(1+$F57)^4/(1+$G57)^4</f>
        <v/>
      </c>
      <c r="M57" s="17">
        <f>$D57*(1+$F57)^5/(1+$G57)^5</f>
        <v/>
      </c>
      <c r="N57" s="17">
        <f>$D57*(1+$F57)^6/(1+$G57)^6</f>
        <v/>
      </c>
      <c r="O57" s="17">
        <f>$D57*(1+$F57)^7/(1+$G57)^7</f>
        <v/>
      </c>
      <c r="P57" s="17">
        <f>$D57*(1+$F57)^8/(1+$G57)^8</f>
        <v/>
      </c>
      <c r="Q57" s="17">
        <f>$D57*(1+$F57)^9/(1+$G57)^9</f>
        <v/>
      </c>
      <c r="R57" s="17">
        <f>$D57*(1+$F57)^10/(1+$G57)^10</f>
        <v/>
      </c>
      <c r="S57" s="26">
        <f>SUM(I57:R57)</f>
        <v/>
      </c>
      <c r="T57" s="17">
        <f>$D57*(1+$F57)^10</f>
        <v/>
      </c>
      <c r="U57" s="17">
        <f>IF($G57&lt;=$H57,"",T57*(1+$H57)/($G57-$H57))</f>
        <v/>
      </c>
      <c r="V57" s="17">
        <f>IF(ISNUMBER(U57),U57/(1+$G57)^10,"")</f>
        <v/>
      </c>
      <c r="W57" s="26">
        <f>IF(ISNUMBER(V57),S57+V57,"")</f>
        <v/>
      </c>
      <c r="X57" s="15" t="n">
        <v>322.1087504235</v>
      </c>
      <c r="Y57" s="19">
        <f>IF(AND(ISNUMBER(W57),W57&lt;&gt;0,ISNUMBER(X57)),(W57-X57)/W57,"")</f>
        <v/>
      </c>
      <c r="Z57" s="27">
        <f>IF(NOT(ISNUMBER(Y57)),"판정불가",IF(Y57&gt;=기준표!$B$42,"투자가능",IF(Y57&gt;=0,"경계선","범위밖")))</f>
        <v/>
      </c>
    </row>
    <row r="58">
      <c r="A58" s="8" t="inlineStr">
        <is>
          <t>NFLX</t>
        </is>
      </c>
      <c r="B58" s="8" t="inlineStr">
        <is>
          <t>NETFLIX INC</t>
        </is>
      </c>
      <c r="C58" s="8" t="inlineStr">
        <is>
          <t>낙관</t>
        </is>
      </c>
      <c r="D58" s="15" t="n">
        <v>8.53998619209314</v>
      </c>
      <c r="E58" s="23" t="n"/>
      <c r="F58" s="18">
        <f>IF(NOT(ISNUMBER(E58)),0.03,MAX(0,MIN(E58*기준표!$B$39,기준표!$B$41)))</f>
        <v/>
      </c>
      <c r="G58" s="18">
        <f>기준표!$B$37</f>
        <v/>
      </c>
      <c r="H58" s="18">
        <f>기준표!$B$38</f>
        <v/>
      </c>
      <c r="I58" s="17">
        <f>$D58*(1+$F58)^1/(1+$G58)^1</f>
        <v/>
      </c>
      <c r="J58" s="17">
        <f>$D58*(1+$F58)^2/(1+$G58)^2</f>
        <v/>
      </c>
      <c r="K58" s="17">
        <f>$D58*(1+$F58)^3/(1+$G58)^3</f>
        <v/>
      </c>
      <c r="L58" s="17">
        <f>$D58*(1+$F58)^4/(1+$G58)^4</f>
        <v/>
      </c>
      <c r="M58" s="17">
        <f>$D58*(1+$F58)^5/(1+$G58)^5</f>
        <v/>
      </c>
      <c r="N58" s="17">
        <f>$D58*(1+$F58)^6/(1+$G58)^6</f>
        <v/>
      </c>
      <c r="O58" s="17">
        <f>$D58*(1+$F58)^7/(1+$G58)^7</f>
        <v/>
      </c>
      <c r="P58" s="17">
        <f>$D58*(1+$F58)^8/(1+$G58)^8</f>
        <v/>
      </c>
      <c r="Q58" s="17">
        <f>$D58*(1+$F58)^9/(1+$G58)^9</f>
        <v/>
      </c>
      <c r="R58" s="17">
        <f>$D58*(1+$F58)^10/(1+$G58)^10</f>
        <v/>
      </c>
      <c r="S58" s="26">
        <f>SUM(I58:R58)</f>
        <v/>
      </c>
      <c r="T58" s="17">
        <f>$D58*(1+$F58)^10</f>
        <v/>
      </c>
      <c r="U58" s="17">
        <f>IF($G58&lt;=$H58,"",T58*(1+$H58)/($G58-$H58))</f>
        <v/>
      </c>
      <c r="V58" s="17">
        <f>IF(ISNUMBER(U58),U58/(1+$G58)^10,"")</f>
        <v/>
      </c>
      <c r="W58" s="26">
        <f>IF(ISNUMBER(V58),S58+V58,"")</f>
        <v/>
      </c>
      <c r="X58" s="15" t="n">
        <v>322.1087504235</v>
      </c>
      <c r="Y58" s="19">
        <f>IF(AND(ISNUMBER(W58),W58&lt;&gt;0,ISNUMBER(X58)),(W58-X58)/W58,"")</f>
        <v/>
      </c>
      <c r="Z58" s="27">
        <f>IF(NOT(ISNUMBER(Y58)),"판정불가",IF(Y58&gt;=기준표!$B$42,"투자가능",IF(Y58&gt;=0,"경계선","범위밖")))</f>
        <v/>
      </c>
    </row>
    <row r="59">
      <c r="A59" s="8" t="inlineStr">
        <is>
          <t>MSFT</t>
        </is>
      </c>
      <c r="B59" s="8" t="inlineStr">
        <is>
          <t>MICROSOFT CORP</t>
        </is>
      </c>
      <c r="C59" s="8" t="inlineStr">
        <is>
          <t>보수</t>
        </is>
      </c>
      <c r="D59" s="15" t="n">
        <v>84.17528464242739</v>
      </c>
      <c r="E59" s="23" t="n">
        <v>0.04666077406557556</v>
      </c>
      <c r="F59" s="18">
        <f>IF(NOT(ISNUMBER(E59)),0.03,MAX(0,MIN(E59*기준표!$B$33,기준표!$B$40)))</f>
        <v/>
      </c>
      <c r="G59" s="18">
        <f>기준표!$B$31</f>
        <v/>
      </c>
      <c r="H59" s="18">
        <f>기준표!$B$32</f>
        <v/>
      </c>
      <c r="I59" s="17">
        <f>$D59*(1+$F59)^1/(1+$G59)^1</f>
        <v/>
      </c>
      <c r="J59" s="17">
        <f>$D59*(1+$F59)^2/(1+$G59)^2</f>
        <v/>
      </c>
      <c r="K59" s="17">
        <f>$D59*(1+$F59)^3/(1+$G59)^3</f>
        <v/>
      </c>
      <c r="L59" s="17">
        <f>$D59*(1+$F59)^4/(1+$G59)^4</f>
        <v/>
      </c>
      <c r="M59" s="17">
        <f>$D59*(1+$F59)^5/(1+$G59)^5</f>
        <v/>
      </c>
      <c r="N59" s="17">
        <f>$D59*(1+$F59)^6/(1+$G59)^6</f>
        <v/>
      </c>
      <c r="O59" s="17">
        <f>$D59*(1+$F59)^7/(1+$G59)^7</f>
        <v/>
      </c>
      <c r="P59" s="17">
        <f>$D59*(1+$F59)^8/(1+$G59)^8</f>
        <v/>
      </c>
      <c r="Q59" s="17">
        <f>$D59*(1+$F59)^9/(1+$G59)^9</f>
        <v/>
      </c>
      <c r="R59" s="17">
        <f>$D59*(1+$F59)^10/(1+$G59)^10</f>
        <v/>
      </c>
      <c r="S59" s="26">
        <f>SUM(I59:R59)</f>
        <v/>
      </c>
      <c r="T59" s="17">
        <f>$D59*(1+$F59)^10</f>
        <v/>
      </c>
      <c r="U59" s="17">
        <f>IF($G59&lt;=$H59,"",T59*(1+$H59)/($G59-$H59))</f>
        <v/>
      </c>
      <c r="V59" s="17">
        <f>IF(ISNUMBER(U59),U59/(1+$G59)^10,"")</f>
        <v/>
      </c>
      <c r="W59" s="26">
        <f>IF(ISNUMBER(V59),S59+V59,"")</f>
        <v/>
      </c>
      <c r="X59" s="15" t="n">
        <v>3757.77155117546</v>
      </c>
      <c r="Y59" s="19">
        <f>IF(AND(ISNUMBER(W59),W59&lt;&gt;0,ISNUMBER(X59)),(W59-X59)/W59,"")</f>
        <v/>
      </c>
      <c r="Z59" s="27">
        <f>IF(NOT(ISNUMBER(Y59)),"판정불가",IF(Y59&gt;=기준표!$B$42,"투자가능",IF(Y59&gt;=0,"경계선","범위밖")))</f>
        <v/>
      </c>
    </row>
    <row r="60">
      <c r="A60" s="8" t="inlineStr">
        <is>
          <t>MSFT</t>
        </is>
      </c>
      <c r="B60" s="8" t="inlineStr">
        <is>
          <t>MICROSOFT CORP</t>
        </is>
      </c>
      <c r="C60" s="8" t="inlineStr">
        <is>
          <t>기준</t>
        </is>
      </c>
      <c r="D60" s="15" t="n">
        <v>84.17528464242739</v>
      </c>
      <c r="E60" s="23" t="n">
        <v>0.04666077406557556</v>
      </c>
      <c r="F60" s="18">
        <f>IF(NOT(ISNUMBER(E60)),0.03,MAX(0,MIN(E60*기준표!$B$36,기준표!$B$40)))</f>
        <v/>
      </c>
      <c r="G60" s="18">
        <f>기준표!$B$34</f>
        <v/>
      </c>
      <c r="H60" s="18">
        <f>기준표!$B$35</f>
        <v/>
      </c>
      <c r="I60" s="17">
        <f>$D60*(1+$F60)^1/(1+$G60)^1</f>
        <v/>
      </c>
      <c r="J60" s="17">
        <f>$D60*(1+$F60)^2/(1+$G60)^2</f>
        <v/>
      </c>
      <c r="K60" s="17">
        <f>$D60*(1+$F60)^3/(1+$G60)^3</f>
        <v/>
      </c>
      <c r="L60" s="17">
        <f>$D60*(1+$F60)^4/(1+$G60)^4</f>
        <v/>
      </c>
      <c r="M60" s="17">
        <f>$D60*(1+$F60)^5/(1+$G60)^5</f>
        <v/>
      </c>
      <c r="N60" s="17">
        <f>$D60*(1+$F60)^6/(1+$G60)^6</f>
        <v/>
      </c>
      <c r="O60" s="17">
        <f>$D60*(1+$F60)^7/(1+$G60)^7</f>
        <v/>
      </c>
      <c r="P60" s="17">
        <f>$D60*(1+$F60)^8/(1+$G60)^8</f>
        <v/>
      </c>
      <c r="Q60" s="17">
        <f>$D60*(1+$F60)^9/(1+$G60)^9</f>
        <v/>
      </c>
      <c r="R60" s="17">
        <f>$D60*(1+$F60)^10/(1+$G60)^10</f>
        <v/>
      </c>
      <c r="S60" s="26">
        <f>SUM(I60:R60)</f>
        <v/>
      </c>
      <c r="T60" s="17">
        <f>$D60*(1+$F60)^10</f>
        <v/>
      </c>
      <c r="U60" s="17">
        <f>IF($G60&lt;=$H60,"",T60*(1+$H60)/($G60-$H60))</f>
        <v/>
      </c>
      <c r="V60" s="17">
        <f>IF(ISNUMBER(U60),U60/(1+$G60)^10,"")</f>
        <v/>
      </c>
      <c r="W60" s="26">
        <f>IF(ISNUMBER(V60),S60+V60,"")</f>
        <v/>
      </c>
      <c r="X60" s="15" t="n">
        <v>3757.77155117546</v>
      </c>
      <c r="Y60" s="19">
        <f>IF(AND(ISNUMBER(W60),W60&lt;&gt;0,ISNUMBER(X60)),(W60-X60)/W60,"")</f>
        <v/>
      </c>
      <c r="Z60" s="27">
        <f>IF(NOT(ISNUMBER(Y60)),"판정불가",IF(Y60&gt;=기준표!$B$42,"투자가능",IF(Y60&gt;=0,"경계선","범위밖")))</f>
        <v/>
      </c>
    </row>
    <row r="61">
      <c r="A61" s="8" t="inlineStr">
        <is>
          <t>MSFT</t>
        </is>
      </c>
      <c r="B61" s="8" t="inlineStr">
        <is>
          <t>MICROSOFT CORP</t>
        </is>
      </c>
      <c r="C61" s="8" t="inlineStr">
        <is>
          <t>낙관</t>
        </is>
      </c>
      <c r="D61" s="15" t="n">
        <v>84.17528464242739</v>
      </c>
      <c r="E61" s="23" t="n">
        <v>0.04666077406557556</v>
      </c>
      <c r="F61" s="18">
        <f>IF(NOT(ISNUMBER(E61)),0.03,MAX(0,MIN(E61*기준표!$B$39,기준표!$B$41)))</f>
        <v/>
      </c>
      <c r="G61" s="18">
        <f>기준표!$B$37</f>
        <v/>
      </c>
      <c r="H61" s="18">
        <f>기준표!$B$38</f>
        <v/>
      </c>
      <c r="I61" s="17">
        <f>$D61*(1+$F61)^1/(1+$G61)^1</f>
        <v/>
      </c>
      <c r="J61" s="17">
        <f>$D61*(1+$F61)^2/(1+$G61)^2</f>
        <v/>
      </c>
      <c r="K61" s="17">
        <f>$D61*(1+$F61)^3/(1+$G61)^3</f>
        <v/>
      </c>
      <c r="L61" s="17">
        <f>$D61*(1+$F61)^4/(1+$G61)^4</f>
        <v/>
      </c>
      <c r="M61" s="17">
        <f>$D61*(1+$F61)^5/(1+$G61)^5</f>
        <v/>
      </c>
      <c r="N61" s="17">
        <f>$D61*(1+$F61)^6/(1+$G61)^6</f>
        <v/>
      </c>
      <c r="O61" s="17">
        <f>$D61*(1+$F61)^7/(1+$G61)^7</f>
        <v/>
      </c>
      <c r="P61" s="17">
        <f>$D61*(1+$F61)^8/(1+$G61)^8</f>
        <v/>
      </c>
      <c r="Q61" s="17">
        <f>$D61*(1+$F61)^9/(1+$G61)^9</f>
        <v/>
      </c>
      <c r="R61" s="17">
        <f>$D61*(1+$F61)^10/(1+$G61)^10</f>
        <v/>
      </c>
      <c r="S61" s="26">
        <f>SUM(I61:R61)</f>
        <v/>
      </c>
      <c r="T61" s="17">
        <f>$D61*(1+$F61)^10</f>
        <v/>
      </c>
      <c r="U61" s="17">
        <f>IF($G61&lt;=$H61,"",T61*(1+$H61)/($G61-$H61))</f>
        <v/>
      </c>
      <c r="V61" s="17">
        <f>IF(ISNUMBER(U61),U61/(1+$G61)^10,"")</f>
        <v/>
      </c>
      <c r="W61" s="26">
        <f>IF(ISNUMBER(V61),S61+V61,"")</f>
        <v/>
      </c>
      <c r="X61" s="15" t="n">
        <v>3757.77155117546</v>
      </c>
      <c r="Y61" s="19">
        <f>IF(AND(ISNUMBER(W61),W61&lt;&gt;0,ISNUMBER(X61)),(W61-X61)/W61,"")</f>
        <v/>
      </c>
      <c r="Z61" s="27">
        <f>IF(NOT(ISNUMBER(Y61)),"판정불가",IF(Y61&gt;=기준표!$B$42,"투자가능",IF(Y61&gt;=0,"경계선","범위밖")))</f>
        <v/>
      </c>
    </row>
    <row r="62">
      <c r="A62" s="8" t="inlineStr">
        <is>
          <t>COST</t>
        </is>
      </c>
      <c r="B62" s="8" t="inlineStr">
        <is>
          <t>COSTCO WHOLESALE CORP /NEW</t>
        </is>
      </c>
      <c r="C62" s="8" t="inlineStr">
        <is>
          <t>보수</t>
        </is>
      </c>
      <c r="D62" s="15" t="n">
        <v>6.38985048908333</v>
      </c>
      <c r="E62" s="23" t="n">
        <v>0.1167060413111489</v>
      </c>
      <c r="F62" s="18">
        <f>IF(NOT(ISNUMBER(E62)),0.03,MAX(0,MIN(E62*기준표!$B$33,기준표!$B$40)))</f>
        <v/>
      </c>
      <c r="G62" s="18">
        <f>기준표!$B$31</f>
        <v/>
      </c>
      <c r="H62" s="18">
        <f>기준표!$B$32</f>
        <v/>
      </c>
      <c r="I62" s="17">
        <f>$D62*(1+$F62)^1/(1+$G62)^1</f>
        <v/>
      </c>
      <c r="J62" s="17">
        <f>$D62*(1+$F62)^2/(1+$G62)^2</f>
        <v/>
      </c>
      <c r="K62" s="17">
        <f>$D62*(1+$F62)^3/(1+$G62)^3</f>
        <v/>
      </c>
      <c r="L62" s="17">
        <f>$D62*(1+$F62)^4/(1+$G62)^4</f>
        <v/>
      </c>
      <c r="M62" s="17">
        <f>$D62*(1+$F62)^5/(1+$G62)^5</f>
        <v/>
      </c>
      <c r="N62" s="17">
        <f>$D62*(1+$F62)^6/(1+$G62)^6</f>
        <v/>
      </c>
      <c r="O62" s="17">
        <f>$D62*(1+$F62)^7/(1+$G62)^7</f>
        <v/>
      </c>
      <c r="P62" s="17">
        <f>$D62*(1+$F62)^8/(1+$G62)^8</f>
        <v/>
      </c>
      <c r="Q62" s="17">
        <f>$D62*(1+$F62)^9/(1+$G62)^9</f>
        <v/>
      </c>
      <c r="R62" s="17">
        <f>$D62*(1+$F62)^10/(1+$G62)^10</f>
        <v/>
      </c>
      <c r="S62" s="26">
        <f>SUM(I62:R62)</f>
        <v/>
      </c>
      <c r="T62" s="17">
        <f>$D62*(1+$F62)^10</f>
        <v/>
      </c>
      <c r="U62" s="17">
        <f>IF($G62&lt;=$H62,"",T62*(1+$H62)/($G62-$H62))</f>
        <v/>
      </c>
      <c r="V62" s="17">
        <f>IF(ISNUMBER(U62),U62/(1+$G62)^10,"")</f>
        <v/>
      </c>
      <c r="W62" s="26">
        <f>IF(ISNUMBER(V62),S62+V62,"")</f>
        <v/>
      </c>
      <c r="X62" s="15" t="n">
        <v>422.238959934</v>
      </c>
      <c r="Y62" s="19">
        <f>IF(AND(ISNUMBER(W62),W62&lt;&gt;0,ISNUMBER(X62)),(W62-X62)/W62,"")</f>
        <v/>
      </c>
      <c r="Z62" s="27">
        <f>IF(NOT(ISNUMBER(Y62)),"판정불가",IF(Y62&gt;=기준표!$B$42,"투자가능",IF(Y62&gt;=0,"경계선","범위밖")))</f>
        <v/>
      </c>
    </row>
    <row r="63">
      <c r="A63" s="8" t="inlineStr">
        <is>
          <t>COST</t>
        </is>
      </c>
      <c r="B63" s="8" t="inlineStr">
        <is>
          <t>COSTCO WHOLESALE CORP /NEW</t>
        </is>
      </c>
      <c r="C63" s="8" t="inlineStr">
        <is>
          <t>기준</t>
        </is>
      </c>
      <c r="D63" s="15" t="n">
        <v>6.38985048908333</v>
      </c>
      <c r="E63" s="23" t="n">
        <v>0.1167060413111489</v>
      </c>
      <c r="F63" s="18">
        <f>IF(NOT(ISNUMBER(E63)),0.03,MAX(0,MIN(E63*기준표!$B$36,기준표!$B$40)))</f>
        <v/>
      </c>
      <c r="G63" s="18">
        <f>기준표!$B$34</f>
        <v/>
      </c>
      <c r="H63" s="18">
        <f>기준표!$B$35</f>
        <v/>
      </c>
      <c r="I63" s="17">
        <f>$D63*(1+$F63)^1/(1+$G63)^1</f>
        <v/>
      </c>
      <c r="J63" s="17">
        <f>$D63*(1+$F63)^2/(1+$G63)^2</f>
        <v/>
      </c>
      <c r="K63" s="17">
        <f>$D63*(1+$F63)^3/(1+$G63)^3</f>
        <v/>
      </c>
      <c r="L63" s="17">
        <f>$D63*(1+$F63)^4/(1+$G63)^4</f>
        <v/>
      </c>
      <c r="M63" s="17">
        <f>$D63*(1+$F63)^5/(1+$G63)^5</f>
        <v/>
      </c>
      <c r="N63" s="17">
        <f>$D63*(1+$F63)^6/(1+$G63)^6</f>
        <v/>
      </c>
      <c r="O63" s="17">
        <f>$D63*(1+$F63)^7/(1+$G63)^7</f>
        <v/>
      </c>
      <c r="P63" s="17">
        <f>$D63*(1+$F63)^8/(1+$G63)^8</f>
        <v/>
      </c>
      <c r="Q63" s="17">
        <f>$D63*(1+$F63)^9/(1+$G63)^9</f>
        <v/>
      </c>
      <c r="R63" s="17">
        <f>$D63*(1+$F63)^10/(1+$G63)^10</f>
        <v/>
      </c>
      <c r="S63" s="26">
        <f>SUM(I63:R63)</f>
        <v/>
      </c>
      <c r="T63" s="17">
        <f>$D63*(1+$F63)^10</f>
        <v/>
      </c>
      <c r="U63" s="17">
        <f>IF($G63&lt;=$H63,"",T63*(1+$H63)/($G63-$H63))</f>
        <v/>
      </c>
      <c r="V63" s="17">
        <f>IF(ISNUMBER(U63),U63/(1+$G63)^10,"")</f>
        <v/>
      </c>
      <c r="W63" s="26">
        <f>IF(ISNUMBER(V63),S63+V63,"")</f>
        <v/>
      </c>
      <c r="X63" s="15" t="n">
        <v>422.238959934</v>
      </c>
      <c r="Y63" s="19">
        <f>IF(AND(ISNUMBER(W63),W63&lt;&gt;0,ISNUMBER(X63)),(W63-X63)/W63,"")</f>
        <v/>
      </c>
      <c r="Z63" s="27">
        <f>IF(NOT(ISNUMBER(Y63)),"판정불가",IF(Y63&gt;=기준표!$B$42,"투자가능",IF(Y63&gt;=0,"경계선","범위밖")))</f>
        <v/>
      </c>
    </row>
    <row r="64">
      <c r="A64" s="8" t="inlineStr">
        <is>
          <t>COST</t>
        </is>
      </c>
      <c r="B64" s="8" t="inlineStr">
        <is>
          <t>COSTCO WHOLESALE CORP /NEW</t>
        </is>
      </c>
      <c r="C64" s="8" t="inlineStr">
        <is>
          <t>낙관</t>
        </is>
      </c>
      <c r="D64" s="15" t="n">
        <v>6.38985048908333</v>
      </c>
      <c r="E64" s="23" t="n">
        <v>0.1167060413111489</v>
      </c>
      <c r="F64" s="18">
        <f>IF(NOT(ISNUMBER(E64)),0.03,MAX(0,MIN(E64*기준표!$B$39,기준표!$B$41)))</f>
        <v/>
      </c>
      <c r="G64" s="18">
        <f>기준표!$B$37</f>
        <v/>
      </c>
      <c r="H64" s="18">
        <f>기준표!$B$38</f>
        <v/>
      </c>
      <c r="I64" s="17">
        <f>$D64*(1+$F64)^1/(1+$G64)^1</f>
        <v/>
      </c>
      <c r="J64" s="17">
        <f>$D64*(1+$F64)^2/(1+$G64)^2</f>
        <v/>
      </c>
      <c r="K64" s="17">
        <f>$D64*(1+$F64)^3/(1+$G64)^3</f>
        <v/>
      </c>
      <c r="L64" s="17">
        <f>$D64*(1+$F64)^4/(1+$G64)^4</f>
        <v/>
      </c>
      <c r="M64" s="17">
        <f>$D64*(1+$F64)^5/(1+$G64)^5</f>
        <v/>
      </c>
      <c r="N64" s="17">
        <f>$D64*(1+$F64)^6/(1+$G64)^6</f>
        <v/>
      </c>
      <c r="O64" s="17">
        <f>$D64*(1+$F64)^7/(1+$G64)^7</f>
        <v/>
      </c>
      <c r="P64" s="17">
        <f>$D64*(1+$F64)^8/(1+$G64)^8</f>
        <v/>
      </c>
      <c r="Q64" s="17">
        <f>$D64*(1+$F64)^9/(1+$G64)^9</f>
        <v/>
      </c>
      <c r="R64" s="17">
        <f>$D64*(1+$F64)^10/(1+$G64)^10</f>
        <v/>
      </c>
      <c r="S64" s="26">
        <f>SUM(I64:R64)</f>
        <v/>
      </c>
      <c r="T64" s="17">
        <f>$D64*(1+$F64)^10</f>
        <v/>
      </c>
      <c r="U64" s="17">
        <f>IF($G64&lt;=$H64,"",T64*(1+$H64)/($G64-$H64))</f>
        <v/>
      </c>
      <c r="V64" s="17">
        <f>IF(ISNUMBER(U64),U64/(1+$G64)^10,"")</f>
        <v/>
      </c>
      <c r="W64" s="26">
        <f>IF(ISNUMBER(V64),S64+V64,"")</f>
        <v/>
      </c>
      <c r="X64" s="15" t="n">
        <v>422.238959934</v>
      </c>
      <c r="Y64" s="19">
        <f>IF(AND(ISNUMBER(W64),W64&lt;&gt;0,ISNUMBER(X64)),(W64-X64)/W64,"")</f>
        <v/>
      </c>
      <c r="Z64" s="27">
        <f>IF(NOT(ISNUMBER(Y64)),"판정불가",IF(Y64&gt;=기준표!$B$42,"투자가능",IF(Y64&gt;=0,"경계선","범위밖")))</f>
        <v/>
      </c>
    </row>
    <row r="65">
      <c r="A65" s="8" t="inlineStr">
        <is>
          <t>GE</t>
        </is>
      </c>
      <c r="B65" s="8" t="inlineStr">
        <is>
          <t>GENERAL ELECTRIC CO</t>
        </is>
      </c>
      <c r="C65" s="8" t="inlineStr">
        <is>
          <t>보수</t>
        </is>
      </c>
      <c r="D65" s="15" t="n">
        <v>9.440411304437353</v>
      </c>
      <c r="E65" s="23" t="n"/>
      <c r="F65" s="18">
        <f>IF(NOT(ISNUMBER(E65)),0.03,MAX(0,MIN(E65*기준표!$B$33,기준표!$B$40)))</f>
        <v/>
      </c>
      <c r="G65" s="18">
        <f>기준표!$B$31</f>
        <v/>
      </c>
      <c r="H65" s="18">
        <f>기준표!$B$32</f>
        <v/>
      </c>
      <c r="I65" s="17">
        <f>$D65*(1+$F65)^1/(1+$G65)^1</f>
        <v/>
      </c>
      <c r="J65" s="17">
        <f>$D65*(1+$F65)^2/(1+$G65)^2</f>
        <v/>
      </c>
      <c r="K65" s="17">
        <f>$D65*(1+$F65)^3/(1+$G65)^3</f>
        <v/>
      </c>
      <c r="L65" s="17">
        <f>$D65*(1+$F65)^4/(1+$G65)^4</f>
        <v/>
      </c>
      <c r="M65" s="17">
        <f>$D65*(1+$F65)^5/(1+$G65)^5</f>
        <v/>
      </c>
      <c r="N65" s="17">
        <f>$D65*(1+$F65)^6/(1+$G65)^6</f>
        <v/>
      </c>
      <c r="O65" s="17">
        <f>$D65*(1+$F65)^7/(1+$G65)^7</f>
        <v/>
      </c>
      <c r="P65" s="17">
        <f>$D65*(1+$F65)^8/(1+$G65)^8</f>
        <v/>
      </c>
      <c r="Q65" s="17">
        <f>$D65*(1+$F65)^9/(1+$G65)^9</f>
        <v/>
      </c>
      <c r="R65" s="17">
        <f>$D65*(1+$F65)^10/(1+$G65)^10</f>
        <v/>
      </c>
      <c r="S65" s="26">
        <f>SUM(I65:R65)</f>
        <v/>
      </c>
      <c r="T65" s="17">
        <f>$D65*(1+$F65)^10</f>
        <v/>
      </c>
      <c r="U65" s="17">
        <f>IF($G65&lt;=$H65,"",T65*(1+$H65)/($G65-$H65))</f>
        <v/>
      </c>
      <c r="V65" s="17">
        <f>IF(ISNUMBER(U65),U65/(1+$G65)^10,"")</f>
        <v/>
      </c>
      <c r="W65" s="26">
        <f>IF(ISNUMBER(V65),S65+V65,"")</f>
        <v/>
      </c>
      <c r="X65" s="15" t="n">
        <v>384.5999515203999</v>
      </c>
      <c r="Y65" s="19">
        <f>IF(AND(ISNUMBER(W65),W65&lt;&gt;0,ISNUMBER(X65)),(W65-X65)/W65,"")</f>
        <v/>
      </c>
      <c r="Z65" s="27">
        <f>IF(NOT(ISNUMBER(Y65)),"판정불가",IF(Y65&gt;=기준표!$B$42,"투자가능",IF(Y65&gt;=0,"경계선","범위밖")))</f>
        <v/>
      </c>
    </row>
    <row r="66">
      <c r="A66" s="8" t="inlineStr">
        <is>
          <t>GE</t>
        </is>
      </c>
      <c r="B66" s="8" t="inlineStr">
        <is>
          <t>GENERAL ELECTRIC CO</t>
        </is>
      </c>
      <c r="C66" s="8" t="inlineStr">
        <is>
          <t>기준</t>
        </is>
      </c>
      <c r="D66" s="15" t="n">
        <v>9.440411304437353</v>
      </c>
      <c r="E66" s="23" t="n"/>
      <c r="F66" s="18">
        <f>IF(NOT(ISNUMBER(E66)),0.03,MAX(0,MIN(E66*기준표!$B$36,기준표!$B$40)))</f>
        <v/>
      </c>
      <c r="G66" s="18">
        <f>기준표!$B$34</f>
        <v/>
      </c>
      <c r="H66" s="18">
        <f>기준표!$B$35</f>
        <v/>
      </c>
      <c r="I66" s="17">
        <f>$D66*(1+$F66)^1/(1+$G66)^1</f>
        <v/>
      </c>
      <c r="J66" s="17">
        <f>$D66*(1+$F66)^2/(1+$G66)^2</f>
        <v/>
      </c>
      <c r="K66" s="17">
        <f>$D66*(1+$F66)^3/(1+$G66)^3</f>
        <v/>
      </c>
      <c r="L66" s="17">
        <f>$D66*(1+$F66)^4/(1+$G66)^4</f>
        <v/>
      </c>
      <c r="M66" s="17">
        <f>$D66*(1+$F66)^5/(1+$G66)^5</f>
        <v/>
      </c>
      <c r="N66" s="17">
        <f>$D66*(1+$F66)^6/(1+$G66)^6</f>
        <v/>
      </c>
      <c r="O66" s="17">
        <f>$D66*(1+$F66)^7/(1+$G66)^7</f>
        <v/>
      </c>
      <c r="P66" s="17">
        <f>$D66*(1+$F66)^8/(1+$G66)^8</f>
        <v/>
      </c>
      <c r="Q66" s="17">
        <f>$D66*(1+$F66)^9/(1+$G66)^9</f>
        <v/>
      </c>
      <c r="R66" s="17">
        <f>$D66*(1+$F66)^10/(1+$G66)^10</f>
        <v/>
      </c>
      <c r="S66" s="26">
        <f>SUM(I66:R66)</f>
        <v/>
      </c>
      <c r="T66" s="17">
        <f>$D66*(1+$F66)^10</f>
        <v/>
      </c>
      <c r="U66" s="17">
        <f>IF($G66&lt;=$H66,"",T66*(1+$H66)/($G66-$H66))</f>
        <v/>
      </c>
      <c r="V66" s="17">
        <f>IF(ISNUMBER(U66),U66/(1+$G66)^10,"")</f>
        <v/>
      </c>
      <c r="W66" s="26">
        <f>IF(ISNUMBER(V66),S66+V66,"")</f>
        <v/>
      </c>
      <c r="X66" s="15" t="n">
        <v>384.5999515203999</v>
      </c>
      <c r="Y66" s="19">
        <f>IF(AND(ISNUMBER(W66),W66&lt;&gt;0,ISNUMBER(X66)),(W66-X66)/W66,"")</f>
        <v/>
      </c>
      <c r="Z66" s="27">
        <f>IF(NOT(ISNUMBER(Y66)),"판정불가",IF(Y66&gt;=기준표!$B$42,"투자가능",IF(Y66&gt;=0,"경계선","범위밖")))</f>
        <v/>
      </c>
    </row>
    <row r="67">
      <c r="A67" s="8" t="inlineStr">
        <is>
          <t>GE</t>
        </is>
      </c>
      <c r="B67" s="8" t="inlineStr">
        <is>
          <t>GENERAL ELECTRIC CO</t>
        </is>
      </c>
      <c r="C67" s="8" t="inlineStr">
        <is>
          <t>낙관</t>
        </is>
      </c>
      <c r="D67" s="15" t="n">
        <v>9.440411304437353</v>
      </c>
      <c r="E67" s="23" t="n"/>
      <c r="F67" s="18">
        <f>IF(NOT(ISNUMBER(E67)),0.03,MAX(0,MIN(E67*기준표!$B$39,기준표!$B$41)))</f>
        <v/>
      </c>
      <c r="G67" s="18">
        <f>기준표!$B$37</f>
        <v/>
      </c>
      <c r="H67" s="18">
        <f>기준표!$B$38</f>
        <v/>
      </c>
      <c r="I67" s="17">
        <f>$D67*(1+$F67)^1/(1+$G67)^1</f>
        <v/>
      </c>
      <c r="J67" s="17">
        <f>$D67*(1+$F67)^2/(1+$G67)^2</f>
        <v/>
      </c>
      <c r="K67" s="17">
        <f>$D67*(1+$F67)^3/(1+$G67)^3</f>
        <v/>
      </c>
      <c r="L67" s="17">
        <f>$D67*(1+$F67)^4/(1+$G67)^4</f>
        <v/>
      </c>
      <c r="M67" s="17">
        <f>$D67*(1+$F67)^5/(1+$G67)^5</f>
        <v/>
      </c>
      <c r="N67" s="17">
        <f>$D67*(1+$F67)^6/(1+$G67)^6</f>
        <v/>
      </c>
      <c r="O67" s="17">
        <f>$D67*(1+$F67)^7/(1+$G67)^7</f>
        <v/>
      </c>
      <c r="P67" s="17">
        <f>$D67*(1+$F67)^8/(1+$G67)^8</f>
        <v/>
      </c>
      <c r="Q67" s="17">
        <f>$D67*(1+$F67)^9/(1+$G67)^9</f>
        <v/>
      </c>
      <c r="R67" s="17">
        <f>$D67*(1+$F67)^10/(1+$G67)^10</f>
        <v/>
      </c>
      <c r="S67" s="26">
        <f>SUM(I67:R67)</f>
        <v/>
      </c>
      <c r="T67" s="17">
        <f>$D67*(1+$F67)^10</f>
        <v/>
      </c>
      <c r="U67" s="17">
        <f>IF($G67&lt;=$H67,"",T67*(1+$H67)/($G67-$H67))</f>
        <v/>
      </c>
      <c r="V67" s="17">
        <f>IF(ISNUMBER(U67),U67/(1+$G67)^10,"")</f>
        <v/>
      </c>
      <c r="W67" s="26">
        <f>IF(ISNUMBER(V67),S67+V67,"")</f>
        <v/>
      </c>
      <c r="X67" s="15" t="n">
        <v>384.5999515203999</v>
      </c>
      <c r="Y67" s="19">
        <f>IF(AND(ISNUMBER(W67),W67&lt;&gt;0,ISNUMBER(X67)),(W67-X67)/W67,"")</f>
        <v/>
      </c>
      <c r="Z67" s="27">
        <f>IF(NOT(ISNUMBER(Y67)),"판정불가",IF(Y67&gt;=기준표!$B$42,"투자가능",IF(Y67&gt;=0,"경계선","범위밖")))</f>
        <v/>
      </c>
    </row>
    <row r="68">
      <c r="A68" s="8" t="inlineStr">
        <is>
          <t>CAT</t>
        </is>
      </c>
      <c r="B68" s="8" t="inlineStr">
        <is>
          <t>CATERPILLAR INC</t>
        </is>
      </c>
      <c r="C68" s="8" t="inlineStr">
        <is>
          <t>보수</t>
        </is>
      </c>
      <c r="D68" s="15" t="n">
        <v>7.775</v>
      </c>
      <c r="E68" s="23" t="n">
        <v>0.05770123992712639</v>
      </c>
      <c r="F68" s="18">
        <f>IF(NOT(ISNUMBER(E68)),0.03,MAX(0,MIN(E68*기준표!$B$33,기준표!$B$40)))</f>
        <v/>
      </c>
      <c r="G68" s="18">
        <f>기준표!$B$31</f>
        <v/>
      </c>
      <c r="H68" s="18">
        <f>기준표!$B$32</f>
        <v/>
      </c>
      <c r="I68" s="17">
        <f>$D68*(1+$F68)^1/(1+$G68)^1</f>
        <v/>
      </c>
      <c r="J68" s="17">
        <f>$D68*(1+$F68)^2/(1+$G68)^2</f>
        <v/>
      </c>
      <c r="K68" s="17">
        <f>$D68*(1+$F68)^3/(1+$G68)^3</f>
        <v/>
      </c>
      <c r="L68" s="17">
        <f>$D68*(1+$F68)^4/(1+$G68)^4</f>
        <v/>
      </c>
      <c r="M68" s="17">
        <f>$D68*(1+$F68)^5/(1+$G68)^5</f>
        <v/>
      </c>
      <c r="N68" s="17">
        <f>$D68*(1+$F68)^6/(1+$G68)^6</f>
        <v/>
      </c>
      <c r="O68" s="17">
        <f>$D68*(1+$F68)^7/(1+$G68)^7</f>
        <v/>
      </c>
      <c r="P68" s="17">
        <f>$D68*(1+$F68)^8/(1+$G68)^8</f>
        <v/>
      </c>
      <c r="Q68" s="17">
        <f>$D68*(1+$F68)^9/(1+$G68)^9</f>
        <v/>
      </c>
      <c r="R68" s="17">
        <f>$D68*(1+$F68)^10/(1+$G68)^10</f>
        <v/>
      </c>
      <c r="S68" s="26">
        <f>SUM(I68:R68)</f>
        <v/>
      </c>
      <c r="T68" s="17">
        <f>$D68*(1+$F68)^10</f>
        <v/>
      </c>
      <c r="U68" s="17">
        <f>IF($G68&lt;=$H68,"",T68*(1+$H68)/($G68-$H68))</f>
        <v/>
      </c>
      <c r="V68" s="17">
        <f>IF(ISNUMBER(U68),U68/(1+$G68)^10,"")</f>
        <v/>
      </c>
      <c r="W68" s="26">
        <f>IF(ISNUMBER(V68),S68+V68,"")</f>
        <v/>
      </c>
      <c r="X68" s="15" t="n">
        <v>389.71536353656</v>
      </c>
      <c r="Y68" s="19">
        <f>IF(AND(ISNUMBER(W68),W68&lt;&gt;0,ISNUMBER(X68)),(W68-X68)/W68,"")</f>
        <v/>
      </c>
      <c r="Z68" s="27">
        <f>IF(NOT(ISNUMBER(Y68)),"판정불가",IF(Y68&gt;=기준표!$B$42,"투자가능",IF(Y68&gt;=0,"경계선","범위밖")))</f>
        <v/>
      </c>
    </row>
    <row r="69">
      <c r="A69" s="8" t="inlineStr">
        <is>
          <t>CAT</t>
        </is>
      </c>
      <c r="B69" s="8" t="inlineStr">
        <is>
          <t>CATERPILLAR INC</t>
        </is>
      </c>
      <c r="C69" s="8" t="inlineStr">
        <is>
          <t>기준</t>
        </is>
      </c>
      <c r="D69" s="15" t="n">
        <v>7.775</v>
      </c>
      <c r="E69" s="23" t="n">
        <v>0.05770123992712639</v>
      </c>
      <c r="F69" s="18">
        <f>IF(NOT(ISNUMBER(E69)),0.03,MAX(0,MIN(E69*기준표!$B$36,기준표!$B$40)))</f>
        <v/>
      </c>
      <c r="G69" s="18">
        <f>기준표!$B$34</f>
        <v/>
      </c>
      <c r="H69" s="18">
        <f>기준표!$B$35</f>
        <v/>
      </c>
      <c r="I69" s="17">
        <f>$D69*(1+$F69)^1/(1+$G69)^1</f>
        <v/>
      </c>
      <c r="J69" s="17">
        <f>$D69*(1+$F69)^2/(1+$G69)^2</f>
        <v/>
      </c>
      <c r="K69" s="17">
        <f>$D69*(1+$F69)^3/(1+$G69)^3</f>
        <v/>
      </c>
      <c r="L69" s="17">
        <f>$D69*(1+$F69)^4/(1+$G69)^4</f>
        <v/>
      </c>
      <c r="M69" s="17">
        <f>$D69*(1+$F69)^5/(1+$G69)^5</f>
        <v/>
      </c>
      <c r="N69" s="17">
        <f>$D69*(1+$F69)^6/(1+$G69)^6</f>
        <v/>
      </c>
      <c r="O69" s="17">
        <f>$D69*(1+$F69)^7/(1+$G69)^7</f>
        <v/>
      </c>
      <c r="P69" s="17">
        <f>$D69*(1+$F69)^8/(1+$G69)^8</f>
        <v/>
      </c>
      <c r="Q69" s="17">
        <f>$D69*(1+$F69)^9/(1+$G69)^9</f>
        <v/>
      </c>
      <c r="R69" s="17">
        <f>$D69*(1+$F69)^10/(1+$G69)^10</f>
        <v/>
      </c>
      <c r="S69" s="26">
        <f>SUM(I69:R69)</f>
        <v/>
      </c>
      <c r="T69" s="17">
        <f>$D69*(1+$F69)^10</f>
        <v/>
      </c>
      <c r="U69" s="17">
        <f>IF($G69&lt;=$H69,"",T69*(1+$H69)/($G69-$H69))</f>
        <v/>
      </c>
      <c r="V69" s="17">
        <f>IF(ISNUMBER(U69),U69/(1+$G69)^10,"")</f>
        <v/>
      </c>
      <c r="W69" s="26">
        <f>IF(ISNUMBER(V69),S69+V69,"")</f>
        <v/>
      </c>
      <c r="X69" s="15" t="n">
        <v>389.71536353656</v>
      </c>
      <c r="Y69" s="19">
        <f>IF(AND(ISNUMBER(W69),W69&lt;&gt;0,ISNUMBER(X69)),(W69-X69)/W69,"")</f>
        <v/>
      </c>
      <c r="Z69" s="27">
        <f>IF(NOT(ISNUMBER(Y69)),"판정불가",IF(Y69&gt;=기준표!$B$42,"투자가능",IF(Y69&gt;=0,"경계선","범위밖")))</f>
        <v/>
      </c>
    </row>
    <row r="70">
      <c r="A70" s="8" t="inlineStr">
        <is>
          <t>CAT</t>
        </is>
      </c>
      <c r="B70" s="8" t="inlineStr">
        <is>
          <t>CATERPILLAR INC</t>
        </is>
      </c>
      <c r="C70" s="8" t="inlineStr">
        <is>
          <t>낙관</t>
        </is>
      </c>
      <c r="D70" s="15" t="n">
        <v>7.775</v>
      </c>
      <c r="E70" s="23" t="n">
        <v>0.05770123992712639</v>
      </c>
      <c r="F70" s="18">
        <f>IF(NOT(ISNUMBER(E70)),0.03,MAX(0,MIN(E70*기준표!$B$39,기준표!$B$41)))</f>
        <v/>
      </c>
      <c r="G70" s="18">
        <f>기준표!$B$37</f>
        <v/>
      </c>
      <c r="H70" s="18">
        <f>기준표!$B$38</f>
        <v/>
      </c>
      <c r="I70" s="17">
        <f>$D70*(1+$F70)^1/(1+$G70)^1</f>
        <v/>
      </c>
      <c r="J70" s="17">
        <f>$D70*(1+$F70)^2/(1+$G70)^2</f>
        <v/>
      </c>
      <c r="K70" s="17">
        <f>$D70*(1+$F70)^3/(1+$G70)^3</f>
        <v/>
      </c>
      <c r="L70" s="17">
        <f>$D70*(1+$F70)^4/(1+$G70)^4</f>
        <v/>
      </c>
      <c r="M70" s="17">
        <f>$D70*(1+$F70)^5/(1+$G70)^5</f>
        <v/>
      </c>
      <c r="N70" s="17">
        <f>$D70*(1+$F70)^6/(1+$G70)^6</f>
        <v/>
      </c>
      <c r="O70" s="17">
        <f>$D70*(1+$F70)^7/(1+$G70)^7</f>
        <v/>
      </c>
      <c r="P70" s="17">
        <f>$D70*(1+$F70)^8/(1+$G70)^8</f>
        <v/>
      </c>
      <c r="Q70" s="17">
        <f>$D70*(1+$F70)^9/(1+$G70)^9</f>
        <v/>
      </c>
      <c r="R70" s="17">
        <f>$D70*(1+$F70)^10/(1+$G70)^10</f>
        <v/>
      </c>
      <c r="S70" s="26">
        <f>SUM(I70:R70)</f>
        <v/>
      </c>
      <c r="T70" s="17">
        <f>$D70*(1+$F70)^10</f>
        <v/>
      </c>
      <c r="U70" s="17">
        <f>IF($G70&lt;=$H70,"",T70*(1+$H70)/($G70-$H70))</f>
        <v/>
      </c>
      <c r="V70" s="17">
        <f>IF(ISNUMBER(U70),U70/(1+$G70)^10,"")</f>
        <v/>
      </c>
      <c r="W70" s="26">
        <f>IF(ISNUMBER(V70),S70+V70,"")</f>
        <v/>
      </c>
      <c r="X70" s="15" t="n">
        <v>389.71536353656</v>
      </c>
      <c r="Y70" s="19">
        <f>IF(AND(ISNUMBER(W70),W70&lt;&gt;0,ISNUMBER(X70)),(W70-X70)/W70,"")</f>
        <v/>
      </c>
      <c r="Z70" s="27">
        <f>IF(NOT(ISNUMBER(Y70)),"판정불가",IF(Y70&gt;=기준표!$B$42,"투자가능",IF(Y70&gt;=0,"경계선","범위밖")))</f>
        <v/>
      </c>
    </row>
    <row r="71">
      <c r="A71" s="8" t="inlineStr">
        <is>
          <t>AMAT</t>
        </is>
      </c>
      <c r="B71" s="8" t="inlineStr">
        <is>
          <t>APPLIED MATERIALS INC /DE</t>
        </is>
      </c>
      <c r="C71" s="8" t="inlineStr">
        <is>
          <t>보수</t>
        </is>
      </c>
      <c r="D71" s="15" t="n">
        <v>5.512959111997572</v>
      </c>
      <c r="E71" s="23" t="n">
        <v>0.1085823751363584</v>
      </c>
      <c r="F71" s="18">
        <f>IF(NOT(ISNUMBER(E71)),0.03,MAX(0,MIN(E71*기준표!$B$33,기준표!$B$40)))</f>
        <v/>
      </c>
      <c r="G71" s="18">
        <f>기준표!$B$31</f>
        <v/>
      </c>
      <c r="H71" s="18">
        <f>기준표!$B$32</f>
        <v/>
      </c>
      <c r="I71" s="17">
        <f>$D71*(1+$F71)^1/(1+$G71)^1</f>
        <v/>
      </c>
      <c r="J71" s="17">
        <f>$D71*(1+$F71)^2/(1+$G71)^2</f>
        <v/>
      </c>
      <c r="K71" s="17">
        <f>$D71*(1+$F71)^3/(1+$G71)^3</f>
        <v/>
      </c>
      <c r="L71" s="17">
        <f>$D71*(1+$F71)^4/(1+$G71)^4</f>
        <v/>
      </c>
      <c r="M71" s="17">
        <f>$D71*(1+$F71)^5/(1+$G71)^5</f>
        <v/>
      </c>
      <c r="N71" s="17">
        <f>$D71*(1+$F71)^6/(1+$G71)^6</f>
        <v/>
      </c>
      <c r="O71" s="17">
        <f>$D71*(1+$F71)^7/(1+$G71)^7</f>
        <v/>
      </c>
      <c r="P71" s="17">
        <f>$D71*(1+$F71)^8/(1+$G71)^8</f>
        <v/>
      </c>
      <c r="Q71" s="17">
        <f>$D71*(1+$F71)^9/(1+$G71)^9</f>
        <v/>
      </c>
      <c r="R71" s="17">
        <f>$D71*(1+$F71)^10/(1+$G71)^10</f>
        <v/>
      </c>
      <c r="S71" s="26">
        <f>SUM(I71:R71)</f>
        <v/>
      </c>
      <c r="T71" s="17">
        <f>$D71*(1+$F71)^10</f>
        <v/>
      </c>
      <c r="U71" s="17">
        <f>IF($G71&lt;=$H71,"",T71*(1+$H71)/($G71-$H71))</f>
        <v/>
      </c>
      <c r="V71" s="17">
        <f>IF(ISNUMBER(U71),U71/(1+$G71)^10,"")</f>
        <v/>
      </c>
      <c r="W71" s="26">
        <f>IF(ISNUMBER(V71),S71+V71,"")</f>
        <v/>
      </c>
      <c r="X71" s="15" t="n">
        <v>414.01159025592</v>
      </c>
      <c r="Y71" s="19">
        <f>IF(AND(ISNUMBER(W71),W71&lt;&gt;0,ISNUMBER(X71)),(W71-X71)/W71,"")</f>
        <v/>
      </c>
      <c r="Z71" s="27">
        <f>IF(NOT(ISNUMBER(Y71)),"판정불가",IF(Y71&gt;=기준표!$B$42,"투자가능",IF(Y71&gt;=0,"경계선","범위밖")))</f>
        <v/>
      </c>
    </row>
    <row r="72">
      <c r="A72" s="8" t="inlineStr">
        <is>
          <t>AMAT</t>
        </is>
      </c>
      <c r="B72" s="8" t="inlineStr">
        <is>
          <t>APPLIED MATERIALS INC /DE</t>
        </is>
      </c>
      <c r="C72" s="8" t="inlineStr">
        <is>
          <t>기준</t>
        </is>
      </c>
      <c r="D72" s="15" t="n">
        <v>5.512959111997572</v>
      </c>
      <c r="E72" s="23" t="n">
        <v>0.1085823751363584</v>
      </c>
      <c r="F72" s="18">
        <f>IF(NOT(ISNUMBER(E72)),0.03,MAX(0,MIN(E72*기준표!$B$36,기준표!$B$40)))</f>
        <v/>
      </c>
      <c r="G72" s="18">
        <f>기준표!$B$34</f>
        <v/>
      </c>
      <c r="H72" s="18">
        <f>기준표!$B$35</f>
        <v/>
      </c>
      <c r="I72" s="17">
        <f>$D72*(1+$F72)^1/(1+$G72)^1</f>
        <v/>
      </c>
      <c r="J72" s="17">
        <f>$D72*(1+$F72)^2/(1+$G72)^2</f>
        <v/>
      </c>
      <c r="K72" s="17">
        <f>$D72*(1+$F72)^3/(1+$G72)^3</f>
        <v/>
      </c>
      <c r="L72" s="17">
        <f>$D72*(1+$F72)^4/(1+$G72)^4</f>
        <v/>
      </c>
      <c r="M72" s="17">
        <f>$D72*(1+$F72)^5/(1+$G72)^5</f>
        <v/>
      </c>
      <c r="N72" s="17">
        <f>$D72*(1+$F72)^6/(1+$G72)^6</f>
        <v/>
      </c>
      <c r="O72" s="17">
        <f>$D72*(1+$F72)^7/(1+$G72)^7</f>
        <v/>
      </c>
      <c r="P72" s="17">
        <f>$D72*(1+$F72)^8/(1+$G72)^8</f>
        <v/>
      </c>
      <c r="Q72" s="17">
        <f>$D72*(1+$F72)^9/(1+$G72)^9</f>
        <v/>
      </c>
      <c r="R72" s="17">
        <f>$D72*(1+$F72)^10/(1+$G72)^10</f>
        <v/>
      </c>
      <c r="S72" s="26">
        <f>SUM(I72:R72)</f>
        <v/>
      </c>
      <c r="T72" s="17">
        <f>$D72*(1+$F72)^10</f>
        <v/>
      </c>
      <c r="U72" s="17">
        <f>IF($G72&lt;=$H72,"",T72*(1+$H72)/($G72-$H72))</f>
        <v/>
      </c>
      <c r="V72" s="17">
        <f>IF(ISNUMBER(U72),U72/(1+$G72)^10,"")</f>
        <v/>
      </c>
      <c r="W72" s="26">
        <f>IF(ISNUMBER(V72),S72+V72,"")</f>
        <v/>
      </c>
      <c r="X72" s="15" t="n">
        <v>414.01159025592</v>
      </c>
      <c r="Y72" s="19">
        <f>IF(AND(ISNUMBER(W72),W72&lt;&gt;0,ISNUMBER(X72)),(W72-X72)/W72,"")</f>
        <v/>
      </c>
      <c r="Z72" s="27">
        <f>IF(NOT(ISNUMBER(Y72)),"판정불가",IF(Y72&gt;=기준표!$B$42,"투자가능",IF(Y72&gt;=0,"경계선","범위밖")))</f>
        <v/>
      </c>
    </row>
    <row r="73">
      <c r="A73" s="8" t="inlineStr">
        <is>
          <t>AMAT</t>
        </is>
      </c>
      <c r="B73" s="8" t="inlineStr">
        <is>
          <t>APPLIED MATERIALS INC /DE</t>
        </is>
      </c>
      <c r="C73" s="8" t="inlineStr">
        <is>
          <t>낙관</t>
        </is>
      </c>
      <c r="D73" s="15" t="n">
        <v>5.512959111997572</v>
      </c>
      <c r="E73" s="23" t="n">
        <v>0.1085823751363584</v>
      </c>
      <c r="F73" s="18">
        <f>IF(NOT(ISNUMBER(E73)),0.03,MAX(0,MIN(E73*기준표!$B$39,기준표!$B$41)))</f>
        <v/>
      </c>
      <c r="G73" s="18">
        <f>기준표!$B$37</f>
        <v/>
      </c>
      <c r="H73" s="18">
        <f>기준표!$B$38</f>
        <v/>
      </c>
      <c r="I73" s="17">
        <f>$D73*(1+$F73)^1/(1+$G73)^1</f>
        <v/>
      </c>
      <c r="J73" s="17">
        <f>$D73*(1+$F73)^2/(1+$G73)^2</f>
        <v/>
      </c>
      <c r="K73" s="17">
        <f>$D73*(1+$F73)^3/(1+$G73)^3</f>
        <v/>
      </c>
      <c r="L73" s="17">
        <f>$D73*(1+$F73)^4/(1+$G73)^4</f>
        <v/>
      </c>
      <c r="M73" s="17">
        <f>$D73*(1+$F73)^5/(1+$G73)^5</f>
        <v/>
      </c>
      <c r="N73" s="17">
        <f>$D73*(1+$F73)^6/(1+$G73)^6</f>
        <v/>
      </c>
      <c r="O73" s="17">
        <f>$D73*(1+$F73)^7/(1+$G73)^7</f>
        <v/>
      </c>
      <c r="P73" s="17">
        <f>$D73*(1+$F73)^8/(1+$G73)^8</f>
        <v/>
      </c>
      <c r="Q73" s="17">
        <f>$D73*(1+$F73)^9/(1+$G73)^9</f>
        <v/>
      </c>
      <c r="R73" s="17">
        <f>$D73*(1+$F73)^10/(1+$G73)^10</f>
        <v/>
      </c>
      <c r="S73" s="26">
        <f>SUM(I73:R73)</f>
        <v/>
      </c>
      <c r="T73" s="17">
        <f>$D73*(1+$F73)^10</f>
        <v/>
      </c>
      <c r="U73" s="17">
        <f>IF($G73&lt;=$H73,"",T73*(1+$H73)/($G73-$H73))</f>
        <v/>
      </c>
      <c r="V73" s="17">
        <f>IF(ISNUMBER(U73),U73/(1+$G73)^10,"")</f>
        <v/>
      </c>
      <c r="W73" s="26">
        <f>IF(ISNUMBER(V73),S73+V73,"")</f>
        <v/>
      </c>
      <c r="X73" s="15" t="n">
        <v>414.01159025592</v>
      </c>
      <c r="Y73" s="19">
        <f>IF(AND(ISNUMBER(W73),W73&lt;&gt;0,ISNUMBER(X73)),(W73-X73)/W73,"")</f>
        <v/>
      </c>
      <c r="Z73" s="27">
        <f>IF(NOT(ISNUMBER(Y73)),"판정불가",IF(Y73&gt;=기준표!$B$42,"투자가능",IF(Y73&gt;=0,"경계선","범위밖")))</f>
        <v/>
      </c>
    </row>
    <row r="74">
      <c r="A74" s="8" t="inlineStr">
        <is>
          <t>KO</t>
        </is>
      </c>
      <c r="B74" s="8" t="inlineStr">
        <is>
          <t>COCA COLA CO</t>
        </is>
      </c>
      <c r="C74" s="8" t="inlineStr">
        <is>
          <t>보수</t>
        </is>
      </c>
      <c r="D74" s="15" t="n">
        <v>10.03099986047809</v>
      </c>
      <c r="E74" s="23" t="n">
        <v>-0.06992909403098224</v>
      </c>
      <c r="F74" s="18">
        <f>IF(NOT(ISNUMBER(E74)),0.03,MAX(0,MIN(E74*기준표!$B$33,기준표!$B$40)))</f>
        <v/>
      </c>
      <c r="G74" s="18">
        <f>기준표!$B$31</f>
        <v/>
      </c>
      <c r="H74" s="18">
        <f>기준표!$B$32</f>
        <v/>
      </c>
      <c r="I74" s="17">
        <f>$D74*(1+$F74)^1/(1+$G74)^1</f>
        <v/>
      </c>
      <c r="J74" s="17">
        <f>$D74*(1+$F74)^2/(1+$G74)^2</f>
        <v/>
      </c>
      <c r="K74" s="17">
        <f>$D74*(1+$F74)^3/(1+$G74)^3</f>
        <v/>
      </c>
      <c r="L74" s="17">
        <f>$D74*(1+$F74)^4/(1+$G74)^4</f>
        <v/>
      </c>
      <c r="M74" s="17">
        <f>$D74*(1+$F74)^5/(1+$G74)^5</f>
        <v/>
      </c>
      <c r="N74" s="17">
        <f>$D74*(1+$F74)^6/(1+$G74)^6</f>
        <v/>
      </c>
      <c r="O74" s="17">
        <f>$D74*(1+$F74)^7/(1+$G74)^7</f>
        <v/>
      </c>
      <c r="P74" s="17">
        <f>$D74*(1+$F74)^8/(1+$G74)^8</f>
        <v/>
      </c>
      <c r="Q74" s="17">
        <f>$D74*(1+$F74)^9/(1+$G74)^9</f>
        <v/>
      </c>
      <c r="R74" s="17">
        <f>$D74*(1+$F74)^10/(1+$G74)^10</f>
        <v/>
      </c>
      <c r="S74" s="26">
        <f>SUM(I74:R74)</f>
        <v/>
      </c>
      <c r="T74" s="17">
        <f>$D74*(1+$F74)^10</f>
        <v/>
      </c>
      <c r="U74" s="17">
        <f>IF($G74&lt;=$H74,"",T74*(1+$H74)/($G74-$H74))</f>
        <v/>
      </c>
      <c r="V74" s="17">
        <f>IF(ISNUMBER(U74),U74/(1+$G74)^10,"")</f>
        <v/>
      </c>
      <c r="W74" s="26">
        <f>IF(ISNUMBER(V74),S74+V74,"")</f>
        <v/>
      </c>
      <c r="X74" s="15" t="n">
        <v>373.60381300403</v>
      </c>
      <c r="Y74" s="19">
        <f>IF(AND(ISNUMBER(W74),W74&lt;&gt;0,ISNUMBER(X74)),(W74-X74)/W74,"")</f>
        <v/>
      </c>
      <c r="Z74" s="27">
        <f>IF(NOT(ISNUMBER(Y74)),"판정불가",IF(Y74&gt;=기준표!$B$42,"투자가능",IF(Y74&gt;=0,"경계선","범위밖")))</f>
        <v/>
      </c>
    </row>
    <row r="75">
      <c r="A75" s="8" t="inlineStr">
        <is>
          <t>KO</t>
        </is>
      </c>
      <c r="B75" s="8" t="inlineStr">
        <is>
          <t>COCA COLA CO</t>
        </is>
      </c>
      <c r="C75" s="8" t="inlineStr">
        <is>
          <t>기준</t>
        </is>
      </c>
      <c r="D75" s="15" t="n">
        <v>10.03099986047809</v>
      </c>
      <c r="E75" s="23" t="n">
        <v>-0.06992909403098224</v>
      </c>
      <c r="F75" s="18">
        <f>IF(NOT(ISNUMBER(E75)),0.03,MAX(0,MIN(E75*기준표!$B$36,기준표!$B$40)))</f>
        <v/>
      </c>
      <c r="G75" s="18">
        <f>기준표!$B$34</f>
        <v/>
      </c>
      <c r="H75" s="18">
        <f>기준표!$B$35</f>
        <v/>
      </c>
      <c r="I75" s="17">
        <f>$D75*(1+$F75)^1/(1+$G75)^1</f>
        <v/>
      </c>
      <c r="J75" s="17">
        <f>$D75*(1+$F75)^2/(1+$G75)^2</f>
        <v/>
      </c>
      <c r="K75" s="17">
        <f>$D75*(1+$F75)^3/(1+$G75)^3</f>
        <v/>
      </c>
      <c r="L75" s="17">
        <f>$D75*(1+$F75)^4/(1+$G75)^4</f>
        <v/>
      </c>
      <c r="M75" s="17">
        <f>$D75*(1+$F75)^5/(1+$G75)^5</f>
        <v/>
      </c>
      <c r="N75" s="17">
        <f>$D75*(1+$F75)^6/(1+$G75)^6</f>
        <v/>
      </c>
      <c r="O75" s="17">
        <f>$D75*(1+$F75)^7/(1+$G75)^7</f>
        <v/>
      </c>
      <c r="P75" s="17">
        <f>$D75*(1+$F75)^8/(1+$G75)^8</f>
        <v/>
      </c>
      <c r="Q75" s="17">
        <f>$D75*(1+$F75)^9/(1+$G75)^9</f>
        <v/>
      </c>
      <c r="R75" s="17">
        <f>$D75*(1+$F75)^10/(1+$G75)^10</f>
        <v/>
      </c>
      <c r="S75" s="26">
        <f>SUM(I75:R75)</f>
        <v/>
      </c>
      <c r="T75" s="17">
        <f>$D75*(1+$F75)^10</f>
        <v/>
      </c>
      <c r="U75" s="17">
        <f>IF($G75&lt;=$H75,"",T75*(1+$H75)/($G75-$H75))</f>
        <v/>
      </c>
      <c r="V75" s="17">
        <f>IF(ISNUMBER(U75),U75/(1+$G75)^10,"")</f>
        <v/>
      </c>
      <c r="W75" s="26">
        <f>IF(ISNUMBER(V75),S75+V75,"")</f>
        <v/>
      </c>
      <c r="X75" s="15" t="n">
        <v>373.60381300403</v>
      </c>
      <c r="Y75" s="19">
        <f>IF(AND(ISNUMBER(W75),W75&lt;&gt;0,ISNUMBER(X75)),(W75-X75)/W75,"")</f>
        <v/>
      </c>
      <c r="Z75" s="27">
        <f>IF(NOT(ISNUMBER(Y75)),"판정불가",IF(Y75&gt;=기준표!$B$42,"투자가능",IF(Y75&gt;=0,"경계선","범위밖")))</f>
        <v/>
      </c>
    </row>
    <row r="76">
      <c r="A76" s="8" t="inlineStr">
        <is>
          <t>KO</t>
        </is>
      </c>
      <c r="B76" s="8" t="inlineStr">
        <is>
          <t>COCA COLA CO</t>
        </is>
      </c>
      <c r="C76" s="8" t="inlineStr">
        <is>
          <t>낙관</t>
        </is>
      </c>
      <c r="D76" s="15" t="n">
        <v>10.03099986047809</v>
      </c>
      <c r="E76" s="23" t="n">
        <v>-0.06992909403098224</v>
      </c>
      <c r="F76" s="18">
        <f>IF(NOT(ISNUMBER(E76)),0.03,MAX(0,MIN(E76*기준표!$B$39,기준표!$B$41)))</f>
        <v/>
      </c>
      <c r="G76" s="18">
        <f>기준표!$B$37</f>
        <v/>
      </c>
      <c r="H76" s="18">
        <f>기준표!$B$38</f>
        <v/>
      </c>
      <c r="I76" s="17">
        <f>$D76*(1+$F76)^1/(1+$G76)^1</f>
        <v/>
      </c>
      <c r="J76" s="17">
        <f>$D76*(1+$F76)^2/(1+$G76)^2</f>
        <v/>
      </c>
      <c r="K76" s="17">
        <f>$D76*(1+$F76)^3/(1+$G76)^3</f>
        <v/>
      </c>
      <c r="L76" s="17">
        <f>$D76*(1+$F76)^4/(1+$G76)^4</f>
        <v/>
      </c>
      <c r="M76" s="17">
        <f>$D76*(1+$F76)^5/(1+$G76)^5</f>
        <v/>
      </c>
      <c r="N76" s="17">
        <f>$D76*(1+$F76)^6/(1+$G76)^6</f>
        <v/>
      </c>
      <c r="O76" s="17">
        <f>$D76*(1+$F76)^7/(1+$G76)^7</f>
        <v/>
      </c>
      <c r="P76" s="17">
        <f>$D76*(1+$F76)^8/(1+$G76)^8</f>
        <v/>
      </c>
      <c r="Q76" s="17">
        <f>$D76*(1+$F76)^9/(1+$G76)^9</f>
        <v/>
      </c>
      <c r="R76" s="17">
        <f>$D76*(1+$F76)^10/(1+$G76)^10</f>
        <v/>
      </c>
      <c r="S76" s="26">
        <f>SUM(I76:R76)</f>
        <v/>
      </c>
      <c r="T76" s="17">
        <f>$D76*(1+$F76)^10</f>
        <v/>
      </c>
      <c r="U76" s="17">
        <f>IF($G76&lt;=$H76,"",T76*(1+$H76)/($G76-$H76))</f>
        <v/>
      </c>
      <c r="V76" s="17">
        <f>IF(ISNUMBER(U76),U76/(1+$G76)^10,"")</f>
        <v/>
      </c>
      <c r="W76" s="26">
        <f>IF(ISNUMBER(V76),S76+V76,"")</f>
        <v/>
      </c>
      <c r="X76" s="15" t="n">
        <v>373.60381300403</v>
      </c>
      <c r="Y76" s="19">
        <f>IF(AND(ISNUMBER(W76),W76&lt;&gt;0,ISNUMBER(X76)),(W76-X76)/W76,"")</f>
        <v/>
      </c>
      <c r="Z76" s="27">
        <f>IF(NOT(ISNUMBER(Y76)),"판정불가",IF(Y76&gt;=기준표!$B$42,"투자가능",IF(Y76&gt;=0,"경계선","범위밖")))</f>
        <v/>
      </c>
    </row>
    <row r="77">
      <c r="A77" s="8" t="inlineStr">
        <is>
          <t>ANET</t>
        </is>
      </c>
      <c r="B77" s="8" t="inlineStr">
        <is>
          <t>Arista Networks, Inc.</t>
        </is>
      </c>
      <c r="C77" s="8" t="inlineStr">
        <is>
          <t>보수</t>
        </is>
      </c>
      <c r="D77" s="15" t="n">
        <v>2.895751623477015</v>
      </c>
      <c r="E77" s="23" t="n">
        <v>0.4028883741085216</v>
      </c>
      <c r="F77" s="18">
        <f>IF(NOT(ISNUMBER(E77)),0.03,MAX(0,MIN(E77*기준표!$B$33,기준표!$B$40)))</f>
        <v/>
      </c>
      <c r="G77" s="18">
        <f>기준표!$B$31</f>
        <v/>
      </c>
      <c r="H77" s="18">
        <f>기준표!$B$32</f>
        <v/>
      </c>
      <c r="I77" s="17">
        <f>$D77*(1+$F77)^1/(1+$G77)^1</f>
        <v/>
      </c>
      <c r="J77" s="17">
        <f>$D77*(1+$F77)^2/(1+$G77)^2</f>
        <v/>
      </c>
      <c r="K77" s="17">
        <f>$D77*(1+$F77)^3/(1+$G77)^3</f>
        <v/>
      </c>
      <c r="L77" s="17">
        <f>$D77*(1+$F77)^4/(1+$G77)^4</f>
        <v/>
      </c>
      <c r="M77" s="17">
        <f>$D77*(1+$F77)^5/(1+$G77)^5</f>
        <v/>
      </c>
      <c r="N77" s="17">
        <f>$D77*(1+$F77)^6/(1+$G77)^6</f>
        <v/>
      </c>
      <c r="O77" s="17">
        <f>$D77*(1+$F77)^7/(1+$G77)^7</f>
        <v/>
      </c>
      <c r="P77" s="17">
        <f>$D77*(1+$F77)^8/(1+$G77)^8</f>
        <v/>
      </c>
      <c r="Q77" s="17">
        <f>$D77*(1+$F77)^9/(1+$G77)^9</f>
        <v/>
      </c>
      <c r="R77" s="17">
        <f>$D77*(1+$F77)^10/(1+$G77)^10</f>
        <v/>
      </c>
      <c r="S77" s="26">
        <f>SUM(I77:R77)</f>
        <v/>
      </c>
      <c r="T77" s="17">
        <f>$D77*(1+$F77)^10</f>
        <v/>
      </c>
      <c r="U77" s="17">
        <f>IF($G77&lt;=$H77,"",T77*(1+$H77)/($G77-$H77))</f>
        <v/>
      </c>
      <c r="V77" s="17">
        <f>IF(ISNUMBER(U77),U77/(1+$G77)^10,"")</f>
        <v/>
      </c>
      <c r="W77" s="26">
        <f>IF(ISNUMBER(V77),S77+V77,"")</f>
        <v/>
      </c>
      <c r="X77" s="15" t="n">
        <v>240.65213975712</v>
      </c>
      <c r="Y77" s="19">
        <f>IF(AND(ISNUMBER(W77),W77&lt;&gt;0,ISNUMBER(X77)),(W77-X77)/W77,"")</f>
        <v/>
      </c>
      <c r="Z77" s="27">
        <f>IF(NOT(ISNUMBER(Y77)),"판정불가",IF(Y77&gt;=기준표!$B$42,"투자가능",IF(Y77&gt;=0,"경계선","범위밖")))</f>
        <v/>
      </c>
    </row>
    <row r="78">
      <c r="A78" s="8" t="inlineStr">
        <is>
          <t>ANET</t>
        </is>
      </c>
      <c r="B78" s="8" t="inlineStr">
        <is>
          <t>Arista Networks, Inc.</t>
        </is>
      </c>
      <c r="C78" s="8" t="inlineStr">
        <is>
          <t>기준</t>
        </is>
      </c>
      <c r="D78" s="15" t="n">
        <v>2.895751623477015</v>
      </c>
      <c r="E78" s="23" t="n">
        <v>0.4028883741085216</v>
      </c>
      <c r="F78" s="18">
        <f>IF(NOT(ISNUMBER(E78)),0.03,MAX(0,MIN(E78*기준표!$B$36,기준표!$B$40)))</f>
        <v/>
      </c>
      <c r="G78" s="18">
        <f>기준표!$B$34</f>
        <v/>
      </c>
      <c r="H78" s="18">
        <f>기준표!$B$35</f>
        <v/>
      </c>
      <c r="I78" s="17">
        <f>$D78*(1+$F78)^1/(1+$G78)^1</f>
        <v/>
      </c>
      <c r="J78" s="17">
        <f>$D78*(1+$F78)^2/(1+$G78)^2</f>
        <v/>
      </c>
      <c r="K78" s="17">
        <f>$D78*(1+$F78)^3/(1+$G78)^3</f>
        <v/>
      </c>
      <c r="L78" s="17">
        <f>$D78*(1+$F78)^4/(1+$G78)^4</f>
        <v/>
      </c>
      <c r="M78" s="17">
        <f>$D78*(1+$F78)^5/(1+$G78)^5</f>
        <v/>
      </c>
      <c r="N78" s="17">
        <f>$D78*(1+$F78)^6/(1+$G78)^6</f>
        <v/>
      </c>
      <c r="O78" s="17">
        <f>$D78*(1+$F78)^7/(1+$G78)^7</f>
        <v/>
      </c>
      <c r="P78" s="17">
        <f>$D78*(1+$F78)^8/(1+$G78)^8</f>
        <v/>
      </c>
      <c r="Q78" s="17">
        <f>$D78*(1+$F78)^9/(1+$G78)^9</f>
        <v/>
      </c>
      <c r="R78" s="17">
        <f>$D78*(1+$F78)^10/(1+$G78)^10</f>
        <v/>
      </c>
      <c r="S78" s="26">
        <f>SUM(I78:R78)</f>
        <v/>
      </c>
      <c r="T78" s="17">
        <f>$D78*(1+$F78)^10</f>
        <v/>
      </c>
      <c r="U78" s="17">
        <f>IF($G78&lt;=$H78,"",T78*(1+$H78)/($G78-$H78))</f>
        <v/>
      </c>
      <c r="V78" s="17">
        <f>IF(ISNUMBER(U78),U78/(1+$G78)^10,"")</f>
        <v/>
      </c>
      <c r="W78" s="26">
        <f>IF(ISNUMBER(V78),S78+V78,"")</f>
        <v/>
      </c>
      <c r="X78" s="15" t="n">
        <v>240.65213975712</v>
      </c>
      <c r="Y78" s="19">
        <f>IF(AND(ISNUMBER(W78),W78&lt;&gt;0,ISNUMBER(X78)),(W78-X78)/W78,"")</f>
        <v/>
      </c>
      <c r="Z78" s="27">
        <f>IF(NOT(ISNUMBER(Y78)),"판정불가",IF(Y78&gt;=기준표!$B$42,"투자가능",IF(Y78&gt;=0,"경계선","범위밖")))</f>
        <v/>
      </c>
    </row>
    <row r="79">
      <c r="A79" s="8" t="inlineStr">
        <is>
          <t>ANET</t>
        </is>
      </c>
      <c r="B79" s="8" t="inlineStr">
        <is>
          <t>Arista Networks, Inc.</t>
        </is>
      </c>
      <c r="C79" s="8" t="inlineStr">
        <is>
          <t>낙관</t>
        </is>
      </c>
      <c r="D79" s="15" t="n">
        <v>2.895751623477015</v>
      </c>
      <c r="E79" s="23" t="n">
        <v>0.4028883741085216</v>
      </c>
      <c r="F79" s="18">
        <f>IF(NOT(ISNUMBER(E79)),0.03,MAX(0,MIN(E79*기준표!$B$39,기준표!$B$41)))</f>
        <v/>
      </c>
      <c r="G79" s="18">
        <f>기준표!$B$37</f>
        <v/>
      </c>
      <c r="H79" s="18">
        <f>기준표!$B$38</f>
        <v/>
      </c>
      <c r="I79" s="17">
        <f>$D79*(1+$F79)^1/(1+$G79)^1</f>
        <v/>
      </c>
      <c r="J79" s="17">
        <f>$D79*(1+$F79)^2/(1+$G79)^2</f>
        <v/>
      </c>
      <c r="K79" s="17">
        <f>$D79*(1+$F79)^3/(1+$G79)^3</f>
        <v/>
      </c>
      <c r="L79" s="17">
        <f>$D79*(1+$F79)^4/(1+$G79)^4</f>
        <v/>
      </c>
      <c r="M79" s="17">
        <f>$D79*(1+$F79)^5/(1+$G79)^5</f>
        <v/>
      </c>
      <c r="N79" s="17">
        <f>$D79*(1+$F79)^6/(1+$G79)^6</f>
        <v/>
      </c>
      <c r="O79" s="17">
        <f>$D79*(1+$F79)^7/(1+$G79)^7</f>
        <v/>
      </c>
      <c r="P79" s="17">
        <f>$D79*(1+$F79)^8/(1+$G79)^8</f>
        <v/>
      </c>
      <c r="Q79" s="17">
        <f>$D79*(1+$F79)^9/(1+$G79)^9</f>
        <v/>
      </c>
      <c r="R79" s="17">
        <f>$D79*(1+$F79)^10/(1+$G79)^10</f>
        <v/>
      </c>
      <c r="S79" s="26">
        <f>SUM(I79:R79)</f>
        <v/>
      </c>
      <c r="T79" s="17">
        <f>$D79*(1+$F79)^10</f>
        <v/>
      </c>
      <c r="U79" s="17">
        <f>IF($G79&lt;=$H79,"",T79*(1+$H79)/($G79-$H79))</f>
        <v/>
      </c>
      <c r="V79" s="17">
        <f>IF(ISNUMBER(U79),U79/(1+$G79)^10,"")</f>
        <v/>
      </c>
      <c r="W79" s="26">
        <f>IF(ISNUMBER(V79),S79+V79,"")</f>
        <v/>
      </c>
      <c r="X79" s="15" t="n">
        <v>240.65213975712</v>
      </c>
      <c r="Y79" s="19">
        <f>IF(AND(ISNUMBER(W79),W79&lt;&gt;0,ISNUMBER(X79)),(W79-X79)/W79,"")</f>
        <v/>
      </c>
      <c r="Z79" s="27">
        <f>IF(NOT(ISNUMBER(Y79)),"판정불가",IF(Y79&gt;=기준표!$B$42,"투자가능",IF(Y79&gt;=0,"경계선","범위밖")))</f>
        <v/>
      </c>
    </row>
    <row r="80">
      <c r="A80" s="8" t="inlineStr">
        <is>
          <t>NVDA</t>
        </is>
      </c>
      <c r="B80" s="8" t="inlineStr">
        <is>
          <t>NVIDIA CORP</t>
        </is>
      </c>
      <c r="C80" s="8" t="inlineStr">
        <is>
          <t>보수</t>
        </is>
      </c>
      <c r="D80" s="15" t="n">
        <v>61.5303753436873</v>
      </c>
      <c r="E80" s="23" t="n">
        <v>0.6094538986052866</v>
      </c>
      <c r="F80" s="18">
        <f>IF(NOT(ISNUMBER(E80)),0.03,MAX(0,MIN(E80*기준표!$B$33,기준표!$B$40)))</f>
        <v/>
      </c>
      <c r="G80" s="18">
        <f>기준표!$B$31</f>
        <v/>
      </c>
      <c r="H80" s="18">
        <f>기준표!$B$32</f>
        <v/>
      </c>
      <c r="I80" s="17">
        <f>$D80*(1+$F80)^1/(1+$G80)^1</f>
        <v/>
      </c>
      <c r="J80" s="17">
        <f>$D80*(1+$F80)^2/(1+$G80)^2</f>
        <v/>
      </c>
      <c r="K80" s="17">
        <f>$D80*(1+$F80)^3/(1+$G80)^3</f>
        <v/>
      </c>
      <c r="L80" s="17">
        <f>$D80*(1+$F80)^4/(1+$G80)^4</f>
        <v/>
      </c>
      <c r="M80" s="17">
        <f>$D80*(1+$F80)^5/(1+$G80)^5</f>
        <v/>
      </c>
      <c r="N80" s="17">
        <f>$D80*(1+$F80)^6/(1+$G80)^6</f>
        <v/>
      </c>
      <c r="O80" s="17">
        <f>$D80*(1+$F80)^7/(1+$G80)^7</f>
        <v/>
      </c>
      <c r="P80" s="17">
        <f>$D80*(1+$F80)^8/(1+$G80)^8</f>
        <v/>
      </c>
      <c r="Q80" s="17">
        <f>$D80*(1+$F80)^9/(1+$G80)^9</f>
        <v/>
      </c>
      <c r="R80" s="17">
        <f>$D80*(1+$F80)^10/(1+$G80)^10</f>
        <v/>
      </c>
      <c r="S80" s="26">
        <f>SUM(I80:R80)</f>
        <v/>
      </c>
      <c r="T80" s="17">
        <f>$D80*(1+$F80)^10</f>
        <v/>
      </c>
      <c r="U80" s="17">
        <f>IF($G80&lt;=$H80,"",T80*(1+$H80)/($G80-$H80))</f>
        <v/>
      </c>
      <c r="V80" s="17">
        <f>IF(ISNUMBER(U80),U80/(1+$G80)^10,"")</f>
        <v/>
      </c>
      <c r="W80" s="26">
        <f>IF(ISNUMBER(V80),S80+V80,"")</f>
        <v/>
      </c>
      <c r="X80" s="15" t="n">
        <v>5286.465</v>
      </c>
      <c r="Y80" s="19">
        <f>IF(AND(ISNUMBER(W80),W80&lt;&gt;0,ISNUMBER(X80)),(W80-X80)/W80,"")</f>
        <v/>
      </c>
      <c r="Z80" s="27">
        <f>IF(NOT(ISNUMBER(Y80)),"판정불가",IF(Y80&gt;=기준표!$B$42,"투자가능",IF(Y80&gt;=0,"경계선","범위밖")))</f>
        <v/>
      </c>
    </row>
    <row r="81">
      <c r="A81" s="8" t="inlineStr">
        <is>
          <t>NVDA</t>
        </is>
      </c>
      <c r="B81" s="8" t="inlineStr">
        <is>
          <t>NVIDIA CORP</t>
        </is>
      </c>
      <c r="C81" s="8" t="inlineStr">
        <is>
          <t>기준</t>
        </is>
      </c>
      <c r="D81" s="15" t="n">
        <v>61.5303753436873</v>
      </c>
      <c r="E81" s="23" t="n">
        <v>0.6094538986052866</v>
      </c>
      <c r="F81" s="18">
        <f>IF(NOT(ISNUMBER(E81)),0.03,MAX(0,MIN(E81*기준표!$B$36,기준표!$B$40)))</f>
        <v/>
      </c>
      <c r="G81" s="18">
        <f>기준표!$B$34</f>
        <v/>
      </c>
      <c r="H81" s="18">
        <f>기준표!$B$35</f>
        <v/>
      </c>
      <c r="I81" s="17">
        <f>$D81*(1+$F81)^1/(1+$G81)^1</f>
        <v/>
      </c>
      <c r="J81" s="17">
        <f>$D81*(1+$F81)^2/(1+$G81)^2</f>
        <v/>
      </c>
      <c r="K81" s="17">
        <f>$D81*(1+$F81)^3/(1+$G81)^3</f>
        <v/>
      </c>
      <c r="L81" s="17">
        <f>$D81*(1+$F81)^4/(1+$G81)^4</f>
        <v/>
      </c>
      <c r="M81" s="17">
        <f>$D81*(1+$F81)^5/(1+$G81)^5</f>
        <v/>
      </c>
      <c r="N81" s="17">
        <f>$D81*(1+$F81)^6/(1+$G81)^6</f>
        <v/>
      </c>
      <c r="O81" s="17">
        <f>$D81*(1+$F81)^7/(1+$G81)^7</f>
        <v/>
      </c>
      <c r="P81" s="17">
        <f>$D81*(1+$F81)^8/(1+$G81)^8</f>
        <v/>
      </c>
      <c r="Q81" s="17">
        <f>$D81*(1+$F81)^9/(1+$G81)^9</f>
        <v/>
      </c>
      <c r="R81" s="17">
        <f>$D81*(1+$F81)^10/(1+$G81)^10</f>
        <v/>
      </c>
      <c r="S81" s="26">
        <f>SUM(I81:R81)</f>
        <v/>
      </c>
      <c r="T81" s="17">
        <f>$D81*(1+$F81)^10</f>
        <v/>
      </c>
      <c r="U81" s="17">
        <f>IF($G81&lt;=$H81,"",T81*(1+$H81)/($G81-$H81))</f>
        <v/>
      </c>
      <c r="V81" s="17">
        <f>IF(ISNUMBER(U81),U81/(1+$G81)^10,"")</f>
        <v/>
      </c>
      <c r="W81" s="26">
        <f>IF(ISNUMBER(V81),S81+V81,"")</f>
        <v/>
      </c>
      <c r="X81" s="15" t="n">
        <v>5286.465</v>
      </c>
      <c r="Y81" s="19">
        <f>IF(AND(ISNUMBER(W81),W81&lt;&gt;0,ISNUMBER(X81)),(W81-X81)/W81,"")</f>
        <v/>
      </c>
      <c r="Z81" s="27">
        <f>IF(NOT(ISNUMBER(Y81)),"판정불가",IF(Y81&gt;=기준표!$B$42,"투자가능",IF(Y81&gt;=0,"경계선","범위밖")))</f>
        <v/>
      </c>
    </row>
    <row r="82">
      <c r="A82" s="8" t="inlineStr">
        <is>
          <t>NVDA</t>
        </is>
      </c>
      <c r="B82" s="8" t="inlineStr">
        <is>
          <t>NVIDIA CORP</t>
        </is>
      </c>
      <c r="C82" s="8" t="inlineStr">
        <is>
          <t>낙관</t>
        </is>
      </c>
      <c r="D82" s="15" t="n">
        <v>61.5303753436873</v>
      </c>
      <c r="E82" s="23" t="n">
        <v>0.6094538986052866</v>
      </c>
      <c r="F82" s="18">
        <f>IF(NOT(ISNUMBER(E82)),0.03,MAX(0,MIN(E82*기준표!$B$39,기준표!$B$41)))</f>
        <v/>
      </c>
      <c r="G82" s="18">
        <f>기준표!$B$37</f>
        <v/>
      </c>
      <c r="H82" s="18">
        <f>기준표!$B$38</f>
        <v/>
      </c>
      <c r="I82" s="17">
        <f>$D82*(1+$F82)^1/(1+$G82)^1</f>
        <v/>
      </c>
      <c r="J82" s="17">
        <f>$D82*(1+$F82)^2/(1+$G82)^2</f>
        <v/>
      </c>
      <c r="K82" s="17">
        <f>$D82*(1+$F82)^3/(1+$G82)^3</f>
        <v/>
      </c>
      <c r="L82" s="17">
        <f>$D82*(1+$F82)^4/(1+$G82)^4</f>
        <v/>
      </c>
      <c r="M82" s="17">
        <f>$D82*(1+$F82)^5/(1+$G82)^5</f>
        <v/>
      </c>
      <c r="N82" s="17">
        <f>$D82*(1+$F82)^6/(1+$G82)^6</f>
        <v/>
      </c>
      <c r="O82" s="17">
        <f>$D82*(1+$F82)^7/(1+$G82)^7</f>
        <v/>
      </c>
      <c r="P82" s="17">
        <f>$D82*(1+$F82)^8/(1+$G82)^8</f>
        <v/>
      </c>
      <c r="Q82" s="17">
        <f>$D82*(1+$F82)^9/(1+$G82)^9</f>
        <v/>
      </c>
      <c r="R82" s="17">
        <f>$D82*(1+$F82)^10/(1+$G82)^10</f>
        <v/>
      </c>
      <c r="S82" s="26">
        <f>SUM(I82:R82)</f>
        <v/>
      </c>
      <c r="T82" s="17">
        <f>$D82*(1+$F82)^10</f>
        <v/>
      </c>
      <c r="U82" s="17">
        <f>IF($G82&lt;=$H82,"",T82*(1+$H82)/($G82-$H82))</f>
        <v/>
      </c>
      <c r="V82" s="17">
        <f>IF(ISNUMBER(U82),U82/(1+$G82)^10,"")</f>
        <v/>
      </c>
      <c r="W82" s="26">
        <f>IF(ISNUMBER(V82),S82+V82,"")</f>
        <v/>
      </c>
      <c r="X82" s="15" t="n">
        <v>5286.465</v>
      </c>
      <c r="Y82" s="19">
        <f>IF(AND(ISNUMBER(W82),W82&lt;&gt;0,ISNUMBER(X82)),(W82-X82)/W82,"")</f>
        <v/>
      </c>
      <c r="Z82" s="27">
        <f>IF(NOT(ISNUMBER(Y82)),"판정불가",IF(Y82&gt;=기준표!$B$42,"투자가능",IF(Y82&gt;=0,"경계선","범위밖")))</f>
        <v/>
      </c>
    </row>
    <row r="83">
      <c r="A83" s="8" t="inlineStr">
        <is>
          <t>CSCO</t>
        </is>
      </c>
      <c r="B83" s="8" t="inlineStr">
        <is>
          <t>CISCO SYSTEMS, INC.</t>
        </is>
      </c>
      <c r="C83" s="8" t="inlineStr">
        <is>
          <t>보수</t>
        </is>
      </c>
      <c r="D83" s="15" t="n">
        <v>11.06663370638323</v>
      </c>
      <c r="E83" s="23" t="n">
        <v>-0.003013076252404545</v>
      </c>
      <c r="F83" s="18">
        <f>IF(NOT(ISNUMBER(E83)),0.03,MAX(0,MIN(E83*기준표!$B$33,기준표!$B$40)))</f>
        <v/>
      </c>
      <c r="G83" s="18">
        <f>기준표!$B$31</f>
        <v/>
      </c>
      <c r="H83" s="18">
        <f>기준표!$B$32</f>
        <v/>
      </c>
      <c r="I83" s="17">
        <f>$D83*(1+$F83)^1/(1+$G83)^1</f>
        <v/>
      </c>
      <c r="J83" s="17">
        <f>$D83*(1+$F83)^2/(1+$G83)^2</f>
        <v/>
      </c>
      <c r="K83" s="17">
        <f>$D83*(1+$F83)^3/(1+$G83)^3</f>
        <v/>
      </c>
      <c r="L83" s="17">
        <f>$D83*(1+$F83)^4/(1+$G83)^4</f>
        <v/>
      </c>
      <c r="M83" s="17">
        <f>$D83*(1+$F83)^5/(1+$G83)^5</f>
        <v/>
      </c>
      <c r="N83" s="17">
        <f>$D83*(1+$F83)^6/(1+$G83)^6</f>
        <v/>
      </c>
      <c r="O83" s="17">
        <f>$D83*(1+$F83)^7/(1+$G83)^7</f>
        <v/>
      </c>
      <c r="P83" s="17">
        <f>$D83*(1+$F83)^8/(1+$G83)^8</f>
        <v/>
      </c>
      <c r="Q83" s="17">
        <f>$D83*(1+$F83)^9/(1+$G83)^9</f>
        <v/>
      </c>
      <c r="R83" s="17">
        <f>$D83*(1+$F83)^10/(1+$G83)^10</f>
        <v/>
      </c>
      <c r="S83" s="26">
        <f>SUM(I83:R83)</f>
        <v/>
      </c>
      <c r="T83" s="17">
        <f>$D83*(1+$F83)^10</f>
        <v/>
      </c>
      <c r="U83" s="17">
        <f>IF($G83&lt;=$H83,"",T83*(1+$H83)/($G83-$H83))</f>
        <v/>
      </c>
      <c r="V83" s="17">
        <f>IF(ISNUMBER(U83),U83/(1+$G83)^10,"")</f>
        <v/>
      </c>
      <c r="W83" s="26">
        <f>IF(ISNUMBER(V83),S83+V83,"")</f>
        <v/>
      </c>
      <c r="X83" s="15" t="n">
        <v>484.54335052921</v>
      </c>
      <c r="Y83" s="19">
        <f>IF(AND(ISNUMBER(W83),W83&lt;&gt;0,ISNUMBER(X83)),(W83-X83)/W83,"")</f>
        <v/>
      </c>
      <c r="Z83" s="27">
        <f>IF(NOT(ISNUMBER(Y83)),"판정불가",IF(Y83&gt;=기준표!$B$42,"투자가능",IF(Y83&gt;=0,"경계선","범위밖")))</f>
        <v/>
      </c>
    </row>
    <row r="84">
      <c r="A84" s="8" t="inlineStr">
        <is>
          <t>CSCO</t>
        </is>
      </c>
      <c r="B84" s="8" t="inlineStr">
        <is>
          <t>CISCO SYSTEMS, INC.</t>
        </is>
      </c>
      <c r="C84" s="8" t="inlineStr">
        <is>
          <t>기준</t>
        </is>
      </c>
      <c r="D84" s="15" t="n">
        <v>11.06663370638323</v>
      </c>
      <c r="E84" s="23" t="n">
        <v>-0.003013076252404545</v>
      </c>
      <c r="F84" s="18">
        <f>IF(NOT(ISNUMBER(E84)),0.03,MAX(0,MIN(E84*기준표!$B$36,기준표!$B$40)))</f>
        <v/>
      </c>
      <c r="G84" s="18">
        <f>기준표!$B$34</f>
        <v/>
      </c>
      <c r="H84" s="18">
        <f>기준표!$B$35</f>
        <v/>
      </c>
      <c r="I84" s="17">
        <f>$D84*(1+$F84)^1/(1+$G84)^1</f>
        <v/>
      </c>
      <c r="J84" s="17">
        <f>$D84*(1+$F84)^2/(1+$G84)^2</f>
        <v/>
      </c>
      <c r="K84" s="17">
        <f>$D84*(1+$F84)^3/(1+$G84)^3</f>
        <v/>
      </c>
      <c r="L84" s="17">
        <f>$D84*(1+$F84)^4/(1+$G84)^4</f>
        <v/>
      </c>
      <c r="M84" s="17">
        <f>$D84*(1+$F84)^5/(1+$G84)^5</f>
        <v/>
      </c>
      <c r="N84" s="17">
        <f>$D84*(1+$F84)^6/(1+$G84)^6</f>
        <v/>
      </c>
      <c r="O84" s="17">
        <f>$D84*(1+$F84)^7/(1+$G84)^7</f>
        <v/>
      </c>
      <c r="P84" s="17">
        <f>$D84*(1+$F84)^8/(1+$G84)^8</f>
        <v/>
      </c>
      <c r="Q84" s="17">
        <f>$D84*(1+$F84)^9/(1+$G84)^9</f>
        <v/>
      </c>
      <c r="R84" s="17">
        <f>$D84*(1+$F84)^10/(1+$G84)^10</f>
        <v/>
      </c>
      <c r="S84" s="26">
        <f>SUM(I84:R84)</f>
        <v/>
      </c>
      <c r="T84" s="17">
        <f>$D84*(1+$F84)^10</f>
        <v/>
      </c>
      <c r="U84" s="17">
        <f>IF($G84&lt;=$H84,"",T84*(1+$H84)/($G84-$H84))</f>
        <v/>
      </c>
      <c r="V84" s="17">
        <f>IF(ISNUMBER(U84),U84/(1+$G84)^10,"")</f>
        <v/>
      </c>
      <c r="W84" s="26">
        <f>IF(ISNUMBER(V84),S84+V84,"")</f>
        <v/>
      </c>
      <c r="X84" s="15" t="n">
        <v>484.54335052921</v>
      </c>
      <c r="Y84" s="19">
        <f>IF(AND(ISNUMBER(W84),W84&lt;&gt;0,ISNUMBER(X84)),(W84-X84)/W84,"")</f>
        <v/>
      </c>
      <c r="Z84" s="27">
        <f>IF(NOT(ISNUMBER(Y84)),"판정불가",IF(Y84&gt;=기준표!$B$42,"투자가능",IF(Y84&gt;=0,"경계선","범위밖")))</f>
        <v/>
      </c>
    </row>
    <row r="85">
      <c r="A85" s="8" t="inlineStr">
        <is>
          <t>CSCO</t>
        </is>
      </c>
      <c r="B85" s="8" t="inlineStr">
        <is>
          <t>CISCO SYSTEMS, INC.</t>
        </is>
      </c>
      <c r="C85" s="8" t="inlineStr">
        <is>
          <t>낙관</t>
        </is>
      </c>
      <c r="D85" s="15" t="n">
        <v>11.06663370638323</v>
      </c>
      <c r="E85" s="23" t="n">
        <v>-0.003013076252404545</v>
      </c>
      <c r="F85" s="18">
        <f>IF(NOT(ISNUMBER(E85)),0.03,MAX(0,MIN(E85*기준표!$B$39,기준표!$B$41)))</f>
        <v/>
      </c>
      <c r="G85" s="18">
        <f>기준표!$B$37</f>
        <v/>
      </c>
      <c r="H85" s="18">
        <f>기준표!$B$38</f>
        <v/>
      </c>
      <c r="I85" s="17">
        <f>$D85*(1+$F85)^1/(1+$G85)^1</f>
        <v/>
      </c>
      <c r="J85" s="17">
        <f>$D85*(1+$F85)^2/(1+$G85)^2</f>
        <v/>
      </c>
      <c r="K85" s="17">
        <f>$D85*(1+$F85)^3/(1+$G85)^3</f>
        <v/>
      </c>
      <c r="L85" s="17">
        <f>$D85*(1+$F85)^4/(1+$G85)^4</f>
        <v/>
      </c>
      <c r="M85" s="17">
        <f>$D85*(1+$F85)^5/(1+$G85)^5</f>
        <v/>
      </c>
      <c r="N85" s="17">
        <f>$D85*(1+$F85)^6/(1+$G85)^6</f>
        <v/>
      </c>
      <c r="O85" s="17">
        <f>$D85*(1+$F85)^7/(1+$G85)^7</f>
        <v/>
      </c>
      <c r="P85" s="17">
        <f>$D85*(1+$F85)^8/(1+$G85)^8</f>
        <v/>
      </c>
      <c r="Q85" s="17">
        <f>$D85*(1+$F85)^9/(1+$G85)^9</f>
        <v/>
      </c>
      <c r="R85" s="17">
        <f>$D85*(1+$F85)^10/(1+$G85)^10</f>
        <v/>
      </c>
      <c r="S85" s="26">
        <f>SUM(I85:R85)</f>
        <v/>
      </c>
      <c r="T85" s="17">
        <f>$D85*(1+$F85)^10</f>
        <v/>
      </c>
      <c r="U85" s="17">
        <f>IF($G85&lt;=$H85,"",T85*(1+$H85)/($G85-$H85))</f>
        <v/>
      </c>
      <c r="V85" s="17">
        <f>IF(ISNUMBER(U85),U85/(1+$G85)^10,"")</f>
        <v/>
      </c>
      <c r="W85" s="26">
        <f>IF(ISNUMBER(V85),S85+V85,"")</f>
        <v/>
      </c>
      <c r="X85" s="15" t="n">
        <v>484.54335052921</v>
      </c>
      <c r="Y85" s="19">
        <f>IF(AND(ISNUMBER(W85),W85&lt;&gt;0,ISNUMBER(X85)),(W85-X85)/W85,"")</f>
        <v/>
      </c>
      <c r="Z85" s="27">
        <f>IF(NOT(ISNUMBER(Y85)),"판정불가",IF(Y85&gt;=기준표!$B$42,"투자가능",IF(Y85&gt;=0,"경계선","범위밖")))</f>
        <v/>
      </c>
    </row>
    <row r="86">
      <c r="A86" s="8" t="inlineStr">
        <is>
          <t>AMZN</t>
        </is>
      </c>
      <c r="B86" s="8" t="inlineStr">
        <is>
          <t>AMAZON COM INC</t>
        </is>
      </c>
      <c r="C86" s="8" t="inlineStr">
        <is>
          <t>보수</t>
        </is>
      </c>
      <c r="D86" s="15" t="n">
        <v>26.91902845063807</v>
      </c>
      <c r="E86" s="23" t="n">
        <v>0.1839213654429765</v>
      </c>
      <c r="F86" s="18">
        <f>IF(NOT(ISNUMBER(E86)),0.03,MAX(0,MIN(E86*기준표!$B$33,기준표!$B$40)))</f>
        <v/>
      </c>
      <c r="G86" s="18">
        <f>기준표!$B$31</f>
        <v/>
      </c>
      <c r="H86" s="18">
        <f>기준표!$B$32</f>
        <v/>
      </c>
      <c r="I86" s="17">
        <f>$D86*(1+$F86)^1/(1+$G86)^1</f>
        <v/>
      </c>
      <c r="J86" s="17">
        <f>$D86*(1+$F86)^2/(1+$G86)^2</f>
        <v/>
      </c>
      <c r="K86" s="17">
        <f>$D86*(1+$F86)^3/(1+$G86)^3</f>
        <v/>
      </c>
      <c r="L86" s="17">
        <f>$D86*(1+$F86)^4/(1+$G86)^4</f>
        <v/>
      </c>
      <c r="M86" s="17">
        <f>$D86*(1+$F86)^5/(1+$G86)^5</f>
        <v/>
      </c>
      <c r="N86" s="17">
        <f>$D86*(1+$F86)^6/(1+$G86)^6</f>
        <v/>
      </c>
      <c r="O86" s="17">
        <f>$D86*(1+$F86)^7/(1+$G86)^7</f>
        <v/>
      </c>
      <c r="P86" s="17">
        <f>$D86*(1+$F86)^8/(1+$G86)^8</f>
        <v/>
      </c>
      <c r="Q86" s="17">
        <f>$D86*(1+$F86)^9/(1+$G86)^9</f>
        <v/>
      </c>
      <c r="R86" s="17">
        <f>$D86*(1+$F86)^10/(1+$G86)^10</f>
        <v/>
      </c>
      <c r="S86" s="26">
        <f>SUM(I86:R86)</f>
        <v/>
      </c>
      <c r="T86" s="17">
        <f>$D86*(1+$F86)^10</f>
        <v/>
      </c>
      <c r="U86" s="17">
        <f>IF($G86&lt;=$H86,"",T86*(1+$H86)/($G86-$H86))</f>
        <v/>
      </c>
      <c r="V86" s="17">
        <f>IF(ISNUMBER(U86),U86/(1+$G86)^10,"")</f>
        <v/>
      </c>
      <c r="W86" s="26">
        <f>IF(ISNUMBER(V86),S86+V86,"")</f>
        <v/>
      </c>
      <c r="X86" s="15" t="n">
        <v>2985.2741447383</v>
      </c>
      <c r="Y86" s="19">
        <f>IF(AND(ISNUMBER(W86),W86&lt;&gt;0,ISNUMBER(X86)),(W86-X86)/W86,"")</f>
        <v/>
      </c>
      <c r="Z86" s="27">
        <f>IF(NOT(ISNUMBER(Y86)),"판정불가",IF(Y86&gt;=기준표!$B$42,"투자가능",IF(Y86&gt;=0,"경계선","범위밖")))</f>
        <v/>
      </c>
    </row>
    <row r="87">
      <c r="A87" s="8" t="inlineStr">
        <is>
          <t>AMZN</t>
        </is>
      </c>
      <c r="B87" s="8" t="inlineStr">
        <is>
          <t>AMAZON COM INC</t>
        </is>
      </c>
      <c r="C87" s="8" t="inlineStr">
        <is>
          <t>기준</t>
        </is>
      </c>
      <c r="D87" s="15" t="n">
        <v>26.91902845063807</v>
      </c>
      <c r="E87" s="23" t="n">
        <v>0.1839213654429765</v>
      </c>
      <c r="F87" s="18">
        <f>IF(NOT(ISNUMBER(E87)),0.03,MAX(0,MIN(E87*기준표!$B$36,기준표!$B$40)))</f>
        <v/>
      </c>
      <c r="G87" s="18">
        <f>기준표!$B$34</f>
        <v/>
      </c>
      <c r="H87" s="18">
        <f>기준표!$B$35</f>
        <v/>
      </c>
      <c r="I87" s="17">
        <f>$D87*(1+$F87)^1/(1+$G87)^1</f>
        <v/>
      </c>
      <c r="J87" s="17">
        <f>$D87*(1+$F87)^2/(1+$G87)^2</f>
        <v/>
      </c>
      <c r="K87" s="17">
        <f>$D87*(1+$F87)^3/(1+$G87)^3</f>
        <v/>
      </c>
      <c r="L87" s="17">
        <f>$D87*(1+$F87)^4/(1+$G87)^4</f>
        <v/>
      </c>
      <c r="M87" s="17">
        <f>$D87*(1+$F87)^5/(1+$G87)^5</f>
        <v/>
      </c>
      <c r="N87" s="17">
        <f>$D87*(1+$F87)^6/(1+$G87)^6</f>
        <v/>
      </c>
      <c r="O87" s="17">
        <f>$D87*(1+$F87)^7/(1+$G87)^7</f>
        <v/>
      </c>
      <c r="P87" s="17">
        <f>$D87*(1+$F87)^8/(1+$G87)^8</f>
        <v/>
      </c>
      <c r="Q87" s="17">
        <f>$D87*(1+$F87)^9/(1+$G87)^9</f>
        <v/>
      </c>
      <c r="R87" s="17">
        <f>$D87*(1+$F87)^10/(1+$G87)^10</f>
        <v/>
      </c>
      <c r="S87" s="26">
        <f>SUM(I87:R87)</f>
        <v/>
      </c>
      <c r="T87" s="17">
        <f>$D87*(1+$F87)^10</f>
        <v/>
      </c>
      <c r="U87" s="17">
        <f>IF($G87&lt;=$H87,"",T87*(1+$H87)/($G87-$H87))</f>
        <v/>
      </c>
      <c r="V87" s="17">
        <f>IF(ISNUMBER(U87),U87/(1+$G87)^10,"")</f>
        <v/>
      </c>
      <c r="W87" s="26">
        <f>IF(ISNUMBER(V87),S87+V87,"")</f>
        <v/>
      </c>
      <c r="X87" s="15" t="n">
        <v>2985.2741447383</v>
      </c>
      <c r="Y87" s="19">
        <f>IF(AND(ISNUMBER(W87),W87&lt;&gt;0,ISNUMBER(X87)),(W87-X87)/W87,"")</f>
        <v/>
      </c>
      <c r="Z87" s="27">
        <f>IF(NOT(ISNUMBER(Y87)),"판정불가",IF(Y87&gt;=기준표!$B$42,"투자가능",IF(Y87&gt;=0,"경계선","범위밖")))</f>
        <v/>
      </c>
    </row>
    <row r="88">
      <c r="A88" s="8" t="inlineStr">
        <is>
          <t>AMZN</t>
        </is>
      </c>
      <c r="B88" s="8" t="inlineStr">
        <is>
          <t>AMAZON COM INC</t>
        </is>
      </c>
      <c r="C88" s="8" t="inlineStr">
        <is>
          <t>낙관</t>
        </is>
      </c>
      <c r="D88" s="15" t="n">
        <v>26.91902845063807</v>
      </c>
      <c r="E88" s="23" t="n">
        <v>0.1839213654429765</v>
      </c>
      <c r="F88" s="18">
        <f>IF(NOT(ISNUMBER(E88)),0.03,MAX(0,MIN(E88*기준표!$B$39,기준표!$B$41)))</f>
        <v/>
      </c>
      <c r="G88" s="18">
        <f>기준표!$B$37</f>
        <v/>
      </c>
      <c r="H88" s="18">
        <f>기준표!$B$38</f>
        <v/>
      </c>
      <c r="I88" s="17">
        <f>$D88*(1+$F88)^1/(1+$G88)^1</f>
        <v/>
      </c>
      <c r="J88" s="17">
        <f>$D88*(1+$F88)^2/(1+$G88)^2</f>
        <v/>
      </c>
      <c r="K88" s="17">
        <f>$D88*(1+$F88)^3/(1+$G88)^3</f>
        <v/>
      </c>
      <c r="L88" s="17">
        <f>$D88*(1+$F88)^4/(1+$G88)^4</f>
        <v/>
      </c>
      <c r="M88" s="17">
        <f>$D88*(1+$F88)^5/(1+$G88)^5</f>
        <v/>
      </c>
      <c r="N88" s="17">
        <f>$D88*(1+$F88)^6/(1+$G88)^6</f>
        <v/>
      </c>
      <c r="O88" s="17">
        <f>$D88*(1+$F88)^7/(1+$G88)^7</f>
        <v/>
      </c>
      <c r="P88" s="17">
        <f>$D88*(1+$F88)^8/(1+$G88)^8</f>
        <v/>
      </c>
      <c r="Q88" s="17">
        <f>$D88*(1+$F88)^9/(1+$G88)^9</f>
        <v/>
      </c>
      <c r="R88" s="17">
        <f>$D88*(1+$F88)^10/(1+$G88)^10</f>
        <v/>
      </c>
      <c r="S88" s="26">
        <f>SUM(I88:R88)</f>
        <v/>
      </c>
      <c r="T88" s="17">
        <f>$D88*(1+$F88)^10</f>
        <v/>
      </c>
      <c r="U88" s="17">
        <f>IF($G88&lt;=$H88,"",T88*(1+$H88)/($G88-$H88))</f>
        <v/>
      </c>
      <c r="V88" s="17">
        <f>IF(ISNUMBER(U88),U88/(1+$G88)^10,"")</f>
        <v/>
      </c>
      <c r="W88" s="26">
        <f>IF(ISNUMBER(V88),S88+V88,"")</f>
        <v/>
      </c>
      <c r="X88" s="15" t="n">
        <v>2985.2741447383</v>
      </c>
      <c r="Y88" s="19">
        <f>IF(AND(ISNUMBER(W88),W88&lt;&gt;0,ISNUMBER(X88)),(W88-X88)/W88,"")</f>
        <v/>
      </c>
      <c r="Z88" s="27">
        <f>IF(NOT(ISNUMBER(Y88)),"판정불가",IF(Y88&gt;=기준표!$B$42,"투자가능",IF(Y88&gt;=0,"경계선","범위밖")))</f>
        <v/>
      </c>
    </row>
    <row r="89">
      <c r="A89" s="8" t="inlineStr">
        <is>
          <t>AVGO</t>
        </is>
      </c>
      <c r="B89" s="8" t="inlineStr">
        <is>
          <t>Broadcom Inc.</t>
        </is>
      </c>
      <c r="C89" s="8" t="inlineStr">
        <is>
          <t>보수</t>
        </is>
      </c>
      <c r="D89" s="15" t="n">
        <v>17.839</v>
      </c>
      <c r="E89" s="23" t="n">
        <v>0.2340330880639512</v>
      </c>
      <c r="F89" s="18">
        <f>IF(NOT(ISNUMBER(E89)),0.03,MAX(0,MIN(E89*기준표!$B$33,기준표!$B$40)))</f>
        <v/>
      </c>
      <c r="G89" s="18">
        <f>기준표!$B$31</f>
        <v/>
      </c>
      <c r="H89" s="18">
        <f>기준표!$B$32</f>
        <v/>
      </c>
      <c r="I89" s="17">
        <f>$D89*(1+$F89)^1/(1+$G89)^1</f>
        <v/>
      </c>
      <c r="J89" s="17">
        <f>$D89*(1+$F89)^2/(1+$G89)^2</f>
        <v/>
      </c>
      <c r="K89" s="17">
        <f>$D89*(1+$F89)^3/(1+$G89)^3</f>
        <v/>
      </c>
      <c r="L89" s="17">
        <f>$D89*(1+$F89)^4/(1+$G89)^4</f>
        <v/>
      </c>
      <c r="M89" s="17">
        <f>$D89*(1+$F89)^5/(1+$G89)^5</f>
        <v/>
      </c>
      <c r="N89" s="17">
        <f>$D89*(1+$F89)^6/(1+$G89)^6</f>
        <v/>
      </c>
      <c r="O89" s="17">
        <f>$D89*(1+$F89)^7/(1+$G89)^7</f>
        <v/>
      </c>
      <c r="P89" s="17">
        <f>$D89*(1+$F89)^8/(1+$G89)^8</f>
        <v/>
      </c>
      <c r="Q89" s="17">
        <f>$D89*(1+$F89)^9/(1+$G89)^9</f>
        <v/>
      </c>
      <c r="R89" s="17">
        <f>$D89*(1+$F89)^10/(1+$G89)^10</f>
        <v/>
      </c>
      <c r="S89" s="26">
        <f>SUM(I89:R89)</f>
        <v/>
      </c>
      <c r="T89" s="17">
        <f>$D89*(1+$F89)^10</f>
        <v/>
      </c>
      <c r="U89" s="17">
        <f>IF($G89&lt;=$H89,"",T89*(1+$H89)/($G89-$H89))</f>
        <v/>
      </c>
      <c r="V89" s="17">
        <f>IF(ISNUMBER(U89),U89/(1+$G89)^10,"")</f>
        <v/>
      </c>
      <c r="W89" s="26">
        <f>IF(ISNUMBER(V89),S89+V89,"")</f>
        <v/>
      </c>
      <c r="X89" s="15" t="n">
        <v>2002.7140526976</v>
      </c>
      <c r="Y89" s="19">
        <f>IF(AND(ISNUMBER(W89),W89&lt;&gt;0,ISNUMBER(X89)),(W89-X89)/W89,"")</f>
        <v/>
      </c>
      <c r="Z89" s="27">
        <f>IF(NOT(ISNUMBER(Y89)),"판정불가",IF(Y89&gt;=기준표!$B$42,"투자가능",IF(Y89&gt;=0,"경계선","범위밖")))</f>
        <v/>
      </c>
    </row>
    <row r="90">
      <c r="A90" s="8" t="inlineStr">
        <is>
          <t>AVGO</t>
        </is>
      </c>
      <c r="B90" s="8" t="inlineStr">
        <is>
          <t>Broadcom Inc.</t>
        </is>
      </c>
      <c r="C90" s="8" t="inlineStr">
        <is>
          <t>기준</t>
        </is>
      </c>
      <c r="D90" s="15" t="n">
        <v>17.839</v>
      </c>
      <c r="E90" s="23" t="n">
        <v>0.2340330880639512</v>
      </c>
      <c r="F90" s="18">
        <f>IF(NOT(ISNUMBER(E90)),0.03,MAX(0,MIN(E90*기준표!$B$36,기준표!$B$40)))</f>
        <v/>
      </c>
      <c r="G90" s="18">
        <f>기준표!$B$34</f>
        <v/>
      </c>
      <c r="H90" s="18">
        <f>기준표!$B$35</f>
        <v/>
      </c>
      <c r="I90" s="17">
        <f>$D90*(1+$F90)^1/(1+$G90)^1</f>
        <v/>
      </c>
      <c r="J90" s="17">
        <f>$D90*(1+$F90)^2/(1+$G90)^2</f>
        <v/>
      </c>
      <c r="K90" s="17">
        <f>$D90*(1+$F90)^3/(1+$G90)^3</f>
        <v/>
      </c>
      <c r="L90" s="17">
        <f>$D90*(1+$F90)^4/(1+$G90)^4</f>
        <v/>
      </c>
      <c r="M90" s="17">
        <f>$D90*(1+$F90)^5/(1+$G90)^5</f>
        <v/>
      </c>
      <c r="N90" s="17">
        <f>$D90*(1+$F90)^6/(1+$G90)^6</f>
        <v/>
      </c>
      <c r="O90" s="17">
        <f>$D90*(1+$F90)^7/(1+$G90)^7</f>
        <v/>
      </c>
      <c r="P90" s="17">
        <f>$D90*(1+$F90)^8/(1+$G90)^8</f>
        <v/>
      </c>
      <c r="Q90" s="17">
        <f>$D90*(1+$F90)^9/(1+$G90)^9</f>
        <v/>
      </c>
      <c r="R90" s="17">
        <f>$D90*(1+$F90)^10/(1+$G90)^10</f>
        <v/>
      </c>
      <c r="S90" s="26">
        <f>SUM(I90:R90)</f>
        <v/>
      </c>
      <c r="T90" s="17">
        <f>$D90*(1+$F90)^10</f>
        <v/>
      </c>
      <c r="U90" s="17">
        <f>IF($G90&lt;=$H90,"",T90*(1+$H90)/($G90-$H90))</f>
        <v/>
      </c>
      <c r="V90" s="17">
        <f>IF(ISNUMBER(U90),U90/(1+$G90)^10,"")</f>
        <v/>
      </c>
      <c r="W90" s="26">
        <f>IF(ISNUMBER(V90),S90+V90,"")</f>
        <v/>
      </c>
      <c r="X90" s="15" t="n">
        <v>2002.7140526976</v>
      </c>
      <c r="Y90" s="19">
        <f>IF(AND(ISNUMBER(W90),W90&lt;&gt;0,ISNUMBER(X90)),(W90-X90)/W90,"")</f>
        <v/>
      </c>
      <c r="Z90" s="27">
        <f>IF(NOT(ISNUMBER(Y90)),"판정불가",IF(Y90&gt;=기준표!$B$42,"투자가능",IF(Y90&gt;=0,"경계선","범위밖")))</f>
        <v/>
      </c>
    </row>
    <row r="91">
      <c r="A91" s="8" t="inlineStr">
        <is>
          <t>AVGO</t>
        </is>
      </c>
      <c r="B91" s="8" t="inlineStr">
        <is>
          <t>Broadcom Inc.</t>
        </is>
      </c>
      <c r="C91" s="8" t="inlineStr">
        <is>
          <t>낙관</t>
        </is>
      </c>
      <c r="D91" s="15" t="n">
        <v>17.839</v>
      </c>
      <c r="E91" s="23" t="n">
        <v>0.2340330880639512</v>
      </c>
      <c r="F91" s="18">
        <f>IF(NOT(ISNUMBER(E91)),0.03,MAX(0,MIN(E91*기준표!$B$39,기준표!$B$41)))</f>
        <v/>
      </c>
      <c r="G91" s="18">
        <f>기준표!$B$37</f>
        <v/>
      </c>
      <c r="H91" s="18">
        <f>기준표!$B$38</f>
        <v/>
      </c>
      <c r="I91" s="17">
        <f>$D91*(1+$F91)^1/(1+$G91)^1</f>
        <v/>
      </c>
      <c r="J91" s="17">
        <f>$D91*(1+$F91)^2/(1+$G91)^2</f>
        <v/>
      </c>
      <c r="K91" s="17">
        <f>$D91*(1+$F91)^3/(1+$G91)^3</f>
        <v/>
      </c>
      <c r="L91" s="17">
        <f>$D91*(1+$F91)^4/(1+$G91)^4</f>
        <v/>
      </c>
      <c r="M91" s="17">
        <f>$D91*(1+$F91)^5/(1+$G91)^5</f>
        <v/>
      </c>
      <c r="N91" s="17">
        <f>$D91*(1+$F91)^6/(1+$G91)^6</f>
        <v/>
      </c>
      <c r="O91" s="17">
        <f>$D91*(1+$F91)^7/(1+$G91)^7</f>
        <v/>
      </c>
      <c r="P91" s="17">
        <f>$D91*(1+$F91)^8/(1+$G91)^8</f>
        <v/>
      </c>
      <c r="Q91" s="17">
        <f>$D91*(1+$F91)^9/(1+$G91)^9</f>
        <v/>
      </c>
      <c r="R91" s="17">
        <f>$D91*(1+$F91)^10/(1+$G91)^10</f>
        <v/>
      </c>
      <c r="S91" s="26">
        <f>SUM(I91:R91)</f>
        <v/>
      </c>
      <c r="T91" s="17">
        <f>$D91*(1+$F91)^10</f>
        <v/>
      </c>
      <c r="U91" s="17">
        <f>IF($G91&lt;=$H91,"",T91*(1+$H91)/($G91-$H91))</f>
        <v/>
      </c>
      <c r="V91" s="17">
        <f>IF(ISNUMBER(U91),U91/(1+$G91)^10,"")</f>
        <v/>
      </c>
      <c r="W91" s="26">
        <f>IF(ISNUMBER(V91),S91+V91,"")</f>
        <v/>
      </c>
      <c r="X91" s="15" t="n">
        <v>2002.7140526976</v>
      </c>
      <c r="Y91" s="19">
        <f>IF(AND(ISNUMBER(W91),W91&lt;&gt;0,ISNUMBER(X91)),(W91-X91)/W91,"")</f>
        <v/>
      </c>
      <c r="Z91" s="27">
        <f>IF(NOT(ISNUMBER(Y91)),"판정불가",IF(Y91&gt;=기준표!$B$42,"투자가능",IF(Y91&gt;=0,"경계선","범위밖")))</f>
        <v/>
      </c>
    </row>
    <row r="92">
      <c r="A92" s="8" t="inlineStr">
        <is>
          <t>ORCL</t>
        </is>
      </c>
      <c r="B92" s="8" t="inlineStr">
        <is>
          <t>ORACLE CORP</t>
        </is>
      </c>
      <c r="C92" s="8" t="inlineStr">
        <is>
          <t>보수</t>
        </is>
      </c>
      <c r="D92" s="15" t="n">
        <v>5.250163901979264</v>
      </c>
      <c r="E92" s="23" t="n"/>
      <c r="F92" s="18">
        <f>IF(NOT(ISNUMBER(E92)),0.03,MAX(0,MIN(E92*기준표!$B$33,기준표!$B$40)))</f>
        <v/>
      </c>
      <c r="G92" s="18">
        <f>기준표!$B$31</f>
        <v/>
      </c>
      <c r="H92" s="18">
        <f>기준표!$B$32</f>
        <v/>
      </c>
      <c r="I92" s="17">
        <f>$D92*(1+$F92)^1/(1+$G92)^1</f>
        <v/>
      </c>
      <c r="J92" s="17">
        <f>$D92*(1+$F92)^2/(1+$G92)^2</f>
        <v/>
      </c>
      <c r="K92" s="17">
        <f>$D92*(1+$F92)^3/(1+$G92)^3</f>
        <v/>
      </c>
      <c r="L92" s="17">
        <f>$D92*(1+$F92)^4/(1+$G92)^4</f>
        <v/>
      </c>
      <c r="M92" s="17">
        <f>$D92*(1+$F92)^5/(1+$G92)^5</f>
        <v/>
      </c>
      <c r="N92" s="17">
        <f>$D92*(1+$F92)^6/(1+$G92)^6</f>
        <v/>
      </c>
      <c r="O92" s="17">
        <f>$D92*(1+$F92)^7/(1+$G92)^7</f>
        <v/>
      </c>
      <c r="P92" s="17">
        <f>$D92*(1+$F92)^8/(1+$G92)^8</f>
        <v/>
      </c>
      <c r="Q92" s="17">
        <f>$D92*(1+$F92)^9/(1+$G92)^9</f>
        <v/>
      </c>
      <c r="R92" s="17">
        <f>$D92*(1+$F92)^10/(1+$G92)^10</f>
        <v/>
      </c>
      <c r="S92" s="26">
        <f>SUM(I92:R92)</f>
        <v/>
      </c>
      <c r="T92" s="17">
        <f>$D92*(1+$F92)^10</f>
        <v/>
      </c>
      <c r="U92" s="17">
        <f>IF($G92&lt;=$H92,"",T92*(1+$H92)/($G92-$H92))</f>
        <v/>
      </c>
      <c r="V92" s="17">
        <f>IF(ISNUMBER(U92),U92/(1+$G92)^10,"")</f>
        <v/>
      </c>
      <c r="W92" s="26">
        <f>IF(ISNUMBER(V92),S92+V92,"")</f>
        <v/>
      </c>
      <c r="X92" s="15" t="n">
        <v>435.09514455</v>
      </c>
      <c r="Y92" s="19">
        <f>IF(AND(ISNUMBER(W92),W92&lt;&gt;0,ISNUMBER(X92)),(W92-X92)/W92,"")</f>
        <v/>
      </c>
      <c r="Z92" s="27">
        <f>IF(NOT(ISNUMBER(Y92)),"판정불가",IF(Y92&gt;=기준표!$B$42,"투자가능",IF(Y92&gt;=0,"경계선","범위밖")))</f>
        <v/>
      </c>
    </row>
    <row r="93">
      <c r="A93" s="8" t="inlineStr">
        <is>
          <t>ORCL</t>
        </is>
      </c>
      <c r="B93" s="8" t="inlineStr">
        <is>
          <t>ORACLE CORP</t>
        </is>
      </c>
      <c r="C93" s="8" t="inlineStr">
        <is>
          <t>기준</t>
        </is>
      </c>
      <c r="D93" s="15" t="n">
        <v>5.250163901979264</v>
      </c>
      <c r="E93" s="23" t="n"/>
      <c r="F93" s="18">
        <f>IF(NOT(ISNUMBER(E93)),0.03,MAX(0,MIN(E93*기준표!$B$36,기준표!$B$40)))</f>
        <v/>
      </c>
      <c r="G93" s="18">
        <f>기준표!$B$34</f>
        <v/>
      </c>
      <c r="H93" s="18">
        <f>기준표!$B$35</f>
        <v/>
      </c>
      <c r="I93" s="17">
        <f>$D93*(1+$F93)^1/(1+$G93)^1</f>
        <v/>
      </c>
      <c r="J93" s="17">
        <f>$D93*(1+$F93)^2/(1+$G93)^2</f>
        <v/>
      </c>
      <c r="K93" s="17">
        <f>$D93*(1+$F93)^3/(1+$G93)^3</f>
        <v/>
      </c>
      <c r="L93" s="17">
        <f>$D93*(1+$F93)^4/(1+$G93)^4</f>
        <v/>
      </c>
      <c r="M93" s="17">
        <f>$D93*(1+$F93)^5/(1+$G93)^5</f>
        <v/>
      </c>
      <c r="N93" s="17">
        <f>$D93*(1+$F93)^6/(1+$G93)^6</f>
        <v/>
      </c>
      <c r="O93" s="17">
        <f>$D93*(1+$F93)^7/(1+$G93)^7</f>
        <v/>
      </c>
      <c r="P93" s="17">
        <f>$D93*(1+$F93)^8/(1+$G93)^8</f>
        <v/>
      </c>
      <c r="Q93" s="17">
        <f>$D93*(1+$F93)^9/(1+$G93)^9</f>
        <v/>
      </c>
      <c r="R93" s="17">
        <f>$D93*(1+$F93)^10/(1+$G93)^10</f>
        <v/>
      </c>
      <c r="S93" s="26">
        <f>SUM(I93:R93)</f>
        <v/>
      </c>
      <c r="T93" s="17">
        <f>$D93*(1+$F93)^10</f>
        <v/>
      </c>
      <c r="U93" s="17">
        <f>IF($G93&lt;=$H93,"",T93*(1+$H93)/($G93-$H93))</f>
        <v/>
      </c>
      <c r="V93" s="17">
        <f>IF(ISNUMBER(U93),U93/(1+$G93)^10,"")</f>
        <v/>
      </c>
      <c r="W93" s="26">
        <f>IF(ISNUMBER(V93),S93+V93,"")</f>
        <v/>
      </c>
      <c r="X93" s="15" t="n">
        <v>435.09514455</v>
      </c>
      <c r="Y93" s="19">
        <f>IF(AND(ISNUMBER(W93),W93&lt;&gt;0,ISNUMBER(X93)),(W93-X93)/W93,"")</f>
        <v/>
      </c>
      <c r="Z93" s="27">
        <f>IF(NOT(ISNUMBER(Y93)),"판정불가",IF(Y93&gt;=기준표!$B$42,"투자가능",IF(Y93&gt;=0,"경계선","범위밖")))</f>
        <v/>
      </c>
    </row>
    <row r="94">
      <c r="A94" s="8" t="inlineStr">
        <is>
          <t>ORCL</t>
        </is>
      </c>
      <c r="B94" s="8" t="inlineStr">
        <is>
          <t>ORACLE CORP</t>
        </is>
      </c>
      <c r="C94" s="8" t="inlineStr">
        <is>
          <t>낙관</t>
        </is>
      </c>
      <c r="D94" s="15" t="n">
        <v>5.250163901979264</v>
      </c>
      <c r="E94" s="23" t="n"/>
      <c r="F94" s="18">
        <f>IF(NOT(ISNUMBER(E94)),0.03,MAX(0,MIN(E94*기준표!$B$39,기준표!$B$41)))</f>
        <v/>
      </c>
      <c r="G94" s="18">
        <f>기준표!$B$37</f>
        <v/>
      </c>
      <c r="H94" s="18">
        <f>기준표!$B$38</f>
        <v/>
      </c>
      <c r="I94" s="17">
        <f>$D94*(1+$F94)^1/(1+$G94)^1</f>
        <v/>
      </c>
      <c r="J94" s="17">
        <f>$D94*(1+$F94)^2/(1+$G94)^2</f>
        <v/>
      </c>
      <c r="K94" s="17">
        <f>$D94*(1+$F94)^3/(1+$G94)^3</f>
        <v/>
      </c>
      <c r="L94" s="17">
        <f>$D94*(1+$F94)^4/(1+$G94)^4</f>
        <v/>
      </c>
      <c r="M94" s="17">
        <f>$D94*(1+$F94)^5/(1+$G94)^5</f>
        <v/>
      </c>
      <c r="N94" s="17">
        <f>$D94*(1+$F94)^6/(1+$G94)^6</f>
        <v/>
      </c>
      <c r="O94" s="17">
        <f>$D94*(1+$F94)^7/(1+$G94)^7</f>
        <v/>
      </c>
      <c r="P94" s="17">
        <f>$D94*(1+$F94)^8/(1+$G94)^8</f>
        <v/>
      </c>
      <c r="Q94" s="17">
        <f>$D94*(1+$F94)^9/(1+$G94)^9</f>
        <v/>
      </c>
      <c r="R94" s="17">
        <f>$D94*(1+$F94)^10/(1+$G94)^10</f>
        <v/>
      </c>
      <c r="S94" s="26">
        <f>SUM(I94:R94)</f>
        <v/>
      </c>
      <c r="T94" s="17">
        <f>$D94*(1+$F94)^10</f>
        <v/>
      </c>
      <c r="U94" s="17">
        <f>IF($G94&lt;=$H94,"",T94*(1+$H94)/($G94-$H94))</f>
        <v/>
      </c>
      <c r="V94" s="17">
        <f>IF(ISNUMBER(U94),U94/(1+$G94)^10,"")</f>
        <v/>
      </c>
      <c r="W94" s="26">
        <f>IF(ISNUMBER(V94),S94+V94,"")</f>
        <v/>
      </c>
      <c r="X94" s="15" t="n">
        <v>435.09514455</v>
      </c>
      <c r="Y94" s="19">
        <f>IF(AND(ISNUMBER(W94),W94&lt;&gt;0,ISNUMBER(X94)),(W94-X94)/W94,"")</f>
        <v/>
      </c>
      <c r="Z94" s="27">
        <f>IF(NOT(ISNUMBER(Y94)),"판정불가",IF(Y94&gt;=기준표!$B$42,"투자가능",IF(Y94&gt;=0,"경계선","범위밖")))</f>
        <v/>
      </c>
    </row>
    <row r="95">
      <c r="A95" s="8" t="inlineStr">
        <is>
          <t>WMT</t>
        </is>
      </c>
      <c r="B95" s="8" t="inlineStr">
        <is>
          <t>Walmart Inc.</t>
        </is>
      </c>
      <c r="C95" s="8" t="inlineStr">
        <is>
          <t>보수</t>
        </is>
      </c>
      <c r="D95" s="15" t="n">
        <v>11.54850666219934</v>
      </c>
      <c r="E95" s="23" t="n">
        <v>-0.02026501641050071</v>
      </c>
      <c r="F95" s="18">
        <f>IF(NOT(ISNUMBER(E95)),0.03,MAX(0,MIN(E95*기준표!$B$33,기준표!$B$40)))</f>
        <v/>
      </c>
      <c r="G95" s="18">
        <f>기준표!$B$31</f>
        <v/>
      </c>
      <c r="H95" s="18">
        <f>기준표!$B$32</f>
        <v/>
      </c>
      <c r="I95" s="17">
        <f>$D95*(1+$F95)^1/(1+$G95)^1</f>
        <v/>
      </c>
      <c r="J95" s="17">
        <f>$D95*(1+$F95)^2/(1+$G95)^2</f>
        <v/>
      </c>
      <c r="K95" s="17">
        <f>$D95*(1+$F95)^3/(1+$G95)^3</f>
        <v/>
      </c>
      <c r="L95" s="17">
        <f>$D95*(1+$F95)^4/(1+$G95)^4</f>
        <v/>
      </c>
      <c r="M95" s="17">
        <f>$D95*(1+$F95)^5/(1+$G95)^5</f>
        <v/>
      </c>
      <c r="N95" s="17">
        <f>$D95*(1+$F95)^6/(1+$G95)^6</f>
        <v/>
      </c>
      <c r="O95" s="17">
        <f>$D95*(1+$F95)^7/(1+$G95)^7</f>
        <v/>
      </c>
      <c r="P95" s="17">
        <f>$D95*(1+$F95)^8/(1+$G95)^8</f>
        <v/>
      </c>
      <c r="Q95" s="17">
        <f>$D95*(1+$F95)^9/(1+$G95)^9</f>
        <v/>
      </c>
      <c r="R95" s="17">
        <f>$D95*(1+$F95)^10/(1+$G95)^10</f>
        <v/>
      </c>
      <c r="S95" s="26">
        <f>SUM(I95:R95)</f>
        <v/>
      </c>
      <c r="T95" s="17">
        <f>$D95*(1+$F95)^10</f>
        <v/>
      </c>
      <c r="U95" s="17">
        <f>IF($G95&lt;=$H95,"",T95*(1+$H95)/($G95-$H95))</f>
        <v/>
      </c>
      <c r="V95" s="17">
        <f>IF(ISNUMBER(U95),U95/(1+$G95)^10,"")</f>
        <v/>
      </c>
      <c r="W95" s="26">
        <f>IF(ISNUMBER(V95),S95+V95,"")</f>
        <v/>
      </c>
      <c r="X95" s="15" t="n">
        <v>898.1708657626599</v>
      </c>
      <c r="Y95" s="19">
        <f>IF(AND(ISNUMBER(W95),W95&lt;&gt;0,ISNUMBER(X95)),(W95-X95)/W95,"")</f>
        <v/>
      </c>
      <c r="Z95" s="27">
        <f>IF(NOT(ISNUMBER(Y95)),"판정불가",IF(Y95&gt;=기준표!$B$42,"투자가능",IF(Y95&gt;=0,"경계선","범위밖")))</f>
        <v/>
      </c>
    </row>
    <row r="96">
      <c r="A96" s="8" t="inlineStr">
        <is>
          <t>WMT</t>
        </is>
      </c>
      <c r="B96" s="8" t="inlineStr">
        <is>
          <t>Walmart Inc.</t>
        </is>
      </c>
      <c r="C96" s="8" t="inlineStr">
        <is>
          <t>기준</t>
        </is>
      </c>
      <c r="D96" s="15" t="n">
        <v>11.54850666219934</v>
      </c>
      <c r="E96" s="23" t="n">
        <v>-0.02026501641050071</v>
      </c>
      <c r="F96" s="18">
        <f>IF(NOT(ISNUMBER(E96)),0.03,MAX(0,MIN(E96*기준표!$B$36,기준표!$B$40)))</f>
        <v/>
      </c>
      <c r="G96" s="18">
        <f>기준표!$B$34</f>
        <v/>
      </c>
      <c r="H96" s="18">
        <f>기준표!$B$35</f>
        <v/>
      </c>
      <c r="I96" s="17">
        <f>$D96*(1+$F96)^1/(1+$G96)^1</f>
        <v/>
      </c>
      <c r="J96" s="17">
        <f>$D96*(1+$F96)^2/(1+$G96)^2</f>
        <v/>
      </c>
      <c r="K96" s="17">
        <f>$D96*(1+$F96)^3/(1+$G96)^3</f>
        <v/>
      </c>
      <c r="L96" s="17">
        <f>$D96*(1+$F96)^4/(1+$G96)^4</f>
        <v/>
      </c>
      <c r="M96" s="17">
        <f>$D96*(1+$F96)^5/(1+$G96)^5</f>
        <v/>
      </c>
      <c r="N96" s="17">
        <f>$D96*(1+$F96)^6/(1+$G96)^6</f>
        <v/>
      </c>
      <c r="O96" s="17">
        <f>$D96*(1+$F96)^7/(1+$G96)^7</f>
        <v/>
      </c>
      <c r="P96" s="17">
        <f>$D96*(1+$F96)^8/(1+$G96)^8</f>
        <v/>
      </c>
      <c r="Q96" s="17">
        <f>$D96*(1+$F96)^9/(1+$G96)^9</f>
        <v/>
      </c>
      <c r="R96" s="17">
        <f>$D96*(1+$F96)^10/(1+$G96)^10</f>
        <v/>
      </c>
      <c r="S96" s="26">
        <f>SUM(I96:R96)</f>
        <v/>
      </c>
      <c r="T96" s="17">
        <f>$D96*(1+$F96)^10</f>
        <v/>
      </c>
      <c r="U96" s="17">
        <f>IF($G96&lt;=$H96,"",T96*(1+$H96)/($G96-$H96))</f>
        <v/>
      </c>
      <c r="V96" s="17">
        <f>IF(ISNUMBER(U96),U96/(1+$G96)^10,"")</f>
        <v/>
      </c>
      <c r="W96" s="26">
        <f>IF(ISNUMBER(V96),S96+V96,"")</f>
        <v/>
      </c>
      <c r="X96" s="15" t="n">
        <v>898.1708657626599</v>
      </c>
      <c r="Y96" s="19">
        <f>IF(AND(ISNUMBER(W96),W96&lt;&gt;0,ISNUMBER(X96)),(W96-X96)/W96,"")</f>
        <v/>
      </c>
      <c r="Z96" s="27">
        <f>IF(NOT(ISNUMBER(Y96)),"판정불가",IF(Y96&gt;=기준표!$B$42,"투자가능",IF(Y96&gt;=0,"경계선","범위밖")))</f>
        <v/>
      </c>
    </row>
    <row r="97">
      <c r="A97" s="8" t="inlineStr">
        <is>
          <t>WMT</t>
        </is>
      </c>
      <c r="B97" s="8" t="inlineStr">
        <is>
          <t>Walmart Inc.</t>
        </is>
      </c>
      <c r="C97" s="8" t="inlineStr">
        <is>
          <t>낙관</t>
        </is>
      </c>
      <c r="D97" s="15" t="n">
        <v>11.54850666219934</v>
      </c>
      <c r="E97" s="23" t="n">
        <v>-0.02026501641050071</v>
      </c>
      <c r="F97" s="18">
        <f>IF(NOT(ISNUMBER(E97)),0.03,MAX(0,MIN(E97*기준표!$B$39,기준표!$B$41)))</f>
        <v/>
      </c>
      <c r="G97" s="18">
        <f>기준표!$B$37</f>
        <v/>
      </c>
      <c r="H97" s="18">
        <f>기준표!$B$38</f>
        <v/>
      </c>
      <c r="I97" s="17">
        <f>$D97*(1+$F97)^1/(1+$G97)^1</f>
        <v/>
      </c>
      <c r="J97" s="17">
        <f>$D97*(1+$F97)^2/(1+$G97)^2</f>
        <v/>
      </c>
      <c r="K97" s="17">
        <f>$D97*(1+$F97)^3/(1+$G97)^3</f>
        <v/>
      </c>
      <c r="L97" s="17">
        <f>$D97*(1+$F97)^4/(1+$G97)^4</f>
        <v/>
      </c>
      <c r="M97" s="17">
        <f>$D97*(1+$F97)^5/(1+$G97)^5</f>
        <v/>
      </c>
      <c r="N97" s="17">
        <f>$D97*(1+$F97)^6/(1+$G97)^6</f>
        <v/>
      </c>
      <c r="O97" s="17">
        <f>$D97*(1+$F97)^7/(1+$G97)^7</f>
        <v/>
      </c>
      <c r="P97" s="17">
        <f>$D97*(1+$F97)^8/(1+$G97)^8</f>
        <v/>
      </c>
      <c r="Q97" s="17">
        <f>$D97*(1+$F97)^9/(1+$G97)^9</f>
        <v/>
      </c>
      <c r="R97" s="17">
        <f>$D97*(1+$F97)^10/(1+$G97)^10</f>
        <v/>
      </c>
      <c r="S97" s="26">
        <f>SUM(I97:R97)</f>
        <v/>
      </c>
      <c r="T97" s="17">
        <f>$D97*(1+$F97)^10</f>
        <v/>
      </c>
      <c r="U97" s="17">
        <f>IF($G97&lt;=$H97,"",T97*(1+$H97)/($G97-$H97))</f>
        <v/>
      </c>
      <c r="V97" s="17">
        <f>IF(ISNUMBER(U97),U97/(1+$G97)^10,"")</f>
        <v/>
      </c>
      <c r="W97" s="26">
        <f>IF(ISNUMBER(V97),S97+V97,"")</f>
        <v/>
      </c>
      <c r="X97" s="15" t="n">
        <v>898.1708657626599</v>
      </c>
      <c r="Y97" s="19">
        <f>IF(AND(ISNUMBER(W97),W97&lt;&gt;0,ISNUMBER(X97)),(W97-X97)/W97,"")</f>
        <v/>
      </c>
      <c r="Z97" s="27">
        <f>IF(NOT(ISNUMBER(Y97)),"판정불가",IF(Y97&gt;=기준표!$B$42,"투자가능",IF(Y97&gt;=0,"경계선","범위밖")))</f>
        <v/>
      </c>
    </row>
    <row r="98">
      <c r="A98" s="8" t="inlineStr">
        <is>
          <t>ABBV</t>
        </is>
      </c>
      <c r="B98" s="8" t="inlineStr">
        <is>
          <t>AbbVie Inc.</t>
        </is>
      </c>
      <c r="C98" s="8" t="inlineStr">
        <is>
          <t>보수</t>
        </is>
      </c>
      <c r="D98" s="15" t="n">
        <v>5.574903255582774</v>
      </c>
      <c r="E98" s="23" t="n">
        <v>-0.07304177544534507</v>
      </c>
      <c r="F98" s="18">
        <f>IF(NOT(ISNUMBER(E98)),0.03,MAX(0,MIN(E98*기준표!$B$33,기준표!$B$40)))</f>
        <v/>
      </c>
      <c r="G98" s="18">
        <f>기준표!$B$31</f>
        <v/>
      </c>
      <c r="H98" s="18">
        <f>기준표!$B$32</f>
        <v/>
      </c>
      <c r="I98" s="17">
        <f>$D98*(1+$F98)^1/(1+$G98)^1</f>
        <v/>
      </c>
      <c r="J98" s="17">
        <f>$D98*(1+$F98)^2/(1+$G98)^2</f>
        <v/>
      </c>
      <c r="K98" s="17">
        <f>$D98*(1+$F98)^3/(1+$G98)^3</f>
        <v/>
      </c>
      <c r="L98" s="17">
        <f>$D98*(1+$F98)^4/(1+$G98)^4</f>
        <v/>
      </c>
      <c r="M98" s="17">
        <f>$D98*(1+$F98)^5/(1+$G98)^5</f>
        <v/>
      </c>
      <c r="N98" s="17">
        <f>$D98*(1+$F98)^6/(1+$G98)^6</f>
        <v/>
      </c>
      <c r="O98" s="17">
        <f>$D98*(1+$F98)^7/(1+$G98)^7</f>
        <v/>
      </c>
      <c r="P98" s="17">
        <f>$D98*(1+$F98)^8/(1+$G98)^8</f>
        <v/>
      </c>
      <c r="Q98" s="17">
        <f>$D98*(1+$F98)^9/(1+$G98)^9</f>
        <v/>
      </c>
      <c r="R98" s="17">
        <f>$D98*(1+$F98)^10/(1+$G98)^10</f>
        <v/>
      </c>
      <c r="S98" s="26">
        <f>SUM(I98:R98)</f>
        <v/>
      </c>
      <c r="T98" s="17">
        <f>$D98*(1+$F98)^10</f>
        <v/>
      </c>
      <c r="U98" s="17">
        <f>IF($G98&lt;=$H98,"",T98*(1+$H98)/($G98-$H98))</f>
        <v/>
      </c>
      <c r="V98" s="17">
        <f>IF(ISNUMBER(U98),U98/(1+$G98)^10,"")</f>
        <v/>
      </c>
      <c r="W98" s="26">
        <f>IF(ISNUMBER(V98),S98+V98,"")</f>
        <v/>
      </c>
      <c r="X98" s="15" t="n">
        <v>438.45286990564</v>
      </c>
      <c r="Y98" s="19">
        <f>IF(AND(ISNUMBER(W98),W98&lt;&gt;0,ISNUMBER(X98)),(W98-X98)/W98,"")</f>
        <v/>
      </c>
      <c r="Z98" s="27">
        <f>IF(NOT(ISNUMBER(Y98)),"판정불가",IF(Y98&gt;=기준표!$B$42,"투자가능",IF(Y98&gt;=0,"경계선","범위밖")))</f>
        <v/>
      </c>
    </row>
    <row r="99">
      <c r="A99" s="8" t="inlineStr">
        <is>
          <t>ABBV</t>
        </is>
      </c>
      <c r="B99" s="8" t="inlineStr">
        <is>
          <t>AbbVie Inc.</t>
        </is>
      </c>
      <c r="C99" s="8" t="inlineStr">
        <is>
          <t>기준</t>
        </is>
      </c>
      <c r="D99" s="15" t="n">
        <v>5.574903255582774</v>
      </c>
      <c r="E99" s="23" t="n">
        <v>-0.07304177544534507</v>
      </c>
      <c r="F99" s="18">
        <f>IF(NOT(ISNUMBER(E99)),0.03,MAX(0,MIN(E99*기준표!$B$36,기준표!$B$40)))</f>
        <v/>
      </c>
      <c r="G99" s="18">
        <f>기준표!$B$34</f>
        <v/>
      </c>
      <c r="H99" s="18">
        <f>기준표!$B$35</f>
        <v/>
      </c>
      <c r="I99" s="17">
        <f>$D99*(1+$F99)^1/(1+$G99)^1</f>
        <v/>
      </c>
      <c r="J99" s="17">
        <f>$D99*(1+$F99)^2/(1+$G99)^2</f>
        <v/>
      </c>
      <c r="K99" s="17">
        <f>$D99*(1+$F99)^3/(1+$G99)^3</f>
        <v/>
      </c>
      <c r="L99" s="17">
        <f>$D99*(1+$F99)^4/(1+$G99)^4</f>
        <v/>
      </c>
      <c r="M99" s="17">
        <f>$D99*(1+$F99)^5/(1+$G99)^5</f>
        <v/>
      </c>
      <c r="N99" s="17">
        <f>$D99*(1+$F99)^6/(1+$G99)^6</f>
        <v/>
      </c>
      <c r="O99" s="17">
        <f>$D99*(1+$F99)^7/(1+$G99)^7</f>
        <v/>
      </c>
      <c r="P99" s="17">
        <f>$D99*(1+$F99)^8/(1+$G99)^8</f>
        <v/>
      </c>
      <c r="Q99" s="17">
        <f>$D99*(1+$F99)^9/(1+$G99)^9</f>
        <v/>
      </c>
      <c r="R99" s="17">
        <f>$D99*(1+$F99)^10/(1+$G99)^10</f>
        <v/>
      </c>
      <c r="S99" s="26">
        <f>SUM(I99:R99)</f>
        <v/>
      </c>
      <c r="T99" s="17">
        <f>$D99*(1+$F99)^10</f>
        <v/>
      </c>
      <c r="U99" s="17">
        <f>IF($G99&lt;=$H99,"",T99*(1+$H99)/($G99-$H99))</f>
        <v/>
      </c>
      <c r="V99" s="17">
        <f>IF(ISNUMBER(U99),U99/(1+$G99)^10,"")</f>
        <v/>
      </c>
      <c r="W99" s="26">
        <f>IF(ISNUMBER(V99),S99+V99,"")</f>
        <v/>
      </c>
      <c r="X99" s="15" t="n">
        <v>438.45286990564</v>
      </c>
      <c r="Y99" s="19">
        <f>IF(AND(ISNUMBER(W99),W99&lt;&gt;0,ISNUMBER(X99)),(W99-X99)/W99,"")</f>
        <v/>
      </c>
      <c r="Z99" s="27">
        <f>IF(NOT(ISNUMBER(Y99)),"판정불가",IF(Y99&gt;=기준표!$B$42,"투자가능",IF(Y99&gt;=0,"경계선","범위밖")))</f>
        <v/>
      </c>
    </row>
    <row r="100">
      <c r="A100" s="8" t="inlineStr">
        <is>
          <t>ABBV</t>
        </is>
      </c>
      <c r="B100" s="8" t="inlineStr">
        <is>
          <t>AbbVie Inc.</t>
        </is>
      </c>
      <c r="C100" s="8" t="inlineStr">
        <is>
          <t>낙관</t>
        </is>
      </c>
      <c r="D100" s="15" t="n">
        <v>5.574903255582774</v>
      </c>
      <c r="E100" s="23" t="n">
        <v>-0.07304177544534507</v>
      </c>
      <c r="F100" s="18">
        <f>IF(NOT(ISNUMBER(E100)),0.03,MAX(0,MIN(E100*기준표!$B$39,기준표!$B$41)))</f>
        <v/>
      </c>
      <c r="G100" s="18">
        <f>기준표!$B$37</f>
        <v/>
      </c>
      <c r="H100" s="18">
        <f>기준표!$B$38</f>
        <v/>
      </c>
      <c r="I100" s="17">
        <f>$D100*(1+$F100)^1/(1+$G100)^1</f>
        <v/>
      </c>
      <c r="J100" s="17">
        <f>$D100*(1+$F100)^2/(1+$G100)^2</f>
        <v/>
      </c>
      <c r="K100" s="17">
        <f>$D100*(1+$F100)^3/(1+$G100)^3</f>
        <v/>
      </c>
      <c r="L100" s="17">
        <f>$D100*(1+$F100)^4/(1+$G100)^4</f>
        <v/>
      </c>
      <c r="M100" s="17">
        <f>$D100*(1+$F100)^5/(1+$G100)^5</f>
        <v/>
      </c>
      <c r="N100" s="17">
        <f>$D100*(1+$F100)^6/(1+$G100)^6</f>
        <v/>
      </c>
      <c r="O100" s="17">
        <f>$D100*(1+$F100)^7/(1+$G100)^7</f>
        <v/>
      </c>
      <c r="P100" s="17">
        <f>$D100*(1+$F100)^8/(1+$G100)^8</f>
        <v/>
      </c>
      <c r="Q100" s="17">
        <f>$D100*(1+$F100)^9/(1+$G100)^9</f>
        <v/>
      </c>
      <c r="R100" s="17">
        <f>$D100*(1+$F100)^10/(1+$G100)^10</f>
        <v/>
      </c>
      <c r="S100" s="26">
        <f>SUM(I100:R100)</f>
        <v/>
      </c>
      <c r="T100" s="17">
        <f>$D100*(1+$F100)^10</f>
        <v/>
      </c>
      <c r="U100" s="17">
        <f>IF($G100&lt;=$H100,"",T100*(1+$H100)/($G100-$H100))</f>
        <v/>
      </c>
      <c r="V100" s="17">
        <f>IF(ISNUMBER(U100),U100/(1+$G100)^10,"")</f>
        <v/>
      </c>
      <c r="W100" s="26">
        <f>IF(ISNUMBER(V100),S100+V100,"")</f>
        <v/>
      </c>
      <c r="X100" s="15" t="n">
        <v>438.45286990564</v>
      </c>
      <c r="Y100" s="19">
        <f>IF(AND(ISNUMBER(W100),W100&lt;&gt;0,ISNUMBER(X100)),(W100-X100)/W100,"")</f>
        <v/>
      </c>
      <c r="Z100" s="27">
        <f>IF(NOT(ISNUMBER(Y100)),"판정불가",IF(Y100&gt;=기준표!$B$42,"투자가능",IF(Y100&gt;=0,"경계선","범위밖")))</f>
        <v/>
      </c>
    </row>
    <row r="101">
      <c r="A101" s="8" t="inlineStr">
        <is>
          <t>PANW</t>
        </is>
      </c>
      <c r="B101" s="8" t="inlineStr">
        <is>
          <t>Palo Alto Networks Inc</t>
        </is>
      </c>
      <c r="C101" s="8" t="inlineStr">
        <is>
          <t>보수</t>
        </is>
      </c>
      <c r="D101" s="15" t="n">
        <v>1.089690796059599</v>
      </c>
      <c r="E101" s="23" t="n">
        <v>0.4020093022488367</v>
      </c>
      <c r="F101" s="18">
        <f>IF(NOT(ISNUMBER(E101)),0.03,MAX(0,MIN(E101*기준표!$B$33,기준표!$B$40)))</f>
        <v/>
      </c>
      <c r="G101" s="18">
        <f>기준표!$B$31</f>
        <v/>
      </c>
      <c r="H101" s="18">
        <f>기준표!$B$32</f>
        <v/>
      </c>
      <c r="I101" s="17">
        <f>$D101*(1+$F101)^1/(1+$G101)^1</f>
        <v/>
      </c>
      <c r="J101" s="17">
        <f>$D101*(1+$F101)^2/(1+$G101)^2</f>
        <v/>
      </c>
      <c r="K101" s="17">
        <f>$D101*(1+$F101)^3/(1+$G101)^3</f>
        <v/>
      </c>
      <c r="L101" s="17">
        <f>$D101*(1+$F101)^4/(1+$G101)^4</f>
        <v/>
      </c>
      <c r="M101" s="17">
        <f>$D101*(1+$F101)^5/(1+$G101)^5</f>
        <v/>
      </c>
      <c r="N101" s="17">
        <f>$D101*(1+$F101)^6/(1+$G101)^6</f>
        <v/>
      </c>
      <c r="O101" s="17">
        <f>$D101*(1+$F101)^7/(1+$G101)^7</f>
        <v/>
      </c>
      <c r="P101" s="17">
        <f>$D101*(1+$F101)^8/(1+$G101)^8</f>
        <v/>
      </c>
      <c r="Q101" s="17">
        <f>$D101*(1+$F101)^9/(1+$G101)^9</f>
        <v/>
      </c>
      <c r="R101" s="17">
        <f>$D101*(1+$F101)^10/(1+$G101)^10</f>
        <v/>
      </c>
      <c r="S101" s="26">
        <f>SUM(I101:R101)</f>
        <v/>
      </c>
      <c r="T101" s="17">
        <f>$D101*(1+$F101)^10</f>
        <v/>
      </c>
      <c r="U101" s="17">
        <f>IF($G101&lt;=$H101,"",T101*(1+$H101)/($G101-$H101))</f>
        <v/>
      </c>
      <c r="V101" s="17">
        <f>IF(ISNUMBER(U101),U101/(1+$G101)^10,"")</f>
        <v/>
      </c>
      <c r="W101" s="26">
        <f>IF(ISNUMBER(V101),S101+V101,"")</f>
        <v/>
      </c>
      <c r="X101" s="15" t="n">
        <v>257.553256</v>
      </c>
      <c r="Y101" s="19">
        <f>IF(AND(ISNUMBER(W101),W101&lt;&gt;0,ISNUMBER(X101)),(W101-X101)/W101,"")</f>
        <v/>
      </c>
      <c r="Z101" s="27">
        <f>IF(NOT(ISNUMBER(Y101)),"판정불가",IF(Y101&gt;=기준표!$B$42,"투자가능",IF(Y101&gt;=0,"경계선","범위밖")))</f>
        <v/>
      </c>
    </row>
    <row r="102">
      <c r="A102" s="8" t="inlineStr">
        <is>
          <t>PANW</t>
        </is>
      </c>
      <c r="B102" s="8" t="inlineStr">
        <is>
          <t>Palo Alto Networks Inc</t>
        </is>
      </c>
      <c r="C102" s="8" t="inlineStr">
        <is>
          <t>기준</t>
        </is>
      </c>
      <c r="D102" s="15" t="n">
        <v>1.089690796059599</v>
      </c>
      <c r="E102" s="23" t="n">
        <v>0.4020093022488367</v>
      </c>
      <c r="F102" s="18">
        <f>IF(NOT(ISNUMBER(E102)),0.03,MAX(0,MIN(E102*기준표!$B$36,기준표!$B$40)))</f>
        <v/>
      </c>
      <c r="G102" s="18">
        <f>기준표!$B$34</f>
        <v/>
      </c>
      <c r="H102" s="18">
        <f>기준표!$B$35</f>
        <v/>
      </c>
      <c r="I102" s="17">
        <f>$D102*(1+$F102)^1/(1+$G102)^1</f>
        <v/>
      </c>
      <c r="J102" s="17">
        <f>$D102*(1+$F102)^2/(1+$G102)^2</f>
        <v/>
      </c>
      <c r="K102" s="17">
        <f>$D102*(1+$F102)^3/(1+$G102)^3</f>
        <v/>
      </c>
      <c r="L102" s="17">
        <f>$D102*(1+$F102)^4/(1+$G102)^4</f>
        <v/>
      </c>
      <c r="M102" s="17">
        <f>$D102*(1+$F102)^5/(1+$G102)^5</f>
        <v/>
      </c>
      <c r="N102" s="17">
        <f>$D102*(1+$F102)^6/(1+$G102)^6</f>
        <v/>
      </c>
      <c r="O102" s="17">
        <f>$D102*(1+$F102)^7/(1+$G102)^7</f>
        <v/>
      </c>
      <c r="P102" s="17">
        <f>$D102*(1+$F102)^8/(1+$G102)^8</f>
        <v/>
      </c>
      <c r="Q102" s="17">
        <f>$D102*(1+$F102)^9/(1+$G102)^9</f>
        <v/>
      </c>
      <c r="R102" s="17">
        <f>$D102*(1+$F102)^10/(1+$G102)^10</f>
        <v/>
      </c>
      <c r="S102" s="26">
        <f>SUM(I102:R102)</f>
        <v/>
      </c>
      <c r="T102" s="17">
        <f>$D102*(1+$F102)^10</f>
        <v/>
      </c>
      <c r="U102" s="17">
        <f>IF($G102&lt;=$H102,"",T102*(1+$H102)/($G102-$H102))</f>
        <v/>
      </c>
      <c r="V102" s="17">
        <f>IF(ISNUMBER(U102),U102/(1+$G102)^10,"")</f>
        <v/>
      </c>
      <c r="W102" s="26">
        <f>IF(ISNUMBER(V102),S102+V102,"")</f>
        <v/>
      </c>
      <c r="X102" s="15" t="n">
        <v>257.553256</v>
      </c>
      <c r="Y102" s="19">
        <f>IF(AND(ISNUMBER(W102),W102&lt;&gt;0,ISNUMBER(X102)),(W102-X102)/W102,"")</f>
        <v/>
      </c>
      <c r="Z102" s="27">
        <f>IF(NOT(ISNUMBER(Y102)),"판정불가",IF(Y102&gt;=기준표!$B$42,"투자가능",IF(Y102&gt;=0,"경계선","범위밖")))</f>
        <v/>
      </c>
    </row>
    <row r="103">
      <c r="A103" s="8" t="inlineStr">
        <is>
          <t>PANW</t>
        </is>
      </c>
      <c r="B103" s="8" t="inlineStr">
        <is>
          <t>Palo Alto Networks Inc</t>
        </is>
      </c>
      <c r="C103" s="8" t="inlineStr">
        <is>
          <t>낙관</t>
        </is>
      </c>
      <c r="D103" s="15" t="n">
        <v>1.089690796059599</v>
      </c>
      <c r="E103" s="23" t="n">
        <v>0.4020093022488367</v>
      </c>
      <c r="F103" s="18">
        <f>IF(NOT(ISNUMBER(E103)),0.03,MAX(0,MIN(E103*기준표!$B$39,기준표!$B$41)))</f>
        <v/>
      </c>
      <c r="G103" s="18">
        <f>기준표!$B$37</f>
        <v/>
      </c>
      <c r="H103" s="18">
        <f>기준표!$B$38</f>
        <v/>
      </c>
      <c r="I103" s="17">
        <f>$D103*(1+$F103)^1/(1+$G103)^1</f>
        <v/>
      </c>
      <c r="J103" s="17">
        <f>$D103*(1+$F103)^2/(1+$G103)^2</f>
        <v/>
      </c>
      <c r="K103" s="17">
        <f>$D103*(1+$F103)^3/(1+$G103)^3</f>
        <v/>
      </c>
      <c r="L103" s="17">
        <f>$D103*(1+$F103)^4/(1+$G103)^4</f>
        <v/>
      </c>
      <c r="M103" s="17">
        <f>$D103*(1+$F103)^5/(1+$G103)^5</f>
        <v/>
      </c>
      <c r="N103" s="17">
        <f>$D103*(1+$F103)^6/(1+$G103)^6</f>
        <v/>
      </c>
      <c r="O103" s="17">
        <f>$D103*(1+$F103)^7/(1+$G103)^7</f>
        <v/>
      </c>
      <c r="P103" s="17">
        <f>$D103*(1+$F103)^8/(1+$G103)^8</f>
        <v/>
      </c>
      <c r="Q103" s="17">
        <f>$D103*(1+$F103)^9/(1+$G103)^9</f>
        <v/>
      </c>
      <c r="R103" s="17">
        <f>$D103*(1+$F103)^10/(1+$G103)^10</f>
        <v/>
      </c>
      <c r="S103" s="26">
        <f>SUM(I103:R103)</f>
        <v/>
      </c>
      <c r="T103" s="17">
        <f>$D103*(1+$F103)^10</f>
        <v/>
      </c>
      <c r="U103" s="17">
        <f>IF($G103&lt;=$H103,"",T103*(1+$H103)/($G103-$H103))</f>
        <v/>
      </c>
      <c r="V103" s="17">
        <f>IF(ISNUMBER(U103),U103/(1+$G103)^10,"")</f>
        <v/>
      </c>
      <c r="W103" s="26">
        <f>IF(ISNUMBER(V103),S103+V103,"")</f>
        <v/>
      </c>
      <c r="X103" s="15" t="n">
        <v>257.553256</v>
      </c>
      <c r="Y103" s="19">
        <f>IF(AND(ISNUMBER(W103),W103&lt;&gt;0,ISNUMBER(X103)),(W103-X103)/W103,"")</f>
        <v/>
      </c>
      <c r="Z103" s="27">
        <f>IF(NOT(ISNUMBER(Y103)),"판정불가",IF(Y103&gt;=기준표!$B$42,"투자가능",IF(Y103&gt;=0,"경계선","범위밖")))</f>
        <v/>
      </c>
    </row>
    <row r="104">
      <c r="A104" s="8" t="inlineStr">
        <is>
          <t>LLY</t>
        </is>
      </c>
      <c r="B104" s="8" t="inlineStr">
        <is>
          <t>ELI LILLY &amp; Co</t>
        </is>
      </c>
      <c r="C104" s="8" t="inlineStr">
        <is>
          <t>보수</t>
        </is>
      </c>
      <c r="D104" s="15" t="n">
        <v>6.0862</v>
      </c>
      <c r="E104" s="23" t="n">
        <v>0.05734533091446781</v>
      </c>
      <c r="F104" s="18">
        <f>IF(NOT(ISNUMBER(E104)),0.03,MAX(0,MIN(E104*기준표!$B$33,기준표!$B$40)))</f>
        <v/>
      </c>
      <c r="G104" s="18">
        <f>기준표!$B$31</f>
        <v/>
      </c>
      <c r="H104" s="18">
        <f>기준표!$B$32</f>
        <v/>
      </c>
      <c r="I104" s="17">
        <f>$D104*(1+$F104)^1/(1+$G104)^1</f>
        <v/>
      </c>
      <c r="J104" s="17">
        <f>$D104*(1+$F104)^2/(1+$G104)^2</f>
        <v/>
      </c>
      <c r="K104" s="17">
        <f>$D104*(1+$F104)^3/(1+$G104)^3</f>
        <v/>
      </c>
      <c r="L104" s="17">
        <f>$D104*(1+$F104)^4/(1+$G104)^4</f>
        <v/>
      </c>
      <c r="M104" s="17">
        <f>$D104*(1+$F104)^5/(1+$G104)^5</f>
        <v/>
      </c>
      <c r="N104" s="17">
        <f>$D104*(1+$F104)^6/(1+$G104)^6</f>
        <v/>
      </c>
      <c r="O104" s="17">
        <f>$D104*(1+$F104)^7/(1+$G104)^7</f>
        <v/>
      </c>
      <c r="P104" s="17">
        <f>$D104*(1+$F104)^8/(1+$G104)^8</f>
        <v/>
      </c>
      <c r="Q104" s="17">
        <f>$D104*(1+$F104)^9/(1+$G104)^9</f>
        <v/>
      </c>
      <c r="R104" s="17">
        <f>$D104*(1+$F104)^10/(1+$G104)^10</f>
        <v/>
      </c>
      <c r="S104" s="26">
        <f>SUM(I104:R104)</f>
        <v/>
      </c>
      <c r="T104" s="17">
        <f>$D104*(1+$F104)^10</f>
        <v/>
      </c>
      <c r="U104" s="17">
        <f>IF($G104&lt;=$H104,"",T104*(1+$H104)/($G104-$H104))</f>
        <v/>
      </c>
      <c r="V104" s="17">
        <f>IF(ISNUMBER(U104),U104/(1+$G104)^10,"")</f>
        <v/>
      </c>
      <c r="W104" s="26">
        <f>IF(ISNUMBER(V104),S104+V104,"")</f>
        <v/>
      </c>
      <c r="X104" s="15" t="n">
        <v>1162.1597399948</v>
      </c>
      <c r="Y104" s="19">
        <f>IF(AND(ISNUMBER(W104),W104&lt;&gt;0,ISNUMBER(X104)),(W104-X104)/W104,"")</f>
        <v/>
      </c>
      <c r="Z104" s="27">
        <f>IF(NOT(ISNUMBER(Y104)),"판정불가",IF(Y104&gt;=기준표!$B$42,"투자가능",IF(Y104&gt;=0,"경계선","범위밖")))</f>
        <v/>
      </c>
    </row>
    <row r="105">
      <c r="A105" s="8" t="inlineStr">
        <is>
          <t>LLY</t>
        </is>
      </c>
      <c r="B105" s="8" t="inlineStr">
        <is>
          <t>ELI LILLY &amp; Co</t>
        </is>
      </c>
      <c r="C105" s="8" t="inlineStr">
        <is>
          <t>기준</t>
        </is>
      </c>
      <c r="D105" s="15" t="n">
        <v>6.0862</v>
      </c>
      <c r="E105" s="23" t="n">
        <v>0.05734533091446781</v>
      </c>
      <c r="F105" s="18">
        <f>IF(NOT(ISNUMBER(E105)),0.03,MAX(0,MIN(E105*기준표!$B$36,기준표!$B$40)))</f>
        <v/>
      </c>
      <c r="G105" s="18">
        <f>기준표!$B$34</f>
        <v/>
      </c>
      <c r="H105" s="18">
        <f>기준표!$B$35</f>
        <v/>
      </c>
      <c r="I105" s="17">
        <f>$D105*(1+$F105)^1/(1+$G105)^1</f>
        <v/>
      </c>
      <c r="J105" s="17">
        <f>$D105*(1+$F105)^2/(1+$G105)^2</f>
        <v/>
      </c>
      <c r="K105" s="17">
        <f>$D105*(1+$F105)^3/(1+$G105)^3</f>
        <v/>
      </c>
      <c r="L105" s="17">
        <f>$D105*(1+$F105)^4/(1+$G105)^4</f>
        <v/>
      </c>
      <c r="M105" s="17">
        <f>$D105*(1+$F105)^5/(1+$G105)^5</f>
        <v/>
      </c>
      <c r="N105" s="17">
        <f>$D105*(1+$F105)^6/(1+$G105)^6</f>
        <v/>
      </c>
      <c r="O105" s="17">
        <f>$D105*(1+$F105)^7/(1+$G105)^7</f>
        <v/>
      </c>
      <c r="P105" s="17">
        <f>$D105*(1+$F105)^8/(1+$G105)^8</f>
        <v/>
      </c>
      <c r="Q105" s="17">
        <f>$D105*(1+$F105)^9/(1+$G105)^9</f>
        <v/>
      </c>
      <c r="R105" s="17">
        <f>$D105*(1+$F105)^10/(1+$G105)^10</f>
        <v/>
      </c>
      <c r="S105" s="26">
        <f>SUM(I105:R105)</f>
        <v/>
      </c>
      <c r="T105" s="17">
        <f>$D105*(1+$F105)^10</f>
        <v/>
      </c>
      <c r="U105" s="17">
        <f>IF($G105&lt;=$H105,"",T105*(1+$H105)/($G105-$H105))</f>
        <v/>
      </c>
      <c r="V105" s="17">
        <f>IF(ISNUMBER(U105),U105/(1+$G105)^10,"")</f>
        <v/>
      </c>
      <c r="W105" s="26">
        <f>IF(ISNUMBER(V105),S105+V105,"")</f>
        <v/>
      </c>
      <c r="X105" s="15" t="n">
        <v>1162.1597399948</v>
      </c>
      <c r="Y105" s="19">
        <f>IF(AND(ISNUMBER(W105),W105&lt;&gt;0,ISNUMBER(X105)),(W105-X105)/W105,"")</f>
        <v/>
      </c>
      <c r="Z105" s="27">
        <f>IF(NOT(ISNUMBER(Y105)),"판정불가",IF(Y105&gt;=기준표!$B$42,"투자가능",IF(Y105&gt;=0,"경계선","범위밖")))</f>
        <v/>
      </c>
    </row>
    <row r="106">
      <c r="A106" s="8" t="inlineStr">
        <is>
          <t>LLY</t>
        </is>
      </c>
      <c r="B106" s="8" t="inlineStr">
        <is>
          <t>ELI LILLY &amp; Co</t>
        </is>
      </c>
      <c r="C106" s="8" t="inlineStr">
        <is>
          <t>낙관</t>
        </is>
      </c>
      <c r="D106" s="15" t="n">
        <v>6.0862</v>
      </c>
      <c r="E106" s="23" t="n">
        <v>0.05734533091446781</v>
      </c>
      <c r="F106" s="18">
        <f>IF(NOT(ISNUMBER(E106)),0.03,MAX(0,MIN(E106*기준표!$B$39,기준표!$B$41)))</f>
        <v/>
      </c>
      <c r="G106" s="18">
        <f>기준표!$B$37</f>
        <v/>
      </c>
      <c r="H106" s="18">
        <f>기준표!$B$38</f>
        <v/>
      </c>
      <c r="I106" s="17">
        <f>$D106*(1+$F106)^1/(1+$G106)^1</f>
        <v/>
      </c>
      <c r="J106" s="17">
        <f>$D106*(1+$F106)^2/(1+$G106)^2</f>
        <v/>
      </c>
      <c r="K106" s="17">
        <f>$D106*(1+$F106)^3/(1+$G106)^3</f>
        <v/>
      </c>
      <c r="L106" s="17">
        <f>$D106*(1+$F106)^4/(1+$G106)^4</f>
        <v/>
      </c>
      <c r="M106" s="17">
        <f>$D106*(1+$F106)^5/(1+$G106)^5</f>
        <v/>
      </c>
      <c r="N106" s="17">
        <f>$D106*(1+$F106)^6/(1+$G106)^6</f>
        <v/>
      </c>
      <c r="O106" s="17">
        <f>$D106*(1+$F106)^7/(1+$G106)^7</f>
        <v/>
      </c>
      <c r="P106" s="17">
        <f>$D106*(1+$F106)^8/(1+$G106)^8</f>
        <v/>
      </c>
      <c r="Q106" s="17">
        <f>$D106*(1+$F106)^9/(1+$G106)^9</f>
        <v/>
      </c>
      <c r="R106" s="17">
        <f>$D106*(1+$F106)^10/(1+$G106)^10</f>
        <v/>
      </c>
      <c r="S106" s="26">
        <f>SUM(I106:R106)</f>
        <v/>
      </c>
      <c r="T106" s="17">
        <f>$D106*(1+$F106)^10</f>
        <v/>
      </c>
      <c r="U106" s="17">
        <f>IF($G106&lt;=$H106,"",T106*(1+$H106)/($G106-$H106))</f>
        <v/>
      </c>
      <c r="V106" s="17">
        <f>IF(ISNUMBER(U106),U106/(1+$G106)^10,"")</f>
        <v/>
      </c>
      <c r="W106" s="26">
        <f>IF(ISNUMBER(V106),S106+V106,"")</f>
        <v/>
      </c>
      <c r="X106" s="15" t="n">
        <v>1162.1597399948</v>
      </c>
      <c r="Y106" s="19">
        <f>IF(AND(ISNUMBER(W106),W106&lt;&gt;0,ISNUMBER(X106)),(W106-X106)/W106,"")</f>
        <v/>
      </c>
      <c r="Z106" s="27">
        <f>IF(NOT(ISNUMBER(Y106)),"판정불가",IF(Y106&gt;=기준표!$B$42,"투자가능",IF(Y106&gt;=0,"경계선","범위밖")))</f>
        <v/>
      </c>
    </row>
    <row r="107">
      <c r="A107" s="8" t="inlineStr">
        <is>
          <t>TSLA</t>
        </is>
      </c>
      <c r="B107" s="8" t="inlineStr">
        <is>
          <t>Tesla, Inc.</t>
        </is>
      </c>
      <c r="C107" s="8" t="inlineStr">
        <is>
          <t>보수</t>
        </is>
      </c>
      <c r="D107" s="15" t="n">
        <v>6.466376776902114</v>
      </c>
      <c r="E107" s="23" t="n"/>
      <c r="F107" s="18">
        <f>IF(NOT(ISNUMBER(E107)),0.03,MAX(0,MIN(E107*기준표!$B$33,기준표!$B$40)))</f>
        <v/>
      </c>
      <c r="G107" s="18">
        <f>기준표!$B$31</f>
        <v/>
      </c>
      <c r="H107" s="18">
        <f>기준표!$B$32</f>
        <v/>
      </c>
      <c r="I107" s="17">
        <f>$D107*(1+$F107)^1/(1+$G107)^1</f>
        <v/>
      </c>
      <c r="J107" s="17">
        <f>$D107*(1+$F107)^2/(1+$G107)^2</f>
        <v/>
      </c>
      <c r="K107" s="17">
        <f>$D107*(1+$F107)^3/(1+$G107)^3</f>
        <v/>
      </c>
      <c r="L107" s="17">
        <f>$D107*(1+$F107)^4/(1+$G107)^4</f>
        <v/>
      </c>
      <c r="M107" s="17">
        <f>$D107*(1+$F107)^5/(1+$G107)^5</f>
        <v/>
      </c>
      <c r="N107" s="17">
        <f>$D107*(1+$F107)^6/(1+$G107)^6</f>
        <v/>
      </c>
      <c r="O107" s="17">
        <f>$D107*(1+$F107)^7/(1+$G107)^7</f>
        <v/>
      </c>
      <c r="P107" s="17">
        <f>$D107*(1+$F107)^8/(1+$G107)^8</f>
        <v/>
      </c>
      <c r="Q107" s="17">
        <f>$D107*(1+$F107)^9/(1+$G107)^9</f>
        <v/>
      </c>
      <c r="R107" s="17">
        <f>$D107*(1+$F107)^10/(1+$G107)^10</f>
        <v/>
      </c>
      <c r="S107" s="26">
        <f>SUM(I107:R107)</f>
        <v/>
      </c>
      <c r="T107" s="17">
        <f>$D107*(1+$F107)^10</f>
        <v/>
      </c>
      <c r="U107" s="17">
        <f>IF($G107&lt;=$H107,"",T107*(1+$H107)/($G107-$H107))</f>
        <v/>
      </c>
      <c r="V107" s="17">
        <f>IF(ISNUMBER(U107),U107/(1+$G107)^10,"")</f>
        <v/>
      </c>
      <c r="W107" s="26">
        <f>IF(ISNUMBER(V107),S107+V107,"")</f>
        <v/>
      </c>
      <c r="X107" s="15" t="n">
        <v>1241.60469486592</v>
      </c>
      <c r="Y107" s="19">
        <f>IF(AND(ISNUMBER(W107),W107&lt;&gt;0,ISNUMBER(X107)),(W107-X107)/W107,"")</f>
        <v/>
      </c>
      <c r="Z107" s="27">
        <f>IF(NOT(ISNUMBER(Y107)),"판정불가",IF(Y107&gt;=기준표!$B$42,"투자가능",IF(Y107&gt;=0,"경계선","범위밖")))</f>
        <v/>
      </c>
    </row>
    <row r="108">
      <c r="A108" s="8" t="inlineStr">
        <is>
          <t>TSLA</t>
        </is>
      </c>
      <c r="B108" s="8" t="inlineStr">
        <is>
          <t>Tesla, Inc.</t>
        </is>
      </c>
      <c r="C108" s="8" t="inlineStr">
        <is>
          <t>기준</t>
        </is>
      </c>
      <c r="D108" s="15" t="n">
        <v>6.466376776902114</v>
      </c>
      <c r="E108" s="23" t="n"/>
      <c r="F108" s="18">
        <f>IF(NOT(ISNUMBER(E108)),0.03,MAX(0,MIN(E108*기준표!$B$36,기준표!$B$40)))</f>
        <v/>
      </c>
      <c r="G108" s="18">
        <f>기준표!$B$34</f>
        <v/>
      </c>
      <c r="H108" s="18">
        <f>기준표!$B$35</f>
        <v/>
      </c>
      <c r="I108" s="17">
        <f>$D108*(1+$F108)^1/(1+$G108)^1</f>
        <v/>
      </c>
      <c r="J108" s="17">
        <f>$D108*(1+$F108)^2/(1+$G108)^2</f>
        <v/>
      </c>
      <c r="K108" s="17">
        <f>$D108*(1+$F108)^3/(1+$G108)^3</f>
        <v/>
      </c>
      <c r="L108" s="17">
        <f>$D108*(1+$F108)^4/(1+$G108)^4</f>
        <v/>
      </c>
      <c r="M108" s="17">
        <f>$D108*(1+$F108)^5/(1+$G108)^5</f>
        <v/>
      </c>
      <c r="N108" s="17">
        <f>$D108*(1+$F108)^6/(1+$G108)^6</f>
        <v/>
      </c>
      <c r="O108" s="17">
        <f>$D108*(1+$F108)^7/(1+$G108)^7</f>
        <v/>
      </c>
      <c r="P108" s="17">
        <f>$D108*(1+$F108)^8/(1+$G108)^8</f>
        <v/>
      </c>
      <c r="Q108" s="17">
        <f>$D108*(1+$F108)^9/(1+$G108)^9</f>
        <v/>
      </c>
      <c r="R108" s="17">
        <f>$D108*(1+$F108)^10/(1+$G108)^10</f>
        <v/>
      </c>
      <c r="S108" s="26">
        <f>SUM(I108:R108)</f>
        <v/>
      </c>
      <c r="T108" s="17">
        <f>$D108*(1+$F108)^10</f>
        <v/>
      </c>
      <c r="U108" s="17">
        <f>IF($G108&lt;=$H108,"",T108*(1+$H108)/($G108-$H108))</f>
        <v/>
      </c>
      <c r="V108" s="17">
        <f>IF(ISNUMBER(U108),U108/(1+$G108)^10,"")</f>
        <v/>
      </c>
      <c r="W108" s="26">
        <f>IF(ISNUMBER(V108),S108+V108,"")</f>
        <v/>
      </c>
      <c r="X108" s="15" t="n">
        <v>1241.60469486592</v>
      </c>
      <c r="Y108" s="19">
        <f>IF(AND(ISNUMBER(W108),W108&lt;&gt;0,ISNUMBER(X108)),(W108-X108)/W108,"")</f>
        <v/>
      </c>
      <c r="Z108" s="27">
        <f>IF(NOT(ISNUMBER(Y108)),"판정불가",IF(Y108&gt;=기준표!$B$42,"투자가능",IF(Y108&gt;=0,"경계선","범위밖")))</f>
        <v/>
      </c>
    </row>
    <row r="109">
      <c r="A109" s="8" t="inlineStr">
        <is>
          <t>TSLA</t>
        </is>
      </c>
      <c r="B109" s="8" t="inlineStr">
        <is>
          <t>Tesla, Inc.</t>
        </is>
      </c>
      <c r="C109" s="8" t="inlineStr">
        <is>
          <t>낙관</t>
        </is>
      </c>
      <c r="D109" s="15" t="n">
        <v>6.466376776902114</v>
      </c>
      <c r="E109" s="23" t="n"/>
      <c r="F109" s="18">
        <f>IF(NOT(ISNUMBER(E109)),0.03,MAX(0,MIN(E109*기준표!$B$39,기준표!$B$41)))</f>
        <v/>
      </c>
      <c r="G109" s="18">
        <f>기준표!$B$37</f>
        <v/>
      </c>
      <c r="H109" s="18">
        <f>기준표!$B$38</f>
        <v/>
      </c>
      <c r="I109" s="17">
        <f>$D109*(1+$F109)^1/(1+$G109)^1</f>
        <v/>
      </c>
      <c r="J109" s="17">
        <f>$D109*(1+$F109)^2/(1+$G109)^2</f>
        <v/>
      </c>
      <c r="K109" s="17">
        <f>$D109*(1+$F109)^3/(1+$G109)^3</f>
        <v/>
      </c>
      <c r="L109" s="17">
        <f>$D109*(1+$F109)^4/(1+$G109)^4</f>
        <v/>
      </c>
      <c r="M109" s="17">
        <f>$D109*(1+$F109)^5/(1+$G109)^5</f>
        <v/>
      </c>
      <c r="N109" s="17">
        <f>$D109*(1+$F109)^6/(1+$G109)^6</f>
        <v/>
      </c>
      <c r="O109" s="17">
        <f>$D109*(1+$F109)^7/(1+$G109)^7</f>
        <v/>
      </c>
      <c r="P109" s="17">
        <f>$D109*(1+$F109)^8/(1+$G109)^8</f>
        <v/>
      </c>
      <c r="Q109" s="17">
        <f>$D109*(1+$F109)^9/(1+$G109)^9</f>
        <v/>
      </c>
      <c r="R109" s="17">
        <f>$D109*(1+$F109)^10/(1+$G109)^10</f>
        <v/>
      </c>
      <c r="S109" s="26">
        <f>SUM(I109:R109)</f>
        <v/>
      </c>
      <c r="T109" s="17">
        <f>$D109*(1+$F109)^10</f>
        <v/>
      </c>
      <c r="U109" s="17">
        <f>IF($G109&lt;=$H109,"",T109*(1+$H109)/($G109-$H109))</f>
        <v/>
      </c>
      <c r="V109" s="17">
        <f>IF(ISNUMBER(U109),U109/(1+$G109)^10,"")</f>
        <v/>
      </c>
      <c r="W109" s="26">
        <f>IF(ISNUMBER(V109),S109+V109,"")</f>
        <v/>
      </c>
      <c r="X109" s="15" t="n">
        <v>1241.60469486592</v>
      </c>
      <c r="Y109" s="19">
        <f>IF(AND(ISNUMBER(W109),W109&lt;&gt;0,ISNUMBER(X109)),(W109-X109)/W109,"")</f>
        <v/>
      </c>
      <c r="Z109" s="27">
        <f>IF(NOT(ISNUMBER(Y109)),"판정불가",IF(Y109&gt;=기준표!$B$42,"투자가능",IF(Y109&gt;=0,"경계선","범위밖")))</f>
        <v/>
      </c>
    </row>
    <row r="110">
      <c r="A110" s="8" t="inlineStr">
        <is>
          <t>TXN</t>
        </is>
      </c>
      <c r="B110" s="8" t="inlineStr">
        <is>
          <t>TEXAS INSTRUMENTS INC</t>
        </is>
      </c>
      <c r="C110" s="8" t="inlineStr">
        <is>
          <t>보수</t>
        </is>
      </c>
      <c r="D110" s="15" t="n">
        <v>1.268695359324162</v>
      </c>
      <c r="E110" s="23" t="n">
        <v>-0.1374370477180223</v>
      </c>
      <c r="F110" s="18">
        <f>IF(NOT(ISNUMBER(E110)),0.03,MAX(0,MIN(E110*기준표!$B$33,기준표!$B$40)))</f>
        <v/>
      </c>
      <c r="G110" s="18">
        <f>기준표!$B$31</f>
        <v/>
      </c>
      <c r="H110" s="18">
        <f>기준표!$B$32</f>
        <v/>
      </c>
      <c r="I110" s="17">
        <f>$D110*(1+$F110)^1/(1+$G110)^1</f>
        <v/>
      </c>
      <c r="J110" s="17">
        <f>$D110*(1+$F110)^2/(1+$G110)^2</f>
        <v/>
      </c>
      <c r="K110" s="17">
        <f>$D110*(1+$F110)^3/(1+$G110)^3</f>
        <v/>
      </c>
      <c r="L110" s="17">
        <f>$D110*(1+$F110)^4/(1+$G110)^4</f>
        <v/>
      </c>
      <c r="M110" s="17">
        <f>$D110*(1+$F110)^5/(1+$G110)^5</f>
        <v/>
      </c>
      <c r="N110" s="17">
        <f>$D110*(1+$F110)^6/(1+$G110)^6</f>
        <v/>
      </c>
      <c r="O110" s="17">
        <f>$D110*(1+$F110)^7/(1+$G110)^7</f>
        <v/>
      </c>
      <c r="P110" s="17">
        <f>$D110*(1+$F110)^8/(1+$G110)^8</f>
        <v/>
      </c>
      <c r="Q110" s="17">
        <f>$D110*(1+$F110)^9/(1+$G110)^9</f>
        <v/>
      </c>
      <c r="R110" s="17">
        <f>$D110*(1+$F110)^10/(1+$G110)^10</f>
        <v/>
      </c>
      <c r="S110" s="26">
        <f>SUM(I110:R110)</f>
        <v/>
      </c>
      <c r="T110" s="17">
        <f>$D110*(1+$F110)^10</f>
        <v/>
      </c>
      <c r="U110" s="17">
        <f>IF($G110&lt;=$H110,"",T110*(1+$H110)/($G110-$H110))</f>
        <v/>
      </c>
      <c r="V110" s="17">
        <f>IF(ISNUMBER(U110),U110/(1+$G110)^10,"")</f>
        <v/>
      </c>
      <c r="W110" s="26">
        <f>IF(ISNUMBER(V110),S110+V110,"")</f>
        <v/>
      </c>
      <c r="X110" s="15" t="n">
        <v>254.51353906056</v>
      </c>
      <c r="Y110" s="19">
        <f>IF(AND(ISNUMBER(W110),W110&lt;&gt;0,ISNUMBER(X110)),(W110-X110)/W110,"")</f>
        <v/>
      </c>
      <c r="Z110" s="27">
        <f>IF(NOT(ISNUMBER(Y110)),"판정불가",IF(Y110&gt;=기준표!$B$42,"투자가능",IF(Y110&gt;=0,"경계선","범위밖")))</f>
        <v/>
      </c>
    </row>
    <row r="111">
      <c r="A111" s="8" t="inlineStr">
        <is>
          <t>TXN</t>
        </is>
      </c>
      <c r="B111" s="8" t="inlineStr">
        <is>
          <t>TEXAS INSTRUMENTS INC</t>
        </is>
      </c>
      <c r="C111" s="8" t="inlineStr">
        <is>
          <t>기준</t>
        </is>
      </c>
      <c r="D111" s="15" t="n">
        <v>1.268695359324162</v>
      </c>
      <c r="E111" s="23" t="n">
        <v>-0.1374370477180223</v>
      </c>
      <c r="F111" s="18">
        <f>IF(NOT(ISNUMBER(E111)),0.03,MAX(0,MIN(E111*기준표!$B$36,기준표!$B$40)))</f>
        <v/>
      </c>
      <c r="G111" s="18">
        <f>기준표!$B$34</f>
        <v/>
      </c>
      <c r="H111" s="18">
        <f>기준표!$B$35</f>
        <v/>
      </c>
      <c r="I111" s="17">
        <f>$D111*(1+$F111)^1/(1+$G111)^1</f>
        <v/>
      </c>
      <c r="J111" s="17">
        <f>$D111*(1+$F111)^2/(1+$G111)^2</f>
        <v/>
      </c>
      <c r="K111" s="17">
        <f>$D111*(1+$F111)^3/(1+$G111)^3</f>
        <v/>
      </c>
      <c r="L111" s="17">
        <f>$D111*(1+$F111)^4/(1+$G111)^4</f>
        <v/>
      </c>
      <c r="M111" s="17">
        <f>$D111*(1+$F111)^5/(1+$G111)^5</f>
        <v/>
      </c>
      <c r="N111" s="17">
        <f>$D111*(1+$F111)^6/(1+$G111)^6</f>
        <v/>
      </c>
      <c r="O111" s="17">
        <f>$D111*(1+$F111)^7/(1+$G111)^7</f>
        <v/>
      </c>
      <c r="P111" s="17">
        <f>$D111*(1+$F111)^8/(1+$G111)^8</f>
        <v/>
      </c>
      <c r="Q111" s="17">
        <f>$D111*(1+$F111)^9/(1+$G111)^9</f>
        <v/>
      </c>
      <c r="R111" s="17">
        <f>$D111*(1+$F111)^10/(1+$G111)^10</f>
        <v/>
      </c>
      <c r="S111" s="26">
        <f>SUM(I111:R111)</f>
        <v/>
      </c>
      <c r="T111" s="17">
        <f>$D111*(1+$F111)^10</f>
        <v/>
      </c>
      <c r="U111" s="17">
        <f>IF($G111&lt;=$H111,"",T111*(1+$H111)/($G111-$H111))</f>
        <v/>
      </c>
      <c r="V111" s="17">
        <f>IF(ISNUMBER(U111),U111/(1+$G111)^10,"")</f>
        <v/>
      </c>
      <c r="W111" s="26">
        <f>IF(ISNUMBER(V111),S111+V111,"")</f>
        <v/>
      </c>
      <c r="X111" s="15" t="n">
        <v>254.51353906056</v>
      </c>
      <c r="Y111" s="19">
        <f>IF(AND(ISNUMBER(W111),W111&lt;&gt;0,ISNUMBER(X111)),(W111-X111)/W111,"")</f>
        <v/>
      </c>
      <c r="Z111" s="27">
        <f>IF(NOT(ISNUMBER(Y111)),"판정불가",IF(Y111&gt;=기준표!$B$42,"투자가능",IF(Y111&gt;=0,"경계선","범위밖")))</f>
        <v/>
      </c>
    </row>
    <row r="112">
      <c r="A112" s="8" t="inlineStr">
        <is>
          <t>TXN</t>
        </is>
      </c>
      <c r="B112" s="8" t="inlineStr">
        <is>
          <t>TEXAS INSTRUMENTS INC</t>
        </is>
      </c>
      <c r="C112" s="8" t="inlineStr">
        <is>
          <t>낙관</t>
        </is>
      </c>
      <c r="D112" s="15" t="n">
        <v>1.268695359324162</v>
      </c>
      <c r="E112" s="23" t="n">
        <v>-0.1374370477180223</v>
      </c>
      <c r="F112" s="18">
        <f>IF(NOT(ISNUMBER(E112)),0.03,MAX(0,MIN(E112*기준표!$B$39,기준표!$B$41)))</f>
        <v/>
      </c>
      <c r="G112" s="18">
        <f>기준표!$B$37</f>
        <v/>
      </c>
      <c r="H112" s="18">
        <f>기준표!$B$38</f>
        <v/>
      </c>
      <c r="I112" s="17">
        <f>$D112*(1+$F112)^1/(1+$G112)^1</f>
        <v/>
      </c>
      <c r="J112" s="17">
        <f>$D112*(1+$F112)^2/(1+$G112)^2</f>
        <v/>
      </c>
      <c r="K112" s="17">
        <f>$D112*(1+$F112)^3/(1+$G112)^3</f>
        <v/>
      </c>
      <c r="L112" s="17">
        <f>$D112*(1+$F112)^4/(1+$G112)^4</f>
        <v/>
      </c>
      <c r="M112" s="17">
        <f>$D112*(1+$F112)^5/(1+$G112)^5</f>
        <v/>
      </c>
      <c r="N112" s="17">
        <f>$D112*(1+$F112)^6/(1+$G112)^6</f>
        <v/>
      </c>
      <c r="O112" s="17">
        <f>$D112*(1+$F112)^7/(1+$G112)^7</f>
        <v/>
      </c>
      <c r="P112" s="17">
        <f>$D112*(1+$F112)^8/(1+$G112)^8</f>
        <v/>
      </c>
      <c r="Q112" s="17">
        <f>$D112*(1+$F112)^9/(1+$G112)^9</f>
        <v/>
      </c>
      <c r="R112" s="17">
        <f>$D112*(1+$F112)^10/(1+$G112)^10</f>
        <v/>
      </c>
      <c r="S112" s="26">
        <f>SUM(I112:R112)</f>
        <v/>
      </c>
      <c r="T112" s="17">
        <f>$D112*(1+$F112)^10</f>
        <v/>
      </c>
      <c r="U112" s="17">
        <f>IF($G112&lt;=$H112,"",T112*(1+$H112)/($G112-$H112))</f>
        <v/>
      </c>
      <c r="V112" s="17">
        <f>IF(ISNUMBER(U112),U112/(1+$G112)^10,"")</f>
        <v/>
      </c>
      <c r="W112" s="26">
        <f>IF(ISNUMBER(V112),S112+V112,"")</f>
        <v/>
      </c>
      <c r="X112" s="15" t="n">
        <v>254.51353906056</v>
      </c>
      <c r="Y112" s="19">
        <f>IF(AND(ISNUMBER(W112),W112&lt;&gt;0,ISNUMBER(X112)),(W112-X112)/W112,"")</f>
        <v/>
      </c>
      <c r="Z112" s="27">
        <f>IF(NOT(ISNUMBER(Y112)),"판정불가",IF(Y112&gt;=기준표!$B$42,"투자가능",IF(Y112&gt;=0,"경계선","범위밖")))</f>
        <v/>
      </c>
    </row>
    <row r="113">
      <c r="A113" s="8" t="inlineStr">
        <is>
          <t>GEV</t>
        </is>
      </c>
      <c r="B113" s="8" t="inlineStr">
        <is>
          <t>GE Vernova Inc.</t>
        </is>
      </c>
      <c r="C113" s="8" t="inlineStr">
        <is>
          <t>보수</t>
        </is>
      </c>
      <c r="D113" s="15" t="n">
        <v>0.965758399824961</v>
      </c>
      <c r="E113" s="23" t="n"/>
      <c r="F113" s="18">
        <f>IF(NOT(ISNUMBER(E113)),0.03,MAX(0,MIN(E113*기준표!$B$33,기준표!$B$40)))</f>
        <v/>
      </c>
      <c r="G113" s="18">
        <f>기준표!$B$31</f>
        <v/>
      </c>
      <c r="H113" s="18">
        <f>기준표!$B$32</f>
        <v/>
      </c>
      <c r="I113" s="17">
        <f>$D113*(1+$F113)^1/(1+$G113)^1</f>
        <v/>
      </c>
      <c r="J113" s="17">
        <f>$D113*(1+$F113)^2/(1+$G113)^2</f>
        <v/>
      </c>
      <c r="K113" s="17">
        <f>$D113*(1+$F113)^3/(1+$G113)^3</f>
        <v/>
      </c>
      <c r="L113" s="17">
        <f>$D113*(1+$F113)^4/(1+$G113)^4</f>
        <v/>
      </c>
      <c r="M113" s="17">
        <f>$D113*(1+$F113)^5/(1+$G113)^5</f>
        <v/>
      </c>
      <c r="N113" s="17">
        <f>$D113*(1+$F113)^6/(1+$G113)^6</f>
        <v/>
      </c>
      <c r="O113" s="17">
        <f>$D113*(1+$F113)^7/(1+$G113)^7</f>
        <v/>
      </c>
      <c r="P113" s="17">
        <f>$D113*(1+$F113)^8/(1+$G113)^8</f>
        <v/>
      </c>
      <c r="Q113" s="17">
        <f>$D113*(1+$F113)^9/(1+$G113)^9</f>
        <v/>
      </c>
      <c r="R113" s="17">
        <f>$D113*(1+$F113)^10/(1+$G113)^10</f>
        <v/>
      </c>
      <c r="S113" s="26">
        <f>SUM(I113:R113)</f>
        <v/>
      </c>
      <c r="T113" s="17">
        <f>$D113*(1+$F113)^10</f>
        <v/>
      </c>
      <c r="U113" s="17">
        <f>IF($G113&lt;=$H113,"",T113*(1+$H113)/($G113-$H113))</f>
        <v/>
      </c>
      <c r="V113" s="17">
        <f>IF(ISNUMBER(U113),U113/(1+$G113)^10,"")</f>
        <v/>
      </c>
      <c r="W113" s="26">
        <f>IF(ISNUMBER(V113),S113+V113,"")</f>
        <v/>
      </c>
      <c r="X113" s="15" t="n">
        <v>267.0632694044</v>
      </c>
      <c r="Y113" s="19">
        <f>IF(AND(ISNUMBER(W113),W113&lt;&gt;0,ISNUMBER(X113)),(W113-X113)/W113,"")</f>
        <v/>
      </c>
      <c r="Z113" s="27">
        <f>IF(NOT(ISNUMBER(Y113)),"판정불가",IF(Y113&gt;=기준표!$B$42,"투자가능",IF(Y113&gt;=0,"경계선","범위밖")))</f>
        <v/>
      </c>
    </row>
    <row r="114">
      <c r="A114" s="8" t="inlineStr">
        <is>
          <t>GEV</t>
        </is>
      </c>
      <c r="B114" s="8" t="inlineStr">
        <is>
          <t>GE Vernova Inc.</t>
        </is>
      </c>
      <c r="C114" s="8" t="inlineStr">
        <is>
          <t>기준</t>
        </is>
      </c>
      <c r="D114" s="15" t="n">
        <v>0.965758399824961</v>
      </c>
      <c r="E114" s="23" t="n"/>
      <c r="F114" s="18">
        <f>IF(NOT(ISNUMBER(E114)),0.03,MAX(0,MIN(E114*기준표!$B$36,기준표!$B$40)))</f>
        <v/>
      </c>
      <c r="G114" s="18">
        <f>기준표!$B$34</f>
        <v/>
      </c>
      <c r="H114" s="18">
        <f>기준표!$B$35</f>
        <v/>
      </c>
      <c r="I114" s="17">
        <f>$D114*(1+$F114)^1/(1+$G114)^1</f>
        <v/>
      </c>
      <c r="J114" s="17">
        <f>$D114*(1+$F114)^2/(1+$G114)^2</f>
        <v/>
      </c>
      <c r="K114" s="17">
        <f>$D114*(1+$F114)^3/(1+$G114)^3</f>
        <v/>
      </c>
      <c r="L114" s="17">
        <f>$D114*(1+$F114)^4/(1+$G114)^4</f>
        <v/>
      </c>
      <c r="M114" s="17">
        <f>$D114*(1+$F114)^5/(1+$G114)^5</f>
        <v/>
      </c>
      <c r="N114" s="17">
        <f>$D114*(1+$F114)^6/(1+$G114)^6</f>
        <v/>
      </c>
      <c r="O114" s="17">
        <f>$D114*(1+$F114)^7/(1+$G114)^7</f>
        <v/>
      </c>
      <c r="P114" s="17">
        <f>$D114*(1+$F114)^8/(1+$G114)^8</f>
        <v/>
      </c>
      <c r="Q114" s="17">
        <f>$D114*(1+$F114)^9/(1+$G114)^9</f>
        <v/>
      </c>
      <c r="R114" s="17">
        <f>$D114*(1+$F114)^10/(1+$G114)^10</f>
        <v/>
      </c>
      <c r="S114" s="26">
        <f>SUM(I114:R114)</f>
        <v/>
      </c>
      <c r="T114" s="17">
        <f>$D114*(1+$F114)^10</f>
        <v/>
      </c>
      <c r="U114" s="17">
        <f>IF($G114&lt;=$H114,"",T114*(1+$H114)/($G114-$H114))</f>
        <v/>
      </c>
      <c r="V114" s="17">
        <f>IF(ISNUMBER(U114),U114/(1+$G114)^10,"")</f>
        <v/>
      </c>
      <c r="W114" s="26">
        <f>IF(ISNUMBER(V114),S114+V114,"")</f>
        <v/>
      </c>
      <c r="X114" s="15" t="n">
        <v>267.0632694044</v>
      </c>
      <c r="Y114" s="19">
        <f>IF(AND(ISNUMBER(W114),W114&lt;&gt;0,ISNUMBER(X114)),(W114-X114)/W114,"")</f>
        <v/>
      </c>
      <c r="Z114" s="27">
        <f>IF(NOT(ISNUMBER(Y114)),"판정불가",IF(Y114&gt;=기준표!$B$42,"투자가능",IF(Y114&gt;=0,"경계선","범위밖")))</f>
        <v/>
      </c>
    </row>
    <row r="115">
      <c r="A115" s="8" t="inlineStr">
        <is>
          <t>GEV</t>
        </is>
      </c>
      <c r="B115" s="8" t="inlineStr">
        <is>
          <t>GE Vernova Inc.</t>
        </is>
      </c>
      <c r="C115" s="8" t="inlineStr">
        <is>
          <t>낙관</t>
        </is>
      </c>
      <c r="D115" s="15" t="n">
        <v>0.965758399824961</v>
      </c>
      <c r="E115" s="23" t="n"/>
      <c r="F115" s="18">
        <f>IF(NOT(ISNUMBER(E115)),0.03,MAX(0,MIN(E115*기준표!$B$39,기준표!$B$41)))</f>
        <v/>
      </c>
      <c r="G115" s="18">
        <f>기준표!$B$37</f>
        <v/>
      </c>
      <c r="H115" s="18">
        <f>기준표!$B$38</f>
        <v/>
      </c>
      <c r="I115" s="17">
        <f>$D115*(1+$F115)^1/(1+$G115)^1</f>
        <v/>
      </c>
      <c r="J115" s="17">
        <f>$D115*(1+$F115)^2/(1+$G115)^2</f>
        <v/>
      </c>
      <c r="K115" s="17">
        <f>$D115*(1+$F115)^3/(1+$G115)^3</f>
        <v/>
      </c>
      <c r="L115" s="17">
        <f>$D115*(1+$F115)^4/(1+$G115)^4</f>
        <v/>
      </c>
      <c r="M115" s="17">
        <f>$D115*(1+$F115)^5/(1+$G115)^5</f>
        <v/>
      </c>
      <c r="N115" s="17">
        <f>$D115*(1+$F115)^6/(1+$G115)^6</f>
        <v/>
      </c>
      <c r="O115" s="17">
        <f>$D115*(1+$F115)^7/(1+$G115)^7</f>
        <v/>
      </c>
      <c r="P115" s="17">
        <f>$D115*(1+$F115)^8/(1+$G115)^8</f>
        <v/>
      </c>
      <c r="Q115" s="17">
        <f>$D115*(1+$F115)^9/(1+$G115)^9</f>
        <v/>
      </c>
      <c r="R115" s="17">
        <f>$D115*(1+$F115)^10/(1+$G115)^10</f>
        <v/>
      </c>
      <c r="S115" s="26">
        <f>SUM(I115:R115)</f>
        <v/>
      </c>
      <c r="T115" s="17">
        <f>$D115*(1+$F115)^10</f>
        <v/>
      </c>
      <c r="U115" s="17">
        <f>IF($G115&lt;=$H115,"",T115*(1+$H115)/($G115-$H115))</f>
        <v/>
      </c>
      <c r="V115" s="17">
        <f>IF(ISNUMBER(U115),U115/(1+$G115)^10,"")</f>
        <v/>
      </c>
      <c r="W115" s="26">
        <f>IF(ISNUMBER(V115),S115+V115,"")</f>
        <v/>
      </c>
      <c r="X115" s="15" t="n">
        <v>267.0632694044</v>
      </c>
      <c r="Y115" s="19">
        <f>IF(AND(ISNUMBER(W115),W115&lt;&gt;0,ISNUMBER(X115)),(W115-X115)/W115,"")</f>
        <v/>
      </c>
      <c r="Z115" s="27">
        <f>IF(NOT(ISNUMBER(Y115)),"판정불가",IF(Y115&gt;=기준표!$B$42,"투자가능",IF(Y115&gt;=0,"경계선","범위밖")))</f>
        <v/>
      </c>
    </row>
    <row r="116">
      <c r="A116" s="8" t="inlineStr">
        <is>
          <t>PLTR</t>
        </is>
      </c>
      <c r="B116" s="8" t="inlineStr">
        <is>
          <t>Palantir Technologies Inc.</t>
        </is>
      </c>
      <c r="C116" s="8" t="inlineStr">
        <is>
          <t>보수</t>
        </is>
      </c>
      <c r="D116" s="15" t="n">
        <v>0.6433946927117696</v>
      </c>
      <c r="E116" s="23" t="n"/>
      <c r="F116" s="18">
        <f>IF(NOT(ISNUMBER(E116)),0.03,MAX(0,MIN(E116*기준표!$B$33,기준표!$B$40)))</f>
        <v/>
      </c>
      <c r="G116" s="18">
        <f>기준표!$B$31</f>
        <v/>
      </c>
      <c r="H116" s="18">
        <f>기준표!$B$32</f>
        <v/>
      </c>
      <c r="I116" s="17">
        <f>$D116*(1+$F116)^1/(1+$G116)^1</f>
        <v/>
      </c>
      <c r="J116" s="17">
        <f>$D116*(1+$F116)^2/(1+$G116)^2</f>
        <v/>
      </c>
      <c r="K116" s="17">
        <f>$D116*(1+$F116)^3/(1+$G116)^3</f>
        <v/>
      </c>
      <c r="L116" s="17">
        <f>$D116*(1+$F116)^4/(1+$G116)^4</f>
        <v/>
      </c>
      <c r="M116" s="17">
        <f>$D116*(1+$F116)^5/(1+$G116)^5</f>
        <v/>
      </c>
      <c r="N116" s="17">
        <f>$D116*(1+$F116)^6/(1+$G116)^6</f>
        <v/>
      </c>
      <c r="O116" s="17">
        <f>$D116*(1+$F116)^7/(1+$G116)^7</f>
        <v/>
      </c>
      <c r="P116" s="17">
        <f>$D116*(1+$F116)^8/(1+$G116)^8</f>
        <v/>
      </c>
      <c r="Q116" s="17">
        <f>$D116*(1+$F116)^9/(1+$G116)^9</f>
        <v/>
      </c>
      <c r="R116" s="17">
        <f>$D116*(1+$F116)^10/(1+$G116)^10</f>
        <v/>
      </c>
      <c r="S116" s="26">
        <f>SUM(I116:R116)</f>
        <v/>
      </c>
      <c r="T116" s="17">
        <f>$D116*(1+$F116)^10</f>
        <v/>
      </c>
      <c r="U116" s="17">
        <f>IF($G116&lt;=$H116,"",T116*(1+$H116)/($G116-$H116))</f>
        <v/>
      </c>
      <c r="V116" s="17">
        <f>IF(ISNUMBER(U116),U116/(1+$G116)^10,"")</f>
        <v/>
      </c>
      <c r="W116" s="26">
        <f>IF(ISNUMBER(V116),S116+V116,"")</f>
        <v/>
      </c>
      <c r="X116" s="15" t="n">
        <v>419.09333483853</v>
      </c>
      <c r="Y116" s="19">
        <f>IF(AND(ISNUMBER(W116),W116&lt;&gt;0,ISNUMBER(X116)),(W116-X116)/W116,"")</f>
        <v/>
      </c>
      <c r="Z116" s="27">
        <f>IF(NOT(ISNUMBER(Y116)),"판정불가",IF(Y116&gt;=기준표!$B$42,"투자가능",IF(Y116&gt;=0,"경계선","범위밖")))</f>
        <v/>
      </c>
    </row>
    <row r="117">
      <c r="A117" s="8" t="inlineStr">
        <is>
          <t>PLTR</t>
        </is>
      </c>
      <c r="B117" s="8" t="inlineStr">
        <is>
          <t>Palantir Technologies Inc.</t>
        </is>
      </c>
      <c r="C117" s="8" t="inlineStr">
        <is>
          <t>기준</t>
        </is>
      </c>
      <c r="D117" s="15" t="n">
        <v>0.6433946927117696</v>
      </c>
      <c r="E117" s="23" t="n"/>
      <c r="F117" s="18">
        <f>IF(NOT(ISNUMBER(E117)),0.03,MAX(0,MIN(E117*기준표!$B$36,기준표!$B$40)))</f>
        <v/>
      </c>
      <c r="G117" s="18">
        <f>기준표!$B$34</f>
        <v/>
      </c>
      <c r="H117" s="18">
        <f>기준표!$B$35</f>
        <v/>
      </c>
      <c r="I117" s="17">
        <f>$D117*(1+$F117)^1/(1+$G117)^1</f>
        <v/>
      </c>
      <c r="J117" s="17">
        <f>$D117*(1+$F117)^2/(1+$G117)^2</f>
        <v/>
      </c>
      <c r="K117" s="17">
        <f>$D117*(1+$F117)^3/(1+$G117)^3</f>
        <v/>
      </c>
      <c r="L117" s="17">
        <f>$D117*(1+$F117)^4/(1+$G117)^4</f>
        <v/>
      </c>
      <c r="M117" s="17">
        <f>$D117*(1+$F117)^5/(1+$G117)^5</f>
        <v/>
      </c>
      <c r="N117" s="17">
        <f>$D117*(1+$F117)^6/(1+$G117)^6</f>
        <v/>
      </c>
      <c r="O117" s="17">
        <f>$D117*(1+$F117)^7/(1+$G117)^7</f>
        <v/>
      </c>
      <c r="P117" s="17">
        <f>$D117*(1+$F117)^8/(1+$G117)^8</f>
        <v/>
      </c>
      <c r="Q117" s="17">
        <f>$D117*(1+$F117)^9/(1+$G117)^9</f>
        <v/>
      </c>
      <c r="R117" s="17">
        <f>$D117*(1+$F117)^10/(1+$G117)^10</f>
        <v/>
      </c>
      <c r="S117" s="26">
        <f>SUM(I117:R117)</f>
        <v/>
      </c>
      <c r="T117" s="17">
        <f>$D117*(1+$F117)^10</f>
        <v/>
      </c>
      <c r="U117" s="17">
        <f>IF($G117&lt;=$H117,"",T117*(1+$H117)/($G117-$H117))</f>
        <v/>
      </c>
      <c r="V117" s="17">
        <f>IF(ISNUMBER(U117),U117/(1+$G117)^10,"")</f>
        <v/>
      </c>
      <c r="W117" s="26">
        <f>IF(ISNUMBER(V117),S117+V117,"")</f>
        <v/>
      </c>
      <c r="X117" s="15" t="n">
        <v>419.09333483853</v>
      </c>
      <c r="Y117" s="19">
        <f>IF(AND(ISNUMBER(W117),W117&lt;&gt;0,ISNUMBER(X117)),(W117-X117)/W117,"")</f>
        <v/>
      </c>
      <c r="Z117" s="27">
        <f>IF(NOT(ISNUMBER(Y117)),"판정불가",IF(Y117&gt;=기준표!$B$42,"투자가능",IF(Y117&gt;=0,"경계선","범위밖")))</f>
        <v/>
      </c>
    </row>
    <row r="118">
      <c r="A118" s="8" t="inlineStr">
        <is>
          <t>PLTR</t>
        </is>
      </c>
      <c r="B118" s="8" t="inlineStr">
        <is>
          <t>Palantir Technologies Inc.</t>
        </is>
      </c>
      <c r="C118" s="8" t="inlineStr">
        <is>
          <t>낙관</t>
        </is>
      </c>
      <c r="D118" s="15" t="n">
        <v>0.6433946927117696</v>
      </c>
      <c r="E118" s="23" t="n"/>
      <c r="F118" s="18">
        <f>IF(NOT(ISNUMBER(E118)),0.03,MAX(0,MIN(E118*기준표!$B$39,기준표!$B$41)))</f>
        <v/>
      </c>
      <c r="G118" s="18">
        <f>기준표!$B$37</f>
        <v/>
      </c>
      <c r="H118" s="18">
        <f>기준표!$B$38</f>
        <v/>
      </c>
      <c r="I118" s="17">
        <f>$D118*(1+$F118)^1/(1+$G118)^1</f>
        <v/>
      </c>
      <c r="J118" s="17">
        <f>$D118*(1+$F118)^2/(1+$G118)^2</f>
        <v/>
      </c>
      <c r="K118" s="17">
        <f>$D118*(1+$F118)^3/(1+$G118)^3</f>
        <v/>
      </c>
      <c r="L118" s="17">
        <f>$D118*(1+$F118)^4/(1+$G118)^4</f>
        <v/>
      </c>
      <c r="M118" s="17">
        <f>$D118*(1+$F118)^5/(1+$G118)^5</f>
        <v/>
      </c>
      <c r="N118" s="17">
        <f>$D118*(1+$F118)^6/(1+$G118)^6</f>
        <v/>
      </c>
      <c r="O118" s="17">
        <f>$D118*(1+$F118)^7/(1+$G118)^7</f>
        <v/>
      </c>
      <c r="P118" s="17">
        <f>$D118*(1+$F118)^8/(1+$G118)^8</f>
        <v/>
      </c>
      <c r="Q118" s="17">
        <f>$D118*(1+$F118)^9/(1+$G118)^9</f>
        <v/>
      </c>
      <c r="R118" s="17">
        <f>$D118*(1+$F118)^10/(1+$G118)^10</f>
        <v/>
      </c>
      <c r="S118" s="26">
        <f>SUM(I118:R118)</f>
        <v/>
      </c>
      <c r="T118" s="17">
        <f>$D118*(1+$F118)^10</f>
        <v/>
      </c>
      <c r="U118" s="17">
        <f>IF($G118&lt;=$H118,"",T118*(1+$H118)/($G118-$H118))</f>
        <v/>
      </c>
      <c r="V118" s="17">
        <f>IF(ISNUMBER(U118),U118/(1+$G118)^10,"")</f>
        <v/>
      </c>
      <c r="W118" s="26">
        <f>IF(ISNUMBER(V118),S118+V118,"")</f>
        <v/>
      </c>
      <c r="X118" s="15" t="n">
        <v>419.09333483853</v>
      </c>
      <c r="Y118" s="19">
        <f>IF(AND(ISNUMBER(W118),W118&lt;&gt;0,ISNUMBER(X118)),(W118-X118)/W118,"")</f>
        <v/>
      </c>
      <c r="Z118" s="27">
        <f>IF(NOT(ISNUMBER(Y118)),"판정불가",IF(Y118&gt;=기준표!$B$42,"투자가능",IF(Y118&gt;=0,"경계선","범위밖")))</f>
        <v/>
      </c>
    </row>
    <row r="119">
      <c r="A119" s="8" t="inlineStr">
        <is>
          <t>MU</t>
        </is>
      </c>
      <c r="B119" s="8" t="inlineStr">
        <is>
          <t>MICRON TECHNOLOGY INC</t>
        </is>
      </c>
      <c r="C119" s="8" t="inlineStr">
        <is>
          <t>보수</t>
        </is>
      </c>
      <c r="D119" s="15" t="n">
        <v>0.6718730914997293</v>
      </c>
      <c r="E119" s="23" t="n">
        <v>-0.09707044095993722</v>
      </c>
      <c r="F119" s="18">
        <f>IF(NOT(ISNUMBER(E119)),0.03,MAX(0,MIN(E119*기준표!$B$33,기준표!$B$40)))</f>
        <v/>
      </c>
      <c r="G119" s="18">
        <f>기준표!$B$31</f>
        <v/>
      </c>
      <c r="H119" s="18">
        <f>기준표!$B$32</f>
        <v/>
      </c>
      <c r="I119" s="17">
        <f>$D119*(1+$F119)^1/(1+$G119)^1</f>
        <v/>
      </c>
      <c r="J119" s="17">
        <f>$D119*(1+$F119)^2/(1+$G119)^2</f>
        <v/>
      </c>
      <c r="K119" s="17">
        <f>$D119*(1+$F119)^3/(1+$G119)^3</f>
        <v/>
      </c>
      <c r="L119" s="17">
        <f>$D119*(1+$F119)^4/(1+$G119)^4</f>
        <v/>
      </c>
      <c r="M119" s="17">
        <f>$D119*(1+$F119)^5/(1+$G119)^5</f>
        <v/>
      </c>
      <c r="N119" s="17">
        <f>$D119*(1+$F119)^6/(1+$G119)^6</f>
        <v/>
      </c>
      <c r="O119" s="17">
        <f>$D119*(1+$F119)^7/(1+$G119)^7</f>
        <v/>
      </c>
      <c r="P119" s="17">
        <f>$D119*(1+$F119)^8/(1+$G119)^8</f>
        <v/>
      </c>
      <c r="Q119" s="17">
        <f>$D119*(1+$F119)^9/(1+$G119)^9</f>
        <v/>
      </c>
      <c r="R119" s="17">
        <f>$D119*(1+$F119)^10/(1+$G119)^10</f>
        <v/>
      </c>
      <c r="S119" s="26">
        <f>SUM(I119:R119)</f>
        <v/>
      </c>
      <c r="T119" s="17">
        <f>$D119*(1+$F119)^10</f>
        <v/>
      </c>
      <c r="U119" s="17">
        <f>IF($G119&lt;=$H119,"",T119*(1+$H119)/($G119-$H119))</f>
        <v/>
      </c>
      <c r="V119" s="17">
        <f>IF(ISNUMBER(U119),U119/(1+$G119)^10,"")</f>
        <v/>
      </c>
      <c r="W119" s="26">
        <f>IF(ISNUMBER(V119),S119+V119,"")</f>
        <v/>
      </c>
      <c r="X119" s="15" t="n">
        <v>966.443256135</v>
      </c>
      <c r="Y119" s="19">
        <f>IF(AND(ISNUMBER(W119),W119&lt;&gt;0,ISNUMBER(X119)),(W119-X119)/W119,"")</f>
        <v/>
      </c>
      <c r="Z119" s="27">
        <f>IF(NOT(ISNUMBER(Y119)),"판정불가",IF(Y119&gt;=기준표!$B$42,"투자가능",IF(Y119&gt;=0,"경계선","범위밖")))</f>
        <v/>
      </c>
    </row>
    <row r="120">
      <c r="A120" s="8" t="inlineStr">
        <is>
          <t>MU</t>
        </is>
      </c>
      <c r="B120" s="8" t="inlineStr">
        <is>
          <t>MICRON TECHNOLOGY INC</t>
        </is>
      </c>
      <c r="C120" s="8" t="inlineStr">
        <is>
          <t>기준</t>
        </is>
      </c>
      <c r="D120" s="15" t="n">
        <v>0.6718730914997293</v>
      </c>
      <c r="E120" s="23" t="n">
        <v>-0.09707044095993722</v>
      </c>
      <c r="F120" s="18">
        <f>IF(NOT(ISNUMBER(E120)),0.03,MAX(0,MIN(E120*기준표!$B$36,기준표!$B$40)))</f>
        <v/>
      </c>
      <c r="G120" s="18">
        <f>기준표!$B$34</f>
        <v/>
      </c>
      <c r="H120" s="18">
        <f>기준표!$B$35</f>
        <v/>
      </c>
      <c r="I120" s="17">
        <f>$D120*(1+$F120)^1/(1+$G120)^1</f>
        <v/>
      </c>
      <c r="J120" s="17">
        <f>$D120*(1+$F120)^2/(1+$G120)^2</f>
        <v/>
      </c>
      <c r="K120" s="17">
        <f>$D120*(1+$F120)^3/(1+$G120)^3</f>
        <v/>
      </c>
      <c r="L120" s="17">
        <f>$D120*(1+$F120)^4/(1+$G120)^4</f>
        <v/>
      </c>
      <c r="M120" s="17">
        <f>$D120*(1+$F120)^5/(1+$G120)^5</f>
        <v/>
      </c>
      <c r="N120" s="17">
        <f>$D120*(1+$F120)^6/(1+$G120)^6</f>
        <v/>
      </c>
      <c r="O120" s="17">
        <f>$D120*(1+$F120)^7/(1+$G120)^7</f>
        <v/>
      </c>
      <c r="P120" s="17">
        <f>$D120*(1+$F120)^8/(1+$G120)^8</f>
        <v/>
      </c>
      <c r="Q120" s="17">
        <f>$D120*(1+$F120)^9/(1+$G120)^9</f>
        <v/>
      </c>
      <c r="R120" s="17">
        <f>$D120*(1+$F120)^10/(1+$G120)^10</f>
        <v/>
      </c>
      <c r="S120" s="26">
        <f>SUM(I120:R120)</f>
        <v/>
      </c>
      <c r="T120" s="17">
        <f>$D120*(1+$F120)^10</f>
        <v/>
      </c>
      <c r="U120" s="17">
        <f>IF($G120&lt;=$H120,"",T120*(1+$H120)/($G120-$H120))</f>
        <v/>
      </c>
      <c r="V120" s="17">
        <f>IF(ISNUMBER(U120),U120/(1+$G120)^10,"")</f>
        <v/>
      </c>
      <c r="W120" s="26">
        <f>IF(ISNUMBER(V120),S120+V120,"")</f>
        <v/>
      </c>
      <c r="X120" s="15" t="n">
        <v>966.443256135</v>
      </c>
      <c r="Y120" s="19">
        <f>IF(AND(ISNUMBER(W120),W120&lt;&gt;0,ISNUMBER(X120)),(W120-X120)/W120,"")</f>
        <v/>
      </c>
      <c r="Z120" s="27">
        <f>IF(NOT(ISNUMBER(Y120)),"판정불가",IF(Y120&gt;=기준표!$B$42,"투자가능",IF(Y120&gt;=0,"경계선","범위밖")))</f>
        <v/>
      </c>
    </row>
    <row r="121">
      <c r="A121" s="8" t="inlineStr">
        <is>
          <t>MU</t>
        </is>
      </c>
      <c r="B121" s="8" t="inlineStr">
        <is>
          <t>MICRON TECHNOLOGY INC</t>
        </is>
      </c>
      <c r="C121" s="8" t="inlineStr">
        <is>
          <t>낙관</t>
        </is>
      </c>
      <c r="D121" s="15" t="n">
        <v>0.6718730914997293</v>
      </c>
      <c r="E121" s="23" t="n">
        <v>-0.09707044095993722</v>
      </c>
      <c r="F121" s="18">
        <f>IF(NOT(ISNUMBER(E121)),0.03,MAX(0,MIN(E121*기준표!$B$39,기준표!$B$41)))</f>
        <v/>
      </c>
      <c r="G121" s="18">
        <f>기준표!$B$37</f>
        <v/>
      </c>
      <c r="H121" s="18">
        <f>기준표!$B$38</f>
        <v/>
      </c>
      <c r="I121" s="17">
        <f>$D121*(1+$F121)^1/(1+$G121)^1</f>
        <v/>
      </c>
      <c r="J121" s="17">
        <f>$D121*(1+$F121)^2/(1+$G121)^2</f>
        <v/>
      </c>
      <c r="K121" s="17">
        <f>$D121*(1+$F121)^3/(1+$G121)^3</f>
        <v/>
      </c>
      <c r="L121" s="17">
        <f>$D121*(1+$F121)^4/(1+$G121)^4</f>
        <v/>
      </c>
      <c r="M121" s="17">
        <f>$D121*(1+$F121)^5/(1+$G121)^5</f>
        <v/>
      </c>
      <c r="N121" s="17">
        <f>$D121*(1+$F121)^6/(1+$G121)^6</f>
        <v/>
      </c>
      <c r="O121" s="17">
        <f>$D121*(1+$F121)^7/(1+$G121)^7</f>
        <v/>
      </c>
      <c r="P121" s="17">
        <f>$D121*(1+$F121)^8/(1+$G121)^8</f>
        <v/>
      </c>
      <c r="Q121" s="17">
        <f>$D121*(1+$F121)^9/(1+$G121)^9</f>
        <v/>
      </c>
      <c r="R121" s="17">
        <f>$D121*(1+$F121)^10/(1+$G121)^10</f>
        <v/>
      </c>
      <c r="S121" s="26">
        <f>SUM(I121:R121)</f>
        <v/>
      </c>
      <c r="T121" s="17">
        <f>$D121*(1+$F121)^10</f>
        <v/>
      </c>
      <c r="U121" s="17">
        <f>IF($G121&lt;=$H121,"",T121*(1+$H121)/($G121-$H121))</f>
        <v/>
      </c>
      <c r="V121" s="17">
        <f>IF(ISNUMBER(U121),U121/(1+$G121)^10,"")</f>
        <v/>
      </c>
      <c r="W121" s="26">
        <f>IF(ISNUMBER(V121),S121+V121,"")</f>
        <v/>
      </c>
      <c r="X121" s="15" t="n">
        <v>966.443256135</v>
      </c>
      <c r="Y121" s="19">
        <f>IF(AND(ISNUMBER(W121),W121&lt;&gt;0,ISNUMBER(X121)),(W121-X121)/W121,"")</f>
        <v/>
      </c>
      <c r="Z121" s="27">
        <f>IF(NOT(ISNUMBER(Y121)),"판정불가",IF(Y121&gt;=기준표!$B$42,"투자가능",IF(Y121&gt;=0,"경계선","범위밖")))</f>
        <v/>
      </c>
    </row>
  </sheetData>
  <autoFilter ref="A4:Z1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3" customWidth="1" min="3" max="3"/>
    <col width="15" customWidth="1" min="4" max="4"/>
    <col width="18" customWidth="1" min="5" max="5"/>
    <col width="12" customWidth="1" min="6" max="6"/>
    <col width="13" customWidth="1" min="7" max="7"/>
    <col width="13" customWidth="1" min="8" max="8"/>
    <col width="14" customWidth="1" min="9" max="9"/>
    <col width="14" customWidth="1" min="10" max="10"/>
    <col width="9" customWidth="1" min="11" max="11"/>
    <col width="9" customWidth="1" min="12" max="12"/>
    <col width="9" customWidth="1" min="13" max="13"/>
    <col width="14" customWidth="1" min="14" max="14"/>
    <col width="18" customWidth="1" min="15" max="15"/>
    <col width="12" customWidth="1" min="16" max="16"/>
    <col width="12" customWidth="1" min="17" max="17"/>
    <col width="12" customWidth="1" min="18" max="18"/>
    <col width="11" customWidth="1" min="19" max="19"/>
    <col width="44" customWidth="1" min="20" max="20"/>
  </cols>
  <sheetData>
    <row r="1">
      <c r="A1" s="1" t="inlineStr">
        <is>
          <t>밸류에이션 요약 — 원칙 5·6</t>
        </is>
      </c>
    </row>
    <row r="2">
      <c r="A2" s="2" t="inlineStr">
        <is>
          <t>적정가치와 안전마진은 'DCF계산' 시트의 기준 시나리오 행을 그대로 참조합니다(초록 글씨). 셀을 클릭하면 어느 행에서 왔는지 보이고, 그 행에서 10년치 할인 과정을 볼 수 있습니다.</t>
        </is>
      </c>
    </row>
    <row r="4" ht="34" customHeight="1">
      <c r="A4" s="6" t="inlineStr">
        <is>
          <t>티커</t>
        </is>
      </c>
      <c r="B4" s="6" t="inlineStr">
        <is>
          <t>기업</t>
        </is>
      </c>
      <c r="C4" s="6" t="inlineStr">
        <is>
          <t>시가총액</t>
        </is>
      </c>
      <c r="D4" s="6" t="inlineStr">
        <is>
          <t>정규화 주주이익</t>
        </is>
      </c>
      <c r="E4" s="6" t="inlineStr">
        <is>
          <t>정규화 주주이익(유지capex)</t>
        </is>
      </c>
      <c r="F4" s="6" t="inlineStr">
        <is>
          <t>순현금</t>
        </is>
      </c>
      <c r="G4" s="6" t="inlineStr">
        <is>
          <t>성장capex 비중</t>
        </is>
      </c>
      <c r="H4" s="6" t="inlineStr">
        <is>
          <t>최근 순이익</t>
        </is>
      </c>
      <c r="I4" s="6" t="inlineStr">
        <is>
          <t>최근 자기자본</t>
        </is>
      </c>
      <c r="J4" s="6" t="inlineStr">
        <is>
          <t>최근 매출</t>
        </is>
      </c>
      <c r="K4" s="6" t="inlineStr">
        <is>
          <t>PER</t>
        </is>
      </c>
      <c r="L4" s="6" t="inlineStr">
        <is>
          <t>PBR</t>
        </is>
      </c>
      <c r="M4" s="6" t="inlineStr">
        <is>
          <t>PSR</t>
        </is>
      </c>
      <c r="N4" s="6" t="inlineStr">
        <is>
          <t>기준 적정가치</t>
        </is>
      </c>
      <c r="O4" s="6" t="inlineStr">
        <is>
          <t>기준 적정가치(유지capex)</t>
        </is>
      </c>
      <c r="P4" s="6" t="inlineStr">
        <is>
          <t>P/적정가치</t>
        </is>
      </c>
      <c r="Q4" s="6" t="inlineStr">
        <is>
          <t>안전마진</t>
        </is>
      </c>
      <c r="R4" s="6" t="inlineStr">
        <is>
          <t>함축수익률</t>
        </is>
      </c>
      <c r="S4" s="6" t="inlineStr">
        <is>
          <t>판정</t>
        </is>
      </c>
      <c r="T4" s="6" t="inlineStr">
        <is>
          <t>정규화 방식</t>
        </is>
      </c>
    </row>
    <row r="5">
      <c r="A5" s="8" t="inlineStr">
        <is>
          <t>MRK</t>
        </is>
      </c>
      <c r="B5" s="8" t="inlineStr">
        <is>
          <t>Merck &amp; Co., Inc.</t>
        </is>
      </c>
      <c r="C5" s="15" t="n">
        <v>323.6855610327599</v>
      </c>
      <c r="D5" s="15" t="n">
        <v>13.296</v>
      </c>
      <c r="E5" s="15" t="n">
        <v>14.8925699531866</v>
      </c>
      <c r="F5" s="15" t="n">
        <v>-34.774</v>
      </c>
      <c r="G5" s="23" t="n">
        <v>0.2594844357976654</v>
      </c>
      <c r="H5" s="15" t="n">
        <v>18.254</v>
      </c>
      <c r="I5" s="15" t="n">
        <v>52.606</v>
      </c>
      <c r="J5" s="15" t="n">
        <v>65.011</v>
      </c>
      <c r="K5" s="20">
        <f>IF(AND(ISNUMBER(H5),H5&gt;0),C5/H5,"")</f>
        <v/>
      </c>
      <c r="L5" s="20">
        <f>IF(AND(ISNUMBER(I5),I5&lt;&gt;0),C5/I5,"")</f>
        <v/>
      </c>
      <c r="M5" s="20">
        <f>IF(AND(ISNUMBER(J5),J5&lt;&gt;0),C5/J5,"")</f>
        <v/>
      </c>
      <c r="N5" s="28">
        <f>DCF계산!W6</f>
        <v/>
      </c>
      <c r="O5" s="15" t="n">
        <v>352.4574888920827</v>
      </c>
      <c r="P5" s="20">
        <f>IF(AND(ISNUMBER(N5),N5&lt;&gt;0),C5/N5,"")</f>
        <v/>
      </c>
      <c r="Q5" s="18">
        <f>DCF계산!Y6</f>
        <v/>
      </c>
      <c r="R5" s="23" t="n">
        <v>0.1058558747125124</v>
      </c>
      <c r="S5" s="27">
        <f>DCF계산!Z6</f>
        <v/>
      </c>
      <c r="T5" s="9" t="inlineStr">
        <is>
          <t>median owner-earnings margin of the last 5 years (20.5%) applied to FY2025 revenue</t>
        </is>
      </c>
    </row>
    <row r="6">
      <c r="A6" s="8" t="inlineStr">
        <is>
          <t>MA</t>
        </is>
      </c>
      <c r="B6" s="8" t="inlineStr">
        <is>
          <t>Mastercard Inc</t>
        </is>
      </c>
      <c r="C6" s="15" t="n">
        <v>502.2419391858699</v>
      </c>
      <c r="D6" s="15" t="n">
        <v>17.24561519089805</v>
      </c>
      <c r="E6" s="15" t="n">
        <v>17.24561519089805</v>
      </c>
      <c r="F6" s="15" t="n">
        <v>-8.433999999999999</v>
      </c>
      <c r="G6" s="23" t="n">
        <v>0</v>
      </c>
      <c r="H6" s="15" t="n">
        <v>14.968</v>
      </c>
      <c r="I6" s="15" t="n">
        <v>7.737</v>
      </c>
      <c r="J6" s="15" t="n">
        <v>32.791</v>
      </c>
      <c r="K6" s="20">
        <f>IF(AND(ISNUMBER(H6),H6&gt;0),C6/H6,"")</f>
        <v/>
      </c>
      <c r="L6" s="20">
        <f>IF(AND(ISNUMBER(I6),I6&lt;&gt;0),C6/I6,"")</f>
        <v/>
      </c>
      <c r="M6" s="20">
        <f>IF(AND(ISNUMBER(J6),J6&lt;&gt;0),C6/J6,"")</f>
        <v/>
      </c>
      <c r="N6" s="28">
        <f>DCF계산!W9</f>
        <v/>
      </c>
      <c r="O6" s="15" t="n">
        <v>408.1462261845871</v>
      </c>
      <c r="P6" s="20">
        <f>IF(AND(ISNUMBER(N6),N6&lt;&gt;0),C6/N6,"")</f>
        <v/>
      </c>
      <c r="Q6" s="18">
        <f>DCF계산!Y9</f>
        <v/>
      </c>
      <c r="R6" s="23" t="n">
        <v>0.08734063194293895</v>
      </c>
      <c r="S6" s="27">
        <f>DCF계산!Z9</f>
        <v/>
      </c>
      <c r="T6" s="9" t="inlineStr">
        <is>
          <t>median owner-earnings margin of the last 5 years (52.6%) applied to FY2025 revenue</t>
        </is>
      </c>
    </row>
    <row r="7">
      <c r="A7" s="8" t="inlineStr">
        <is>
          <t>V</t>
        </is>
      </c>
      <c r="B7" s="8" t="inlineStr">
        <is>
          <t>VISA INC.</t>
        </is>
      </c>
      <c r="C7" s="15" t="n">
        <v>609.7743884964</v>
      </c>
      <c r="D7" s="15" t="n">
        <v>20.9007164790174</v>
      </c>
      <c r="E7" s="15" t="n">
        <v>21.04947117024906</v>
      </c>
      <c r="F7" s="15" t="n">
        <v>-8.007</v>
      </c>
      <c r="G7" s="23" t="n">
        <v>0.1767881241565452</v>
      </c>
      <c r="H7" s="15" t="n">
        <v>20.058</v>
      </c>
      <c r="I7" s="15" t="n">
        <v>37.909</v>
      </c>
      <c r="J7" s="15" t="n">
        <v>40</v>
      </c>
      <c r="K7" s="20">
        <f>IF(AND(ISNUMBER(H7),H7&gt;0),C7/H7,"")</f>
        <v/>
      </c>
      <c r="L7" s="20">
        <f>IF(AND(ISNUMBER(I7),I7&lt;&gt;0),C7/I7,"")</f>
        <v/>
      </c>
      <c r="M7" s="20">
        <f>IF(AND(ISNUMBER(J7),J7&lt;&gt;0),C7/J7,"")</f>
        <v/>
      </c>
      <c r="N7" s="28">
        <f>DCF계산!W12</f>
        <v/>
      </c>
      <c r="O7" s="15" t="n">
        <v>498.1708176958943</v>
      </c>
      <c r="P7" s="20">
        <f>IF(AND(ISNUMBER(N7),N7&lt;&gt;0),C7/N7,"")</f>
        <v/>
      </c>
      <c r="Q7" s="18">
        <f>DCF계산!Y12</f>
        <v/>
      </c>
      <c r="R7" s="23" t="n">
        <v>0.08763827476376046</v>
      </c>
      <c r="S7" s="27">
        <f>DCF계산!Z12</f>
        <v/>
      </c>
      <c r="T7" s="9" t="inlineStr">
        <is>
          <t>median owner-earnings margin of the last 5 years (52.3%) applied to FY2025 revenue</t>
        </is>
      </c>
    </row>
    <row r="8">
      <c r="A8" s="8" t="inlineStr">
        <is>
          <t>HD</t>
        </is>
      </c>
      <c r="B8" s="8" t="inlineStr">
        <is>
          <t>HOME DEPOT, INC.</t>
        </is>
      </c>
      <c r="C8" s="15" t="n">
        <v>349.38090204348</v>
      </c>
      <c r="D8" s="15" t="n">
        <v>14.53625788332059</v>
      </c>
      <c r="E8" s="15" t="n">
        <v>14.69008618052334</v>
      </c>
      <c r="F8" s="15" t="n">
        <v>-49.919</v>
      </c>
      <c r="G8" s="23" t="n">
        <v>0.04484914378907312</v>
      </c>
      <c r="H8" s="15" t="n">
        <v>14.156</v>
      </c>
      <c r="I8" s="15" t="n">
        <v>12.813</v>
      </c>
      <c r="J8" s="15" t="n">
        <v>164.683</v>
      </c>
      <c r="K8" s="20">
        <f>IF(AND(ISNUMBER(H8),H8&gt;0),C8/H8,"")</f>
        <v/>
      </c>
      <c r="L8" s="20">
        <f>IF(AND(ISNUMBER(I8),I8&lt;&gt;0),C8/I8,"")</f>
        <v/>
      </c>
      <c r="M8" s="20">
        <f>IF(AND(ISNUMBER(J8),J8&lt;&gt;0),C8/J8,"")</f>
        <v/>
      </c>
      <c r="N8" s="28">
        <f>DCF계산!W15</f>
        <v/>
      </c>
      <c r="O8" s="15" t="n">
        <v>279.9226574014513</v>
      </c>
      <c r="P8" s="20">
        <f>IF(AND(ISNUMBER(N8),N8&lt;&gt;0),C8/N8,"")</f>
        <v/>
      </c>
      <c r="Q8" s="18">
        <f>DCF계산!Y15</f>
        <v/>
      </c>
      <c r="R8" s="23" t="n">
        <v>0.08605459127680526</v>
      </c>
      <c r="S8" s="27">
        <f>DCF계산!Z15</f>
        <v/>
      </c>
      <c r="T8" s="9" t="inlineStr">
        <is>
          <t>median owner-earnings margin of the last 5 years (8.8%) applied to FY2025 revenue</t>
        </is>
      </c>
    </row>
    <row r="9">
      <c r="A9" s="8" t="inlineStr">
        <is>
          <t>XOM</t>
        </is>
      </c>
      <c r="B9" s="8" t="inlineStr">
        <is>
          <t>EXXON MOBIL CORP</t>
        </is>
      </c>
      <c r="C9" s="15" t="n">
        <v>665.80713215487</v>
      </c>
      <c r="D9" s="15" t="n">
        <v>31.41095338186707</v>
      </c>
      <c r="E9" s="15" t="n">
        <v>32.23208023799648</v>
      </c>
      <c r="F9" s="15" t="n">
        <v>-32.856</v>
      </c>
      <c r="G9" s="23" t="n">
        <v>0.08339798293250582</v>
      </c>
      <c r="H9" s="15" t="n">
        <v>28.844</v>
      </c>
      <c r="I9" s="15" t="n">
        <v>259.386</v>
      </c>
      <c r="J9" s="15" t="n">
        <v>332.238</v>
      </c>
      <c r="K9" s="20">
        <f>IF(AND(ISNUMBER(H9),H9&gt;0),C9/H9,"")</f>
        <v/>
      </c>
      <c r="L9" s="20">
        <f>IF(AND(ISNUMBER(I9),I9&lt;&gt;0),C9/I9,"")</f>
        <v/>
      </c>
      <c r="M9" s="20">
        <f>IF(AND(ISNUMBER(J9),J9&lt;&gt;0),C9/J9,"")</f>
        <v/>
      </c>
      <c r="N9" s="28">
        <f>DCF계산!W18</f>
        <v/>
      </c>
      <c r="O9" s="15" t="n">
        <v>521.6238384127674</v>
      </c>
      <c r="P9" s="20">
        <f>IF(AND(ISNUMBER(N9),N9&lt;&gt;0),C9/N9,"")</f>
        <v/>
      </c>
      <c r="Q9" s="18">
        <f>DCF계산!Y18</f>
        <v/>
      </c>
      <c r="R9" s="23" t="n">
        <v>0.08432111781281282</v>
      </c>
      <c r="S9" s="27">
        <f>DCF계산!Z18</f>
        <v/>
      </c>
      <c r="T9" s="9" t="inlineStr">
        <is>
          <t>median owner-earnings margin of the last 5 years (9.5%) applied to FY2025 revenue</t>
        </is>
      </c>
    </row>
    <row r="10">
      <c r="A10" s="8" t="inlineStr">
        <is>
          <t>CVX</t>
        </is>
      </c>
      <c r="B10" s="8" t="inlineStr">
        <is>
          <t>CHEVRON CORP</t>
        </is>
      </c>
      <c r="C10" s="15" t="n">
        <v>388.92059540649</v>
      </c>
      <c r="D10" s="15" t="n">
        <v>19.80061368307381</v>
      </c>
      <c r="E10" s="15" t="n">
        <v>19.80061368307381</v>
      </c>
      <c r="F10" s="15" t="n">
        <v>-43.414</v>
      </c>
      <c r="G10" s="23" t="n">
        <v>0</v>
      </c>
      <c r="H10" s="15" t="n">
        <v>12.299</v>
      </c>
      <c r="I10" s="15" t="n">
        <v>186.45</v>
      </c>
      <c r="J10" s="15" t="n">
        <v>189.031</v>
      </c>
      <c r="K10" s="20">
        <f>IF(AND(ISNUMBER(H10),H10&gt;0),C10/H10,"")</f>
        <v/>
      </c>
      <c r="L10" s="20">
        <f>IF(AND(ISNUMBER(I10),I10&lt;&gt;0),C10/I10,"")</f>
        <v/>
      </c>
      <c r="M10" s="20">
        <f>IF(AND(ISNUMBER(J10),J10&lt;&gt;0),C10/J10,"")</f>
        <v/>
      </c>
      <c r="N10" s="28">
        <f>DCF계산!W21</f>
        <v/>
      </c>
      <c r="O10" s="15" t="n">
        <v>280.6038926337897</v>
      </c>
      <c r="P10" s="20">
        <f>IF(AND(ISNUMBER(N10),N10&lt;&gt;0),C10/N10,"")</f>
        <v/>
      </c>
      <c r="Q10" s="18">
        <f>DCF계산!Y21</f>
        <v/>
      </c>
      <c r="R10" s="23" t="n">
        <v>0.07926602538367955</v>
      </c>
      <c r="S10" s="27">
        <f>DCF계산!Z21</f>
        <v/>
      </c>
      <c r="T10" s="9" t="inlineStr">
        <is>
          <t>median owner-earnings margin of the last 5 years (10.5%) applied to FY2025 revenue</t>
        </is>
      </c>
    </row>
    <row r="11">
      <c r="A11" s="8" t="inlineStr">
        <is>
          <t>JNJ</t>
        </is>
      </c>
      <c r="B11" s="8" t="inlineStr">
        <is>
          <t>JOHNSON &amp; JOHNSON</t>
        </is>
      </c>
      <c r="C11" s="15" t="n">
        <v>630.9356404341601</v>
      </c>
      <c r="D11" s="15" t="n">
        <v>26.629</v>
      </c>
      <c r="E11" s="15" t="n">
        <v>26.629</v>
      </c>
      <c r="F11" s="15" t="n">
        <v>-27.836</v>
      </c>
      <c r="G11" s="23" t="n">
        <v>0</v>
      </c>
      <c r="H11" s="15" t="n">
        <v>26.804</v>
      </c>
      <c r="I11" s="15" t="n">
        <v>81.544</v>
      </c>
      <c r="J11" s="15" t="n">
        <v>94.193</v>
      </c>
      <c r="K11" s="20">
        <f>IF(AND(ISNUMBER(H11),H11&gt;0),C11/H11,"")</f>
        <v/>
      </c>
      <c r="L11" s="20">
        <f>IF(AND(ISNUMBER(I11),I11&lt;&gt;0),C11/I11,"")</f>
        <v/>
      </c>
      <c r="M11" s="20">
        <f>IF(AND(ISNUMBER(J11),J11&lt;&gt;0),C11/J11,"")</f>
        <v/>
      </c>
      <c r="N11" s="28">
        <f>DCF계산!W24</f>
        <v/>
      </c>
      <c r="O11" s="15" t="n">
        <v>448.1767055400668</v>
      </c>
      <c r="P11" s="20">
        <f>IF(AND(ISNUMBER(N11),N11&lt;&gt;0),C11/N11,"")</f>
        <v/>
      </c>
      <c r="Q11" s="18">
        <f>DCF계산!Y24</f>
        <v/>
      </c>
      <c r="R11" s="23" t="n">
        <v>0.07911964929563003</v>
      </c>
      <c r="S11" s="27">
        <f>DCF계산!Z24</f>
        <v/>
      </c>
      <c r="T11" s="9" t="inlineStr">
        <is>
          <t>median owner-earnings margin of the last 5 years (28.3%) applied to FY2025 revenue</t>
        </is>
      </c>
    </row>
    <row r="12">
      <c r="A12" s="8" t="inlineStr">
        <is>
          <t>PG</t>
        </is>
      </c>
      <c r="B12" s="8" t="inlineStr">
        <is>
          <t>PROCTER &amp; GAMBLE Co</t>
        </is>
      </c>
      <c r="C12" s="15" t="n">
        <v>340.3899773064</v>
      </c>
      <c r="D12" s="15" t="n">
        <v>15.0547267816133</v>
      </c>
      <c r="E12" s="15" t="n">
        <v>15.97851511556167</v>
      </c>
      <c r="F12" s="15" t="n">
        <v>-24.196</v>
      </c>
      <c r="G12" s="23" t="n">
        <v>0.2832841914266274</v>
      </c>
      <c r="H12" s="15" t="n">
        <v>16.046</v>
      </c>
      <c r="I12" s="15" t="n">
        <v>54.311</v>
      </c>
      <c r="J12" s="15" t="n">
        <v>87.032</v>
      </c>
      <c r="K12" s="20">
        <f>IF(AND(ISNUMBER(H12),H12&gt;0),C12/H12,"")</f>
        <v/>
      </c>
      <c r="L12" s="20">
        <f>IF(AND(ISNUMBER(I12),I12&lt;&gt;0),C12/I12,"")</f>
        <v/>
      </c>
      <c r="M12" s="20">
        <f>IF(AND(ISNUMBER(J12),J12&lt;&gt;0),C12/J12,"")</f>
        <v/>
      </c>
      <c r="N12" s="28">
        <f>DCF계산!W27</f>
        <v/>
      </c>
      <c r="O12" s="15" t="n">
        <v>228.1826059386354</v>
      </c>
      <c r="P12" s="20">
        <f>IF(AND(ISNUMBER(N12),N12&lt;&gt;0),C12/N12,"")</f>
        <v/>
      </c>
      <c r="Q12" s="18">
        <f>DCF계산!Y27</f>
        <v/>
      </c>
      <c r="R12" s="23" t="n">
        <v>0.07548391656482306</v>
      </c>
      <c r="S12" s="27">
        <f>DCF계산!Z27</f>
        <v/>
      </c>
      <c r="T12" s="9" t="inlineStr">
        <is>
          <t>median owner-earnings margin of the last 5 years (17.3%) applied to FY2026 revenue</t>
        </is>
      </c>
    </row>
    <row r="13">
      <c r="A13" s="8" t="inlineStr">
        <is>
          <t>PM</t>
        </is>
      </c>
      <c r="B13" s="8" t="inlineStr">
        <is>
          <t>Philip Morris International Inc.</t>
        </is>
      </c>
      <c r="C13" s="15" t="n">
        <v>289.542401694</v>
      </c>
      <c r="D13" s="15" t="n">
        <v>10.70782116995152</v>
      </c>
      <c r="E13" s="15" t="n">
        <v>10.91130432592406</v>
      </c>
      <c r="F13" s="15" t="n">
        <v>-40.43</v>
      </c>
      <c r="G13" s="23" t="n">
        <v>0.367112810707457</v>
      </c>
      <c r="H13" s="15" t="n">
        <v>11.348</v>
      </c>
      <c r="I13" s="15" t="n">
        <v>-9.994</v>
      </c>
      <c r="J13" s="15" t="n">
        <v>40.648</v>
      </c>
      <c r="K13" s="20">
        <f>IF(AND(ISNUMBER(H13),H13&gt;0),C13/H13,"")</f>
        <v/>
      </c>
      <c r="L13" s="20">
        <f>IF(AND(ISNUMBER(I13),I13&lt;&gt;0),C13/I13,"")</f>
        <v/>
      </c>
      <c r="M13" s="20">
        <f>IF(AND(ISNUMBER(J13),J13&lt;&gt;0),C13/J13,"")</f>
        <v/>
      </c>
      <c r="N13" s="28">
        <f>DCF계산!W30</f>
        <v/>
      </c>
      <c r="O13" s="15" t="n">
        <v>161.4994263183381</v>
      </c>
      <c r="P13" s="20">
        <f>IF(AND(ISNUMBER(N13),N13&lt;&gt;0),C13/N13,"")</f>
        <v/>
      </c>
      <c r="Q13" s="18">
        <f>DCF계산!Y30</f>
        <v/>
      </c>
      <c r="R13" s="23" t="n">
        <v>0.06725941457554951</v>
      </c>
      <c r="S13" s="27">
        <f>DCF계산!Z30</f>
        <v/>
      </c>
      <c r="T13" s="9" t="inlineStr">
        <is>
          <t>median owner-earnings margin of the last 5 years (26.3%) applied to FY2025 revenue</t>
        </is>
      </c>
    </row>
    <row r="14">
      <c r="A14" s="8" t="inlineStr">
        <is>
          <t>DELL</t>
        </is>
      </c>
      <c r="B14" s="8" t="inlineStr">
        <is>
          <t>Dell Technologies Inc.</t>
        </is>
      </c>
      <c r="C14" s="15" t="n">
        <v>295.67530074388</v>
      </c>
      <c r="D14" s="15" t="n">
        <v>6.81</v>
      </c>
      <c r="E14" s="15" t="n">
        <v>6.81</v>
      </c>
      <c r="F14" s="15" t="n">
        <v>-19.975</v>
      </c>
      <c r="G14" s="23" t="n">
        <v>0</v>
      </c>
      <c r="H14" s="15" t="n">
        <v>5.936</v>
      </c>
      <c r="I14" s="15" t="n">
        <v>-2.47</v>
      </c>
      <c r="J14" s="15" t="n">
        <v>113.538</v>
      </c>
      <c r="K14" s="20">
        <f>IF(AND(ISNUMBER(H14),H14&gt;0),C14/H14,"")</f>
        <v/>
      </c>
      <c r="L14" s="20">
        <f>IF(AND(ISNUMBER(I14),I14&lt;&gt;0),C14/I14,"")</f>
        <v/>
      </c>
      <c r="M14" s="20">
        <f>IF(AND(ISNUMBER(J14),J14&lt;&gt;0),C14/J14,"")</f>
        <v/>
      </c>
      <c r="N14" s="28">
        <f>DCF계산!W33</f>
        <v/>
      </c>
      <c r="O14" s="15" t="n">
        <v>161.17</v>
      </c>
      <c r="P14" s="20">
        <f>IF(AND(ISNUMBER(N14),N14&lt;&gt;0),C14/N14,"")</f>
        <v/>
      </c>
      <c r="Q14" s="18">
        <f>DCF계산!Y33</f>
        <v/>
      </c>
      <c r="R14" s="23" t="n">
        <v>0.06837426405841893</v>
      </c>
      <c r="S14" s="27">
        <f>DCF계산!Z33</f>
        <v/>
      </c>
      <c r="T14" s="9" t="inlineStr">
        <is>
          <t>median owner-earnings margin of the last 5 years (6.0%) applied to FY2025 revenue</t>
        </is>
      </c>
    </row>
    <row r="15">
      <c r="A15" s="8" t="inlineStr">
        <is>
          <t>META</t>
        </is>
      </c>
      <c r="B15" s="8" t="inlineStr">
        <is>
          <t>Meta Platforms, Inc.</t>
        </is>
      </c>
      <c r="C15" s="15" t="n">
        <v>1504.88313664288</v>
      </c>
      <c r="D15" s="15" t="n">
        <v>40.24325454033298</v>
      </c>
      <c r="E15" s="15" t="n">
        <v>63.88061738150657</v>
      </c>
      <c r="F15" s="15" t="n">
        <v>22.848</v>
      </c>
      <c r="G15" s="23" t="n">
        <v>0.7328779899843595</v>
      </c>
      <c r="H15" s="15" t="n">
        <v>60.458</v>
      </c>
      <c r="I15" s="15" t="n">
        <v>217.243</v>
      </c>
      <c r="J15" s="15" t="n">
        <v>200.966</v>
      </c>
      <c r="K15" s="20">
        <f>IF(AND(ISNUMBER(H15),H15&gt;0),C15/H15,"")</f>
        <v/>
      </c>
      <c r="L15" s="20">
        <f>IF(AND(ISNUMBER(I15),I15&lt;&gt;0),C15/I15,"")</f>
        <v/>
      </c>
      <c r="M15" s="20">
        <f>IF(AND(ISNUMBER(J15),J15&lt;&gt;0),C15/J15,"")</f>
        <v/>
      </c>
      <c r="N15" s="28">
        <f>DCF계산!W36</f>
        <v/>
      </c>
      <c r="O15" s="15" t="n">
        <v>1298.392679950984</v>
      </c>
      <c r="P15" s="20">
        <f>IF(AND(ISNUMBER(N15),N15&lt;&gt;0),C15/N15,"")</f>
        <v/>
      </c>
      <c r="Q15" s="18">
        <f>DCF계산!Y36</f>
        <v/>
      </c>
      <c r="R15" s="23" t="n">
        <v>0.09052726750305953</v>
      </c>
      <c r="S15" s="27">
        <f>DCF계산!Z36</f>
        <v/>
      </c>
      <c r="T15" s="9" t="inlineStr">
        <is>
          <t>median owner-earnings margin of the last 5 years (20.0%) applied to FY2025 revenue</t>
        </is>
      </c>
    </row>
    <row r="16">
      <c r="A16" s="8" t="inlineStr">
        <is>
          <t>RTX</t>
        </is>
      </c>
      <c r="B16" s="8" t="inlineStr">
        <is>
          <t>RTX Corp</t>
        </is>
      </c>
      <c r="C16" s="15" t="n">
        <v>300.83351394512</v>
      </c>
      <c r="D16" s="15" t="n">
        <v>8.863327374666087</v>
      </c>
      <c r="E16" s="15" t="n">
        <v>8.863327374666087</v>
      </c>
      <c r="F16" s="15" t="n">
        <v>-26.307</v>
      </c>
      <c r="G16" s="23" t="n">
        <v>0</v>
      </c>
      <c r="H16" s="15" t="n">
        <v>6.732</v>
      </c>
      <c r="I16" s="15" t="n">
        <v>65.245</v>
      </c>
      <c r="J16" s="15" t="n">
        <v>88.60299999999999</v>
      </c>
      <c r="K16" s="20">
        <f>IF(AND(ISNUMBER(H16),H16&gt;0),C16/H16,"")</f>
        <v/>
      </c>
      <c r="L16" s="20">
        <f>IF(AND(ISNUMBER(I16),I16&lt;&gt;0),C16/I16,"")</f>
        <v/>
      </c>
      <c r="M16" s="20">
        <f>IF(AND(ISNUMBER(J16),J16&lt;&gt;0),C16/J16,"")</f>
        <v/>
      </c>
      <c r="N16" s="28">
        <f>DCF계산!W39</f>
        <v/>
      </c>
      <c r="O16" s="15" t="n">
        <v>125.6064182063695</v>
      </c>
      <c r="P16" s="20">
        <f>IF(AND(ISNUMBER(N16),N16&lt;&gt;0),C16/N16,"")</f>
        <v/>
      </c>
      <c r="Q16" s="18">
        <f>DCF계산!Y39</f>
        <v/>
      </c>
      <c r="R16" s="23" t="n">
        <v>0.05651654238187945</v>
      </c>
      <c r="S16" s="27">
        <f>DCF계산!Z39</f>
        <v/>
      </c>
      <c r="T16" s="9" t="inlineStr">
        <is>
          <t>median owner-earnings margin of the last 5 years (10.0%) applied to FY2025 revenue</t>
        </is>
      </c>
    </row>
    <row r="17">
      <c r="A17" s="8" t="inlineStr">
        <is>
          <t>AAPL</t>
        </is>
      </c>
      <c r="B17" s="8" t="inlineStr">
        <is>
          <t>Apple Inc.</t>
        </is>
      </c>
      <c r="C17" s="15" t="n">
        <v>4554.95857578</v>
      </c>
      <c r="D17" s="15" t="n">
        <v>107.7338200821722</v>
      </c>
      <c r="E17" s="15" t="n">
        <v>107.7338200821722</v>
      </c>
      <c r="F17" s="15" t="n">
        <v>-35.981</v>
      </c>
      <c r="G17" s="23" t="n">
        <v>0.0799842705465985</v>
      </c>
      <c r="H17" s="15" t="n">
        <v>112.01</v>
      </c>
      <c r="I17" s="15" t="n">
        <v>73.733</v>
      </c>
      <c r="J17" s="15" t="n">
        <v>416.161</v>
      </c>
      <c r="K17" s="20">
        <f>IF(AND(ISNUMBER(H17),H17&gt;0),C17/H17,"")</f>
        <v/>
      </c>
      <c r="L17" s="20">
        <f>IF(AND(ISNUMBER(I17),I17&lt;&gt;0),C17/I17,"")</f>
        <v/>
      </c>
      <c r="M17" s="20">
        <f>IF(AND(ISNUMBER(J17),J17&lt;&gt;0),C17/J17,"")</f>
        <v/>
      </c>
      <c r="N17" s="28">
        <f>DCF계산!W42</f>
        <v/>
      </c>
      <c r="O17" s="15" t="n">
        <v>1891.563402983442</v>
      </c>
      <c r="P17" s="20">
        <f>IF(AND(ISNUMBER(N17),N17&lt;&gt;0),C17/N17,"")</f>
        <v/>
      </c>
      <c r="Q17" s="18">
        <f>DCF계산!Y42</f>
        <v/>
      </c>
      <c r="R17" s="23" t="n">
        <v>0.05743903428600025</v>
      </c>
      <c r="S17" s="27">
        <f>DCF계산!Z42</f>
        <v/>
      </c>
      <c r="T17" s="9" t="inlineStr">
        <is>
          <t>median owner-earnings margin of the last 5 years (25.9%) applied to FY2025 revenue</t>
        </is>
      </c>
    </row>
    <row r="18">
      <c r="A18" s="8" t="inlineStr">
        <is>
          <t>LRCX</t>
        </is>
      </c>
      <c r="B18" s="8" t="inlineStr">
        <is>
          <t>LAM RESEARCH CORP</t>
        </is>
      </c>
      <c r="C18" s="15" t="n">
        <v>383.4047544</v>
      </c>
      <c r="D18" s="15" t="n">
        <v>6.456399747723214</v>
      </c>
      <c r="E18" s="15" t="n">
        <v>6.668532401808049</v>
      </c>
      <c r="F18" s="15" t="n">
        <v>1.85711</v>
      </c>
      <c r="G18" s="23" t="n">
        <v>0.5431180509206802</v>
      </c>
      <c r="H18" s="15" t="n">
        <v>7.265396</v>
      </c>
      <c r="I18" s="15" t="n">
        <v>12.470921</v>
      </c>
      <c r="J18" s="15" t="n">
        <v>23.23269</v>
      </c>
      <c r="K18" s="20">
        <f>IF(AND(ISNUMBER(H18),H18&gt;0),C18/H18,"")</f>
        <v/>
      </c>
      <c r="L18" s="20">
        <f>IF(AND(ISNUMBER(I18),I18&lt;&gt;0),C18/I18,"")</f>
        <v/>
      </c>
      <c r="M18" s="20">
        <f>IF(AND(ISNUMBER(J18),J18&lt;&gt;0),C18/J18,"")</f>
        <v/>
      </c>
      <c r="N18" s="28">
        <f>DCF계산!W45</f>
        <v/>
      </c>
      <c r="O18" s="15" t="n">
        <v>157.8219335094571</v>
      </c>
      <c r="P18" s="20">
        <f>IF(AND(ISNUMBER(N18),N18&lt;&gt;0),C18/N18,"")</f>
        <v/>
      </c>
      <c r="Q18" s="18">
        <f>DCF계산!Y45</f>
        <v/>
      </c>
      <c r="R18" s="23" t="n">
        <v>0.058436364320868</v>
      </c>
      <c r="S18" s="27">
        <f>DCF계산!Z45</f>
        <v/>
      </c>
      <c r="T18" s="9" t="inlineStr">
        <is>
          <t>median owner-earnings margin of the last 5 years (27.8%) applied to FY2026 revenue</t>
        </is>
      </c>
    </row>
    <row r="19">
      <c r="A19" s="8" t="inlineStr">
        <is>
          <t>KLAC</t>
        </is>
      </c>
      <c r="B19" s="8" t="inlineStr">
        <is>
          <t>KLA CORP</t>
        </is>
      </c>
      <c r="C19" s="15" t="n">
        <v>251.82382695542</v>
      </c>
      <c r="D19" s="15" t="n">
        <v>4.161932293242543</v>
      </c>
      <c r="E19" s="15" t="n">
        <v>4.161932293242543</v>
      </c>
      <c r="F19" s="15" t="n">
        <v>-4.237573</v>
      </c>
      <c r="G19" s="23" t="n">
        <v>0</v>
      </c>
      <c r="H19" s="15" t="n">
        <v>4.830771</v>
      </c>
      <c r="I19" s="15" t="n">
        <v>6.34982</v>
      </c>
      <c r="J19" s="15" t="n">
        <v>13.579476</v>
      </c>
      <c r="K19" s="20">
        <f>IF(AND(ISNUMBER(H19),H19&gt;0),C19/H19,"")</f>
        <v/>
      </c>
      <c r="L19" s="20">
        <f>IF(AND(ISNUMBER(I19),I19&lt;&gt;0),C19/I19,"")</f>
        <v/>
      </c>
      <c r="M19" s="20">
        <f>IF(AND(ISNUMBER(J19),J19&lt;&gt;0),C19/J19,"")</f>
        <v/>
      </c>
      <c r="N19" s="28">
        <f>DCF계산!W48</f>
        <v/>
      </c>
      <c r="O19" s="15" t="n">
        <v>98.49906427340684</v>
      </c>
      <c r="P19" s="20">
        <f>IF(AND(ISNUMBER(N19),N19&lt;&gt;0),C19/N19,"")</f>
        <v/>
      </c>
      <c r="Q19" s="18">
        <f>DCF계산!Y48</f>
        <v/>
      </c>
      <c r="R19" s="23" t="n">
        <v>0.05687778189541409</v>
      </c>
      <c r="S19" s="27">
        <f>DCF계산!Z48</f>
        <v/>
      </c>
      <c r="T19" s="9" t="inlineStr">
        <is>
          <t>median owner-earnings margin of the last 5 years (30.6%) applied to FY2026 revenue</t>
        </is>
      </c>
    </row>
    <row r="20">
      <c r="A20" s="8" t="inlineStr">
        <is>
          <t>GOOG</t>
        </is>
      </c>
      <c r="B20" s="8" t="inlineStr">
        <is>
          <t>Alphabet Inc.</t>
        </is>
      </c>
      <c r="C20" s="15" t="n">
        <v>4304.596479999999</v>
      </c>
      <c r="D20" s="15" t="n">
        <v>69.58576482352336</v>
      </c>
      <c r="E20" s="15" t="n">
        <v>112.4268966053174</v>
      </c>
      <c r="F20" s="15" t="n">
        <v>77.758</v>
      </c>
      <c r="G20" s="23" t="n">
        <v>0.7688715868207814</v>
      </c>
      <c r="H20" s="15" t="n">
        <v>132.17</v>
      </c>
      <c r="I20" s="15" t="n">
        <v>415.265</v>
      </c>
      <c r="J20" s="15" t="n">
        <v>402.836</v>
      </c>
      <c r="K20" s="20">
        <f>IF(AND(ISNUMBER(H20),H20&gt;0),C20/H20,"")</f>
        <v/>
      </c>
      <c r="L20" s="20">
        <f>IF(AND(ISNUMBER(I20),I20&lt;&gt;0),C20/I20,"")</f>
        <v/>
      </c>
      <c r="M20" s="20">
        <f>IF(AND(ISNUMBER(J20),J20&lt;&gt;0),C20/J20,"")</f>
        <v/>
      </c>
      <c r="N20" s="28">
        <f>DCF계산!W51</f>
        <v/>
      </c>
      <c r="O20" s="15" t="n">
        <v>2660.769886325845</v>
      </c>
      <c r="P20" s="20">
        <f>IF(AND(ISNUMBER(N20),N20&lt;&gt;0),C20/N20,"")</f>
        <v/>
      </c>
      <c r="Q20" s="18">
        <f>DCF계산!Y51</f>
        <v/>
      </c>
      <c r="R20" s="23" t="n">
        <v>0.07366864572398441</v>
      </c>
      <c r="S20" s="27">
        <f>DCF계산!Z51</f>
        <v/>
      </c>
      <c r="T20" s="9" t="inlineStr">
        <is>
          <t>median owner-earnings margin of the last 5 years (17.3%) applied to FY2025 revenue</t>
        </is>
      </c>
    </row>
    <row r="21">
      <c r="A21" s="8" t="inlineStr">
        <is>
          <t>IBM</t>
        </is>
      </c>
      <c r="B21" s="8" t="inlineStr">
        <is>
          <t>INTERNATIONAL BUSINESS MACHINES CORP</t>
        </is>
      </c>
      <c r="C21" s="15" t="n">
        <v>221.66691000924</v>
      </c>
      <c r="D21" s="15" t="n">
        <v>7.323565008844199</v>
      </c>
      <c r="E21" s="15" t="n">
        <v>7.323565008844199</v>
      </c>
      <c r="F21" s="15" t="n">
        <v>-47.673</v>
      </c>
      <c r="G21" s="23" t="n">
        <v>0</v>
      </c>
      <c r="H21" s="15" t="n">
        <v>10.593</v>
      </c>
      <c r="I21" s="15" t="n">
        <v>32.648</v>
      </c>
      <c r="J21" s="15" t="n">
        <v>67.535</v>
      </c>
      <c r="K21" s="20">
        <f>IF(AND(ISNUMBER(H21),H21&gt;0),C21/H21,"")</f>
        <v/>
      </c>
      <c r="L21" s="20">
        <f>IF(AND(ISNUMBER(I21),I21&lt;&gt;0),C21/I21,"")</f>
        <v/>
      </c>
      <c r="M21" s="20">
        <f>IF(AND(ISNUMBER(J21),J21&lt;&gt;0),C21/J21,"")</f>
        <v/>
      </c>
      <c r="N21" s="28">
        <f>DCF계산!W54</f>
        <v/>
      </c>
      <c r="O21" s="15" t="n">
        <v>83.6591225846504</v>
      </c>
      <c r="P21" s="20">
        <f>IF(AND(ISNUMBER(N21),N21&lt;&gt;0),C21/N21,"")</f>
        <v/>
      </c>
      <c r="Q21" s="18">
        <f>DCF계산!Y54</f>
        <v/>
      </c>
      <c r="R21" s="23" t="n">
        <v>0.05225434810715358</v>
      </c>
      <c r="S21" s="27">
        <f>DCF계산!Z54</f>
        <v/>
      </c>
      <c r="T21" s="9" t="inlineStr">
        <is>
          <t>median owner-earnings margin of the last 5 years (10.8%) applied to FY2025 revenue</t>
        </is>
      </c>
    </row>
    <row r="22">
      <c r="A22" s="8" t="inlineStr">
        <is>
          <t>NFLX</t>
        </is>
      </c>
      <c r="B22" s="8" t="inlineStr">
        <is>
          <t>NETFLIX INC</t>
        </is>
      </c>
      <c r="C22" s="15" t="n">
        <v>322.1087504235</v>
      </c>
      <c r="D22" s="15" t="n">
        <v>8.53998619209314</v>
      </c>
      <c r="E22" s="15" t="n">
        <v>8.53998619209314</v>
      </c>
      <c r="F22" s="15" t="n">
        <v>-5.400477</v>
      </c>
      <c r="G22" s="23" t="n">
        <v>0.5155778675423557</v>
      </c>
      <c r="H22" s="15" t="n">
        <v>10.981201</v>
      </c>
      <c r="I22" s="15" t="n">
        <v>26.615488</v>
      </c>
      <c r="J22" s="15" t="n">
        <v>45.183036</v>
      </c>
      <c r="K22" s="20">
        <f>IF(AND(ISNUMBER(H22),H22&gt;0),C22/H22,"")</f>
        <v/>
      </c>
      <c r="L22" s="20">
        <f>IF(AND(ISNUMBER(I22),I22&lt;&gt;0),C22/I22,"")</f>
        <v/>
      </c>
      <c r="M22" s="20">
        <f>IF(AND(ISNUMBER(J22),J22&lt;&gt;0),C22/J22,"")</f>
        <v/>
      </c>
      <c r="N22" s="28">
        <f>DCF계산!W57</f>
        <v/>
      </c>
      <c r="O22" s="15" t="n">
        <v>121.024196870657</v>
      </c>
      <c r="P22" s="20">
        <f>IF(AND(ISNUMBER(N22),N22&lt;&gt;0),C22/N22,"")</f>
        <v/>
      </c>
      <c r="Q22" s="18">
        <f>DCF계산!Y57</f>
        <v/>
      </c>
      <c r="R22" s="23" t="n">
        <v>0.05337635307104172</v>
      </c>
      <c r="S22" s="27">
        <f>DCF계산!Z57</f>
        <v/>
      </c>
      <c r="T22" s="9" t="inlineStr">
        <is>
          <t>median owner-earnings margin of the last 5 years (18.9%) applied to FY2025 revenue</t>
        </is>
      </c>
    </row>
    <row r="23">
      <c r="A23" s="8" t="inlineStr">
        <is>
          <t>MSFT</t>
        </is>
      </c>
      <c r="B23" s="8" t="inlineStr">
        <is>
          <t>MICROSOFT CORP</t>
        </is>
      </c>
      <c r="C23" s="15" t="n">
        <v>3757.77155117546</v>
      </c>
      <c r="D23" s="15" t="n">
        <v>84.17528464242739</v>
      </c>
      <c r="E23" s="15" t="n">
        <v>123.2341625510667</v>
      </c>
      <c r="F23" s="15" t="n">
        <v>36.549</v>
      </c>
      <c r="G23" s="23" t="n">
        <v>0.7041777348466554</v>
      </c>
      <c r="H23" s="15" t="n">
        <v>133.749</v>
      </c>
      <c r="I23" s="15" t="n">
        <v>442.387</v>
      </c>
      <c r="J23" s="15" t="n">
        <v>331.839</v>
      </c>
      <c r="K23" s="20">
        <f>IF(AND(ISNUMBER(H23),H23&gt;0),C23/H23,"")</f>
        <v/>
      </c>
      <c r="L23" s="20">
        <f>IF(AND(ISNUMBER(I23),I23&lt;&gt;0),C23/I23,"")</f>
        <v/>
      </c>
      <c r="M23" s="20">
        <f>IF(AND(ISNUMBER(J23),J23&lt;&gt;0),C23/J23,"")</f>
        <v/>
      </c>
      <c r="N23" s="28">
        <f>DCF계산!W60</f>
        <v/>
      </c>
      <c r="O23" s="15" t="n">
        <v>1971.688648397716</v>
      </c>
      <c r="P23" s="20">
        <f>IF(AND(ISNUMBER(N23),N23&lt;&gt;0),C23/N23,"")</f>
        <v/>
      </c>
      <c r="Q23" s="18">
        <f>DCF계산!Y60</f>
        <v/>
      </c>
      <c r="R23" s="23" t="n">
        <v>0.06518693240744111</v>
      </c>
      <c r="S23" s="27">
        <f>DCF계산!Z60</f>
        <v/>
      </c>
      <c r="T23" s="9" t="inlineStr">
        <is>
          <t>median owner-earnings margin of the last 5 years (25.4%) applied to FY2026 revenue</t>
        </is>
      </c>
    </row>
    <row r="24">
      <c r="A24" s="8" t="inlineStr">
        <is>
          <t>COST</t>
        </is>
      </c>
      <c r="B24" s="8" t="inlineStr">
        <is>
          <t>COSTCO WHOLESALE CORP /NEW</t>
        </is>
      </c>
      <c r="C24" s="15" t="n">
        <v>422.238959934</v>
      </c>
      <c r="D24" s="15" t="n">
        <v>6.38985048908333</v>
      </c>
      <c r="E24" s="15" t="n">
        <v>8.941246791035535</v>
      </c>
      <c r="F24" s="15" t="n">
        <v>9.496</v>
      </c>
      <c r="G24" s="23" t="n">
        <v>0.5587486358675882</v>
      </c>
      <c r="H24" s="15" t="n">
        <v>8.099</v>
      </c>
      <c r="I24" s="15" t="n">
        <v>29.164</v>
      </c>
      <c r="J24" s="15" t="n">
        <v>275.235</v>
      </c>
      <c r="K24" s="20">
        <f>IF(AND(ISNUMBER(H24),H24&gt;0),C24/H24,"")</f>
        <v/>
      </c>
      <c r="L24" s="20">
        <f>IF(AND(ISNUMBER(I24),I24&lt;&gt;0),C24/I24,"")</f>
        <v/>
      </c>
      <c r="M24" s="20">
        <f>IF(AND(ISNUMBER(J24),J24&lt;&gt;0),C24/J24,"")</f>
        <v/>
      </c>
      <c r="N24" s="28">
        <f>DCF계산!W63</f>
        <v/>
      </c>
      <c r="O24" s="15" t="n">
        <v>211.609507387841</v>
      </c>
      <c r="P24" s="20">
        <f>IF(AND(ISNUMBER(N24),N24&lt;&gt;0),C24/N24,"")</f>
        <v/>
      </c>
      <c r="Q24" s="18">
        <f>DCF계산!Y63</f>
        <v/>
      </c>
      <c r="R24" s="23" t="n">
        <v>0.06514218408886008</v>
      </c>
      <c r="S24" s="27">
        <f>DCF계산!Z63</f>
        <v/>
      </c>
      <c r="T24" s="9" t="inlineStr">
        <is>
          <t>median owner-earnings margin of the last 5 years (2.3%) applied to FY2025 revenue</t>
        </is>
      </c>
    </row>
    <row r="25">
      <c r="A25" s="8" t="inlineStr">
        <is>
          <t>GE</t>
        </is>
      </c>
      <c r="B25" s="8" t="inlineStr">
        <is>
          <t>GENERAL ELECTRIC CO</t>
        </is>
      </c>
      <c r="C25" s="15" t="n">
        <v>384.5999515203999</v>
      </c>
      <c r="D25" s="15" t="n">
        <v>9.440411304437353</v>
      </c>
      <c r="E25" s="15" t="n">
        <v>9.440411304437353</v>
      </c>
      <c r="F25" s="15" t="n">
        <v>-6.441</v>
      </c>
      <c r="G25" s="23" t="n">
        <v>0.3220738413197172</v>
      </c>
      <c r="H25" s="15" t="n">
        <v>8.704000000000001</v>
      </c>
      <c r="I25" s="15" t="n">
        <v>18.677</v>
      </c>
      <c r="J25" s="15" t="n">
        <v>45.855</v>
      </c>
      <c r="K25" s="20">
        <f>IF(AND(ISNUMBER(H25),H25&gt;0),C25/H25,"")</f>
        <v/>
      </c>
      <c r="L25" s="20">
        <f>IF(AND(ISNUMBER(I25),I25&lt;&gt;0),C25/I25,"")</f>
        <v/>
      </c>
      <c r="M25" s="20">
        <f>IF(AND(ISNUMBER(J25),J25&lt;&gt;0),C25/J25,"")</f>
        <v/>
      </c>
      <c r="N25" s="28">
        <f>DCF계산!W66</f>
        <v/>
      </c>
      <c r="O25" s="15" t="n">
        <v>133.7845484230428</v>
      </c>
      <c r="P25" s="20">
        <f>IF(AND(ISNUMBER(N25),N25&lt;&gt;0),C25/N25,"")</f>
        <v/>
      </c>
      <c r="Q25" s="18">
        <f>DCF계산!Y66</f>
        <v/>
      </c>
      <c r="R25" s="23" t="n">
        <v>0.05128103570858486</v>
      </c>
      <c r="S25" s="27">
        <f>DCF계산!Z66</f>
        <v/>
      </c>
      <c r="T25" s="9" t="inlineStr">
        <is>
          <t>median owner-earnings margin of the last 5 years (20.6%) applied to FY2025 revenue</t>
        </is>
      </c>
    </row>
    <row r="26">
      <c r="A26" s="8" t="inlineStr">
        <is>
          <t>CAT</t>
        </is>
      </c>
      <c r="B26" s="8" t="inlineStr">
        <is>
          <t>CATERPILLAR INC</t>
        </is>
      </c>
      <c r="C26" s="15" t="n">
        <v>389.71536353656</v>
      </c>
      <c r="D26" s="15" t="n">
        <v>7.775</v>
      </c>
      <c r="E26" s="15" t="n">
        <v>8.334</v>
      </c>
      <c r="F26" s="15" t="n">
        <v>-26.224</v>
      </c>
      <c r="G26" s="23" t="n">
        <v>0.1981566820276498</v>
      </c>
      <c r="H26" s="15" t="n">
        <v>8.882</v>
      </c>
      <c r="I26" s="15" t="n">
        <v>21.318</v>
      </c>
      <c r="J26" s="15" t="n">
        <v>67.589</v>
      </c>
      <c r="K26" s="20">
        <f>IF(AND(ISNUMBER(H26),H26&gt;0),C26/H26,"")</f>
        <v/>
      </c>
      <c r="L26" s="20">
        <f>IF(AND(ISNUMBER(I26),I26&lt;&gt;0),C26/I26,"")</f>
        <v/>
      </c>
      <c r="M26" s="20">
        <f>IF(AND(ISNUMBER(J26),J26&lt;&gt;0),C26/J26,"")</f>
        <v/>
      </c>
      <c r="N26" s="28">
        <f>DCF계산!W69</f>
        <v/>
      </c>
      <c r="O26" s="15" t="n">
        <v>144.5510669500701</v>
      </c>
      <c r="P26" s="20">
        <f>IF(AND(ISNUMBER(N26),N26&lt;&gt;0),C26/N26,"")</f>
        <v/>
      </c>
      <c r="Q26" s="18">
        <f>DCF계산!Y69</f>
        <v/>
      </c>
      <c r="R26" s="23" t="n">
        <v>0.05402340021408215</v>
      </c>
      <c r="S26" s="27">
        <f>DCF계산!Z69</f>
        <v/>
      </c>
      <c r="T26" s="9" t="inlineStr">
        <is>
          <t>median owner-earnings margin of the last 5 years (11.5%) applied to FY2025 revenue</t>
        </is>
      </c>
    </row>
    <row r="27">
      <c r="A27" s="8" t="inlineStr">
        <is>
          <t>AMAT</t>
        </is>
      </c>
      <c r="B27" s="8" t="inlineStr">
        <is>
          <t>APPLIED MATERIALS INC /DE</t>
        </is>
      </c>
      <c r="C27" s="15" t="n">
        <v>414.01159025592</v>
      </c>
      <c r="D27" s="15" t="n">
        <v>5.512959111997572</v>
      </c>
      <c r="E27" s="15" t="n">
        <v>6.67</v>
      </c>
      <c r="F27" s="15" t="n">
        <v>2.118</v>
      </c>
      <c r="G27" s="23" t="n">
        <v>0.8075221238938053</v>
      </c>
      <c r="H27" s="15" t="n">
        <v>6.998</v>
      </c>
      <c r="I27" s="15" t="n">
        <v>20.415</v>
      </c>
      <c r="J27" s="15" t="n">
        <v>28.368</v>
      </c>
      <c r="K27" s="20">
        <f>IF(AND(ISNUMBER(H27),H27&gt;0),C27/H27,"")</f>
        <v/>
      </c>
      <c r="L27" s="20">
        <f>IF(AND(ISNUMBER(I27),I27&lt;&gt;0),C27/I27,"")</f>
        <v/>
      </c>
      <c r="M27" s="20">
        <f>IF(AND(ISNUMBER(J27),J27&lt;&gt;0),C27/J27,"")</f>
        <v/>
      </c>
      <c r="N27" s="28">
        <f>DCF계산!W72</f>
        <v/>
      </c>
      <c r="O27" s="15" t="n">
        <v>157.8566666666666</v>
      </c>
      <c r="P27" s="20">
        <f>IF(AND(ISNUMBER(N27),N27&lt;&gt;0),C27/N27,"")</f>
        <v/>
      </c>
      <c r="Q27" s="18">
        <f>DCF계산!Y72</f>
        <v/>
      </c>
      <c r="R27" s="23" t="n">
        <v>0.05612467479488578</v>
      </c>
      <c r="S27" s="27">
        <f>DCF계산!Z72</f>
        <v/>
      </c>
      <c r="T27" s="9" t="inlineStr">
        <is>
          <t>median owner-earnings margin of the last 5 years (19.4%) applied to FY2025 revenue</t>
        </is>
      </c>
    </row>
    <row r="28">
      <c r="A28" s="8" t="inlineStr">
        <is>
          <t>KO</t>
        </is>
      </c>
      <c r="B28" s="8" t="inlineStr">
        <is>
          <t>COCA COLA CO</t>
        </is>
      </c>
      <c r="C28" s="15" t="n">
        <v>373.60381300403</v>
      </c>
      <c r="D28" s="15" t="n">
        <v>10.03099986047809</v>
      </c>
      <c r="E28" s="15" t="n">
        <v>10.64354325304891</v>
      </c>
      <c r="F28" s="15" t="n">
        <v>-29.742</v>
      </c>
      <c r="G28" s="23" t="n">
        <v>0.5028409090909091</v>
      </c>
      <c r="H28" s="15" t="n">
        <v>13.107</v>
      </c>
      <c r="I28" s="15" t="n">
        <v>32.169</v>
      </c>
      <c r="J28" s="15" t="n">
        <v>47.941</v>
      </c>
      <c r="K28" s="20">
        <f>IF(AND(ISNUMBER(H28),H28&gt;0),C28/H28,"")</f>
        <v/>
      </c>
      <c r="L28" s="20">
        <f>IF(AND(ISNUMBER(I28),I28&lt;&gt;0),C28/I28,"")</f>
        <v/>
      </c>
      <c r="M28" s="20">
        <f>IF(AND(ISNUMBER(J28),J28&lt;&gt;0),C28/J28,"")</f>
        <v/>
      </c>
      <c r="N28" s="28">
        <f>DCF계산!W75</f>
        <v/>
      </c>
      <c r="O28" s="15" t="n">
        <v>121.481770346031</v>
      </c>
      <c r="P28" s="20">
        <f>IF(AND(ISNUMBER(N28),N28&lt;&gt;0),C28/N28,"")</f>
        <v/>
      </c>
      <c r="Q28" s="18">
        <f>DCF계산!Y75</f>
        <v/>
      </c>
      <c r="R28" s="23" t="n">
        <v>0.04839001655491923</v>
      </c>
      <c r="S28" s="27">
        <f>DCF계산!Z75</f>
        <v/>
      </c>
      <c r="T28" s="9" t="inlineStr">
        <is>
          <t>median owner-earnings margin of the last 5 years (20.9%) applied to FY2025 revenue</t>
        </is>
      </c>
    </row>
    <row r="29">
      <c r="A29" s="8" t="inlineStr">
        <is>
          <t>ANET</t>
        </is>
      </c>
      <c r="B29" s="8" t="inlineStr">
        <is>
          <t>Arista Networks, Inc.</t>
        </is>
      </c>
      <c r="C29" s="15" t="n">
        <v>240.65213975712</v>
      </c>
      <c r="D29" s="15" t="n">
        <v>2.895751623477015</v>
      </c>
      <c r="E29" s="15" t="n">
        <v>2.895751623477015</v>
      </c>
      <c r="F29" s="15" t="n">
        <v>10.743</v>
      </c>
      <c r="G29" s="23" t="n">
        <v>0.3924686192468619</v>
      </c>
      <c r="H29" s="15" t="n">
        <v>3.5114</v>
      </c>
      <c r="I29" s="15" t="n">
        <v>12.3705</v>
      </c>
      <c r="J29" s="15" t="n">
        <v>9.005699999999999</v>
      </c>
      <c r="K29" s="20">
        <f>IF(AND(ISNUMBER(H29),H29&gt;0),C29/H29,"")</f>
        <v/>
      </c>
      <c r="L29" s="20">
        <f>IF(AND(ISNUMBER(I29),I29&lt;&gt;0),C29/I29,"")</f>
        <v/>
      </c>
      <c r="M29" s="20">
        <f>IF(AND(ISNUMBER(J29),J29&lt;&gt;0),C29/J29,"")</f>
        <v/>
      </c>
      <c r="N29" s="28">
        <f>DCF계산!W78</f>
        <v/>
      </c>
      <c r="O29" s="15" t="n">
        <v>68.5327884222893</v>
      </c>
      <c r="P29" s="20">
        <f>IF(AND(ISNUMBER(N29),N29&lt;&gt;0),C29/N29,"")</f>
        <v/>
      </c>
      <c r="Q29" s="18">
        <f>DCF계산!Y78</f>
        <v/>
      </c>
      <c r="R29" s="23" t="n">
        <v>0.04863137026074849</v>
      </c>
      <c r="S29" s="27">
        <f>DCF계산!Z78</f>
        <v/>
      </c>
      <c r="T29" s="9" t="inlineStr">
        <is>
          <t>median owner-earnings margin of the last 5 years (32.2%) applied to FY2025 revenue</t>
        </is>
      </c>
    </row>
    <row r="30">
      <c r="A30" s="8" t="inlineStr">
        <is>
          <t>NVDA</t>
        </is>
      </c>
      <c r="B30" s="8" t="inlineStr">
        <is>
          <t>NVIDIA CORP</t>
        </is>
      </c>
      <c r="C30" s="15" t="n">
        <v>5286.465</v>
      </c>
      <c r="D30" s="15" t="n">
        <v>61.5303753436873</v>
      </c>
      <c r="E30" s="15" t="n">
        <v>64.45886497733521</v>
      </c>
      <c r="F30" s="15" t="n">
        <v>1.138</v>
      </c>
      <c r="G30" s="23" t="n">
        <v>0.602780536246276</v>
      </c>
      <c r="H30" s="15" t="n">
        <v>120.067</v>
      </c>
      <c r="I30" s="15" t="n">
        <v>157.293</v>
      </c>
      <c r="J30" s="15" t="n">
        <v>215.938</v>
      </c>
      <c r="K30" s="20">
        <f>IF(AND(ISNUMBER(H30),H30&gt;0),C30/H30,"")</f>
        <v/>
      </c>
      <c r="L30" s="20">
        <f>IF(AND(ISNUMBER(I30),I30&lt;&gt;0),C30/I30,"")</f>
        <v/>
      </c>
      <c r="M30" s="20">
        <f>IF(AND(ISNUMBER(J30),J30&lt;&gt;0),C30/J30,"")</f>
        <v/>
      </c>
      <c r="N30" s="28">
        <f>DCF계산!W81</f>
        <v/>
      </c>
      <c r="O30" s="15" t="n">
        <v>1525.526471130267</v>
      </c>
      <c r="P30" s="20">
        <f>IF(AND(ISNUMBER(N30),N30&lt;&gt;0),C30/N30,"")</f>
        <v/>
      </c>
      <c r="Q30" s="18">
        <f>DCF계산!Y81</f>
        <v/>
      </c>
      <c r="R30" s="23" t="n">
        <v>0.0489301474151294</v>
      </c>
      <c r="S30" s="27">
        <f>DCF계산!Z81</f>
        <v/>
      </c>
      <c r="T30" s="9" t="inlineStr">
        <is>
          <t>median owner-earnings margin of the last 5 years (28.5%) applied to FY2025 revenue</t>
        </is>
      </c>
    </row>
    <row r="31">
      <c r="A31" s="8" t="inlineStr">
        <is>
          <t>CSCO</t>
        </is>
      </c>
      <c r="B31" s="8" t="inlineStr">
        <is>
          <t>CISCO SYSTEMS, INC.</t>
        </is>
      </c>
      <c r="C31" s="15" t="n">
        <v>484.54335052921</v>
      </c>
      <c r="D31" s="15" t="n">
        <v>11.06663370638323</v>
      </c>
      <c r="E31" s="15" t="n">
        <v>11.06663370638323</v>
      </c>
      <c r="F31" s="15" t="n">
        <v>-11.983</v>
      </c>
      <c r="G31" s="23" t="n">
        <v>0.2265193370165746</v>
      </c>
      <c r="H31" s="15" t="n">
        <v>10.18</v>
      </c>
      <c r="I31" s="15" t="n">
        <v>46.843</v>
      </c>
      <c r="J31" s="15" t="n">
        <v>56.654</v>
      </c>
      <c r="K31" s="20">
        <f>IF(AND(ISNUMBER(H31),H31&gt;0),C31/H31,"")</f>
        <v/>
      </c>
      <c r="L31" s="20">
        <f>IF(AND(ISNUMBER(I31),I31&lt;&gt;0),C31/I31,"")</f>
        <v/>
      </c>
      <c r="M31" s="20">
        <f>IF(AND(ISNUMBER(J31),J31&lt;&gt;0),C31/J31,"")</f>
        <v/>
      </c>
      <c r="N31" s="28">
        <f>DCF계산!W84</f>
        <v/>
      </c>
      <c r="O31" s="15" t="n">
        <v>126.3107803914248</v>
      </c>
      <c r="P31" s="20">
        <f>IF(AND(ISNUMBER(N31),N31&lt;&gt;0),C31/N31,"")</f>
        <v/>
      </c>
      <c r="Q31" s="18">
        <f>DCF계산!Y84</f>
        <v/>
      </c>
      <c r="R31" s="23" t="n">
        <v>0.04366385828826334</v>
      </c>
      <c r="S31" s="27">
        <f>DCF계산!Z84</f>
        <v/>
      </c>
      <c r="T31" s="9" t="inlineStr">
        <is>
          <t>median owner-earnings margin of the last 5 years (19.5%) applied to FY2025 revenue</t>
        </is>
      </c>
    </row>
    <row r="32">
      <c r="A32" s="8" t="inlineStr">
        <is>
          <t>AMZN</t>
        </is>
      </c>
      <c r="B32" s="8" t="inlineStr">
        <is>
          <t>AMAZON COM INC</t>
        </is>
      </c>
      <c r="C32" s="15" t="n">
        <v>2985.2741447383</v>
      </c>
      <c r="D32" s="15" t="n">
        <v>26.91902845063807</v>
      </c>
      <c r="E32" s="15" t="n">
        <v>48.39544478547194</v>
      </c>
      <c r="F32" s="15" t="n">
        <v>54.633</v>
      </c>
      <c r="G32" s="23" t="n">
        <v>0.5011644755308415</v>
      </c>
      <c r="H32" s="15" t="n">
        <v>77.67</v>
      </c>
      <c r="I32" s="15" t="n">
        <v>411.065</v>
      </c>
      <c r="J32" s="15" t="n">
        <v>716.924</v>
      </c>
      <c r="K32" s="20">
        <f>IF(AND(ISNUMBER(H32),H32&gt;0),C32/H32,"")</f>
        <v/>
      </c>
      <c r="L32" s="20">
        <f>IF(AND(ISNUMBER(I32),I32&lt;&gt;0),C32/I32,"")</f>
        <v/>
      </c>
      <c r="M32" s="20">
        <f>IF(AND(ISNUMBER(J32),J32&lt;&gt;0),C32/J32,"")</f>
        <v/>
      </c>
      <c r="N32" s="28">
        <f>DCF계산!W87</f>
        <v/>
      </c>
      <c r="O32" s="15" t="n">
        <v>1145.358859922836</v>
      </c>
      <c r="P32" s="20">
        <f>IF(AND(ISNUMBER(N32),N32&lt;&gt;0),C32/N32,"")</f>
        <v/>
      </c>
      <c r="Q32" s="18">
        <f>DCF계산!Y87</f>
        <v/>
      </c>
      <c r="R32" s="23" t="n">
        <v>0.05630701402840754</v>
      </c>
      <c r="S32" s="27">
        <f>DCF계산!Z87</f>
        <v/>
      </c>
      <c r="T32" s="9" t="inlineStr">
        <is>
          <t>median owner-earnings margin of the last 5 years (3.8%) applied to FY2025 revenue</t>
        </is>
      </c>
    </row>
    <row r="33">
      <c r="A33" s="8" t="inlineStr">
        <is>
          <t>AVGO</t>
        </is>
      </c>
      <c r="B33" s="8" t="inlineStr">
        <is>
          <t>Broadcom Inc.</t>
        </is>
      </c>
      <c r="C33" s="15" t="n">
        <v>2002.7140526976</v>
      </c>
      <c r="D33" s="15" t="n">
        <v>17.839</v>
      </c>
      <c r="E33" s="15" t="n">
        <v>17.888</v>
      </c>
      <c r="F33" s="15" t="n">
        <v>-48.958</v>
      </c>
      <c r="G33" s="23" t="n">
        <v>0.07865168539325842</v>
      </c>
      <c r="H33" s="15" t="n">
        <v>23.126</v>
      </c>
      <c r="I33" s="15" t="n">
        <v>81.292</v>
      </c>
      <c r="J33" s="15" t="n">
        <v>63.887</v>
      </c>
      <c r="K33" s="20">
        <f>IF(AND(ISNUMBER(H33),H33&gt;0),C33/H33,"")</f>
        <v/>
      </c>
      <c r="L33" s="20">
        <f>IF(AND(ISNUMBER(I33),I33&lt;&gt;0),C33/I33,"")</f>
        <v/>
      </c>
      <c r="M33" s="20">
        <f>IF(AND(ISNUMBER(J33),J33&lt;&gt;0),C33/J33,"")</f>
        <v/>
      </c>
      <c r="N33" s="28">
        <f>DCF계산!W90</f>
        <v/>
      </c>
      <c r="O33" s="15" t="n">
        <v>423.3493333333333</v>
      </c>
      <c r="P33" s="20">
        <f>IF(AND(ISNUMBER(N33),N33&lt;&gt;0),C33/N33,"")</f>
        <v/>
      </c>
      <c r="Q33" s="18">
        <f>DCF계산!Y90</f>
        <v/>
      </c>
      <c r="R33" s="23" t="n">
        <v>0.04277530565718368</v>
      </c>
      <c r="S33" s="27">
        <f>DCF계산!Z90</f>
        <v/>
      </c>
      <c r="T33" s="9" t="inlineStr">
        <is>
          <t>median owner-earnings margin of the last 5 years (27.9%) applied to FY2025 revenue</t>
        </is>
      </c>
    </row>
    <row r="34">
      <c r="A34" s="8" t="inlineStr">
        <is>
          <t>ORCL</t>
        </is>
      </c>
      <c r="B34" s="8" t="inlineStr">
        <is>
          <t>ORACLE CORP</t>
        </is>
      </c>
      <c r="C34" s="15" t="n">
        <v>435.09514455</v>
      </c>
      <c r="D34" s="15" t="n">
        <v>5.250163901979264</v>
      </c>
      <c r="E34" s="15" t="n">
        <v>14.40609736958002</v>
      </c>
      <c r="F34" s="15" t="n">
        <v>24.695</v>
      </c>
      <c r="G34" s="23" t="n">
        <v>0.8630508596374612</v>
      </c>
      <c r="H34" s="15" t="n">
        <v>17.087</v>
      </c>
      <c r="I34" s="15" t="n">
        <v>42.508</v>
      </c>
      <c r="J34" s="15" t="n">
        <v>67.357</v>
      </c>
      <c r="K34" s="20">
        <f>IF(AND(ISNUMBER(H34),H34&gt;0),C34/H34,"")</f>
        <v/>
      </c>
      <c r="L34" s="20">
        <f>IF(AND(ISNUMBER(I34),I34&lt;&gt;0),C34/I34,"")</f>
        <v/>
      </c>
      <c r="M34" s="20">
        <f>IF(AND(ISNUMBER(J34),J34&lt;&gt;0),C34/J34,"")</f>
        <v/>
      </c>
      <c r="N34" s="28">
        <f>DCF계산!W93</f>
        <v/>
      </c>
      <c r="O34" s="15" t="n">
        <v>204.1556420557372</v>
      </c>
      <c r="P34" s="20">
        <f>IF(AND(ISNUMBER(N34),N34&lt;&gt;0),C34/N34,"")</f>
        <v/>
      </c>
      <c r="Q34" s="18">
        <f>DCF계산!Y93</f>
        <v/>
      </c>
      <c r="R34" s="23" t="n">
        <v>0.06039547833531367</v>
      </c>
      <c r="S34" s="27">
        <f>DCF계산!Z93</f>
        <v/>
      </c>
      <c r="T34" s="9" t="inlineStr">
        <is>
          <t>median owner-earnings margin of the last 5 years (7.8%) applied to FY2025 revenue</t>
        </is>
      </c>
    </row>
    <row r="35">
      <c r="A35" s="8" t="inlineStr">
        <is>
          <t>WMT</t>
        </is>
      </c>
      <c r="B35" s="8" t="inlineStr">
        <is>
          <t>Walmart Inc.</t>
        </is>
      </c>
      <c r="C35" s="15" t="n">
        <v>898.1708657626599</v>
      </c>
      <c r="D35" s="15" t="n">
        <v>11.54850666219934</v>
      </c>
      <c r="E35" s="15" t="n">
        <v>18.44146692337274</v>
      </c>
      <c r="F35" s="15" t="n">
        <v>-30.493</v>
      </c>
      <c r="G35" s="23" t="n">
        <v>0.4668943772990016</v>
      </c>
      <c r="H35" s="15" t="n">
        <v>21.893</v>
      </c>
      <c r="I35" s="15" t="n">
        <v>99.617</v>
      </c>
      <c r="J35" s="15" t="n">
        <v>706.413</v>
      </c>
      <c r="K35" s="20">
        <f>IF(AND(ISNUMBER(H35),H35&gt;0),C35/H35,"")</f>
        <v/>
      </c>
      <c r="L35" s="20">
        <f>IF(AND(ISNUMBER(I35),I35&lt;&gt;0),C35/I35,"")</f>
        <v/>
      </c>
      <c r="M35" s="20">
        <f>IF(AND(ISNUMBER(J35),J35&lt;&gt;0),C35/J35,"")</f>
        <v/>
      </c>
      <c r="N35" s="28">
        <f>DCF계산!W96</f>
        <v/>
      </c>
      <c r="O35" s="15" t="n">
        <v>210.484609905385</v>
      </c>
      <c r="P35" s="20">
        <f>IF(AND(ISNUMBER(N35),N35&lt;&gt;0),C35/N35,"")</f>
        <v/>
      </c>
      <c r="Q35" s="18">
        <f>DCF계산!Y96</f>
        <v/>
      </c>
      <c r="R35" s="23" t="n">
        <v>0.0417458277417998</v>
      </c>
      <c r="S35" s="27">
        <f>DCF계산!Z96</f>
        <v/>
      </c>
      <c r="T35" s="9" t="inlineStr">
        <is>
          <t>median owner-earnings margin of the last 5 years (1.6%) applied to FY2025 revenue</t>
        </is>
      </c>
    </row>
    <row r="36">
      <c r="A36" s="8" t="inlineStr">
        <is>
          <t>ABBV</t>
        </is>
      </c>
      <c r="B36" s="8" t="inlineStr">
        <is>
          <t>AbbVie Inc.</t>
        </is>
      </c>
      <c r="C36" s="15" t="n">
        <v>438.45286990564</v>
      </c>
      <c r="D36" s="15" t="n">
        <v>5.574903255582774</v>
      </c>
      <c r="E36" s="15" t="n">
        <v>5.802893456882167</v>
      </c>
      <c r="F36" s="15" t="n">
        <v>-56.183</v>
      </c>
      <c r="G36" s="23" t="n">
        <v>0.3723228995057661</v>
      </c>
      <c r="H36" s="15" t="n">
        <v>4.226</v>
      </c>
      <c r="I36" s="15" t="n">
        <v>-3.27</v>
      </c>
      <c r="J36" s="15" t="n">
        <v>61.16</v>
      </c>
      <c r="K36" s="20">
        <f>IF(AND(ISNUMBER(H36),H36&gt;0),C36/H36,"")</f>
        <v/>
      </c>
      <c r="L36" s="20">
        <f>IF(AND(ISNUMBER(I36),I36&lt;&gt;0),C36/I36,"")</f>
        <v/>
      </c>
      <c r="M36" s="20">
        <f>IF(AND(ISNUMBER(J36),J36&lt;&gt;0),C36/J36,"")</f>
        <v/>
      </c>
      <c r="N36" s="28">
        <f>DCF계산!W99</f>
        <v/>
      </c>
      <c r="O36" s="15" t="n">
        <v>66.23224555126497</v>
      </c>
      <c r="P36" s="20">
        <f>IF(AND(ISNUMBER(N36),N36&lt;&gt;0),C36/N36,"")</f>
        <v/>
      </c>
      <c r="Q36" s="18">
        <f>DCF계산!Y99</f>
        <v/>
      </c>
      <c r="R36" s="23" t="n">
        <v>0.03572615556739833</v>
      </c>
      <c r="S36" s="27">
        <f>DCF계산!Z99</f>
        <v/>
      </c>
      <c r="T36" s="9" t="inlineStr">
        <is>
          <t>median owner-earnings margin of the last 5 years (9.1%) applied to FY2025 revenue</t>
        </is>
      </c>
    </row>
    <row r="37">
      <c r="A37" s="8" t="inlineStr">
        <is>
          <t>PANW</t>
        </is>
      </c>
      <c r="B37" s="8" t="inlineStr">
        <is>
          <t>Palo Alto Networks Inc</t>
        </is>
      </c>
      <c r="C37" s="15" t="n">
        <v>257.553256</v>
      </c>
      <c r="D37" s="15" t="n">
        <v>1.089690796059599</v>
      </c>
      <c r="E37" s="15" t="n">
        <v>1.089690796059599</v>
      </c>
      <c r="F37" s="15" t="n">
        <v>2.9032</v>
      </c>
      <c r="G37" s="23" t="n">
        <v>0</v>
      </c>
      <c r="H37" s="15" t="n">
        <v>1.1339</v>
      </c>
      <c r="I37" s="15" t="n">
        <v>7.8244</v>
      </c>
      <c r="J37" s="15" t="n">
        <v>9.221500000000001</v>
      </c>
      <c r="K37" s="20">
        <f>IF(AND(ISNUMBER(H37),H37&gt;0),C37/H37,"")</f>
        <v/>
      </c>
      <c r="L37" s="20">
        <f>IF(AND(ISNUMBER(I37),I37&lt;&gt;0),C37/I37,"")</f>
        <v/>
      </c>
      <c r="M37" s="20">
        <f>IF(AND(ISNUMBER(J37),J37&lt;&gt;0),C37/J37,"")</f>
        <v/>
      </c>
      <c r="N37" s="28">
        <f>DCF계산!W102</f>
        <v/>
      </c>
      <c r="O37" s="15" t="n">
        <v>25.78934884007717</v>
      </c>
      <c r="P37" s="20">
        <f>IF(AND(ISNUMBER(N37),N37&lt;&gt;0),C37/N37,"")</f>
        <v/>
      </c>
      <c r="Q37" s="18">
        <f>DCF계산!Y102</f>
        <v/>
      </c>
      <c r="R37" s="23" t="n">
        <v>0.03360341990221988</v>
      </c>
      <c r="S37" s="27">
        <f>DCF계산!Z102</f>
        <v/>
      </c>
      <c r="T37" s="9" t="inlineStr">
        <is>
          <t>median owner-earnings margin of the last 5 years (11.8%) applied to FY2025 revenue</t>
        </is>
      </c>
    </row>
    <row r="38">
      <c r="A38" s="8" t="inlineStr">
        <is>
          <t>LLY</t>
        </is>
      </c>
      <c r="B38" s="8" t="inlineStr">
        <is>
          <t>ELI LILLY &amp; Co</t>
        </is>
      </c>
      <c r="C38" s="15" t="n">
        <v>1162.1597399948</v>
      </c>
      <c r="D38" s="15" t="n">
        <v>6.0862</v>
      </c>
      <c r="E38" s="15" t="n">
        <v>11.9302</v>
      </c>
      <c r="F38" s="15" t="n">
        <v>-35.235</v>
      </c>
      <c r="G38" s="23" t="n">
        <v>0.7453130978191557</v>
      </c>
      <c r="H38" s="15" t="n">
        <v>20.64</v>
      </c>
      <c r="I38" s="15" t="n">
        <v>26.535</v>
      </c>
      <c r="J38" s="15" t="n">
        <v>65.179</v>
      </c>
      <c r="K38" s="20">
        <f>IF(AND(ISNUMBER(H38),H38&gt;0),C38/H38,"")</f>
        <v/>
      </c>
      <c r="L38" s="20">
        <f>IF(AND(ISNUMBER(I38),I38&lt;&gt;0),C38/I38,"")</f>
        <v/>
      </c>
      <c r="M38" s="20">
        <f>IF(AND(ISNUMBER(J38),J38&lt;&gt;0),C38/J38,"")</f>
        <v/>
      </c>
      <c r="N38" s="28">
        <f>DCF계산!W105</f>
        <v/>
      </c>
      <c r="O38" s="15" t="n">
        <v>206.3876902573286</v>
      </c>
      <c r="P38" s="20">
        <f>IF(AND(ISNUMBER(N38),N38&lt;&gt;0),C38/N38,"")</f>
        <v/>
      </c>
      <c r="Q38" s="18">
        <f>DCF계산!Y105</f>
        <v/>
      </c>
      <c r="R38" s="23" t="n">
        <v>0.03911735755469448</v>
      </c>
      <c r="S38" s="27">
        <f>DCF계산!Z105</f>
        <v/>
      </c>
      <c r="T38" s="9" t="inlineStr">
        <is>
          <t>median owner-earnings margin of the last 5 years (9.3%) applied to FY2025 revenue</t>
        </is>
      </c>
    </row>
    <row r="39">
      <c r="A39" s="8" t="inlineStr">
        <is>
          <t>TSLA</t>
        </is>
      </c>
      <c r="B39" s="8" t="inlineStr">
        <is>
          <t>Tesla, Inc.</t>
        </is>
      </c>
      <c r="C39" s="15" t="n">
        <v>1241.60469486592</v>
      </c>
      <c r="D39" s="15" t="n">
        <v>6.466376776902114</v>
      </c>
      <c r="E39" s="15" t="n">
        <v>11.98171308094572</v>
      </c>
      <c r="F39" s="15" t="n">
        <v>35.906</v>
      </c>
      <c r="G39" s="23" t="n">
        <v>0.4101090653219186</v>
      </c>
      <c r="H39" s="15" t="n">
        <v>3.794</v>
      </c>
      <c r="I39" s="15" t="n">
        <v>82.137</v>
      </c>
      <c r="J39" s="15" t="n">
        <v>94.827</v>
      </c>
      <c r="K39" s="20">
        <f>IF(AND(ISNUMBER(H39),H39&gt;0),C39/H39,"")</f>
        <v/>
      </c>
      <c r="L39" s="20">
        <f>IF(AND(ISNUMBER(I39),I39&lt;&gt;0),C39/I39,"")</f>
        <v/>
      </c>
      <c r="M39" s="20">
        <f>IF(AND(ISNUMBER(J39),J39&lt;&gt;0),C39/J39,"")</f>
        <v/>
      </c>
      <c r="N39" s="28">
        <f>DCF계산!W108</f>
        <v/>
      </c>
      <c r="O39" s="15" t="n">
        <v>169.7985418405798</v>
      </c>
      <c r="P39" s="20">
        <f>IF(AND(ISNUMBER(N39),N39&lt;&gt;0),C39/N39,"")</f>
        <v/>
      </c>
      <c r="Q39" s="18">
        <f>DCF계산!Y108</f>
        <v/>
      </c>
      <c r="R39" s="23" t="n">
        <v>0.03536285454860197</v>
      </c>
      <c r="S39" s="27">
        <f>DCF계산!Z108</f>
        <v/>
      </c>
      <c r="T39" s="9" t="inlineStr">
        <is>
          <t>median owner-earnings margin of the last 5 years (6.8%) applied to FY2025 revenue</t>
        </is>
      </c>
    </row>
    <row r="40">
      <c r="A40" s="8" t="inlineStr">
        <is>
          <t>TXN</t>
        </is>
      </c>
      <c r="B40" s="8" t="inlineStr">
        <is>
          <t>TEXAS INSTRUMENTS INC</t>
        </is>
      </c>
      <c r="C40" s="15" t="n">
        <v>254.51353906056</v>
      </c>
      <c r="D40" s="15" t="n">
        <v>1.268695359324162</v>
      </c>
      <c r="E40" s="15" t="n">
        <v>5.200944460300246</v>
      </c>
      <c r="F40" s="15" t="n">
        <v>-9.167</v>
      </c>
      <c r="G40" s="23" t="n">
        <v>0.5784615384615385</v>
      </c>
      <c r="H40" s="15" t="n">
        <v>5.001</v>
      </c>
      <c r="I40" s="15" t="n">
        <v>16.273</v>
      </c>
      <c r="J40" s="15" t="n">
        <v>17.682</v>
      </c>
      <c r="K40" s="20">
        <f>IF(AND(ISNUMBER(H40),H40&gt;0),C40/H40,"")</f>
        <v/>
      </c>
      <c r="L40" s="20">
        <f>IF(AND(ISNUMBER(I40),I40&lt;&gt;0),C40/I40,"")</f>
        <v/>
      </c>
      <c r="M40" s="20">
        <f>IF(AND(ISNUMBER(J40),J40&lt;&gt;0),C40/J40,"")</f>
        <v/>
      </c>
      <c r="N40" s="28">
        <f>DCF계산!W111</f>
        <v/>
      </c>
      <c r="O40" s="15" t="n">
        <v>59.36180513267209</v>
      </c>
      <c r="P40" s="20">
        <f>IF(AND(ISNUMBER(N40),N40&lt;&gt;0),C40/N40,"")</f>
        <v/>
      </c>
      <c r="Q40" s="18">
        <f>DCF계산!Y111</f>
        <v/>
      </c>
      <c r="R40" s="23" t="n">
        <v>0.0416650036225808</v>
      </c>
      <c r="S40" s="27">
        <f>DCF계산!Z111</f>
        <v/>
      </c>
      <c r="T40" s="9" t="inlineStr">
        <is>
          <t>median owner-earnings margin of the last 5 years (7.2%) applied to FY2025 revenue</t>
        </is>
      </c>
    </row>
    <row r="41">
      <c r="A41" s="8" t="inlineStr">
        <is>
          <t>GEV</t>
        </is>
      </c>
      <c r="B41" s="8" t="inlineStr">
        <is>
          <t>GE Vernova Inc.</t>
        </is>
      </c>
      <c r="C41" s="15" t="n">
        <v>267.0632694044</v>
      </c>
      <c r="D41" s="15" t="n">
        <v>0.965758399824961</v>
      </c>
      <c r="E41" s="15" t="n">
        <v>5.086651266638042</v>
      </c>
      <c r="F41" s="15" t="n">
        <v>8.785</v>
      </c>
      <c r="G41" s="23" t="n">
        <v>0.5184025058731402</v>
      </c>
      <c r="H41" s="15" t="n">
        <v>4.884</v>
      </c>
      <c r="I41" s="15" t="n">
        <v>12.296</v>
      </c>
      <c r="J41" s="15" t="n">
        <v>38.068</v>
      </c>
      <c r="K41" s="20">
        <f>IF(AND(ISNUMBER(H41),H41&gt;0),C41/H41,"")</f>
        <v/>
      </c>
      <c r="L41" s="20">
        <f>IF(AND(ISNUMBER(I41),I41&lt;&gt;0),C41/I41,"")</f>
        <v/>
      </c>
      <c r="M41" s="20">
        <f>IF(AND(ISNUMBER(J41),J41&lt;&gt;0),C41/J41,"")</f>
        <v/>
      </c>
      <c r="N41" s="28">
        <f>DCF계산!W114</f>
        <v/>
      </c>
      <c r="O41" s="15" t="n">
        <v>72.08534890559284</v>
      </c>
      <c r="P41" s="20">
        <f>IF(AND(ISNUMBER(N41),N41&lt;&gt;0),C41/N41,"")</f>
        <v/>
      </c>
      <c r="Q41" s="18">
        <f>DCF계산!Y114</f>
        <v/>
      </c>
      <c r="R41" s="23" t="n">
        <v>0.04541434429352453</v>
      </c>
      <c r="S41" s="27">
        <f>DCF계산!Z114</f>
        <v/>
      </c>
      <c r="T41" s="9" t="inlineStr">
        <is>
          <t>median owner-earnings margin of the last 4 years (2.5%) applied to FY2025 revenue</t>
        </is>
      </c>
    </row>
    <row r="42">
      <c r="A42" s="8" t="inlineStr">
        <is>
          <t>PLTR</t>
        </is>
      </c>
      <c r="B42" s="8" t="inlineStr">
        <is>
          <t>Palantir Technologies Inc.</t>
        </is>
      </c>
      <c r="C42" s="15" t="n">
        <v>419.09333483853</v>
      </c>
      <c r="D42" s="15" t="n">
        <v>0.6433946927117696</v>
      </c>
      <c r="E42" s="15" t="n">
        <v>0.6433946927117696</v>
      </c>
      <c r="F42" s="15" t="n">
        <v>7.204672</v>
      </c>
      <c r="G42" s="23" t="n">
        <v>0.2283513369930937</v>
      </c>
      <c r="H42" s="15" t="n">
        <v>1.625033</v>
      </c>
      <c r="I42" s="15" t="n">
        <v>7.387268</v>
      </c>
      <c r="J42" s="15" t="n">
        <v>4.475446</v>
      </c>
      <c r="K42" s="20">
        <f>IF(AND(ISNUMBER(H42),H42&gt;0),C42/H42,"")</f>
        <v/>
      </c>
      <c r="L42" s="20">
        <f>IF(AND(ISNUMBER(I42),I42&lt;&gt;0),C42/I42,"")</f>
        <v/>
      </c>
      <c r="M42" s="20">
        <f>IF(AND(ISNUMBER(J42),J42&lt;&gt;0),C42/J42,"")</f>
        <v/>
      </c>
      <c r="N42" s="28">
        <f>DCF계산!W117</f>
        <v/>
      </c>
      <c r="O42" s="15" t="n">
        <v>9.117851505237635</v>
      </c>
      <c r="P42" s="20">
        <f>IF(AND(ISNUMBER(N42),N42&lt;&gt;0),C42/N42,"")</f>
        <v/>
      </c>
      <c r="Q42" s="18">
        <f>DCF계산!Y117</f>
        <v/>
      </c>
      <c r="R42" s="23" t="n">
        <v>0.0266514831603877</v>
      </c>
      <c r="S42" s="27">
        <f>DCF계산!Z117</f>
        <v/>
      </c>
      <c r="T42" s="9" t="inlineStr">
        <is>
          <t>median owner-earnings margin of the last 5 years (14.4%) applied to FY2025 revenue</t>
        </is>
      </c>
    </row>
    <row r="43">
      <c r="A43" s="8" t="inlineStr">
        <is>
          <t>MU</t>
        </is>
      </c>
      <c r="B43" s="8" t="inlineStr">
        <is>
          <t>MICRON TECHNOLOGY INC</t>
        </is>
      </c>
      <c r="C43" s="15" t="n">
        <v>966.443256135</v>
      </c>
      <c r="D43" s="15" t="n">
        <v>0.6718730914997293</v>
      </c>
      <c r="E43" s="15" t="n">
        <v>5.820201840822956</v>
      </c>
      <c r="F43" s="15" t="n">
        <v>-4.27</v>
      </c>
      <c r="G43" s="23" t="n">
        <v>0.4732925521851548</v>
      </c>
      <c r="H43" s="15" t="n">
        <v>8.539</v>
      </c>
      <c r="I43" s="15" t="n">
        <v>54.165</v>
      </c>
      <c r="J43" s="15" t="n">
        <v>37.378</v>
      </c>
      <c r="K43" s="20">
        <f>IF(AND(ISNUMBER(H43),H43&gt;0),C43/H43,"")</f>
        <v/>
      </c>
      <c r="L43" s="20">
        <f>IF(AND(ISNUMBER(I43),I43&lt;&gt;0),C43/I43,"")</f>
        <v/>
      </c>
      <c r="M43" s="20">
        <f>IF(AND(ISNUMBER(J43),J43&lt;&gt;0),C43/J43,"")</f>
        <v/>
      </c>
      <c r="N43" s="28">
        <f>DCF계산!W120</f>
        <v/>
      </c>
      <c r="O43" s="15" t="n">
        <v>66.42979753869675</v>
      </c>
      <c r="P43" s="20">
        <f>IF(AND(ISNUMBER(N43),N43&lt;&gt;0),C43/N43,"")</f>
        <v/>
      </c>
      <c r="Q43" s="18">
        <f>DCF계산!Y120</f>
        <v/>
      </c>
      <c r="R43" s="23" t="n">
        <v>0.02984921035585883</v>
      </c>
      <c r="S43" s="27">
        <f>DCF계산!Z120</f>
        <v/>
      </c>
      <c r="T43" s="9" t="inlineStr">
        <is>
          <t>median owner-earnings margin of the last 5 years (1.8%) applied to FY2025 revenue</t>
        </is>
      </c>
    </row>
  </sheetData>
  <autoFilter ref="A4:T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7" customWidth="1" min="3" max="3"/>
    <col width="30" customWidth="1" min="4" max="4"/>
    <col width="12" customWidth="1" min="5" max="5"/>
    <col width="11" customWidth="1" min="6" max="6"/>
    <col width="14" customWidth="1" min="7" max="7"/>
    <col width="14" customWidth="1" min="8" max="8"/>
    <col width="14" customWidth="1" min="9" max="9"/>
    <col width="9" customWidth="1" min="10" max="10"/>
    <col width="9" customWidth="1" min="11" max="11"/>
  </cols>
  <sheetData>
    <row r="1">
      <c r="A1" s="1" t="inlineStr">
        <is>
          <t>금융업 — 별도 기준</t>
        </is>
      </c>
    </row>
    <row r="2">
      <c r="A2" s="2" t="inlineStr">
        <is>
          <t>ROIC와 주주이익은 산출하지 않았습니다. 은행·보험의 대차대조표에서 부채는 영업 자산이고 유동자산·유동부채 구분이 없어 투하자본과 운전자본이 정의되지 않기 때문입니다. PER·PBR은 이 시트 안의 원천 수치로 계산한 수식입니다.</t>
        </is>
      </c>
    </row>
    <row r="4" ht="34" customHeight="1">
      <c r="A4" s="6" t="inlineStr">
        <is>
          <t>티커</t>
        </is>
      </c>
      <c r="B4" s="6" t="inlineStr">
        <is>
          <t>기업</t>
        </is>
      </c>
      <c r="C4" s="6" t="inlineStr">
        <is>
          <t>SIC</t>
        </is>
      </c>
      <c r="D4" s="6" t="inlineStr">
        <is>
          <t>업종</t>
        </is>
      </c>
      <c r="E4" s="6" t="inlineStr">
        <is>
          <t>ROE 중앙값</t>
        </is>
      </c>
      <c r="F4" s="6" t="inlineStr">
        <is>
          <t>최근 ROE</t>
        </is>
      </c>
      <c r="G4" s="6" t="inlineStr">
        <is>
          <t>시가총액</t>
        </is>
      </c>
      <c r="H4" s="6" t="inlineStr">
        <is>
          <t>최근 순이익</t>
        </is>
      </c>
      <c r="I4" s="6" t="inlineStr">
        <is>
          <t>최근 자기자본</t>
        </is>
      </c>
      <c r="J4" s="6" t="inlineStr">
        <is>
          <t>PER</t>
        </is>
      </c>
      <c r="K4" s="6" t="inlineStr">
        <is>
          <t>PBR</t>
        </is>
      </c>
    </row>
    <row r="5">
      <c r="A5" s="8" t="inlineStr">
        <is>
          <t>AXP</t>
        </is>
      </c>
      <c r="B5" s="8" t="inlineStr">
        <is>
          <t>AMERICAN EXPRESS CO</t>
        </is>
      </c>
      <c r="C5" s="8" t="inlineStr">
        <is>
          <t>6199</t>
        </is>
      </c>
      <c r="D5" s="8" t="inlineStr">
        <is>
          <t>Finance Services</t>
        </is>
      </c>
      <c r="E5" s="23" t="n">
        <v>0.3076993150053203</v>
      </c>
      <c r="F5" s="23" t="n">
        <v>0.3399228089993411</v>
      </c>
      <c r="G5" s="15" t="n">
        <v>232.6660217343</v>
      </c>
      <c r="H5" s="15" t="n">
        <v>10.833</v>
      </c>
      <c r="I5" s="15" t="n">
        <v>33.474</v>
      </c>
      <c r="J5" s="20">
        <f>IF(AND(ISNUMBER(H5),H5&gt;0),G5/H5,"")</f>
        <v/>
      </c>
      <c r="K5" s="20">
        <f>IF(AND(ISNUMBER(I5),I5&lt;&gt;0),G5/I5,"")</f>
        <v/>
      </c>
    </row>
    <row r="6">
      <c r="A6" s="8" t="inlineStr">
        <is>
          <t>UNH</t>
        </is>
      </c>
      <c r="B6" s="8" t="inlineStr">
        <is>
          <t>UNITEDHEALTH GROUP INC</t>
        </is>
      </c>
      <c r="C6" s="8" t="inlineStr">
        <is>
          <t>6324</t>
        </is>
      </c>
      <c r="D6" s="8" t="inlineStr">
        <is>
          <t>Hospital &amp; Medical Service Plans</t>
        </is>
      </c>
      <c r="E6" s="23" t="n">
        <v>0.2347037475395563</v>
      </c>
      <c r="F6" s="23" t="n">
        <v>0.1215579911069884</v>
      </c>
      <c r="G6" s="15" t="n">
        <v>371.00342243286</v>
      </c>
      <c r="H6" s="15" t="n">
        <v>12.056</v>
      </c>
      <c r="I6" s="15" t="n">
        <v>100.09</v>
      </c>
      <c r="J6" s="20">
        <f>IF(AND(ISNUMBER(H6),H6&gt;0),G6/H6,"")</f>
        <v/>
      </c>
      <c r="K6" s="20">
        <f>IF(AND(ISNUMBER(I6),I6&lt;&gt;0),G6/I6,"")</f>
        <v/>
      </c>
    </row>
    <row r="7">
      <c r="A7" s="8" t="inlineStr">
        <is>
          <t>JPM</t>
        </is>
      </c>
      <c r="B7" s="8" t="inlineStr">
        <is>
          <t>JPMORGAN CHASE &amp; CO</t>
        </is>
      </c>
      <c r="C7" s="8" t="inlineStr">
        <is>
          <t>6021</t>
        </is>
      </c>
      <c r="D7" s="8" t="inlineStr">
        <is>
          <t>National Commercial Banks</t>
        </is>
      </c>
      <c r="E7" s="23" t="n">
        <v>0.1276432201663223</v>
      </c>
      <c r="F7" s="23" t="n">
        <v>0.1613357541615054</v>
      </c>
      <c r="G7" s="15" t="n">
        <v>970.36527820125</v>
      </c>
      <c r="H7" s="15" t="n">
        <v>57.048</v>
      </c>
      <c r="I7" s="15" t="n">
        <v>362.438</v>
      </c>
      <c r="J7" s="20">
        <f>IF(AND(ISNUMBER(H7),H7&gt;0),G7/H7,"")</f>
        <v/>
      </c>
      <c r="K7" s="20">
        <f>IF(AND(ISNUMBER(I7),I7&lt;&gt;0),G7/I7,"")</f>
        <v/>
      </c>
    </row>
    <row r="8">
      <c r="A8" s="8" t="inlineStr">
        <is>
          <t>WFC</t>
        </is>
      </c>
      <c r="B8" s="8" t="inlineStr">
        <is>
          <t>WELLS FARGO &amp; COMPANY/MN</t>
        </is>
      </c>
      <c r="C8" s="8" t="inlineStr">
        <is>
          <t>6021</t>
        </is>
      </c>
      <c r="D8" s="8" t="inlineStr">
        <is>
          <t>National Commercial Banks</t>
        </is>
      </c>
      <c r="E8" s="23" t="n">
        <v>0.1101201402250455</v>
      </c>
      <c r="F8" s="23" t="n">
        <v>0.1184664540288754</v>
      </c>
      <c r="G8" s="15" t="n">
        <v>270.05483130032</v>
      </c>
      <c r="H8" s="15" t="n">
        <v>21.338</v>
      </c>
      <c r="I8" s="15" t="n">
        <v>181.117</v>
      </c>
      <c r="J8" s="20">
        <f>IF(AND(ISNUMBER(H8),H8&gt;0),G8/H8,"")</f>
        <v/>
      </c>
      <c r="K8" s="20">
        <f>IF(AND(ISNUMBER(I8),I8&lt;&gt;0),G8/I8,"")</f>
        <v/>
      </c>
    </row>
    <row r="9">
      <c r="A9" s="8" t="inlineStr">
        <is>
          <t>MS</t>
        </is>
      </c>
      <c r="B9" s="8" t="inlineStr">
        <is>
          <t>MORGAN STANLEY</t>
        </is>
      </c>
      <c r="C9" s="8" t="inlineStr">
        <is>
          <t>6211</t>
        </is>
      </c>
      <c r="D9" s="8" t="inlineStr">
        <is>
          <t>Security Brokers, Dealers &amp; Flotation Companies</t>
        </is>
      </c>
      <c r="E9" s="23" t="n">
        <v>0.1091422785533966</v>
      </c>
      <c r="F9" s="23" t="n">
        <v>0.1560170812841498</v>
      </c>
      <c r="G9" s="15" t="n">
        <v>341.9139381579801</v>
      </c>
      <c r="H9" s="15" t="n">
        <v>16.861</v>
      </c>
      <c r="I9" s="15" t="n">
        <v>111.632</v>
      </c>
      <c r="J9" s="20">
        <f>IF(AND(ISNUMBER(H9),H9&gt;0),G9/H9,"")</f>
        <v/>
      </c>
      <c r="K9" s="20">
        <f>IF(AND(ISNUMBER(I9),I9&lt;&gt;0),G9/I9,"")</f>
        <v/>
      </c>
    </row>
    <row r="10">
      <c r="A10" s="8" t="inlineStr">
        <is>
          <t>GS</t>
        </is>
      </c>
      <c r="B10" s="8" t="inlineStr">
        <is>
          <t>GOLDMAN SACHS GROUP INC</t>
        </is>
      </c>
      <c r="C10" s="8" t="inlineStr">
        <is>
          <t>6211</t>
        </is>
      </c>
      <c r="D10" s="8" t="inlineStr">
        <is>
          <t>Security Brokers, Dealers &amp; Flotation Companies</t>
        </is>
      </c>
      <c r="E10" s="23" t="n">
        <v>0.1003838437846445</v>
      </c>
      <c r="F10" s="23" t="n">
        <v>0.1390949434744582</v>
      </c>
      <c r="G10" s="15" t="n">
        <v>306.99386533822</v>
      </c>
      <c r="H10" s="15" t="n">
        <v>17.176</v>
      </c>
      <c r="I10" s="15" t="n">
        <v>124.972</v>
      </c>
      <c r="J10" s="20">
        <f>IF(AND(ISNUMBER(H10),H10&gt;0),G10/H10,"")</f>
        <v/>
      </c>
      <c r="K10" s="20">
        <f>IF(AND(ISNUMBER(I10),I10&lt;&gt;0),G10/I10,"")</f>
        <v/>
      </c>
    </row>
    <row r="11">
      <c r="A11" s="8" t="inlineStr">
        <is>
          <t>BRK-B</t>
        </is>
      </c>
      <c r="B11" s="8" t="inlineStr">
        <is>
          <t>BERKSHIRE HATHAWAY INC</t>
        </is>
      </c>
      <c r="C11" s="8" t="inlineStr">
        <is>
          <t>6331</t>
        </is>
      </c>
      <c r="D11" s="8" t="inlineStr">
        <is>
          <t>Fire, Marine &amp; Casualty Insurance</t>
        </is>
      </c>
      <c r="E11" s="23" t="n">
        <v>0.09835205025925857</v>
      </c>
      <c r="F11" s="23" t="n">
        <v>0.09799332302692372</v>
      </c>
      <c r="G11" s="15" t="n">
        <v>1142.13636928938</v>
      </c>
      <c r="H11" s="15" t="n">
        <v>66.968</v>
      </c>
      <c r="I11" s="15" t="n">
        <v>717.419</v>
      </c>
      <c r="J11" s="20">
        <f>IF(AND(ISNUMBER(H11),H11&gt;0),G11/H11,"")</f>
        <v/>
      </c>
      <c r="K11" s="20">
        <f>IF(AND(ISNUMBER(I11),I11&lt;&gt;0),G11/I11,"")</f>
        <v/>
      </c>
    </row>
    <row r="12">
      <c r="A12" s="8" t="inlineStr">
        <is>
          <t>BAC</t>
        </is>
      </c>
      <c r="B12" s="8" t="inlineStr">
        <is>
          <t>BANK OF AMERICA CORP /DE/</t>
        </is>
      </c>
      <c r="C12" s="8" t="inlineStr">
        <is>
          <t>6021</t>
        </is>
      </c>
      <c r="D12" s="8" t="inlineStr">
        <is>
          <t>National Commercial Banks</t>
        </is>
      </c>
      <c r="E12" s="23" t="n">
        <v>0.09286228856115281</v>
      </c>
      <c r="F12" s="23" t="n">
        <v>0.1021724497074711</v>
      </c>
      <c r="G12" s="15" t="n">
        <v>458.3029233762</v>
      </c>
      <c r="H12" s="15" t="n">
        <v>30.509</v>
      </c>
      <c r="I12" s="15" t="n">
        <v>303.243</v>
      </c>
      <c r="J12" s="20">
        <f>IF(AND(ISNUMBER(H12),H12&gt;0),G12/H12,"")</f>
        <v/>
      </c>
      <c r="K12" s="20">
        <f>IF(AND(ISNUMBER(I12),I12&lt;&gt;0),G12/I12,"")</f>
        <v/>
      </c>
    </row>
    <row r="13">
      <c r="A13" s="8" t="inlineStr">
        <is>
          <t>C</t>
        </is>
      </c>
      <c r="B13" s="8" t="inlineStr">
        <is>
          <t>CITIGROUP INC</t>
        </is>
      </c>
      <c r="C13" s="8" t="inlineStr">
        <is>
          <t>6021</t>
        </is>
      </c>
      <c r="D13" s="8" t="inlineStr">
        <is>
          <t>National Commercial Banks</t>
        </is>
      </c>
      <c r="E13" s="23" t="n">
        <v>0.06735185492647131</v>
      </c>
      <c r="F13" s="23" t="n">
        <v>0.0679799186959032</v>
      </c>
      <c r="G13" s="15" t="n">
        <v>236.54291639698</v>
      </c>
      <c r="H13" s="15" t="n">
        <v>14.306</v>
      </c>
      <c r="I13" s="15" t="n">
        <v>212.291</v>
      </c>
      <c r="J13" s="20">
        <f>IF(AND(ISNUMBER(H13),H13&gt;0),G13/H13,"")</f>
        <v/>
      </c>
      <c r="K13" s="20">
        <f>IF(AND(ISNUMBER(I13),I13&lt;&gt;0),G13/I13,"")</f>
        <v/>
      </c>
    </row>
  </sheetData>
  <autoFilter ref="A4:K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0" customWidth="1" min="3" max="3"/>
    <col width="96" customWidth="1" min="4" max="4"/>
  </cols>
  <sheetData>
    <row r="1">
      <c r="A1" s="1" t="inlineStr">
        <is>
          <t>밸류에이션을 내지 않은 기업과 그 이유</t>
        </is>
      </c>
    </row>
    <row r="2">
      <c r="A2" s="2" t="inlineStr">
        <is>
          <t>빈칸을 추정으로 메우지 않고 이유를 적었습니다.</t>
        </is>
      </c>
    </row>
    <row r="4" ht="34" customHeight="1">
      <c r="A4" s="6" t="inlineStr">
        <is>
          <t>티커</t>
        </is>
      </c>
      <c r="B4" s="6" t="inlineStr">
        <is>
          <t>기업</t>
        </is>
      </c>
      <c r="C4" s="6" t="inlineStr">
        <is>
          <t>구분</t>
        </is>
      </c>
      <c r="D4" s="6" t="inlineStr">
        <is>
          <t>사유</t>
        </is>
      </c>
    </row>
    <row r="5">
      <c r="A5" s="8" t="inlineStr">
        <is>
          <t>INTC</t>
        </is>
      </c>
      <c r="B5" s="8" t="inlineStr">
        <is>
          <t>INTEL CORP</t>
        </is>
      </c>
      <c r="C5" s="8" t="inlineStr">
        <is>
          <t>주주이익 음수</t>
        </is>
      </c>
      <c r="D5" s="8" t="inlineStr">
        <is>
          <t>정규화 주주이익 -7.6십억 달러. 설비투자와 운전자본이 순이익을 넘어서 할인할 현금흐름이 없습니다. 데이터 공백이 아니라 사업에 대한 판정입니다.</t>
        </is>
      </c>
    </row>
    <row r="6">
      <c r="A6" s="8" t="inlineStr">
        <is>
          <t>AMD</t>
        </is>
      </c>
      <c r="B6" s="8" t="inlineStr">
        <is>
          <t>ADVANCED MICRO DEVICES INC</t>
        </is>
      </c>
      <c r="C6" s="8" t="inlineStr">
        <is>
          <t>주주이익 음수</t>
        </is>
      </c>
      <c r="D6" s="8" t="inlineStr">
        <is>
          <t>정규화 주주이익 -0.2십억 달러. 설비투자와 운전자본이 순이익을 넘어서 할인할 현금흐름이 없습니다. 데이터 공백이 아니라 사업에 대한 판정입니다.</t>
        </is>
      </c>
    </row>
    <row r="7">
      <c r="A7" s="8" t="inlineStr">
        <is>
          <t>AXP</t>
        </is>
      </c>
      <c r="B7" s="8" t="inlineStr">
        <is>
          <t>AMERICAN EXPRESS CO</t>
        </is>
      </c>
      <c r="C7" s="8" t="inlineStr">
        <is>
          <t>금융업 (SIC 6000~6799)</t>
        </is>
      </c>
      <c r="D7" s="8" t="inlineStr">
        <is>
          <t>주주이익이 정의되지 않습니다. 설비투자와 운전자본은 은행이 자본을 어떻게 굴리는지 설명하지 못합니다. '금융9개사' 시트에서 ROE 기준으로 평가했습니다.</t>
        </is>
      </c>
    </row>
    <row r="8">
      <c r="A8" s="8" t="inlineStr">
        <is>
          <t>UNH</t>
        </is>
      </c>
      <c r="B8" s="8" t="inlineStr">
        <is>
          <t>UNITEDHEALTH GROUP INC</t>
        </is>
      </c>
      <c r="C8" s="8" t="inlineStr">
        <is>
          <t>금융업 (SIC 6000~6799)</t>
        </is>
      </c>
      <c r="D8" s="8" t="inlineStr">
        <is>
          <t>주주이익이 정의되지 않습니다. 설비투자와 운전자본은 은행이 자본을 어떻게 굴리는지 설명하지 못합니다. '금융9개사' 시트에서 ROE 기준으로 평가했습니다.</t>
        </is>
      </c>
    </row>
    <row r="9">
      <c r="A9" s="8" t="inlineStr">
        <is>
          <t>JPM</t>
        </is>
      </c>
      <c r="B9" s="8" t="inlineStr">
        <is>
          <t>JPMORGAN CHASE &amp; CO</t>
        </is>
      </c>
      <c r="C9" s="8" t="inlineStr">
        <is>
          <t>금융업 (SIC 6000~6799)</t>
        </is>
      </c>
      <c r="D9" s="8" t="inlineStr">
        <is>
          <t>주주이익이 정의되지 않습니다. 설비투자와 운전자본은 은행이 자본을 어떻게 굴리는지 설명하지 못합니다. '금융9개사' 시트에서 ROE 기준으로 평가했습니다.</t>
        </is>
      </c>
    </row>
    <row r="10">
      <c r="A10" s="8" t="inlineStr">
        <is>
          <t>WFC</t>
        </is>
      </c>
      <c r="B10" s="8" t="inlineStr">
        <is>
          <t>WELLS FARGO &amp; COMPANY/MN</t>
        </is>
      </c>
      <c r="C10" s="8" t="inlineStr">
        <is>
          <t>금융업 (SIC 6000~6799)</t>
        </is>
      </c>
      <c r="D10" s="8" t="inlineStr">
        <is>
          <t>주주이익이 정의되지 않습니다. 설비투자와 운전자본은 은행이 자본을 어떻게 굴리는지 설명하지 못합니다. '금융9개사' 시트에서 ROE 기준으로 평가했습니다.</t>
        </is>
      </c>
    </row>
    <row r="11">
      <c r="A11" s="8" t="inlineStr">
        <is>
          <t>MS</t>
        </is>
      </c>
      <c r="B11" s="8" t="inlineStr">
        <is>
          <t>MORGAN STANLEY</t>
        </is>
      </c>
      <c r="C11" s="8" t="inlineStr">
        <is>
          <t>금융업 (SIC 6000~6799)</t>
        </is>
      </c>
      <c r="D11" s="8" t="inlineStr">
        <is>
          <t>주주이익이 정의되지 않습니다. 설비투자와 운전자본은 은행이 자본을 어떻게 굴리는지 설명하지 못합니다. '금융9개사' 시트에서 ROE 기준으로 평가했습니다.</t>
        </is>
      </c>
    </row>
    <row r="12">
      <c r="A12" s="8" t="inlineStr">
        <is>
          <t>GS</t>
        </is>
      </c>
      <c r="B12" s="8" t="inlineStr">
        <is>
          <t>GOLDMAN SACHS GROUP INC</t>
        </is>
      </c>
      <c r="C12" s="8" t="inlineStr">
        <is>
          <t>금융업 (SIC 6000~6799)</t>
        </is>
      </c>
      <c r="D12" s="8" t="inlineStr">
        <is>
          <t>주주이익이 정의되지 않습니다. 설비투자와 운전자본은 은행이 자본을 어떻게 굴리는지 설명하지 못합니다. '금융9개사' 시트에서 ROE 기준으로 평가했습니다.</t>
        </is>
      </c>
    </row>
    <row r="13">
      <c r="A13" s="8" t="inlineStr">
        <is>
          <t>BRK-B</t>
        </is>
      </c>
      <c r="B13" s="8" t="inlineStr">
        <is>
          <t>BERKSHIRE HATHAWAY INC</t>
        </is>
      </c>
      <c r="C13" s="8" t="inlineStr">
        <is>
          <t>금융업 (SIC 6000~6799)</t>
        </is>
      </c>
      <c r="D13" s="8" t="inlineStr">
        <is>
          <t>주주이익이 정의되지 않습니다. 설비투자와 운전자본은 은행이 자본을 어떻게 굴리는지 설명하지 못합니다. '금융9개사' 시트에서 ROE 기준으로 평가했습니다.</t>
        </is>
      </c>
    </row>
    <row r="14">
      <c r="A14" s="8" t="inlineStr">
        <is>
          <t>BAC</t>
        </is>
      </c>
      <c r="B14" s="8" t="inlineStr">
        <is>
          <t>BANK OF AMERICA CORP /DE/</t>
        </is>
      </c>
      <c r="C14" s="8" t="inlineStr">
        <is>
          <t>금융업 (SIC 6000~6799)</t>
        </is>
      </c>
      <c r="D14" s="8" t="inlineStr">
        <is>
          <t>주주이익이 정의되지 않습니다. 설비투자와 운전자본은 은행이 자본을 어떻게 굴리는지 설명하지 못합니다. '금융9개사' 시트에서 ROE 기준으로 평가했습니다.</t>
        </is>
      </c>
    </row>
    <row r="15">
      <c r="A15" s="8" t="inlineStr">
        <is>
          <t>C</t>
        </is>
      </c>
      <c r="B15" s="8" t="inlineStr">
        <is>
          <t>CITIGROUP INC</t>
        </is>
      </c>
      <c r="C15" s="8" t="inlineStr">
        <is>
          <t>금융업 (SIC 6000~6799)</t>
        </is>
      </c>
      <c r="D15" s="8" t="inlineStr">
        <is>
          <t>주주이익이 정의되지 않습니다. 설비투자와 운전자본은 은행이 자본을 어떻게 굴리는지 설명하지 못합니다. '금융9개사' 시트에서 ROE 기준으로 평가했습니다.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3" customWidth="1" min="4" max="4"/>
    <col width="12" customWidth="1" min="5" max="5"/>
    <col width="12" customWidth="1" min="6" max="6"/>
    <col width="72" customWidth="1" min="7" max="7"/>
    <col width="72" customWidth="1" min="8" max="8"/>
  </cols>
  <sheetData>
    <row r="1">
      <c r="A1" s="1" t="inlineStr">
        <is>
          <t>PHASE 6 — 출처 재검증</t>
        </is>
      </c>
    </row>
    <row r="2">
      <c r="A2" s="2" t="inlineStr">
        <is>
          <t>각 수치를 해당 10-K 원문의 인라인 XBRL과 대조했습니다. companyfacts API가 아니라 제출서류 자체를 다시 읽어 비교한 결과입니다.</t>
        </is>
      </c>
    </row>
    <row r="4" ht="34" customHeight="1">
      <c r="A4" s="6" t="inlineStr">
        <is>
          <t>티커</t>
        </is>
      </c>
      <c r="B4" s="6" t="inlineStr">
        <is>
          <t>판정</t>
        </is>
      </c>
      <c r="C4" s="6" t="inlineStr">
        <is>
          <t>항목 통과</t>
        </is>
      </c>
      <c r="D4" s="6" t="inlineStr">
        <is>
          <t>접수번호 확인</t>
        </is>
      </c>
      <c r="E4" s="6" t="inlineStr">
        <is>
          <t>주식수 재현</t>
        </is>
      </c>
      <c r="F4" s="6" t="inlineStr">
        <is>
          <t>주가 재조회</t>
        </is>
      </c>
      <c r="G4" s="6" t="inlineStr">
        <is>
          <t>검증한 제출서류</t>
        </is>
      </c>
      <c r="H4" s="6" t="inlineStr">
        <is>
          <t>companyfacts 출처</t>
        </is>
      </c>
    </row>
    <row r="5">
      <c r="A5" s="8" t="inlineStr">
        <is>
          <t>NVDA</t>
        </is>
      </c>
      <c r="B5" s="8" t="inlineStr">
        <is>
          <t>PASS</t>
        </is>
      </c>
      <c r="C5" s="8" t="inlineStr">
        <is>
          <t>6/6</t>
        </is>
      </c>
      <c r="D5" s="8" t="inlineStr">
        <is>
          <t>PASS</t>
        </is>
      </c>
      <c r="E5" s="8" t="inlineStr">
        <is>
          <t>PASS</t>
        </is>
      </c>
      <c r="F5" s="8" t="inlineStr">
        <is>
          <t>PASS</t>
        </is>
      </c>
      <c r="G5" s="8" t="inlineStr">
        <is>
          <t>https://www.sec.gov/Archives/edgar/data/1045810/000104581026000021/nvda-20260125.htm</t>
        </is>
      </c>
      <c r="H5" s="8" t="inlineStr">
        <is>
          <t>https://data.sec.gov/api/xbrl/companyfacts/CIK0001045810.json</t>
        </is>
      </c>
    </row>
    <row r="6">
      <c r="A6" s="8" t="inlineStr">
        <is>
          <t>AAPL</t>
        </is>
      </c>
      <c r="B6" s="8" t="inlineStr">
        <is>
          <t>PASS</t>
        </is>
      </c>
      <c r="C6" s="8" t="inlineStr">
        <is>
          <t>6/6</t>
        </is>
      </c>
      <c r="D6" s="8" t="inlineStr">
        <is>
          <t>PASS</t>
        </is>
      </c>
      <c r="E6" s="8" t="inlineStr">
        <is>
          <t>PASS</t>
        </is>
      </c>
      <c r="F6" s="8" t="inlineStr">
        <is>
          <t>PASS</t>
        </is>
      </c>
      <c r="G6" s="8" t="inlineStr">
        <is>
          <t>https://www.sec.gov/Archives/edgar/data/320193/000032019325000079/aapl-20250927.htm</t>
        </is>
      </c>
      <c r="H6" s="8" t="inlineStr">
        <is>
          <t>https://data.sec.gov/api/xbrl/companyfacts/CIK0000320193.json</t>
        </is>
      </c>
    </row>
    <row r="7">
      <c r="A7" s="8" t="inlineStr">
        <is>
          <t>GOOG</t>
        </is>
      </c>
      <c r="B7" s="8" t="inlineStr">
        <is>
          <t>PASS</t>
        </is>
      </c>
      <c r="C7" s="8" t="inlineStr">
        <is>
          <t>6/6</t>
        </is>
      </c>
      <c r="D7" s="8" t="inlineStr">
        <is>
          <t>PASS</t>
        </is>
      </c>
      <c r="E7" s="8" t="inlineStr">
        <is>
          <t>PASS</t>
        </is>
      </c>
      <c r="F7" s="8" t="inlineStr">
        <is>
          <t>PASS</t>
        </is>
      </c>
      <c r="G7" s="8" t="inlineStr">
        <is>
          <t>https://www.sec.gov/Archives/edgar/data/1652044/000165204426000018/goog-20251231.htm</t>
        </is>
      </c>
      <c r="H7" s="8" t="inlineStr">
        <is>
          <t>https://data.sec.gov/api/xbrl/companyfacts/CIK0001652044.json</t>
        </is>
      </c>
    </row>
    <row r="8">
      <c r="A8" s="8" t="inlineStr">
        <is>
          <t>MSFT</t>
        </is>
      </c>
      <c r="B8" s="8" t="inlineStr">
        <is>
          <t>PASS</t>
        </is>
      </c>
      <c r="C8" s="8" t="inlineStr">
        <is>
          <t>6/6</t>
        </is>
      </c>
      <c r="D8" s="8" t="inlineStr">
        <is>
          <t>PASS</t>
        </is>
      </c>
      <c r="E8" s="8" t="inlineStr">
        <is>
          <t>PASS</t>
        </is>
      </c>
      <c r="F8" s="8" t="inlineStr">
        <is>
          <t>PASS</t>
        </is>
      </c>
      <c r="G8" s="8" t="inlineStr">
        <is>
          <t>https://www.sec.gov/Archives/edgar/data/789019/000119312526323660/msft-20260630.htm</t>
        </is>
      </c>
      <c r="H8" s="8" t="inlineStr">
        <is>
          <t>https://data.sec.gov/api/xbrl/companyfacts/CIK0000789019.json</t>
        </is>
      </c>
    </row>
    <row r="9">
      <c r="A9" s="8" t="inlineStr">
        <is>
          <t>AMZN</t>
        </is>
      </c>
      <c r="B9" s="8" t="inlineStr">
        <is>
          <t>PASS</t>
        </is>
      </c>
      <c r="C9" s="8" t="inlineStr">
        <is>
          <t>6/6</t>
        </is>
      </c>
      <c r="D9" s="8" t="inlineStr">
        <is>
          <t>PASS</t>
        </is>
      </c>
      <c r="E9" s="8" t="inlineStr">
        <is>
          <t>PASS</t>
        </is>
      </c>
      <c r="F9" s="8" t="inlineStr">
        <is>
          <t>PASS</t>
        </is>
      </c>
      <c r="G9" s="8" t="inlineStr">
        <is>
          <t>https://www.sec.gov/Archives/edgar/data/1018724/000101872426000004/amzn-20251231.htm</t>
        </is>
      </c>
      <c r="H9" s="8" t="inlineStr">
        <is>
          <t>https://data.sec.gov/api/xbrl/companyfacts/CIK0001018724.json</t>
        </is>
      </c>
    </row>
    <row r="10">
      <c r="A10" s="8" t="inlineStr">
        <is>
          <t>AVGO</t>
        </is>
      </c>
      <c r="B10" s="8" t="inlineStr">
        <is>
          <t>PASS</t>
        </is>
      </c>
      <c r="C10" s="8" t="inlineStr">
        <is>
          <t>6/6</t>
        </is>
      </c>
      <c r="D10" s="8" t="inlineStr">
        <is>
          <t>PASS</t>
        </is>
      </c>
      <c r="E10" s="8" t="inlineStr">
        <is>
          <t>PASS</t>
        </is>
      </c>
      <c r="F10" s="8" t="inlineStr">
        <is>
          <t>PASS</t>
        </is>
      </c>
      <c r="G10" s="8" t="inlineStr">
        <is>
          <t>https://www.sec.gov/Archives/edgar/data/1730168/000173016825000121/avgo-20251102.htm</t>
        </is>
      </c>
      <c r="H10" s="8" t="inlineStr">
        <is>
          <t>https://data.sec.gov/api/xbrl/companyfacts/CIK0001730168.json</t>
        </is>
      </c>
    </row>
    <row r="11">
      <c r="A11" s="8" t="inlineStr">
        <is>
          <t>META</t>
        </is>
      </c>
      <c r="B11" s="8" t="inlineStr">
        <is>
          <t>PASS</t>
        </is>
      </c>
      <c r="C11" s="8" t="inlineStr">
        <is>
          <t>6/6</t>
        </is>
      </c>
      <c r="D11" s="8" t="inlineStr">
        <is>
          <t>PASS</t>
        </is>
      </c>
      <c r="E11" s="8" t="inlineStr">
        <is>
          <t>PASS</t>
        </is>
      </c>
      <c r="F11" s="8" t="inlineStr">
        <is>
          <t>PASS</t>
        </is>
      </c>
      <c r="G11" s="8" t="inlineStr">
        <is>
          <t>https://www.sec.gov/Archives/edgar/data/1326801/000162828026003942/meta-20251231.htm</t>
        </is>
      </c>
      <c r="H11" s="8" t="inlineStr">
        <is>
          <t>https://data.sec.gov/api/xbrl/companyfacts/CIK0001326801.json</t>
        </is>
      </c>
    </row>
    <row r="12">
      <c r="A12" s="8" t="inlineStr">
        <is>
          <t>TSLA</t>
        </is>
      </c>
      <c r="B12" s="8" t="inlineStr">
        <is>
          <t>PASS</t>
        </is>
      </c>
      <c r="C12" s="8" t="inlineStr">
        <is>
          <t>6/6</t>
        </is>
      </c>
      <c r="D12" s="8" t="inlineStr">
        <is>
          <t>PASS</t>
        </is>
      </c>
      <c r="E12" s="8" t="inlineStr">
        <is>
          <t>PASS</t>
        </is>
      </c>
      <c r="F12" s="8" t="inlineStr">
        <is>
          <t>PASS</t>
        </is>
      </c>
      <c r="G12" s="8" t="inlineStr">
        <is>
          <t>https://www.sec.gov/Archives/edgar/data/1318605/000162828026003952/tsla-20251231.htm</t>
        </is>
      </c>
      <c r="H12" s="8" t="inlineStr">
        <is>
          <t>https://data.sec.gov/api/xbrl/companyfacts/CIK0001318605.json</t>
        </is>
      </c>
    </row>
    <row r="13">
      <c r="A13" s="8" t="inlineStr">
        <is>
          <t>BRK-B</t>
        </is>
      </c>
      <c r="B13" s="8" t="inlineStr">
        <is>
          <t>PASS</t>
        </is>
      </c>
      <c r="C13" s="8" t="inlineStr">
        <is>
          <t>6/6</t>
        </is>
      </c>
      <c r="D13" s="8" t="inlineStr">
        <is>
          <t>PASS</t>
        </is>
      </c>
      <c r="E13" s="8" t="inlineStr">
        <is>
          <t>PASS</t>
        </is>
      </c>
      <c r="F13" s="8" t="inlineStr">
        <is>
          <t>PASS</t>
        </is>
      </c>
      <c r="G13" s="8" t="inlineStr">
        <is>
          <t>https://www.sec.gov/Archives/edgar/data/1067983/000119312526083899/brka-20251231.htm</t>
        </is>
      </c>
      <c r="H13" s="8" t="inlineStr">
        <is>
          <t>https://data.sec.gov/api/xbrl/companyfacts/CIK0001067983.json</t>
        </is>
      </c>
    </row>
    <row r="14">
      <c r="A14" s="8" t="inlineStr">
        <is>
          <t>LLY</t>
        </is>
      </c>
      <c r="B14" s="8" t="inlineStr">
        <is>
          <t>PASS</t>
        </is>
      </c>
      <c r="C14" s="8" t="inlineStr">
        <is>
          <t>6/6</t>
        </is>
      </c>
      <c r="D14" s="8" t="inlineStr">
        <is>
          <t>PASS</t>
        </is>
      </c>
      <c r="E14" s="8" t="inlineStr">
        <is>
          <t>PASS</t>
        </is>
      </c>
      <c r="F14" s="8" t="inlineStr">
        <is>
          <t>PASS</t>
        </is>
      </c>
      <c r="G14" s="8" t="inlineStr">
        <is>
          <t>https://www.sec.gov/Archives/edgar/data/59478/000005947826000013/lly-20251231.htm</t>
        </is>
      </c>
      <c r="H14" s="8" t="inlineStr">
        <is>
          <t>https://data.sec.gov/api/xbrl/companyfacts/CIK0000059478.json</t>
        </is>
      </c>
    </row>
    <row r="15">
      <c r="A15" s="8" t="inlineStr">
        <is>
          <t>MU</t>
        </is>
      </c>
      <c r="B15" s="8" t="inlineStr">
        <is>
          <t>PASS</t>
        </is>
      </c>
      <c r="C15" s="8" t="inlineStr">
        <is>
          <t>6/6</t>
        </is>
      </c>
      <c r="D15" s="8" t="inlineStr">
        <is>
          <t>PASS</t>
        </is>
      </c>
      <c r="E15" s="8" t="inlineStr">
        <is>
          <t>PASS</t>
        </is>
      </c>
      <c r="F15" s="8" t="inlineStr">
        <is>
          <t>PASS</t>
        </is>
      </c>
      <c r="G15" s="8" t="inlineStr">
        <is>
          <t>https://www.sec.gov/Archives/edgar/data/723125/000072312525000028/mu-20250828.htm</t>
        </is>
      </c>
      <c r="H15" s="8" t="inlineStr">
        <is>
          <t>https://data.sec.gov/api/xbrl/companyfacts/CIK0000723125.json</t>
        </is>
      </c>
    </row>
    <row r="16">
      <c r="A16" s="8" t="inlineStr">
        <is>
          <t>JPM</t>
        </is>
      </c>
      <c r="B16" s="8" t="inlineStr">
        <is>
          <t>PASS</t>
        </is>
      </c>
      <c r="C16" s="8" t="inlineStr">
        <is>
          <t>5/5</t>
        </is>
      </c>
      <c r="D16" s="8" t="inlineStr">
        <is>
          <t>PASS</t>
        </is>
      </c>
      <c r="E16" s="8" t="inlineStr">
        <is>
          <t>PASS</t>
        </is>
      </c>
      <c r="F16" s="8" t="inlineStr">
        <is>
          <t>PASS</t>
        </is>
      </c>
      <c r="G16" s="8" t="inlineStr">
        <is>
          <t>https://www.sec.gov/Archives/edgar/data/19617/000162828026008131/jpm-20251231.htm</t>
        </is>
      </c>
      <c r="H16" s="8" t="inlineStr">
        <is>
          <t>https://data.sec.gov/api/xbrl/companyfacts/CIK0000019617.json</t>
        </is>
      </c>
    </row>
    <row r="17">
      <c r="A17" s="8" t="inlineStr">
        <is>
          <t>WMT</t>
        </is>
      </c>
      <c r="B17" s="8" t="inlineStr">
        <is>
          <t>PASS</t>
        </is>
      </c>
      <c r="C17" s="8" t="inlineStr">
        <is>
          <t>6/6</t>
        </is>
      </c>
      <c r="D17" s="8" t="inlineStr">
        <is>
          <t>PASS</t>
        </is>
      </c>
      <c r="E17" s="8" t="inlineStr">
        <is>
          <t>PASS</t>
        </is>
      </c>
      <c r="F17" s="8" t="inlineStr">
        <is>
          <t>PASS</t>
        </is>
      </c>
      <c r="G17" s="8" t="inlineStr">
        <is>
          <t>https://www.sec.gov/Archives/edgar/data/104169/000010416926000055/wmt-20260131.htm</t>
        </is>
      </c>
      <c r="H17" s="8" t="inlineStr">
        <is>
          <t>https://data.sec.gov/api/xbrl/companyfacts/CIK0000104169.json</t>
        </is>
      </c>
    </row>
    <row r="18">
      <c r="A18" s="8" t="inlineStr">
        <is>
          <t>AMD</t>
        </is>
      </c>
      <c r="B18" s="8" t="inlineStr">
        <is>
          <t>PASS</t>
        </is>
      </c>
      <c r="C18" s="8" t="inlineStr">
        <is>
          <t>6/6</t>
        </is>
      </c>
      <c r="D18" s="8" t="inlineStr">
        <is>
          <t>PASS</t>
        </is>
      </c>
      <c r="E18" s="8" t="inlineStr">
        <is>
          <t>PASS</t>
        </is>
      </c>
      <c r="F18" s="8" t="inlineStr">
        <is>
          <t>PASS</t>
        </is>
      </c>
      <c r="G18" s="8" t="inlineStr">
        <is>
          <t>https://www.sec.gov/Archives/edgar/data/2488/000000248826000018/amd-20251227.htm</t>
        </is>
      </c>
      <c r="H18" s="8" t="inlineStr">
        <is>
          <t>https://data.sec.gov/api/xbrl/companyfacts/CIK0000002488.json</t>
        </is>
      </c>
    </row>
    <row r="19">
      <c r="A19" s="8" t="inlineStr">
        <is>
          <t>V</t>
        </is>
      </c>
      <c r="B19" s="8" t="inlineStr">
        <is>
          <t>PASS</t>
        </is>
      </c>
      <c r="C19" s="8" t="inlineStr">
        <is>
          <t>6/6</t>
        </is>
      </c>
      <c r="D19" s="8" t="inlineStr">
        <is>
          <t>PASS</t>
        </is>
      </c>
      <c r="E19" s="8" t="inlineStr">
        <is>
          <t>PASS</t>
        </is>
      </c>
      <c r="F19" s="8" t="inlineStr">
        <is>
          <t>PASS</t>
        </is>
      </c>
      <c r="G19" s="8" t="inlineStr">
        <is>
          <t>https://www.sec.gov/Archives/edgar/data/1403161/000140316125000089/v-20250930.htm</t>
        </is>
      </c>
      <c r="H19" s="8" t="inlineStr">
        <is>
          <t>https://data.sec.gov/api/xbrl/companyfacts/CIK0001403161.json</t>
        </is>
      </c>
    </row>
    <row r="20">
      <c r="A20" s="8" t="inlineStr">
        <is>
          <t>XOM</t>
        </is>
      </c>
      <c r="B20" s="8" t="inlineStr">
        <is>
          <t>PASS</t>
        </is>
      </c>
      <c r="C20" s="8" t="inlineStr">
        <is>
          <t>6/6</t>
        </is>
      </c>
      <c r="D20" s="8" t="inlineStr">
        <is>
          <t>PASS</t>
        </is>
      </c>
      <c r="E20" s="8" t="inlineStr">
        <is>
          <t>PASS</t>
        </is>
      </c>
      <c r="F20" s="8" t="inlineStr">
        <is>
          <t>PASS</t>
        </is>
      </c>
      <c r="G20" s="8" t="inlineStr">
        <is>
          <t>https://www.sec.gov/Archives/edgar/data/34088/000003408826000045/xom-20251231.htm</t>
        </is>
      </c>
      <c r="H20" s="8" t="inlineStr">
        <is>
          <t>https://data.sec.gov/api/xbrl/companyfacts/CIK0000034088.json</t>
        </is>
      </c>
    </row>
    <row r="21">
      <c r="A21" s="8" t="inlineStr">
        <is>
          <t>JNJ</t>
        </is>
      </c>
      <c r="B21" s="8" t="inlineStr">
        <is>
          <t>PASS</t>
        </is>
      </c>
      <c r="C21" s="8" t="inlineStr">
        <is>
          <t>6/6</t>
        </is>
      </c>
      <c r="D21" s="8" t="inlineStr">
        <is>
          <t>PASS</t>
        </is>
      </c>
      <c r="E21" s="8" t="inlineStr">
        <is>
          <t>PASS</t>
        </is>
      </c>
      <c r="F21" s="8" t="inlineStr">
        <is>
          <t>PASS</t>
        </is>
      </c>
      <c r="G21" s="8" t="inlineStr">
        <is>
          <t>https://www.sec.gov/Archives/edgar/data/200406/000020040626000016/jnj-20251228.htm</t>
        </is>
      </c>
      <c r="H21" s="8" t="inlineStr">
        <is>
          <t>https://data.sec.gov/api/xbrl/companyfacts/CIK0000200406.json</t>
        </is>
      </c>
    </row>
    <row r="22">
      <c r="A22" s="8" t="inlineStr">
        <is>
          <t>INTC</t>
        </is>
      </c>
      <c r="B22" s="8" t="inlineStr">
        <is>
          <t>PASS</t>
        </is>
      </c>
      <c r="C22" s="8" t="inlineStr">
        <is>
          <t>6/6</t>
        </is>
      </c>
      <c r="D22" s="8" t="inlineStr">
        <is>
          <t>PASS</t>
        </is>
      </c>
      <c r="E22" s="8" t="inlineStr">
        <is>
          <t>PASS</t>
        </is>
      </c>
      <c r="F22" s="8" t="inlineStr">
        <is>
          <t>PASS</t>
        </is>
      </c>
      <c r="G22" s="8" t="inlineStr">
        <is>
          <t>https://www.sec.gov/Archives/edgar/data/50863/000005086326000011/intc-20251227.htm</t>
        </is>
      </c>
      <c r="H22" s="8" t="inlineStr">
        <is>
          <t>https://data.sec.gov/api/xbrl/companyfacts/CIK0000050863.json</t>
        </is>
      </c>
    </row>
    <row r="23">
      <c r="A23" s="8" t="inlineStr">
        <is>
          <t>MA</t>
        </is>
      </c>
      <c r="B23" s="8" t="inlineStr">
        <is>
          <t>PASS</t>
        </is>
      </c>
      <c r="C23" s="8" t="inlineStr">
        <is>
          <t>6/6</t>
        </is>
      </c>
      <c r="D23" s="8" t="inlineStr">
        <is>
          <t>PASS</t>
        </is>
      </c>
      <c r="E23" s="8" t="inlineStr">
        <is>
          <t>PASS</t>
        </is>
      </c>
      <c r="F23" s="8" t="inlineStr">
        <is>
          <t>PASS</t>
        </is>
      </c>
      <c r="G23" s="8" t="inlineStr">
        <is>
          <t>https://www.sec.gov/Archives/edgar/data/1141391/000114139126000013/ma-20251231.htm</t>
        </is>
      </c>
      <c r="H23" s="8" t="inlineStr">
        <is>
          <t>https://data.sec.gov/api/xbrl/companyfacts/CIK0001141391.json</t>
        </is>
      </c>
    </row>
    <row r="24">
      <c r="A24" s="8" t="inlineStr">
        <is>
          <t>CSCO</t>
        </is>
      </c>
      <c r="B24" s="8" t="inlineStr">
        <is>
          <t>PASS</t>
        </is>
      </c>
      <c r="C24" s="8" t="inlineStr">
        <is>
          <t>6/6</t>
        </is>
      </c>
      <c r="D24" s="8" t="inlineStr">
        <is>
          <t>PASS</t>
        </is>
      </c>
      <c r="E24" s="8" t="inlineStr">
        <is>
          <t>PASS</t>
        </is>
      </c>
      <c r="F24" s="8" t="inlineStr">
        <is>
          <t>PASS</t>
        </is>
      </c>
      <c r="G24" s="8" t="inlineStr">
        <is>
          <t>https://www.sec.gov/Archives/edgar/data/858877/000085887725000111/csco-20250726.htm</t>
        </is>
      </c>
      <c r="H24" s="8" t="inlineStr">
        <is>
          <t>https://data.sec.gov/api/xbrl/companyfacts/CIK0000858877.json</t>
        </is>
      </c>
    </row>
    <row r="25">
      <c r="A25" s="8" t="inlineStr">
        <is>
          <t>BAC</t>
        </is>
      </c>
      <c r="B25" s="8" t="inlineStr">
        <is>
          <t>PASS</t>
        </is>
      </c>
      <c r="C25" s="8" t="inlineStr">
        <is>
          <t>5/5</t>
        </is>
      </c>
      <c r="D25" s="8" t="inlineStr">
        <is>
          <t>PASS</t>
        </is>
      </c>
      <c r="E25" s="8" t="inlineStr">
        <is>
          <t>PASS</t>
        </is>
      </c>
      <c r="F25" s="8" t="inlineStr">
        <is>
          <t>PASS</t>
        </is>
      </c>
      <c r="G25" s="8" t="inlineStr">
        <is>
          <t>https://www.sec.gov/Archives/edgar/data/70858/000007085826000157/bac-20251231.htm</t>
        </is>
      </c>
      <c r="H25" s="8" t="inlineStr">
        <is>
          <t>https://data.sec.gov/api/xbrl/companyfacts/CIK0000070858.json</t>
        </is>
      </c>
    </row>
    <row r="26">
      <c r="A26" s="8" t="inlineStr">
        <is>
          <t>ABBV</t>
        </is>
      </c>
      <c r="B26" s="8" t="inlineStr">
        <is>
          <t>PASS</t>
        </is>
      </c>
      <c r="C26" s="8" t="inlineStr">
        <is>
          <t>6/6</t>
        </is>
      </c>
      <c r="D26" s="8" t="inlineStr">
        <is>
          <t>PASS</t>
        </is>
      </c>
      <c r="E26" s="8" t="inlineStr">
        <is>
          <t>PASS</t>
        </is>
      </c>
      <c r="F26" s="8" t="inlineStr">
        <is>
          <t>PASS</t>
        </is>
      </c>
      <c r="G26" s="8" t="inlineStr">
        <is>
          <t>https://www.sec.gov/Archives/edgar/data/1551152/000155115226000008/abbv-20251231.htm</t>
        </is>
      </c>
      <c r="H26" s="8" t="inlineStr">
        <is>
          <t>https://data.sec.gov/api/xbrl/companyfacts/CIK0001551152.json</t>
        </is>
      </c>
    </row>
    <row r="27">
      <c r="A27" s="8" t="inlineStr">
        <is>
          <t>AMAT</t>
        </is>
      </c>
      <c r="B27" s="8" t="inlineStr">
        <is>
          <t>PASS</t>
        </is>
      </c>
      <c r="C27" s="8" t="inlineStr">
        <is>
          <t>6/6</t>
        </is>
      </c>
      <c r="D27" s="8" t="inlineStr">
        <is>
          <t>PASS</t>
        </is>
      </c>
      <c r="E27" s="8" t="inlineStr">
        <is>
          <t>PASS</t>
        </is>
      </c>
      <c r="F27" s="8" t="inlineStr">
        <is>
          <t>PASS</t>
        </is>
      </c>
      <c r="G27" s="8" t="inlineStr">
        <is>
          <t>https://www.sec.gov/Archives/edgar/data/6951/000162828025056742/amat-20251026.htm</t>
        </is>
      </c>
      <c r="H27" s="8" t="inlineStr">
        <is>
          <t>https://data.sec.gov/api/xbrl/companyfacts/CIK0000006951.json</t>
        </is>
      </c>
    </row>
    <row r="28">
      <c r="A28" s="8" t="inlineStr">
        <is>
          <t>ORCL</t>
        </is>
      </c>
      <c r="B28" s="8" t="inlineStr">
        <is>
          <t>PASS</t>
        </is>
      </c>
      <c r="C28" s="8" t="inlineStr">
        <is>
          <t>5/5</t>
        </is>
      </c>
      <c r="D28" s="8" t="inlineStr">
        <is>
          <t>PASS</t>
        </is>
      </c>
      <c r="E28" s="8" t="inlineStr">
        <is>
          <t>PASS</t>
        </is>
      </c>
      <c r="F28" s="8" t="inlineStr">
        <is>
          <t>PASS</t>
        </is>
      </c>
      <c r="G28" s="8" t="inlineStr">
        <is>
          <t>https://www.sec.gov/Archives/edgar/data/1341439/000119312526277521/orcl-20260531.htm</t>
        </is>
      </c>
      <c r="H28" s="8" t="inlineStr">
        <is>
          <t>https://data.sec.gov/api/xbrl/companyfacts/CIK0001341439.json</t>
        </is>
      </c>
    </row>
    <row r="29">
      <c r="A29" s="8" t="inlineStr">
        <is>
          <t>COST</t>
        </is>
      </c>
      <c r="B29" s="8" t="inlineStr">
        <is>
          <t>PASS</t>
        </is>
      </c>
      <c r="C29" s="8" t="inlineStr">
        <is>
          <t>6/6</t>
        </is>
      </c>
      <c r="D29" s="8" t="inlineStr">
        <is>
          <t>PASS</t>
        </is>
      </c>
      <c r="E29" s="8" t="inlineStr">
        <is>
          <t>PASS</t>
        </is>
      </c>
      <c r="F29" s="8" t="inlineStr">
        <is>
          <t>PASS</t>
        </is>
      </c>
      <c r="G29" s="8" t="inlineStr">
        <is>
          <t>https://www.sec.gov/Archives/edgar/data/909832/000090983225000101/cost-20250831.htm</t>
        </is>
      </c>
      <c r="H29" s="8" t="inlineStr">
        <is>
          <t>https://data.sec.gov/api/xbrl/companyfacts/CIK0000909832.json</t>
        </is>
      </c>
    </row>
    <row r="30">
      <c r="A30" s="8" t="inlineStr">
        <is>
          <t>PLTR</t>
        </is>
      </c>
      <c r="B30" s="8" t="inlineStr">
        <is>
          <t>PASS</t>
        </is>
      </c>
      <c r="C30" s="8" t="inlineStr">
        <is>
          <t>6/6</t>
        </is>
      </c>
      <c r="D30" s="8" t="inlineStr">
        <is>
          <t>PASS</t>
        </is>
      </c>
      <c r="E30" s="8" t="inlineStr">
        <is>
          <t>PASS</t>
        </is>
      </c>
      <c r="F30" s="8" t="inlineStr">
        <is>
          <t>PASS</t>
        </is>
      </c>
      <c r="G30" s="8" t="inlineStr">
        <is>
          <t>https://www.sec.gov/Archives/edgar/data/1321655/000132165526000011/pltr-20251231.htm</t>
        </is>
      </c>
      <c r="H30" s="8" t="inlineStr">
        <is>
          <t>https://data.sec.gov/api/xbrl/companyfacts/CIK0001321655.json</t>
        </is>
      </c>
    </row>
    <row r="31">
      <c r="A31" s="8" t="inlineStr">
        <is>
          <t>LRCX</t>
        </is>
      </c>
      <c r="B31" s="8" t="inlineStr">
        <is>
          <t>PASS</t>
        </is>
      </c>
      <c r="C31" s="8" t="inlineStr">
        <is>
          <t>6/6</t>
        </is>
      </c>
      <c r="D31" s="8" t="inlineStr">
        <is>
          <t>PASS</t>
        </is>
      </c>
      <c r="E31" s="8" t="inlineStr">
        <is>
          <t>PASS</t>
        </is>
      </c>
      <c r="F31" s="8" t="inlineStr">
        <is>
          <t>PASS</t>
        </is>
      </c>
      <c r="G31" s="8" t="inlineStr">
        <is>
          <t>https://www.sec.gov/Archives/edgar/data/707549/000070754926000037/lrcx-20260628.htm</t>
        </is>
      </c>
      <c r="H31" s="8" t="inlineStr">
        <is>
          <t>https://data.sec.gov/api/xbrl/companyfacts/CIK0000707549.json</t>
        </is>
      </c>
    </row>
    <row r="32">
      <c r="A32" s="8" t="inlineStr">
        <is>
          <t>CAT</t>
        </is>
      </c>
      <c r="B32" s="8" t="inlineStr">
        <is>
          <t>PASS</t>
        </is>
      </c>
      <c r="C32" s="8" t="inlineStr">
        <is>
          <t>6/6</t>
        </is>
      </c>
      <c r="D32" s="8" t="inlineStr">
        <is>
          <t>PASS</t>
        </is>
      </c>
      <c r="E32" s="8" t="inlineStr">
        <is>
          <t>PASS</t>
        </is>
      </c>
      <c r="F32" s="8" t="inlineStr">
        <is>
          <t>PASS</t>
        </is>
      </c>
      <c r="G32" s="8" t="inlineStr">
        <is>
          <t>https://www.sec.gov/Archives/edgar/data/18230/000001823026000008/cat-20251231.htm</t>
        </is>
      </c>
      <c r="H32" s="8" t="inlineStr">
        <is>
          <t>https://data.sec.gov/api/xbrl/companyfacts/CIK0000018230.json</t>
        </is>
      </c>
    </row>
    <row r="33">
      <c r="A33" s="8" t="inlineStr">
        <is>
          <t>GE</t>
        </is>
      </c>
      <c r="B33" s="8" t="inlineStr">
        <is>
          <t>PASS</t>
        </is>
      </c>
      <c r="C33" s="8" t="inlineStr">
        <is>
          <t>6/6</t>
        </is>
      </c>
      <c r="D33" s="8" t="inlineStr">
        <is>
          <t>PASS</t>
        </is>
      </c>
      <c r="E33" s="8" t="inlineStr">
        <is>
          <t>PASS</t>
        </is>
      </c>
      <c r="F33" s="8" t="inlineStr">
        <is>
          <t>PASS</t>
        </is>
      </c>
      <c r="G33" s="8" t="inlineStr">
        <is>
          <t>https://www.sec.gov/Archives/edgar/data/40545/000004054526000008/ge-20251231.htm</t>
        </is>
      </c>
      <c r="H33" s="8" t="inlineStr">
        <is>
          <t>https://data.sec.gov/api/xbrl/companyfacts/CIK0000040545.json</t>
        </is>
      </c>
    </row>
    <row r="34">
      <c r="A34" s="8" t="inlineStr">
        <is>
          <t>KO</t>
        </is>
      </c>
      <c r="B34" s="8" t="inlineStr">
        <is>
          <t>PASS</t>
        </is>
      </c>
      <c r="C34" s="8" t="inlineStr">
        <is>
          <t>6/6</t>
        </is>
      </c>
      <c r="D34" s="8" t="inlineStr">
        <is>
          <t>PASS</t>
        </is>
      </c>
      <c r="E34" s="8" t="inlineStr">
        <is>
          <t>PASS</t>
        </is>
      </c>
      <c r="F34" s="8" t="inlineStr">
        <is>
          <t>PASS</t>
        </is>
      </c>
      <c r="G34" s="8" t="inlineStr">
        <is>
          <t>https://www.sec.gov/Archives/edgar/data/21344/000162828026010047/ko-20251231.htm</t>
        </is>
      </c>
      <c r="H34" s="8" t="inlineStr">
        <is>
          <t>https://data.sec.gov/api/xbrl/companyfacts/CIK0000021344.json</t>
        </is>
      </c>
    </row>
    <row r="35">
      <c r="A35" s="8" t="inlineStr">
        <is>
          <t>UNH</t>
        </is>
      </c>
      <c r="B35" s="8" t="inlineStr">
        <is>
          <t>PASS</t>
        </is>
      </c>
      <c r="C35" s="8" t="inlineStr">
        <is>
          <t>6/6</t>
        </is>
      </c>
      <c r="D35" s="8" t="inlineStr">
        <is>
          <t>PASS</t>
        </is>
      </c>
      <c r="E35" s="8" t="inlineStr">
        <is>
          <t>PASS</t>
        </is>
      </c>
      <c r="F35" s="8" t="inlineStr">
        <is>
          <t>PASS</t>
        </is>
      </c>
      <c r="G35" s="8" t="inlineStr">
        <is>
          <t>https://www.sec.gov/Archives/edgar/data/731766/000073176626000062/unh-20251231.htm</t>
        </is>
      </c>
      <c r="H35" s="8" t="inlineStr">
        <is>
          <t>https://data.sec.gov/api/xbrl/companyfacts/CIK0000731766.json</t>
        </is>
      </c>
    </row>
    <row r="36">
      <c r="A36" s="8" t="inlineStr">
        <is>
          <t>CVX</t>
        </is>
      </c>
      <c r="B36" s="8" t="inlineStr">
        <is>
          <t>PASS</t>
        </is>
      </c>
      <c r="C36" s="8" t="inlineStr">
        <is>
          <t>6/6</t>
        </is>
      </c>
      <c r="D36" s="8" t="inlineStr">
        <is>
          <t>PASS</t>
        </is>
      </c>
      <c r="E36" s="8" t="inlineStr">
        <is>
          <t>PASS</t>
        </is>
      </c>
      <c r="F36" s="8" t="inlineStr">
        <is>
          <t>PASS</t>
        </is>
      </c>
      <c r="G36" s="8" t="inlineStr">
        <is>
          <t>https://www.sec.gov/Archives/edgar/data/93410/000009341026000078/cvx-20251231.htm</t>
        </is>
      </c>
      <c r="H36" s="8" t="inlineStr">
        <is>
          <t>https://data.sec.gov/api/xbrl/companyfacts/CIK0000093410.json</t>
        </is>
      </c>
    </row>
    <row r="37">
      <c r="A37" s="8" t="inlineStr">
        <is>
          <t>HD</t>
        </is>
      </c>
      <c r="B37" s="8" t="inlineStr">
        <is>
          <t>PASS</t>
        </is>
      </c>
      <c r="C37" s="8" t="inlineStr">
        <is>
          <t>6/6</t>
        </is>
      </c>
      <c r="D37" s="8" t="inlineStr">
        <is>
          <t>PASS</t>
        </is>
      </c>
      <c r="E37" s="8" t="inlineStr">
        <is>
          <t>PASS</t>
        </is>
      </c>
      <c r="F37" s="8" t="inlineStr">
        <is>
          <t>PASS</t>
        </is>
      </c>
      <c r="G37" s="8" t="inlineStr">
        <is>
          <t>https://www.sec.gov/Archives/edgar/data/354950/000162828026019436/hd-20260201.htm</t>
        </is>
      </c>
      <c r="H37" s="8" t="inlineStr">
        <is>
          <t>https://data.sec.gov/api/xbrl/companyfacts/CIK0000354950.json</t>
        </is>
      </c>
    </row>
    <row r="38">
      <c r="A38" s="8" t="inlineStr">
        <is>
          <t>MS</t>
        </is>
      </c>
      <c r="B38" s="8" t="inlineStr">
        <is>
          <t>PASS</t>
        </is>
      </c>
      <c r="C38" s="8" t="inlineStr">
        <is>
          <t>5/5</t>
        </is>
      </c>
      <c r="D38" s="8" t="inlineStr">
        <is>
          <t>PASS</t>
        </is>
      </c>
      <c r="E38" s="8" t="inlineStr">
        <is>
          <t>PASS</t>
        </is>
      </c>
      <c r="F38" s="8" t="inlineStr">
        <is>
          <t>PASS</t>
        </is>
      </c>
      <c r="G38" s="8" t="inlineStr">
        <is>
          <t>https://www.sec.gov/Archives/edgar/data/895421/000089542126000086/ms-20251231.htm</t>
        </is>
      </c>
      <c r="H38" s="8" t="inlineStr">
        <is>
          <t>https://data.sec.gov/api/xbrl/companyfacts/CIK0000895421.json</t>
        </is>
      </c>
    </row>
    <row r="39">
      <c r="A39" s="8" t="inlineStr">
        <is>
          <t>PG</t>
        </is>
      </c>
      <c r="B39" s="8" t="inlineStr">
        <is>
          <t>PASS</t>
        </is>
      </c>
      <c r="C39" s="8" t="inlineStr">
        <is>
          <t>6/6</t>
        </is>
      </c>
      <c r="D39" s="8" t="inlineStr">
        <is>
          <t>PASS</t>
        </is>
      </c>
      <c r="E39" s="8" t="inlineStr">
        <is>
          <t>PASS</t>
        </is>
      </c>
      <c r="F39" s="8" t="inlineStr">
        <is>
          <t>PASS</t>
        </is>
      </c>
      <c r="G39" s="8" t="inlineStr">
        <is>
          <t>https://www.sec.gov/Archives/edgar/data/80424/000008042426000103/pg-20260630.htm</t>
        </is>
      </c>
      <c r="H39" s="8" t="inlineStr">
        <is>
          <t>https://data.sec.gov/api/xbrl/companyfacts/CIK0000080424.json</t>
        </is>
      </c>
    </row>
    <row r="40">
      <c r="A40" s="8" t="inlineStr">
        <is>
          <t>MRK</t>
        </is>
      </c>
      <c r="B40" s="8" t="inlineStr">
        <is>
          <t>PASS</t>
        </is>
      </c>
      <c r="C40" s="8" t="inlineStr">
        <is>
          <t>6/6</t>
        </is>
      </c>
      <c r="D40" s="8" t="inlineStr">
        <is>
          <t>PASS</t>
        </is>
      </c>
      <c r="E40" s="8" t="inlineStr">
        <is>
          <t>PASS</t>
        </is>
      </c>
      <c r="F40" s="8" t="inlineStr">
        <is>
          <t>PASS</t>
        </is>
      </c>
      <c r="G40" s="8" t="inlineStr">
        <is>
          <t>https://www.sec.gov/Archives/edgar/data/310158/000031015826000063/mrk-20251231.htm</t>
        </is>
      </c>
      <c r="H40" s="8" t="inlineStr">
        <is>
          <t>https://data.sec.gov/api/xbrl/companyfacts/CIK0000310158.json</t>
        </is>
      </c>
    </row>
    <row r="41">
      <c r="A41" s="8" t="inlineStr">
        <is>
          <t>NFLX</t>
        </is>
      </c>
      <c r="B41" s="8" t="inlineStr">
        <is>
          <t>PASS</t>
        </is>
      </c>
      <c r="C41" s="8" t="inlineStr">
        <is>
          <t>6/6</t>
        </is>
      </c>
      <c r="D41" s="8" t="inlineStr">
        <is>
          <t>PASS</t>
        </is>
      </c>
      <c r="E41" s="8" t="inlineStr">
        <is>
          <t>PASS</t>
        </is>
      </c>
      <c r="F41" s="8" t="inlineStr">
        <is>
          <t>PASS</t>
        </is>
      </c>
      <c r="G41" s="8" t="inlineStr">
        <is>
          <t>https://www.sec.gov/Archives/edgar/data/1065280/000106528026000034/nflx-20251231.htm</t>
        </is>
      </c>
      <c r="H41" s="8" t="inlineStr">
        <is>
          <t>https://data.sec.gov/api/xbrl/companyfacts/CIK0001065280.json</t>
        </is>
      </c>
    </row>
    <row r="42">
      <c r="A42" s="8" t="inlineStr">
        <is>
          <t>GS</t>
        </is>
      </c>
      <c r="B42" s="8" t="inlineStr">
        <is>
          <t>PASS</t>
        </is>
      </c>
      <c r="C42" s="8" t="inlineStr">
        <is>
          <t>6/6</t>
        </is>
      </c>
      <c r="D42" s="8" t="inlineStr">
        <is>
          <t>PASS</t>
        </is>
      </c>
      <c r="E42" s="8" t="inlineStr">
        <is>
          <t>PASS</t>
        </is>
      </c>
      <c r="F42" s="8" t="inlineStr">
        <is>
          <t>PASS</t>
        </is>
      </c>
      <c r="G42" s="8" t="inlineStr">
        <is>
          <t>https://www.sec.gov/Archives/edgar/data/886982/000088698226000091/gs-20251231.htm</t>
        </is>
      </c>
      <c r="H42" s="8" t="inlineStr">
        <is>
          <t>https://data.sec.gov/api/xbrl/companyfacts/CIK0000886982.json</t>
        </is>
      </c>
    </row>
    <row r="43">
      <c r="A43" s="8" t="inlineStr">
        <is>
          <t>RTX</t>
        </is>
      </c>
      <c r="B43" s="8" t="inlineStr">
        <is>
          <t>PASS</t>
        </is>
      </c>
      <c r="C43" s="8" t="inlineStr">
        <is>
          <t>6/6</t>
        </is>
      </c>
      <c r="D43" s="8" t="inlineStr">
        <is>
          <t>PASS</t>
        </is>
      </c>
      <c r="E43" s="8" t="inlineStr">
        <is>
          <t>PASS</t>
        </is>
      </c>
      <c r="F43" s="8" t="inlineStr">
        <is>
          <t>PASS</t>
        </is>
      </c>
      <c r="G43" s="8" t="inlineStr">
        <is>
          <t>https://www.sec.gov/Archives/edgar/data/101829/000010182926000006/rtx-20251231.htm</t>
        </is>
      </c>
      <c r="H43" s="8" t="inlineStr">
        <is>
          <t>https://data.sec.gov/api/xbrl/companyfacts/CIK0000101829.json</t>
        </is>
      </c>
    </row>
    <row r="44">
      <c r="A44" s="8" t="inlineStr">
        <is>
          <t>PANW</t>
        </is>
      </c>
      <c r="B44" s="8" t="inlineStr">
        <is>
          <t>PASS</t>
        </is>
      </c>
      <c r="C44" s="8" t="inlineStr">
        <is>
          <t>6/6</t>
        </is>
      </c>
      <c r="D44" s="8" t="inlineStr">
        <is>
          <t>PASS</t>
        </is>
      </c>
      <c r="E44" s="8" t="inlineStr">
        <is>
          <t>PASS</t>
        </is>
      </c>
      <c r="F44" s="8" t="inlineStr">
        <is>
          <t>PASS</t>
        </is>
      </c>
      <c r="G44" s="8" t="inlineStr">
        <is>
          <t>https://www.sec.gov/Archives/edgar/data/1327567/000132756725000027/panw-20250731.htm</t>
        </is>
      </c>
      <c r="H44" s="8" t="inlineStr">
        <is>
          <t>https://data.sec.gov/api/xbrl/companyfacts/CIK0001327567.json</t>
        </is>
      </c>
    </row>
    <row r="45">
      <c r="A45" s="8" t="inlineStr">
        <is>
          <t>PM</t>
        </is>
      </c>
      <c r="B45" s="8" t="inlineStr">
        <is>
          <t>PASS</t>
        </is>
      </c>
      <c r="C45" s="8" t="inlineStr">
        <is>
          <t>6/6</t>
        </is>
      </c>
      <c r="D45" s="8" t="inlineStr">
        <is>
          <t>PASS</t>
        </is>
      </c>
      <c r="E45" s="8" t="inlineStr">
        <is>
          <t>PASS</t>
        </is>
      </c>
      <c r="F45" s="8" t="inlineStr">
        <is>
          <t>PASS</t>
        </is>
      </c>
      <c r="G45" s="8" t="inlineStr">
        <is>
          <t>https://www.sec.gov/Archives/edgar/data/1413329/000162828026005939/pm-20251231.htm</t>
        </is>
      </c>
      <c r="H45" s="8" t="inlineStr">
        <is>
          <t>https://data.sec.gov/api/xbrl/companyfacts/CIK0001413329.json</t>
        </is>
      </c>
    </row>
    <row r="46">
      <c r="A46" s="8" t="inlineStr">
        <is>
          <t>DELL</t>
        </is>
      </c>
      <c r="B46" s="8" t="inlineStr">
        <is>
          <t>PASS</t>
        </is>
      </c>
      <c r="C46" s="8" t="inlineStr">
        <is>
          <t>6/6</t>
        </is>
      </c>
      <c r="D46" s="8" t="inlineStr">
        <is>
          <t>PASS</t>
        </is>
      </c>
      <c r="E46" s="8" t="inlineStr">
        <is>
          <t>PASS</t>
        </is>
      </c>
      <c r="F46" s="8" t="inlineStr">
        <is>
          <t>PASS</t>
        </is>
      </c>
      <c r="G46" s="8" t="inlineStr">
        <is>
          <t>https://www.sec.gov/Archives/edgar/data/1571996/000157199626000008/dell-20260130.htm</t>
        </is>
      </c>
      <c r="H46" s="8" t="inlineStr">
        <is>
          <t>https://data.sec.gov/api/xbrl/companyfacts/CIK0001571996.json</t>
        </is>
      </c>
    </row>
    <row r="47">
      <c r="A47" s="8" t="inlineStr">
        <is>
          <t>WFC</t>
        </is>
      </c>
      <c r="B47" s="8" t="inlineStr">
        <is>
          <t>PASS</t>
        </is>
      </c>
      <c r="C47" s="8" t="inlineStr">
        <is>
          <t>5/5</t>
        </is>
      </c>
      <c r="D47" s="8" t="inlineStr">
        <is>
          <t>PASS</t>
        </is>
      </c>
      <c r="E47" s="8" t="inlineStr">
        <is>
          <t>PASS</t>
        </is>
      </c>
      <c r="F47" s="8" t="inlineStr">
        <is>
          <t>PASS</t>
        </is>
      </c>
      <c r="G47" s="8" t="inlineStr">
        <is>
          <t>https://www.sec.gov/Archives/edgar/data/72971/000007297126000133/wfc-20251231_d2.htm</t>
        </is>
      </c>
      <c r="H47" s="8" t="inlineStr">
        <is>
          <t>https://data.sec.gov/api/xbrl/companyfacts/CIK0000072971.json</t>
        </is>
      </c>
    </row>
    <row r="48">
      <c r="A48" s="8" t="inlineStr">
        <is>
          <t>GEV</t>
        </is>
      </c>
      <c r="B48" s="8" t="inlineStr">
        <is>
          <t>PASS</t>
        </is>
      </c>
      <c r="C48" s="8" t="inlineStr">
        <is>
          <t>6/6</t>
        </is>
      </c>
      <c r="D48" s="8" t="inlineStr">
        <is>
          <t>PASS</t>
        </is>
      </c>
      <c r="E48" s="8" t="inlineStr">
        <is>
          <t>PASS</t>
        </is>
      </c>
      <c r="F48" s="8" t="inlineStr">
        <is>
          <t>PASS</t>
        </is>
      </c>
      <c r="G48" s="8" t="inlineStr">
        <is>
          <t>https://www.sec.gov/Archives/edgar/data/1996810/000199681026000015/gev-20251231.htm</t>
        </is>
      </c>
      <c r="H48" s="8" t="inlineStr">
        <is>
          <t>https://data.sec.gov/api/xbrl/companyfacts/CIK0001996810.json</t>
        </is>
      </c>
    </row>
    <row r="49">
      <c r="A49" s="8" t="inlineStr">
        <is>
          <t>TXN</t>
        </is>
      </c>
      <c r="B49" s="8" t="inlineStr">
        <is>
          <t>PASS</t>
        </is>
      </c>
      <c r="C49" s="8" t="inlineStr">
        <is>
          <t>6/6</t>
        </is>
      </c>
      <c r="D49" s="8" t="inlineStr">
        <is>
          <t>PASS</t>
        </is>
      </c>
      <c r="E49" s="8" t="inlineStr">
        <is>
          <t>PASS</t>
        </is>
      </c>
      <c r="F49" s="8" t="inlineStr">
        <is>
          <t>PASS</t>
        </is>
      </c>
      <c r="G49" s="8" t="inlineStr">
        <is>
          <t>https://www.sec.gov/Archives/edgar/data/97476/000009747626000059/txn-20251231.htm</t>
        </is>
      </c>
      <c r="H49" s="8" t="inlineStr">
        <is>
          <t>https://data.sec.gov/api/xbrl/companyfacts/CIK0000097476.json</t>
        </is>
      </c>
    </row>
    <row r="50">
      <c r="A50" s="8" t="inlineStr">
        <is>
          <t>KLAC</t>
        </is>
      </c>
      <c r="B50" s="8" t="inlineStr">
        <is>
          <t>PASS</t>
        </is>
      </c>
      <c r="C50" s="8" t="inlineStr">
        <is>
          <t>6/6</t>
        </is>
      </c>
      <c r="D50" s="8" t="inlineStr">
        <is>
          <t>PASS</t>
        </is>
      </c>
      <c r="E50" s="8" t="inlineStr">
        <is>
          <t>PASS</t>
        </is>
      </c>
      <c r="F50" s="8" t="inlineStr">
        <is>
          <t>PASS</t>
        </is>
      </c>
      <c r="G50" s="8" t="inlineStr">
        <is>
          <t>https://www.sec.gov/Archives/edgar/data/319201/000031920126000027/klac-20260630.htm</t>
        </is>
      </c>
      <c r="H50" s="8" t="inlineStr">
        <is>
          <t>https://data.sec.gov/api/xbrl/companyfacts/CIK0000319201.json</t>
        </is>
      </c>
    </row>
    <row r="51">
      <c r="A51" s="8" t="inlineStr">
        <is>
          <t>ANET</t>
        </is>
      </c>
      <c r="B51" s="8" t="inlineStr">
        <is>
          <t>PASS</t>
        </is>
      </c>
      <c r="C51" s="8" t="inlineStr">
        <is>
          <t>6/6</t>
        </is>
      </c>
      <c r="D51" s="8" t="inlineStr">
        <is>
          <t>PASS</t>
        </is>
      </c>
      <c r="E51" s="8" t="inlineStr">
        <is>
          <t>PASS</t>
        </is>
      </c>
      <c r="F51" s="8" t="inlineStr">
        <is>
          <t>PASS</t>
        </is>
      </c>
      <c r="G51" s="8" t="inlineStr">
        <is>
          <t>https://www.sec.gov/Archives/edgar/data/1596532/000159653226000013/anet-20251231.htm</t>
        </is>
      </c>
      <c r="H51" s="8" t="inlineStr">
        <is>
          <t>https://data.sec.gov/api/xbrl/companyfacts/CIK0001596532.json</t>
        </is>
      </c>
    </row>
    <row r="52">
      <c r="A52" s="8" t="inlineStr">
        <is>
          <t>AXP</t>
        </is>
      </c>
      <c r="B52" s="8" t="inlineStr">
        <is>
          <t>PASS</t>
        </is>
      </c>
      <c r="C52" s="8" t="inlineStr">
        <is>
          <t>6/6</t>
        </is>
      </c>
      <c r="D52" s="8" t="inlineStr">
        <is>
          <t>PASS</t>
        </is>
      </c>
      <c r="E52" s="8" t="inlineStr">
        <is>
          <t>PASS</t>
        </is>
      </c>
      <c r="F52" s="8" t="inlineStr">
        <is>
          <t>PASS</t>
        </is>
      </c>
      <c r="G52" s="8" t="inlineStr">
        <is>
          <t>https://www.sec.gov/Archives/edgar/data/4962/000000496226000080/axp-20251231.htm</t>
        </is>
      </c>
      <c r="H52" s="8" t="inlineStr">
        <is>
          <t>https://data.sec.gov/api/xbrl/companyfacts/CIK0000004962.json</t>
        </is>
      </c>
    </row>
    <row r="53">
      <c r="A53" s="8" t="inlineStr">
        <is>
          <t>C</t>
        </is>
      </c>
      <c r="B53" s="8" t="inlineStr">
        <is>
          <t>PASS</t>
        </is>
      </c>
      <c r="C53" s="8" t="inlineStr">
        <is>
          <t>6/6</t>
        </is>
      </c>
      <c r="D53" s="8" t="inlineStr">
        <is>
          <t>PASS</t>
        </is>
      </c>
      <c r="E53" s="8" t="inlineStr">
        <is>
          <t>PASS</t>
        </is>
      </c>
      <c r="F53" s="8" t="inlineStr">
        <is>
          <t>PASS</t>
        </is>
      </c>
      <c r="G53" s="8" t="inlineStr">
        <is>
          <t>https://www.sec.gov/Archives/edgar/data/831001/000083100126000011/c-20251231.htm</t>
        </is>
      </c>
      <c r="H53" s="8" t="inlineStr">
        <is>
          <t>https://data.sec.gov/api/xbrl/companyfacts/CIK0000831001.json</t>
        </is>
      </c>
    </row>
    <row r="54">
      <c r="A54" s="8" t="inlineStr">
        <is>
          <t>IBM</t>
        </is>
      </c>
      <c r="B54" s="8" t="inlineStr">
        <is>
          <t>PASS</t>
        </is>
      </c>
      <c r="C54" s="8" t="inlineStr">
        <is>
          <t>6/6</t>
        </is>
      </c>
      <c r="D54" s="8" t="inlineStr">
        <is>
          <t>PASS</t>
        </is>
      </c>
      <c r="E54" s="8" t="inlineStr">
        <is>
          <t>PASS</t>
        </is>
      </c>
      <c r="F54" s="8" t="inlineStr">
        <is>
          <t>PASS</t>
        </is>
      </c>
      <c r="G54" s="8" t="inlineStr">
        <is>
          <t>https://www.sec.gov/Archives/edgar/data/51143/000005114326000010/ibm-20251231.htm</t>
        </is>
      </c>
      <c r="H54" s="8" t="inlineStr">
        <is>
          <t>https://data.sec.gov/api/xbrl/companyfacts/CIK0000051143.json</t>
        </is>
      </c>
    </row>
    <row r="56">
      <c r="A56" s="7" t="inlineStr">
        <is>
          <t>무위험수익률</t>
        </is>
      </c>
      <c r="B56" s="8" t="inlineStr">
        <is>
          <t>PASS</t>
        </is>
      </c>
      <c r="C56" s="8" t="inlineStr">
        <is>
          <t>https://fred.stlouisfed.org/graph/fredgraph.csv?id=DGS10</t>
        </is>
      </c>
    </row>
    <row r="57">
      <c r="A57" s="7" t="inlineStr">
        <is>
          <t>주식위험프리미엄</t>
        </is>
      </c>
      <c r="B57" s="8" t="inlineStr">
        <is>
          <t>PASS</t>
        </is>
      </c>
      <c r="C57" s="8" t="inlineStr">
        <is>
          <t>https://pages.stern.nyu.edu/~adamodar/New_Home_Page/datafile/ctryprem.html</t>
        </is>
      </c>
    </row>
  </sheetData>
  <autoFilter ref="A4:H5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7" customWidth="1" min="3" max="3"/>
    <col width="16" customWidth="1" min="4" max="4"/>
    <col width="11" customWidth="1" min="5" max="5"/>
    <col width="10" customWidth="1" min="6" max="6"/>
    <col width="16" customWidth="1" min="7" max="7"/>
    <col width="16" customWidth="1" min="8" max="8"/>
    <col width="50" customWidth="1" min="9" max="9"/>
    <col width="60" customWidth="1" min="10" max="10"/>
  </cols>
  <sheetData>
    <row r="1">
      <c r="A1" s="1" t="inlineStr">
        <is>
          <t>유니버스 52개사 — 선정 근거</t>
        </is>
      </c>
    </row>
    <row r="2">
      <c r="A2" s="2" t="inlineStr">
        <is>
          <t>미국 50개사는 시가총액 상위 기준으로 선정했습니다. 선정에 쓴 외부 시가총액은 구성 결정에만 사용했고 보고서의 어떤 수치로도 인용하지 않았습니다.</t>
        </is>
      </c>
    </row>
    <row r="4" ht="34" customHeight="1">
      <c r="A4" s="6" t="inlineStr">
        <is>
          <t>티커</t>
        </is>
      </c>
      <c r="B4" s="6" t="inlineStr">
        <is>
          <t>기업</t>
        </is>
      </c>
      <c r="C4" s="6" t="inlineStr">
        <is>
          <t>국가</t>
        </is>
      </c>
      <c r="D4" s="6" t="inlineStr">
        <is>
          <t>분석 방식</t>
        </is>
      </c>
      <c r="E4" s="6" t="inlineStr">
        <is>
          <t>CIK</t>
        </is>
      </c>
      <c r="F4" s="6" t="inlineStr">
        <is>
          <t>선정 순위</t>
        </is>
      </c>
      <c r="G4" s="6" t="inlineStr">
        <is>
          <t>선정용 시가총액</t>
        </is>
      </c>
      <c r="H4" s="6" t="inlineStr">
        <is>
          <t>계산된 시가총액</t>
        </is>
      </c>
      <c r="I4" s="6" t="inlineStr">
        <is>
          <t>주식수 출처</t>
        </is>
      </c>
      <c r="J4" s="6" t="inlineStr">
        <is>
          <t>비고</t>
        </is>
      </c>
    </row>
    <row r="5">
      <c r="A5" s="8" t="inlineStr">
        <is>
          <t>NVDA</t>
        </is>
      </c>
      <c r="B5" s="8" t="inlineStr">
        <is>
          <t>NVIDIA CORP</t>
        </is>
      </c>
      <c r="C5" s="8" t="inlineStr">
        <is>
          <t>US</t>
        </is>
      </c>
      <c r="D5" s="8" t="inlineStr">
        <is>
          <t>정량</t>
        </is>
      </c>
      <c r="E5" s="8" t="n">
        <v>1045810</v>
      </c>
      <c r="F5" s="21" t="n">
        <v>1</v>
      </c>
      <c r="G5" s="17" t="n">
        <v>5424.53530624</v>
      </c>
      <c r="H5" s="17" t="n">
        <v>5286.465</v>
      </c>
      <c r="I5" s="8" t="inlineStr">
        <is>
          <t>10-K cover page (None), all classes summed at 1:1</t>
        </is>
      </c>
      <c r="J5" s="8" t="inlineStr"/>
    </row>
    <row r="6">
      <c r="A6" s="8" t="inlineStr">
        <is>
          <t>AAPL</t>
        </is>
      </c>
      <c r="B6" s="8" t="inlineStr">
        <is>
          <t>Apple Inc.</t>
        </is>
      </c>
      <c r="C6" s="8" t="inlineStr">
        <is>
          <t>US</t>
        </is>
      </c>
      <c r="D6" s="8" t="inlineStr">
        <is>
          <t>정량</t>
        </is>
      </c>
      <c r="E6" s="8" t="n">
        <v>320193</v>
      </c>
      <c r="F6" s="21" t="n">
        <v>2</v>
      </c>
      <c r="G6" s="17" t="n">
        <v>4572.794322944</v>
      </c>
      <c r="H6" s="17" t="n">
        <v>4554.95857578</v>
      </c>
      <c r="I6" s="8" t="inlineStr">
        <is>
          <t>10-K cover page (None), all classes summed at 1:1</t>
        </is>
      </c>
      <c r="J6" s="8" t="inlineStr"/>
    </row>
    <row r="7">
      <c r="A7" s="8" t="inlineStr">
        <is>
          <t>GOOG</t>
        </is>
      </c>
      <c r="B7" s="8" t="inlineStr">
        <is>
          <t>Alphabet Inc.</t>
        </is>
      </c>
      <c r="C7" s="8" t="inlineStr">
        <is>
          <t>US</t>
        </is>
      </c>
      <c r="D7" s="8" t="inlineStr">
        <is>
          <t>정량</t>
        </is>
      </c>
      <c r="E7" s="8" t="n">
        <v>1652044</v>
      </c>
      <c r="F7" s="21" t="n">
        <v>3</v>
      </c>
      <c r="G7" s="17" t="n">
        <v>4322.915254272</v>
      </c>
      <c r="H7" s="17" t="n">
        <v>4304.596479999999</v>
      </c>
      <c r="I7" s="8" t="inlineStr">
        <is>
          <t>10-K cover page (None), all classes summed at 1:1</t>
        </is>
      </c>
      <c r="J7" s="8" t="inlineStr"/>
    </row>
    <row r="8">
      <c r="A8" s="8" t="inlineStr">
        <is>
          <t>MSFT</t>
        </is>
      </c>
      <c r="B8" s="8" t="inlineStr">
        <is>
          <t>MICROSOFT CORP</t>
        </is>
      </c>
      <c r="C8" s="8" t="inlineStr">
        <is>
          <t>US</t>
        </is>
      </c>
      <c r="D8" s="8" t="inlineStr">
        <is>
          <t>정량</t>
        </is>
      </c>
      <c r="E8" s="8" t="n">
        <v>789019</v>
      </c>
      <c r="F8" s="21" t="n">
        <v>4</v>
      </c>
      <c r="G8" s="17" t="n">
        <v>3712.698548224</v>
      </c>
      <c r="H8" s="17" t="n">
        <v>3757.77155117546</v>
      </c>
      <c r="I8" s="8" t="inlineStr">
        <is>
          <t>10-K cover page (None), all classes summed at 1:1</t>
        </is>
      </c>
      <c r="J8" s="8" t="inlineStr"/>
    </row>
    <row r="9">
      <c r="A9" s="8" t="inlineStr">
        <is>
          <t>AMZN</t>
        </is>
      </c>
      <c r="B9" s="8" t="inlineStr">
        <is>
          <t>AMAZON COM INC</t>
        </is>
      </c>
      <c r="C9" s="8" t="inlineStr">
        <is>
          <t>US</t>
        </is>
      </c>
      <c r="D9" s="8" t="inlineStr">
        <is>
          <t>정량</t>
        </is>
      </c>
      <c r="E9" s="8" t="n">
        <v>1018724</v>
      </c>
      <c r="F9" s="21" t="n">
        <v>5</v>
      </c>
      <c r="G9" s="17" t="n">
        <v>2960.627335168</v>
      </c>
      <c r="H9" s="17" t="n">
        <v>2985.2741447383</v>
      </c>
      <c r="I9" s="8" t="inlineStr">
        <is>
          <t>10-K cover page (None), all classes summed at 1:1</t>
        </is>
      </c>
      <c r="J9" s="8" t="inlineStr"/>
    </row>
    <row r="10">
      <c r="A10" s="8" t="inlineStr">
        <is>
          <t>AVGO</t>
        </is>
      </c>
      <c r="B10" s="8" t="inlineStr">
        <is>
          <t>Broadcom Inc.</t>
        </is>
      </c>
      <c r="C10" s="8" t="inlineStr">
        <is>
          <t>US</t>
        </is>
      </c>
      <c r="D10" s="8" t="inlineStr">
        <is>
          <t>정량</t>
        </is>
      </c>
      <c r="E10" s="8" t="n">
        <v>1730168</v>
      </c>
      <c r="F10" s="21" t="n">
        <v>6</v>
      </c>
      <c r="G10" s="17" t="n">
        <v>2035.102646272</v>
      </c>
      <c r="H10" s="17" t="n">
        <v>2002.7140526976</v>
      </c>
      <c r="I10" s="8" t="inlineStr">
        <is>
          <t>10-K cover page (None), all classes summed at 1:1</t>
        </is>
      </c>
      <c r="J10" s="8" t="inlineStr"/>
    </row>
    <row r="11">
      <c r="A11" s="8" t="inlineStr">
        <is>
          <t>META</t>
        </is>
      </c>
      <c r="B11" s="8" t="inlineStr">
        <is>
          <t>Meta Platforms, Inc.</t>
        </is>
      </c>
      <c r="C11" s="8" t="inlineStr">
        <is>
          <t>US</t>
        </is>
      </c>
      <c r="D11" s="8" t="inlineStr">
        <is>
          <t>정량</t>
        </is>
      </c>
      <c r="E11" s="8" t="n">
        <v>1326801</v>
      </c>
      <c r="F11" s="21" t="n">
        <v>8</v>
      </c>
      <c r="G11" s="17" t="n">
        <v>1508.378279936</v>
      </c>
      <c r="H11" s="17" t="n">
        <v>1504.88313664288</v>
      </c>
      <c r="I11" s="8" t="inlineStr">
        <is>
          <t>10-K cover page (None), all classes summed at 1:1</t>
        </is>
      </c>
      <c r="J11" s="8" t="inlineStr"/>
    </row>
    <row r="12">
      <c r="A12" s="8" t="inlineStr">
        <is>
          <t>TSLA</t>
        </is>
      </c>
      <c r="B12" s="8" t="inlineStr">
        <is>
          <t>Tesla, Inc.</t>
        </is>
      </c>
      <c r="C12" s="8" t="inlineStr">
        <is>
          <t>US</t>
        </is>
      </c>
      <c r="D12" s="8" t="inlineStr">
        <is>
          <t>정량</t>
        </is>
      </c>
      <c r="E12" s="8" t="n">
        <v>1318605</v>
      </c>
      <c r="F12" s="21" t="n">
        <v>9</v>
      </c>
      <c r="G12" s="17" t="n">
        <v>1297.742299136</v>
      </c>
      <c r="H12" s="17" t="n">
        <v>1241.60469486592</v>
      </c>
      <c r="I12" s="8" t="inlineStr">
        <is>
          <t>10-K cover page (None), all classes summed at 1:1</t>
        </is>
      </c>
      <c r="J12" s="8" t="inlineStr"/>
    </row>
    <row r="13">
      <c r="A13" s="8" t="inlineStr">
        <is>
          <t>BRK-B</t>
        </is>
      </c>
      <c r="B13" s="8" t="inlineStr">
        <is>
          <t>BERKSHIRE HATHAWAY INC</t>
        </is>
      </c>
      <c r="C13" s="8" t="inlineStr">
        <is>
          <t>US</t>
        </is>
      </c>
      <c r="D13" s="8" t="inlineStr">
        <is>
          <t>정량</t>
        </is>
      </c>
      <c r="E13" s="8" t="n">
        <v>1067983</v>
      </c>
      <c r="F13" s="21" t="n">
        <v>10</v>
      </c>
      <c r="G13" s="17" t="n">
        <v>1125.446320128</v>
      </c>
      <c r="H13" s="17" t="n">
        <v>1142.13636928938</v>
      </c>
      <c r="I13" s="8" t="inlineStr">
        <is>
          <t>10-K cover page (None), expressed in Class B equivalents (A = 1,500 B, per the charter)</t>
        </is>
      </c>
      <c r="J13" s="8" t="inlineStr"/>
    </row>
    <row r="14">
      <c r="A14" s="8" t="inlineStr">
        <is>
          <t>LLY</t>
        </is>
      </c>
      <c r="B14" s="8" t="inlineStr">
        <is>
          <t>ELI LILLY &amp; Co</t>
        </is>
      </c>
      <c r="C14" s="8" t="inlineStr">
        <is>
          <t>US</t>
        </is>
      </c>
      <c r="D14" s="8" t="inlineStr">
        <is>
          <t>정량</t>
        </is>
      </c>
      <c r="E14" s="8" t="n">
        <v>59478</v>
      </c>
      <c r="F14" s="21" t="n">
        <v>11</v>
      </c>
      <c r="G14" s="17" t="n">
        <v>1056.890945536</v>
      </c>
      <c r="H14" s="17" t="n">
        <v>1162.1597399948</v>
      </c>
      <c r="I14" s="8" t="inlineStr">
        <is>
          <t>10-K cover page (None), all classes summed at 1:1</t>
        </is>
      </c>
      <c r="J14" s="8" t="inlineStr"/>
    </row>
    <row r="15">
      <c r="A15" s="8" t="inlineStr">
        <is>
          <t>MU</t>
        </is>
      </c>
      <c r="B15" s="8" t="inlineStr">
        <is>
          <t>MICRON TECHNOLOGY INC</t>
        </is>
      </c>
      <c r="C15" s="8" t="inlineStr">
        <is>
          <t>US</t>
        </is>
      </c>
      <c r="D15" s="8" t="inlineStr">
        <is>
          <t>정량</t>
        </is>
      </c>
      <c r="E15" s="8" t="n">
        <v>723125</v>
      </c>
      <c r="F15" s="21" t="n">
        <v>12</v>
      </c>
      <c r="G15" s="17" t="n">
        <v>991.12157184</v>
      </c>
      <c r="H15" s="17" t="n">
        <v>966.443256135</v>
      </c>
      <c r="I15" s="8" t="inlineStr">
        <is>
          <t>10-K cover page (August&amp;#160;28, 2025), all classes summed at 1:1</t>
        </is>
      </c>
      <c r="J15" s="8" t="inlineStr"/>
    </row>
    <row r="16">
      <c r="A16" s="8" t="inlineStr">
        <is>
          <t>JPM</t>
        </is>
      </c>
      <c r="B16" s="8" t="inlineStr">
        <is>
          <t>JPMORGAN CHASE &amp; CO</t>
        </is>
      </c>
      <c r="C16" s="8" t="inlineStr">
        <is>
          <t>US</t>
        </is>
      </c>
      <c r="D16" s="8" t="inlineStr">
        <is>
          <t>정량</t>
        </is>
      </c>
      <c r="E16" s="8" t="n">
        <v>19617</v>
      </c>
      <c r="F16" s="21" t="n">
        <v>13</v>
      </c>
      <c r="G16" s="17" t="n">
        <v>950.3547064319999</v>
      </c>
      <c r="H16" s="17" t="n">
        <v>970.36527820125</v>
      </c>
      <c r="I16" s="8" t="inlineStr">
        <is>
          <t>10-K cover page (None), all classes summed at 1:1</t>
        </is>
      </c>
      <c r="J16" s="8" t="inlineStr"/>
    </row>
    <row r="17">
      <c r="A17" s="8" t="inlineStr">
        <is>
          <t>WMT</t>
        </is>
      </c>
      <c r="B17" s="8" t="inlineStr">
        <is>
          <t>Walmart Inc.</t>
        </is>
      </c>
      <c r="C17" s="8" t="inlineStr">
        <is>
          <t>US</t>
        </is>
      </c>
      <c r="D17" s="8" t="inlineStr">
        <is>
          <t>정량</t>
        </is>
      </c>
      <c r="E17" s="8" t="n">
        <v>104169</v>
      </c>
      <c r="F17" s="21" t="n">
        <v>14</v>
      </c>
      <c r="G17" s="17" t="n">
        <v>890.111131648</v>
      </c>
      <c r="H17" s="17" t="n">
        <v>898.1708657626599</v>
      </c>
      <c r="I17" s="8" t="inlineStr">
        <is>
          <t>10-K cover page (None), all classes summed at 1:1</t>
        </is>
      </c>
      <c r="J17" s="8" t="inlineStr"/>
    </row>
    <row r="18">
      <c r="A18" s="8" t="inlineStr">
        <is>
          <t>AMD</t>
        </is>
      </c>
      <c r="B18" s="8" t="inlineStr">
        <is>
          <t>ADVANCED MICRO DEVICES INC</t>
        </is>
      </c>
      <c r="C18" s="8" t="inlineStr">
        <is>
          <t>US</t>
        </is>
      </c>
      <c r="D18" s="8" t="inlineStr">
        <is>
          <t>정량</t>
        </is>
      </c>
      <c r="E18" s="8" t="n">
        <v>2488</v>
      </c>
      <c r="F18" s="21" t="n">
        <v>15</v>
      </c>
      <c r="G18" s="17" t="n">
        <v>789.0731008</v>
      </c>
      <c r="H18" s="17" t="n">
        <v>765.57571543908</v>
      </c>
      <c r="I18" s="8" t="inlineStr">
        <is>
          <t>10-K cover page (December 27, 2025), all classes summed at 1:1</t>
        </is>
      </c>
      <c r="J18" s="8" t="inlineStr"/>
    </row>
    <row r="19">
      <c r="A19" s="8" t="inlineStr">
        <is>
          <t>V</t>
        </is>
      </c>
      <c r="B19" s="8" t="inlineStr">
        <is>
          <t>VISA INC.</t>
        </is>
      </c>
      <c r="C19" s="8" t="inlineStr">
        <is>
          <t>US</t>
        </is>
      </c>
      <c r="D19" s="8" t="inlineStr">
        <is>
          <t>정량</t>
        </is>
      </c>
      <c r="E19" s="8" t="n">
        <v>1403161</v>
      </c>
      <c r="F19" s="21" t="n">
        <v>16</v>
      </c>
      <c r="G19" s="17" t="n">
        <v>676.804624384</v>
      </c>
      <c r="H19" s="17" t="n">
        <v>609.7743884964</v>
      </c>
      <c r="I19" s="8" t="inlineStr">
        <is>
          <t>10-K cover page (None), Class A only; B-1/B-2/C excluded because their conversion rates are periodically reset and not derivable from the cover page, so the resulting market cap understates the as-converted total</t>
        </is>
      </c>
      <c r="J19" s="8" t="inlineStr">
        <is>
          <t>Class A only; B-1/B-2/C excluded because their conversion rates are periodically reset and not derivable from the cover page, so the resulting market cap understates the as-converted total</t>
        </is>
      </c>
    </row>
    <row r="20">
      <c r="A20" s="8" t="inlineStr">
        <is>
          <t>XOM</t>
        </is>
      </c>
      <c r="B20" s="8" t="inlineStr">
        <is>
          <t>ExxonMobil Holdings Corp</t>
        </is>
      </c>
      <c r="C20" s="8" t="inlineStr">
        <is>
          <t>US</t>
        </is>
      </c>
      <c r="D20" s="8" t="inlineStr">
        <is>
          <t>정량</t>
        </is>
      </c>
      <c r="E20" s="8" t="n">
        <v>34088</v>
      </c>
      <c r="F20" s="21" t="n">
        <v>17</v>
      </c>
      <c r="G20" s="17" t="n">
        <v>634.342670336</v>
      </c>
      <c r="H20" s="17" t="n">
        <v>665.80713215487</v>
      </c>
      <c r="I20" s="8" t="inlineStr">
        <is>
          <t>10-K cover page (None), all classes summed at 1:1</t>
        </is>
      </c>
      <c r="J20" s="8" t="inlineStr">
        <is>
          <t>CIK 교정: ticker XOM now resolves to ExxonMobil Holdings Corp (CIK 2115436), a 2026 reorganisation holdco with zero 10-K filings. The operating registrant with the audited annual history is EXXON MOBIL CORP.</t>
        </is>
      </c>
    </row>
    <row r="21">
      <c r="A21" s="8" t="inlineStr">
        <is>
          <t>JNJ</t>
        </is>
      </c>
      <c r="B21" s="8" t="inlineStr">
        <is>
          <t>JOHNSON &amp; JOHNSON</t>
        </is>
      </c>
      <c r="C21" s="8" t="inlineStr">
        <is>
          <t>US</t>
        </is>
      </c>
      <c r="D21" s="8" t="inlineStr">
        <is>
          <t>정량</t>
        </is>
      </c>
      <c r="E21" s="8" t="n">
        <v>200406</v>
      </c>
      <c r="F21" s="21" t="n">
        <v>18</v>
      </c>
      <c r="G21" s="17" t="n">
        <v>624.7420395520001</v>
      </c>
      <c r="H21" s="17" t="n">
        <v>630.9356404341601</v>
      </c>
      <c r="I21" s="8" t="inlineStr">
        <is>
          <t>10-K cover page (None), all classes summed at 1:1</t>
        </is>
      </c>
      <c r="J21" s="8" t="inlineStr"/>
    </row>
    <row r="22">
      <c r="A22" s="8" t="inlineStr">
        <is>
          <t>INTC</t>
        </is>
      </c>
      <c r="B22" s="8" t="inlineStr">
        <is>
          <t>INTEL CORP</t>
        </is>
      </c>
      <c r="C22" s="8" t="inlineStr">
        <is>
          <t>US</t>
        </is>
      </c>
      <c r="D22" s="8" t="inlineStr">
        <is>
          <t>정량</t>
        </is>
      </c>
      <c r="E22" s="8" t="n">
        <v>50863</v>
      </c>
      <c r="F22" s="21" t="n">
        <v>19</v>
      </c>
      <c r="G22" s="17" t="n">
        <v>512.722567168</v>
      </c>
      <c r="H22" s="17" t="n">
        <v>487.1124</v>
      </c>
      <c r="I22" s="8" t="inlineStr">
        <is>
          <t>10-K cover page (December 27, 2025), all classes summed at 1:1</t>
        </is>
      </c>
      <c r="J22" s="8" t="inlineStr"/>
    </row>
    <row r="23">
      <c r="A23" s="8" t="inlineStr">
        <is>
          <t>MA</t>
        </is>
      </c>
      <c r="B23" s="8" t="inlineStr">
        <is>
          <t>Mastercard Inc</t>
        </is>
      </c>
      <c r="C23" s="8" t="inlineStr">
        <is>
          <t>US</t>
        </is>
      </c>
      <c r="D23" s="8" t="inlineStr">
        <is>
          <t>정량</t>
        </is>
      </c>
      <c r="E23" s="8" t="n">
        <v>1141391</v>
      </c>
      <c r="F23" s="21" t="n">
        <v>20</v>
      </c>
      <c r="G23" s="17" t="n">
        <v>493.149782016</v>
      </c>
      <c r="H23" s="17" t="n">
        <v>502.2419391858699</v>
      </c>
      <c r="I23" s="8" t="inlineStr">
        <is>
          <t>10-K cover page (None), all classes summed at 1:1</t>
        </is>
      </c>
      <c r="J23" s="8" t="inlineStr"/>
    </row>
    <row r="24">
      <c r="A24" s="8" t="inlineStr">
        <is>
          <t>CSCO</t>
        </is>
      </c>
      <c r="B24" s="8" t="inlineStr">
        <is>
          <t>CISCO SYSTEMS, INC.</t>
        </is>
      </c>
      <c r="C24" s="8" t="inlineStr">
        <is>
          <t>US</t>
        </is>
      </c>
      <c r="D24" s="8" t="inlineStr">
        <is>
          <t>정량</t>
        </is>
      </c>
      <c r="E24" s="8" t="n">
        <v>858877</v>
      </c>
      <c r="F24" s="21" t="n">
        <v>21</v>
      </c>
      <c r="G24" s="17" t="n">
        <v>478.608392192</v>
      </c>
      <c r="H24" s="17" t="n">
        <v>484.54335052921</v>
      </c>
      <c r="I24" s="8" t="inlineStr">
        <is>
          <t>10-K cover page (None), all classes summed at 1:1</t>
        </is>
      </c>
      <c r="J24" s="8" t="inlineStr"/>
    </row>
    <row r="25">
      <c r="A25" s="8" t="inlineStr">
        <is>
          <t>BAC</t>
        </is>
      </c>
      <c r="B25" s="8" t="inlineStr">
        <is>
          <t>BANK OF AMERICA CORP /DE/</t>
        </is>
      </c>
      <c r="C25" s="8" t="inlineStr">
        <is>
          <t>US</t>
        </is>
      </c>
      <c r="D25" s="8" t="inlineStr">
        <is>
          <t>정량</t>
        </is>
      </c>
      <c r="E25" s="8" t="n">
        <v>70858</v>
      </c>
      <c r="F25" s="21" t="n">
        <v>22</v>
      </c>
      <c r="G25" s="17" t="n">
        <v>441.731907584</v>
      </c>
      <c r="H25" s="17" t="n">
        <v>458.3029233762</v>
      </c>
      <c r="I25" s="8" t="inlineStr">
        <is>
          <t>10-K cover page (None), all classes summed at 1:1</t>
        </is>
      </c>
      <c r="J25" s="8" t="inlineStr"/>
    </row>
    <row r="26">
      <c r="A26" s="8" t="inlineStr">
        <is>
          <t>ABBV</t>
        </is>
      </c>
      <c r="B26" s="8" t="inlineStr">
        <is>
          <t>AbbVie Inc.</t>
        </is>
      </c>
      <c r="C26" s="8" t="inlineStr">
        <is>
          <t>US</t>
        </is>
      </c>
      <c r="D26" s="8" t="inlineStr">
        <is>
          <t>정량</t>
        </is>
      </c>
      <c r="E26" s="8" t="n">
        <v>1551152</v>
      </c>
      <c r="F26" s="21" t="n">
        <v>23</v>
      </c>
      <c r="G26" s="17" t="n">
        <v>434.781519872</v>
      </c>
      <c r="H26" s="17" t="n">
        <v>438.45286990564</v>
      </c>
      <c r="I26" s="8" t="inlineStr">
        <is>
          <t>10-K cover page (None), all classes summed at 1:1</t>
        </is>
      </c>
      <c r="J26" s="8" t="inlineStr"/>
    </row>
    <row r="27">
      <c r="A27" s="8" t="inlineStr">
        <is>
          <t>AMAT</t>
        </is>
      </c>
      <c r="B27" s="8" t="inlineStr">
        <is>
          <t>APPLIED MATERIALS INC /DE</t>
        </is>
      </c>
      <c r="C27" s="8" t="inlineStr">
        <is>
          <t>US</t>
        </is>
      </c>
      <c r="D27" s="8" t="inlineStr">
        <is>
          <t>정량</t>
        </is>
      </c>
      <c r="E27" s="8" t="n">
        <v>6951</v>
      </c>
      <c r="F27" s="21" t="n">
        <v>24</v>
      </c>
      <c r="G27" s="17" t="n">
        <v>428.055298048</v>
      </c>
      <c r="H27" s="17" t="n">
        <v>414.01159025592</v>
      </c>
      <c r="I27" s="8" t="inlineStr">
        <is>
          <t>10-K cover page (None), all classes summed at 1:1</t>
        </is>
      </c>
      <c r="J27" s="8" t="inlineStr"/>
    </row>
    <row r="28">
      <c r="A28" s="8" t="inlineStr">
        <is>
          <t>ORCL</t>
        </is>
      </c>
      <c r="B28" s="8" t="inlineStr">
        <is>
          <t>ORACLE CORP</t>
        </is>
      </c>
      <c r="C28" s="8" t="inlineStr">
        <is>
          <t>US</t>
        </is>
      </c>
      <c r="D28" s="8" t="inlineStr">
        <is>
          <t>정량</t>
        </is>
      </c>
      <c r="E28" s="8" t="n">
        <v>1341439</v>
      </c>
      <c r="F28" s="21" t="n">
        <v>25</v>
      </c>
      <c r="G28" s="17" t="n">
        <v>423.486849024</v>
      </c>
      <c r="H28" s="17" t="n">
        <v>435.09514455</v>
      </c>
      <c r="I28" s="8" t="inlineStr">
        <is>
          <t>10-K cover page (None), all classes summed at 1:1</t>
        </is>
      </c>
      <c r="J28" s="8" t="inlineStr"/>
    </row>
    <row r="29">
      <c r="A29" s="8" t="inlineStr">
        <is>
          <t>COST</t>
        </is>
      </c>
      <c r="B29" s="8" t="inlineStr">
        <is>
          <t>COSTCO WHOLESALE CORP /NEW</t>
        </is>
      </c>
      <c r="C29" s="8" t="inlineStr">
        <is>
          <t>US</t>
        </is>
      </c>
      <c r="D29" s="8" t="inlineStr">
        <is>
          <t>정량</t>
        </is>
      </c>
      <c r="E29" s="8" t="n">
        <v>909832</v>
      </c>
      <c r="F29" s="21" t="n">
        <v>26</v>
      </c>
      <c r="G29" s="17" t="n">
        <v>420.338106368</v>
      </c>
      <c r="H29" s="17" t="n">
        <v>422.238959934</v>
      </c>
      <c r="I29" s="8" t="inlineStr">
        <is>
          <t>10-K cover page (August 31, 2025), all classes summed at 1:1</t>
        </is>
      </c>
      <c r="J29" s="8" t="inlineStr"/>
    </row>
    <row r="30">
      <c r="A30" s="8" t="inlineStr">
        <is>
          <t>PLTR</t>
        </is>
      </c>
      <c r="B30" s="8" t="inlineStr">
        <is>
          <t>Palantir Technologies Inc.</t>
        </is>
      </c>
      <c r="C30" s="8" t="inlineStr">
        <is>
          <t>US</t>
        </is>
      </c>
      <c r="D30" s="8" t="inlineStr">
        <is>
          <t>정량</t>
        </is>
      </c>
      <c r="E30" s="8" t="n">
        <v>1321655</v>
      </c>
      <c r="F30" s="21" t="n">
        <v>27</v>
      </c>
      <c r="G30" s="17" t="n">
        <v>413.350068224</v>
      </c>
      <c r="H30" s="17" t="n">
        <v>419.09333483853</v>
      </c>
      <c r="I30" s="8" t="inlineStr">
        <is>
          <t>10-K cover page (None), all classes summed at 1:1</t>
        </is>
      </c>
      <c r="J30" s="8" t="inlineStr"/>
    </row>
    <row r="31">
      <c r="A31" s="8" t="inlineStr">
        <is>
          <t>LRCX</t>
        </is>
      </c>
      <c r="B31" s="8" t="inlineStr">
        <is>
          <t>LAM RESEARCH CORP</t>
        </is>
      </c>
      <c r="C31" s="8" t="inlineStr">
        <is>
          <t>US</t>
        </is>
      </c>
      <c r="D31" s="8" t="inlineStr">
        <is>
          <t>정량</t>
        </is>
      </c>
      <c r="E31" s="8" t="n">
        <v>707549</v>
      </c>
      <c r="F31" s="21" t="n">
        <v>28</v>
      </c>
      <c r="G31" s="17" t="n">
        <v>389.585403904</v>
      </c>
      <c r="H31" s="17" t="n">
        <v>383.4047544</v>
      </c>
      <c r="I31" s="8" t="inlineStr">
        <is>
          <t>10-K cover page (None), all classes summed at 1:1</t>
        </is>
      </c>
      <c r="J31" s="8" t="inlineStr"/>
    </row>
    <row r="32">
      <c r="A32" s="8" t="inlineStr">
        <is>
          <t>CAT</t>
        </is>
      </c>
      <c r="B32" s="8" t="inlineStr">
        <is>
          <t>CATERPILLAR INC</t>
        </is>
      </c>
      <c r="C32" s="8" t="inlineStr">
        <is>
          <t>US</t>
        </is>
      </c>
      <c r="D32" s="8" t="inlineStr">
        <is>
          <t>정량</t>
        </is>
      </c>
      <c r="E32" s="8" t="n">
        <v>18230</v>
      </c>
      <c r="F32" s="21" t="n">
        <v>29</v>
      </c>
      <c r="G32" s="17" t="n">
        <v>387.13360384</v>
      </c>
      <c r="H32" s="17" t="n">
        <v>389.71536353656</v>
      </c>
      <c r="I32" s="8" t="inlineStr">
        <is>
          <t>10-K cover page (None), all classes summed at 1:1</t>
        </is>
      </c>
      <c r="J32" s="8" t="inlineStr"/>
    </row>
    <row r="33">
      <c r="A33" s="8" t="inlineStr">
        <is>
          <t>GE</t>
        </is>
      </c>
      <c r="B33" s="8" t="inlineStr">
        <is>
          <t>GENERAL ELECTRIC CO</t>
        </is>
      </c>
      <c r="C33" s="8" t="inlineStr">
        <is>
          <t>US</t>
        </is>
      </c>
      <c r="D33" s="8" t="inlineStr">
        <is>
          <t>정량</t>
        </is>
      </c>
      <c r="E33" s="8" t="n">
        <v>40545</v>
      </c>
      <c r="F33" s="21" t="n">
        <v>30</v>
      </c>
      <c r="G33" s="17" t="n">
        <v>383.981125632</v>
      </c>
      <c r="H33" s="17" t="n">
        <v>384.5999515203999</v>
      </c>
      <c r="I33" s="8" t="inlineStr">
        <is>
          <t>10-K cover page (None), all classes summed at 1:1</t>
        </is>
      </c>
      <c r="J33" s="8" t="inlineStr"/>
    </row>
    <row r="34">
      <c r="A34" s="8" t="inlineStr">
        <is>
          <t>KO</t>
        </is>
      </c>
      <c r="B34" s="8" t="inlineStr">
        <is>
          <t>COCA COLA CO</t>
        </is>
      </c>
      <c r="C34" s="8" t="inlineStr">
        <is>
          <t>US</t>
        </is>
      </c>
      <c r="D34" s="8" t="inlineStr">
        <is>
          <t>정량</t>
        </is>
      </c>
      <c r="E34" s="8" t="n">
        <v>21344</v>
      </c>
      <c r="F34" s="21" t="n">
        <v>31</v>
      </c>
      <c r="G34" s="17" t="n">
        <v>374.536896512</v>
      </c>
      <c r="H34" s="17" t="n">
        <v>373.60381300403</v>
      </c>
      <c r="I34" s="8" t="inlineStr">
        <is>
          <t>10-K cover page (None), all classes summed at 1:1</t>
        </is>
      </c>
      <c r="J34" s="8" t="inlineStr"/>
    </row>
    <row r="35">
      <c r="A35" s="8" t="inlineStr">
        <is>
          <t>UNH</t>
        </is>
      </c>
      <c r="B35" s="8" t="inlineStr">
        <is>
          <t>UNITEDHEALTH GROUP INC</t>
        </is>
      </c>
      <c r="C35" s="8" t="inlineStr">
        <is>
          <t>US</t>
        </is>
      </c>
      <c r="D35" s="8" t="inlineStr">
        <is>
          <t>정량</t>
        </is>
      </c>
      <c r="E35" s="8" t="n">
        <v>731766</v>
      </c>
      <c r="F35" s="21" t="n">
        <v>32</v>
      </c>
      <c r="G35" s="17" t="n">
        <v>369.687396352</v>
      </c>
      <c r="H35" s="17" t="n">
        <v>371.00342243286</v>
      </c>
      <c r="I35" s="8" t="inlineStr">
        <is>
          <t>10-K cover page (December 31, 2025), all classes summed at 1:1</t>
        </is>
      </c>
      <c r="J35" s="8" t="inlineStr"/>
    </row>
    <row r="36">
      <c r="A36" s="8" t="inlineStr">
        <is>
          <t>CVX</t>
        </is>
      </c>
      <c r="B36" s="8" t="inlineStr">
        <is>
          <t>CHEVRON CORP</t>
        </is>
      </c>
      <c r="C36" s="8" t="inlineStr">
        <is>
          <t>US</t>
        </is>
      </c>
      <c r="D36" s="8" t="inlineStr">
        <is>
          <t>정량</t>
        </is>
      </c>
      <c r="E36" s="8" t="n">
        <v>93410</v>
      </c>
      <c r="F36" s="21" t="n">
        <v>33</v>
      </c>
      <c r="G36" s="17" t="n">
        <v>365.956726784</v>
      </c>
      <c r="H36" s="17" t="n">
        <v>388.92059540649</v>
      </c>
      <c r="I36" s="8" t="inlineStr">
        <is>
          <t>10-K cover page (None), all classes summed at 1:1</t>
        </is>
      </c>
      <c r="J36" s="8" t="inlineStr"/>
    </row>
    <row r="37">
      <c r="A37" s="8" t="inlineStr">
        <is>
          <t>HD</t>
        </is>
      </c>
      <c r="B37" s="8" t="inlineStr">
        <is>
          <t>HOME DEPOT, INC.</t>
        </is>
      </c>
      <c r="C37" s="8" t="inlineStr">
        <is>
          <t>US</t>
        </is>
      </c>
      <c r="D37" s="8" t="inlineStr">
        <is>
          <t>정량</t>
        </is>
      </c>
      <c r="E37" s="8" t="n">
        <v>354950</v>
      </c>
      <c r="F37" s="21" t="n">
        <v>34</v>
      </c>
      <c r="G37" s="17" t="n">
        <v>354.594619392</v>
      </c>
      <c r="H37" s="17" t="n">
        <v>349.38090204348</v>
      </c>
      <c r="I37" s="8" t="inlineStr">
        <is>
          <t>10-K cover page (None), all classes summed at 1:1</t>
        </is>
      </c>
      <c r="J37" s="8" t="inlineStr"/>
    </row>
    <row r="38">
      <c r="A38" s="8" t="inlineStr">
        <is>
          <t>MS</t>
        </is>
      </c>
      <c r="B38" s="8" t="inlineStr">
        <is>
          <t>MORGAN STANLEY</t>
        </is>
      </c>
      <c r="C38" s="8" t="inlineStr">
        <is>
          <t>US</t>
        </is>
      </c>
      <c r="D38" s="8" t="inlineStr">
        <is>
          <t>정량</t>
        </is>
      </c>
      <c r="E38" s="8" t="n">
        <v>895421</v>
      </c>
      <c r="F38" s="21" t="n">
        <v>35</v>
      </c>
      <c r="G38" s="17" t="n">
        <v>340.070760448</v>
      </c>
      <c r="H38" s="17" t="n">
        <v>341.9139381579801</v>
      </c>
      <c r="I38" s="8" t="inlineStr">
        <is>
          <t>10-K cover page (None), all classes summed at 1:1</t>
        </is>
      </c>
      <c r="J38" s="8" t="inlineStr"/>
    </row>
    <row r="39">
      <c r="A39" s="8" t="inlineStr">
        <is>
          <t>PG</t>
        </is>
      </c>
      <c r="B39" s="8" t="inlineStr">
        <is>
          <t>PROCTER &amp; GAMBLE Co</t>
        </is>
      </c>
      <c r="C39" s="8" t="inlineStr">
        <is>
          <t>US</t>
        </is>
      </c>
      <c r="D39" s="8" t="inlineStr">
        <is>
          <t>정량</t>
        </is>
      </c>
      <c r="E39" s="8" t="n">
        <v>80424</v>
      </c>
      <c r="F39" s="21" t="n">
        <v>36</v>
      </c>
      <c r="G39" s="17" t="n">
        <v>339.486441472</v>
      </c>
      <c r="H39" s="17" t="n">
        <v>340.3899773064</v>
      </c>
      <c r="I39" s="8" t="inlineStr">
        <is>
          <t>10-K cover page (None), all classes summed at 1:1</t>
        </is>
      </c>
      <c r="J39" s="8" t="inlineStr"/>
    </row>
    <row r="40">
      <c r="A40" s="8" t="inlineStr">
        <is>
          <t>MRK</t>
        </is>
      </c>
      <c r="B40" s="8" t="inlineStr">
        <is>
          <t>Merck &amp; Co., Inc.</t>
        </is>
      </c>
      <c r="C40" s="8" t="inlineStr">
        <is>
          <t>US</t>
        </is>
      </c>
      <c r="D40" s="8" t="inlineStr">
        <is>
          <t>정량</t>
        </is>
      </c>
      <c r="E40" s="8" t="n">
        <v>310158</v>
      </c>
      <c r="F40" s="21" t="n">
        <v>37</v>
      </c>
      <c r="G40" s="17" t="n">
        <v>317.570056192</v>
      </c>
      <c r="H40" s="17" t="n">
        <v>323.6855610327599</v>
      </c>
      <c r="I40" s="8" t="inlineStr">
        <is>
          <t>10-K cover page (None), all classes summed at 1:1</t>
        </is>
      </c>
      <c r="J40" s="8" t="inlineStr"/>
    </row>
    <row r="41">
      <c r="A41" s="8" t="inlineStr">
        <is>
          <t>NFLX</t>
        </is>
      </c>
      <c r="B41" s="8" t="inlineStr">
        <is>
          <t>NETFLIX INC</t>
        </is>
      </c>
      <c r="C41" s="8" t="inlineStr">
        <is>
          <t>US</t>
        </is>
      </c>
      <c r="D41" s="8" t="inlineStr">
        <is>
          <t>정량</t>
        </is>
      </c>
      <c r="E41" s="8" t="n">
        <v>1065280</v>
      </c>
      <c r="F41" s="21" t="n">
        <v>38</v>
      </c>
      <c r="G41" s="17" t="n">
        <v>308.714471424</v>
      </c>
      <c r="H41" s="17" t="n">
        <v>322.1087504235</v>
      </c>
      <c r="I41" s="8" t="inlineStr">
        <is>
          <t>10-K cover page (None), all classes summed at 1:1</t>
        </is>
      </c>
      <c r="J41" s="8" t="inlineStr"/>
    </row>
    <row r="42">
      <c r="A42" s="8" t="inlineStr">
        <is>
          <t>GS</t>
        </is>
      </c>
      <c r="B42" s="8" t="inlineStr">
        <is>
          <t>GOLDMAN SACHS GROUP INC</t>
        </is>
      </c>
      <c r="C42" s="8" t="inlineStr">
        <is>
          <t>US</t>
        </is>
      </c>
      <c r="D42" s="8" t="inlineStr">
        <is>
          <t>정량</t>
        </is>
      </c>
      <c r="E42" s="8" t="n">
        <v>886982</v>
      </c>
      <c r="F42" s="21" t="n">
        <v>39</v>
      </c>
      <c r="G42" s="17" t="n">
        <v>302.704689152</v>
      </c>
      <c r="H42" s="17" t="n">
        <v>306.99386533822</v>
      </c>
      <c r="I42" s="8" t="inlineStr">
        <is>
          <t>10-K cover page (None), all classes summed at 1:1</t>
        </is>
      </c>
      <c r="J42" s="8" t="inlineStr"/>
    </row>
    <row r="43">
      <c r="A43" s="8" t="inlineStr">
        <is>
          <t>RTX</t>
        </is>
      </c>
      <c r="B43" s="8" t="inlineStr">
        <is>
          <t>RTX Corp</t>
        </is>
      </c>
      <c r="C43" s="8" t="inlineStr">
        <is>
          <t>US</t>
        </is>
      </c>
      <c r="D43" s="8" t="inlineStr">
        <is>
          <t>정량</t>
        </is>
      </c>
      <c r="E43" s="8" t="n">
        <v>101829</v>
      </c>
      <c r="F43" s="21" t="n">
        <v>40</v>
      </c>
      <c r="G43" s="17" t="n">
        <v>300.590497792</v>
      </c>
      <c r="H43" s="17" t="n">
        <v>300.83351394512</v>
      </c>
      <c r="I43" s="8" t="inlineStr">
        <is>
          <t>10-K cover page (None), all classes summed at 1:1</t>
        </is>
      </c>
      <c r="J43" s="8" t="inlineStr"/>
    </row>
    <row r="44">
      <c r="A44" s="8" t="inlineStr">
        <is>
          <t>PANW</t>
        </is>
      </c>
      <c r="B44" s="8" t="inlineStr">
        <is>
          <t>Palo Alto Networks Inc</t>
        </is>
      </c>
      <c r="C44" s="8" t="inlineStr">
        <is>
          <t>US</t>
        </is>
      </c>
      <c r="D44" s="8" t="inlineStr">
        <is>
          <t>정량</t>
        </is>
      </c>
      <c r="E44" s="8" t="n">
        <v>1327567</v>
      </c>
      <c r="F44" s="21" t="n">
        <v>41</v>
      </c>
      <c r="G44" s="17" t="n">
        <v>296.545878016</v>
      </c>
      <c r="H44" s="17" t="n">
        <v>257.553256</v>
      </c>
      <c r="I44" s="8" t="inlineStr">
        <is>
          <t>10-K cover page (None), all classes summed at 1:1</t>
        </is>
      </c>
      <c r="J44" s="8" t="inlineStr"/>
    </row>
    <row r="45">
      <c r="A45" s="8" t="inlineStr">
        <is>
          <t>PM</t>
        </is>
      </c>
      <c r="B45" s="8" t="inlineStr">
        <is>
          <t>Philip Morris International Inc.</t>
        </is>
      </c>
      <c r="C45" s="8" t="inlineStr">
        <is>
          <t>US</t>
        </is>
      </c>
      <c r="D45" s="8" t="inlineStr">
        <is>
          <t>정량</t>
        </is>
      </c>
      <c r="E45" s="8" t="n">
        <v>1413329</v>
      </c>
      <c r="F45" s="21" t="n">
        <v>42</v>
      </c>
      <c r="G45" s="17" t="n">
        <v>295.466336256</v>
      </c>
      <c r="H45" s="17" t="n">
        <v>289.542401694</v>
      </c>
      <c r="I45" s="8" t="inlineStr">
        <is>
          <t>10-K cover page (None), all classes summed at 1:1</t>
        </is>
      </c>
      <c r="J45" s="8" t="inlineStr"/>
    </row>
    <row r="46">
      <c r="A46" s="8" t="inlineStr">
        <is>
          <t>DELL</t>
        </is>
      </c>
      <c r="B46" s="8" t="inlineStr">
        <is>
          <t>Dell Technologies Inc.</t>
        </is>
      </c>
      <c r="C46" s="8" t="inlineStr">
        <is>
          <t>US</t>
        </is>
      </c>
      <c r="D46" s="8" t="inlineStr">
        <is>
          <t>정량</t>
        </is>
      </c>
      <c r="E46" s="8" t="n">
        <v>1571996</v>
      </c>
      <c r="F46" s="21" t="n">
        <v>43</v>
      </c>
      <c r="G46" s="17" t="n">
        <v>293.20003584</v>
      </c>
      <c r="H46" s="17" t="n">
        <v>295.67530074388</v>
      </c>
      <c r="I46" s="8" t="inlineStr">
        <is>
          <t>10-K cover page (None), all classes summed at 1:1</t>
        </is>
      </c>
      <c r="J46" s="8" t="inlineStr"/>
    </row>
    <row r="47">
      <c r="A47" s="8" t="inlineStr">
        <is>
          <t>WFC</t>
        </is>
      </c>
      <c r="B47" s="8" t="inlineStr">
        <is>
          <t>WELLS FARGO &amp; COMPANY/MN</t>
        </is>
      </c>
      <c r="C47" s="8" t="inlineStr">
        <is>
          <t>US</t>
        </is>
      </c>
      <c r="D47" s="8" t="inlineStr">
        <is>
          <t>정량</t>
        </is>
      </c>
      <c r="E47" s="8" t="n">
        <v>72971</v>
      </c>
      <c r="F47" s="21" t="n">
        <v>44</v>
      </c>
      <c r="G47" s="17" t="n">
        <v>263.843938304</v>
      </c>
      <c r="H47" s="17" t="n">
        <v>270.05483130032</v>
      </c>
      <c r="I47" s="8" t="inlineStr">
        <is>
          <t>10-K cover page (December&amp;#160;31, 2025), all classes summed at 1:1</t>
        </is>
      </c>
      <c r="J47" s="8" t="inlineStr"/>
    </row>
    <row r="48">
      <c r="A48" s="8" t="inlineStr">
        <is>
          <t>GEV</t>
        </is>
      </c>
      <c r="B48" s="8" t="inlineStr">
        <is>
          <t>GE Vernova Inc.</t>
        </is>
      </c>
      <c r="C48" s="8" t="inlineStr">
        <is>
          <t>US</t>
        </is>
      </c>
      <c r="D48" s="8" t="inlineStr">
        <is>
          <t>정량</t>
        </is>
      </c>
      <c r="E48" s="8" t="n">
        <v>1996810</v>
      </c>
      <c r="F48" s="21" t="n">
        <v>45</v>
      </c>
      <c r="G48" s="17" t="n">
        <v>263.755481088</v>
      </c>
      <c r="H48" s="17" t="n">
        <v>267.0632694044</v>
      </c>
      <c r="I48" s="8" t="inlineStr">
        <is>
          <t>10-K cover page (None), all classes summed at 1:1</t>
        </is>
      </c>
      <c r="J48" s="8" t="inlineStr"/>
    </row>
    <row r="49">
      <c r="A49" s="8" t="inlineStr">
        <is>
          <t>TXN</t>
        </is>
      </c>
      <c r="B49" s="8" t="inlineStr">
        <is>
          <t>TEXAS INSTRUMENTS INC</t>
        </is>
      </c>
      <c r="C49" s="8" t="inlineStr">
        <is>
          <t>US</t>
        </is>
      </c>
      <c r="D49" s="8" t="inlineStr">
        <is>
          <t>정량</t>
        </is>
      </c>
      <c r="E49" s="8" t="n">
        <v>97476</v>
      </c>
      <c r="F49" s="21" t="n">
        <v>46</v>
      </c>
      <c r="G49" s="17" t="n">
        <v>261.26188544</v>
      </c>
      <c r="H49" s="17" t="n">
        <v>254.51353906056</v>
      </c>
      <c r="I49" s="8" t="inlineStr">
        <is>
          <t>10-K cover page (None), all classes summed at 1:1</t>
        </is>
      </c>
      <c r="J49" s="8" t="inlineStr"/>
    </row>
    <row r="50">
      <c r="A50" s="8" t="inlineStr">
        <is>
          <t>KLAC</t>
        </is>
      </c>
      <c r="B50" s="8" t="inlineStr">
        <is>
          <t>KLA CORP</t>
        </is>
      </c>
      <c r="C50" s="8" t="inlineStr">
        <is>
          <t>US</t>
        </is>
      </c>
      <c r="D50" s="8" t="inlineStr">
        <is>
          <t>정량</t>
        </is>
      </c>
      <c r="E50" s="8" t="n">
        <v>319201</v>
      </c>
      <c r="F50" s="21" t="n">
        <v>47</v>
      </c>
      <c r="G50" s="17" t="n">
        <v>258.839986176</v>
      </c>
      <c r="H50" s="17" t="n">
        <v>251.82382695542</v>
      </c>
      <c r="I50" s="8" t="inlineStr">
        <is>
          <t>10-K cover page (None), all classes summed at 1:1</t>
        </is>
      </c>
      <c r="J50" s="8" t="inlineStr"/>
    </row>
    <row r="51">
      <c r="A51" s="8" t="inlineStr">
        <is>
          <t>ANET</t>
        </is>
      </c>
      <c r="B51" s="8" t="inlineStr">
        <is>
          <t>Arista Networks, Inc.</t>
        </is>
      </c>
      <c r="C51" s="8" t="inlineStr">
        <is>
          <t>US</t>
        </is>
      </c>
      <c r="D51" s="8" t="inlineStr">
        <is>
          <t>정량</t>
        </is>
      </c>
      <c r="E51" s="8" t="n">
        <v>1596532</v>
      </c>
      <c r="F51" s="21" t="n">
        <v>48</v>
      </c>
      <c r="G51" s="17" t="n">
        <v>237.955268608</v>
      </c>
      <c r="H51" s="17" t="n">
        <v>240.65213975712</v>
      </c>
      <c r="I51" s="8" t="inlineStr">
        <is>
          <t>10-K cover page (None), all classes summed at 1:1</t>
        </is>
      </c>
      <c r="J51" s="8" t="inlineStr"/>
    </row>
    <row r="52">
      <c r="A52" s="8" t="inlineStr">
        <is>
          <t>AXP</t>
        </is>
      </c>
      <c r="B52" s="8" t="inlineStr">
        <is>
          <t>AMERICAN EXPRESS CO</t>
        </is>
      </c>
      <c r="C52" s="8" t="inlineStr">
        <is>
          <t>US</t>
        </is>
      </c>
      <c r="D52" s="8" t="inlineStr">
        <is>
          <t>정량</t>
        </is>
      </c>
      <c r="E52" s="8" t="n">
        <v>4962</v>
      </c>
      <c r="F52" s="21" t="n">
        <v>49</v>
      </c>
      <c r="G52" s="17" t="n">
        <v>230.219874304</v>
      </c>
      <c r="H52" s="17" t="n">
        <v>232.6660217343</v>
      </c>
      <c r="I52" s="8" t="inlineStr">
        <is>
          <t>10-K cover page (None), all classes summed at 1:1</t>
        </is>
      </c>
      <c r="J52" s="8" t="inlineStr"/>
    </row>
    <row r="53">
      <c r="A53" s="8" t="inlineStr">
        <is>
          <t>C</t>
        </is>
      </c>
      <c r="B53" s="8" t="inlineStr">
        <is>
          <t>CITIGROUP INC</t>
        </is>
      </c>
      <c r="C53" s="8" t="inlineStr">
        <is>
          <t>US</t>
        </is>
      </c>
      <c r="D53" s="8" t="inlineStr">
        <is>
          <t>정량</t>
        </is>
      </c>
      <c r="E53" s="8" t="n">
        <v>831001</v>
      </c>
      <c r="F53" s="21" t="n">
        <v>50</v>
      </c>
      <c r="G53" s="17" t="n">
        <v>226.453962752</v>
      </c>
      <c r="H53" s="17" t="n">
        <v>236.54291639698</v>
      </c>
      <c r="I53" s="8" t="inlineStr">
        <is>
          <t>10-K cover page (None), all classes summed at 1:1</t>
        </is>
      </c>
      <c r="J53" s="8" t="inlineStr"/>
    </row>
    <row r="54">
      <c r="A54" s="8" t="inlineStr">
        <is>
          <t>IBM</t>
        </is>
      </c>
      <c r="B54" s="8" t="inlineStr">
        <is>
          <t>INTERNATIONAL BUSINESS MACHINES CORP</t>
        </is>
      </c>
      <c r="C54" s="8" t="inlineStr">
        <is>
          <t>US</t>
        </is>
      </c>
      <c r="D54" s="8" t="inlineStr">
        <is>
          <t>정량</t>
        </is>
      </c>
      <c r="E54" s="8" t="n">
        <v>51143</v>
      </c>
      <c r="F54" s="21" t="n">
        <v>51</v>
      </c>
      <c r="G54" s="17" t="n">
        <v>223.549652992</v>
      </c>
      <c r="H54" s="17" t="n">
        <v>221.66691000924</v>
      </c>
      <c r="I54" s="8" t="inlineStr">
        <is>
          <t>10-K cover page (None), all classes summed at 1:1</t>
        </is>
      </c>
      <c r="J54" s="8" t="inlineStr"/>
    </row>
    <row r="55">
      <c r="A55" s="8" t="inlineStr">
        <is>
          <t>005930.KS</t>
        </is>
      </c>
      <c r="B55" s="8" t="inlineStr">
        <is>
          <t>Samsung Electronics Co., Ltd.</t>
        </is>
      </c>
      <c r="C55" s="8" t="inlineStr">
        <is>
          <t>KR</t>
        </is>
      </c>
      <c r="D55" s="8" t="inlineStr">
        <is>
          <t>정성만</t>
        </is>
      </c>
      <c r="E55" s="8" t="n"/>
      <c r="F55" s="21" t="n"/>
      <c r="G55" s="17" t="n"/>
      <c r="H55" s="17" t="n"/>
      <c r="I55" s="8" t="n"/>
      <c r="J55" s="8" t="inlineStr">
        <is>
          <t>Not an SEC registrant. Audited financials are filed with DART, whose API requires a key not available in this environment, so no line item can be sourced to a primary filing at the standard applied to the US 50.</t>
        </is>
      </c>
    </row>
    <row r="56">
      <c r="A56" s="8" t="inlineStr">
        <is>
          <t>000660.KS</t>
        </is>
      </c>
      <c r="B56" s="8" t="inlineStr">
        <is>
          <t>SK hynix Inc.</t>
        </is>
      </c>
      <c r="C56" s="8" t="inlineStr">
        <is>
          <t>KR</t>
        </is>
      </c>
      <c r="D56" s="8" t="inlineStr">
        <is>
          <t>정성만</t>
        </is>
      </c>
      <c r="E56" s="8" t="n"/>
      <c r="F56" s="21" t="n"/>
      <c r="G56" s="17" t="n"/>
      <c r="H56" s="17" t="n"/>
      <c r="I56" s="8" t="n"/>
      <c r="J56" s="8" t="inlineStr">
        <is>
          <t>Not an SEC registrant. Audited financials are filed with DART, whose API requires a key not available in this environment, so no line item can be sourced to a primary filing at the standard applied to the US 50.</t>
        </is>
      </c>
    </row>
    <row r="58">
      <c r="A58" s="9" t="inlineStr">
        <is>
          <t>제외: SPCX(SpaceX) — 비상장으로 10-K 제출 이력이 없어 감사받은 연간 시계열이 존재하지 않습니다. 차순위인 IBM을 승격했습니다.</t>
        </is>
      </c>
    </row>
  </sheetData>
  <autoFilter ref="A4:J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2026-08-11T08:22:01Z</dcterms:created>
  <dcterms:modified xsi:type="dcterms:W3CDTF">2026-08-11T08:22:02Z</dcterms:modified>
</cp:coreProperties>
</file>