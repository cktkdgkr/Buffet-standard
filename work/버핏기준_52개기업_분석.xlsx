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품질순위" sheetId="2" state="visible" r:id="rId2"/>
    <sheet name="밸류에이션" sheetId="3" state="visible" r:id="rId3"/>
    <sheet name="금융9개사" sheetId="4" state="visible" r:id="rId4"/>
    <sheet name="연도별데이터" sheetId="5" state="visible" r:id="rId5"/>
    <sheet name="검증결과" sheetId="6" state="visible" r:id="rId6"/>
    <sheet name="유니버스" sheetId="7" state="visible" r:id="rId7"/>
  </sheets>
  <definedNames>
    <definedName name="_xlnm._FilterDatabase" localSheetId="1" hidden="1">'품질순위'!$A$4:$T$45</definedName>
    <definedName name="_xlnm._FilterDatabase" localSheetId="2" hidden="1">'밸류에이션'!$A$4:$N$41</definedName>
    <definedName name="_xlnm._FilterDatabase" localSheetId="3" hidden="1">'금융9개사'!$A$4:$K$13</definedName>
    <definedName name="_xlnm._FilterDatabase" localSheetId="4" hidden="1">'연도별데이터'!$A$4:$AD$590</definedName>
    <definedName name="_xlnm._FilterDatabase" localSheetId="5" hidden="1">'검증결과'!$A$4:$H$54</definedName>
    <definedName name="_xlnm._FilterDatabase" localSheetId="6" hidden="1">'유니버스'!$A$4:$J$56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&quot;x&quot;"/>
    <numFmt numFmtId="166" formatCode="$#,##0.0;($#,##0.0);-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3" fontId="3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166" fontId="4" fillId="0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4" customWidth="1" min="1" max="1"/>
    <col width="88" customWidth="1" min="2" max="2"/>
  </cols>
  <sheetData>
    <row r="1">
      <c r="A1" s="1" t="inlineStr">
        <is>
          <t>버핏 기준 52개 기업 분석</t>
        </is>
      </c>
    </row>
    <row r="2">
      <c r="A2" s="2" t="inlineStr">
        <is>
          <t>생성 2026-08-09 07:25 UTC · 미국 50개사 정량 + 한국 2개사 정성</t>
        </is>
      </c>
    </row>
    <row r="4" ht="26" customHeight="1">
      <c r="A4" s="3" t="inlineStr">
        <is>
          <t>핵심 결론</t>
        </is>
      </c>
      <c r="B4" s="4" t="inlineStr">
        <is>
          <t>비금융 41개사 중 38개사가 ROIC로 자본비용을 넘겼지만, 할인율 10% 기준 DCF에서 안전마진 30% 이상인 기업은 0개입니다.</t>
        </is>
      </c>
    </row>
    <row r="5" ht="15" customHeight="1">
      <c r="A5" s="3" t="inlineStr">
        <is>
          <t>경계선</t>
        </is>
      </c>
      <c r="B5" s="4" t="inlineStr">
        <is>
          <t>1개사 (XOM). 나머지는 전부 적정가치 추정 범위 밖에서 거래되고 있습니다.</t>
        </is>
      </c>
    </row>
    <row r="6" ht="26" customHeight="1">
      <c r="A6" s="3" t="inlineStr">
        <is>
          <t>주주이익 음수</t>
        </is>
      </c>
      <c r="B6" s="4" t="inlineStr">
        <is>
          <t>4개사 (PLTR, INTC, TSLA, AMD). 이익이 없어서가 아니라 설비투자와 운전자본이 순이익을 넘어서기 때문이며, 데이터 공백이 아니라 사업 판정입니다.</t>
        </is>
      </c>
    </row>
    <row r="7" ht="26" customHeight="1">
      <c r="A7" s="3" t="inlineStr">
        <is>
          <t>금융업 처리</t>
        </is>
      </c>
      <c r="B7" s="4" t="inlineStr">
        <is>
          <t>9개사는 ROIC·주주이익을 산출하지 않았습니다. 은행에서 부채는 자금조달이 아니라 원재료라 투하자본이 정의되지 않습니다. SIC 6000~6799 기준으로 분류했습니다.</t>
        </is>
      </c>
    </row>
    <row r="8" ht="26" customHeight="1">
      <c r="A8" s="3" t="inlineStr">
        <is>
          <t>한국 2개사</t>
        </is>
      </c>
      <c r="B8" s="4" t="inlineStr">
        <is>
          <t>삼성전자·SK하이닉스는 정성 분석만 했습니다. DART 접근에 인증키가 필요해 감사받은 1차 출처를 확보할 수 없었고, 기억으로 숫자를 채우지 않았습니다.</t>
        </is>
      </c>
    </row>
    <row r="10" ht="26" customHeight="1">
      <c r="A10" s="3" t="inlineStr">
        <is>
          <t>검증 (PHASE 6)</t>
        </is>
      </c>
      <c r="B10" s="4" t="inlineStr">
        <is>
          <t>50/50개사 통과. 각 수치를 해당 10-K 원문의 인라인 XBRL과 대조하고, 인용 접수번호가 EDGAR에 실재하는지 확인하고, 주식수를 재파싱으로 재현하고, 주가를 재조회했습니다.</t>
        </is>
      </c>
    </row>
    <row r="12" ht="26" customHeight="1">
      <c r="A12" s="3" t="inlineStr">
        <is>
          <t>무위험수익률</t>
        </is>
      </c>
      <c r="B12" s="4" t="inlineStr">
        <is>
          <t>4.69% (2026-08-06) · DGS10 (10-Year Treasury Constant Maturity Rate)</t>
        </is>
      </c>
    </row>
    <row r="13" ht="15" customHeight="1">
      <c r="A13" s="3" t="inlineStr">
        <is>
          <t>주식위험프리미엄</t>
        </is>
      </c>
      <c r="B13" s="4" t="inlineStr">
        <is>
          <t>4.46% (January 5, 2026) · Damodaran (NYU Stern)</t>
        </is>
      </c>
    </row>
    <row r="15" ht="26" customHeight="1">
      <c r="A15" s="3" t="inlineStr">
        <is>
          <t>EBIT 산출</t>
        </is>
      </c>
      <c r="B15" s="4" t="inlineStr">
        <is>
          <t>pretax income + interest expense where both are tagged, else the reported operating-income subtotal; recorded per year</t>
        </is>
      </c>
    </row>
    <row r="16" ht="15" customHeight="1">
      <c r="A16" s="3" t="inlineStr">
        <is>
          <t>수익률 분모</t>
        </is>
      </c>
      <c r="B16" s="4" t="inlineStr">
        <is>
          <t>average of opening and closing capital</t>
        </is>
      </c>
    </row>
    <row r="17" ht="15" customHeight="1">
      <c r="A17" s="3" t="inlineStr">
        <is>
          <t>DCF 기준 현금흐름</t>
        </is>
      </c>
      <c r="B17" s="4" t="inlineStr">
        <is>
          <t>최근 5년 주주이익 마진의 중앙값 × 최근 매출</t>
        </is>
      </c>
    </row>
    <row r="18" ht="15" customHeight="1">
      <c r="A18" s="3" t="inlineStr">
        <is>
          <t>DCF 시나리오</t>
        </is>
      </c>
      <c r="B18" s="4" t="inlineStr">
        <is>
          <t>보수 할인율 12%·영구성장 2.0% / 기준 10%·2.5% / 낙관 8%·3.0%, 예측기간 10년</t>
        </is>
      </c>
    </row>
    <row r="20" ht="45" customHeight="1">
      <c r="A20" s="5" t="inlineStr">
        <is>
          <t>주의</t>
        </is>
      </c>
      <c r="B20" s="6" t="inlineStr">
        <is>
          <t>이 분석은 '지금 투자 가능 구간 안인가'라는 질문에만 답합니다. 목표주가가 아니며, DCF는 3개 시나리오의 범위로만 읽어야 합니다. 비자의 시가총액은 클래스 B·C 전환분이 빠져 과소평가돼 있어 실제 안전마진은 표시된 값보다 나쁩니다.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30" customWidth="1" min="3" max="3"/>
    <col width="8" customWidth="1" min="4" max="4"/>
    <col width="12" customWidth="1" min="5" max="5"/>
    <col width="12" customWidth="1" min="6" max="6"/>
    <col width="12" customWidth="1" min="7" max="7"/>
    <col width="11" customWidth="1" min="8" max="8"/>
    <col width="9" customWidth="1" min="9" max="9"/>
    <col width="12" customWidth="1" min="10" max="10"/>
    <col width="12" customWidth="1" min="11" max="11"/>
    <col width="12" customWidth="1" min="12" max="12"/>
    <col width="4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</cols>
  <sheetData>
    <row r="1">
      <c r="A1" s="1" t="inlineStr">
        <is>
          <t>품질 순위 — 비금융 42개사</t>
        </is>
      </c>
    </row>
    <row r="2">
      <c r="A2" s="2" t="inlineStr">
        <is>
          <t>사업의 질만 평가합니다. 가격은 '밸류에이션' 시트에서 따로 다룹니다. 총점은 우측 7개 배점 항목의 합계(수식)입니다.</t>
        </is>
      </c>
    </row>
    <row r="4" ht="30" customHeight="1">
      <c r="A4" s="7" t="inlineStr">
        <is>
          <t>순위</t>
        </is>
      </c>
      <c r="B4" s="7" t="inlineStr">
        <is>
          <t>티커</t>
        </is>
      </c>
      <c r="C4" s="7" t="inlineStr">
        <is>
          <t>기업</t>
        </is>
      </c>
      <c r="D4" s="7" t="inlineStr">
        <is>
          <t>총점</t>
        </is>
      </c>
      <c r="E4" s="7" t="inlineStr">
        <is>
          <t>ROIC 중앙값</t>
        </is>
      </c>
      <c r="F4" s="7" t="inlineStr">
        <is>
          <t>두자릿수 유지</t>
        </is>
      </c>
      <c r="G4" s="7" t="inlineStr">
        <is>
          <t>신규 ROIC</t>
        </is>
      </c>
      <c r="H4" s="7" t="inlineStr">
        <is>
          <t>ROIC−WACC</t>
        </is>
      </c>
      <c r="I4" s="7" t="inlineStr">
        <is>
          <t>WACC</t>
        </is>
      </c>
      <c r="J4" s="7" t="inlineStr">
        <is>
          <t>주주이익 마진</t>
        </is>
      </c>
      <c r="K4" s="7" t="inlineStr">
        <is>
          <t>순부채/EBITDA</t>
        </is>
      </c>
      <c r="L4" s="7" t="inlineStr">
        <is>
          <t>이자보상배율</t>
        </is>
      </c>
      <c r="M4" s="7" t="inlineStr">
        <is>
          <t>해자 판정</t>
        </is>
      </c>
      <c r="N4" s="7" t="inlineStr">
        <is>
          <t>배점:ROIC</t>
        </is>
      </c>
      <c r="O4" s="7" t="inlineStr">
        <is>
          <t>배점:지속성</t>
        </is>
      </c>
      <c r="P4" s="7" t="inlineStr">
        <is>
          <t>배점:신규ROIC</t>
        </is>
      </c>
      <c r="Q4" s="7" t="inlineStr">
        <is>
          <t>배점:스프레드</t>
        </is>
      </c>
      <c r="R4" s="7" t="inlineStr">
        <is>
          <t>배점:주주이익</t>
        </is>
      </c>
      <c r="S4" s="7" t="inlineStr">
        <is>
          <t>배점:순부채</t>
        </is>
      </c>
      <c r="T4" s="7" t="inlineStr">
        <is>
          <t>배점:이자보상</t>
        </is>
      </c>
    </row>
    <row r="5">
      <c r="A5" s="8" t="n">
        <v>1</v>
      </c>
      <c r="B5" s="8" t="inlineStr">
        <is>
          <t>MA</t>
        </is>
      </c>
      <c r="C5" s="8" t="inlineStr">
        <is>
          <t>Mastercard Inc</t>
        </is>
      </c>
      <c r="D5" s="9">
        <f>SUM(N5:T5)</f>
        <v/>
      </c>
      <c r="E5" s="10" t="n">
        <v>1.054270399944997</v>
      </c>
      <c r="F5" s="8" t="inlineStr">
        <is>
          <t>12/12</t>
        </is>
      </c>
      <c r="G5" s="10" t="n">
        <v>0.8842109913167749</v>
      </c>
      <c r="H5" s="10" t="n">
        <v>0.8799446016848165</v>
      </c>
      <c r="I5" s="10" t="n">
        <v>0.07873011785338803</v>
      </c>
      <c r="J5" s="10" t="n">
        <v>0.525925259702298</v>
      </c>
      <c r="K5" s="11" t="n">
        <v>0.4125617570806633</v>
      </c>
      <c r="L5" s="11" t="n">
        <v>26.73130193905817</v>
      </c>
      <c r="M5" s="8" t="inlineStr">
        <is>
          <t>강함 - 장기간 두 자릿수 ROIC + 안정적 마진</t>
        </is>
      </c>
      <c r="N5" s="12" t="n">
        <v>25</v>
      </c>
      <c r="O5" s="12" t="n">
        <v>20</v>
      </c>
      <c r="P5" s="12" t="n">
        <v>20</v>
      </c>
      <c r="Q5" s="12" t="n">
        <v>15</v>
      </c>
      <c r="R5" s="12" t="n">
        <v>10</v>
      </c>
      <c r="S5" s="12" t="n">
        <v>5</v>
      </c>
      <c r="T5" s="12" t="n">
        <v>5</v>
      </c>
    </row>
    <row r="6">
      <c r="A6" s="8" t="n">
        <v>2</v>
      </c>
      <c r="B6" s="8" t="inlineStr">
        <is>
          <t>KLAC</t>
        </is>
      </c>
      <c r="C6" s="8" t="inlineStr">
        <is>
          <t>KLA CORP</t>
        </is>
      </c>
      <c r="D6" s="9">
        <f>SUM(N6:T6)</f>
        <v/>
      </c>
      <c r="E6" s="10" t="n">
        <v>0.5237431220283274</v>
      </c>
      <c r="F6" s="8" t="inlineStr">
        <is>
          <t>7/7</t>
        </is>
      </c>
      <c r="G6" s="10" t="n">
        <v>0.6789262481687337</v>
      </c>
      <c r="H6" s="10" t="n">
        <v>0.4207148370305397</v>
      </c>
      <c r="I6" s="10" t="n">
        <v>0.1112032625090378</v>
      </c>
      <c r="J6" s="10" t="n">
        <v>0.3064869582038764</v>
      </c>
      <c r="K6" s="11" t="n">
        <v>0.6743064469905605</v>
      </c>
      <c r="L6" s="11" t="n">
        <v>20.70863802559415</v>
      </c>
      <c r="M6" s="8" t="inlineStr">
        <is>
          <t>강함 - 장기간 두 자릿수 ROIC, 마진 변동은 있음</t>
        </is>
      </c>
      <c r="N6" s="12" t="n">
        <v>25</v>
      </c>
      <c r="O6" s="12" t="n">
        <v>20</v>
      </c>
      <c r="P6" s="12" t="n">
        <v>20</v>
      </c>
      <c r="Q6" s="12" t="n">
        <v>15</v>
      </c>
      <c r="R6" s="12" t="n">
        <v>10</v>
      </c>
      <c r="S6" s="12" t="n">
        <v>5</v>
      </c>
      <c r="T6" s="12" t="n">
        <v>5</v>
      </c>
    </row>
    <row r="7">
      <c r="A7" s="8" t="n">
        <v>3</v>
      </c>
      <c r="B7" s="8" t="inlineStr">
        <is>
          <t>LRCX</t>
        </is>
      </c>
      <c r="C7" s="8" t="inlineStr">
        <is>
          <t>LAM RESEARCH CORP</t>
        </is>
      </c>
      <c r="D7" s="9">
        <f>SUM(N7:T7)</f>
        <v/>
      </c>
      <c r="E7" s="10" t="n">
        <v>0.4757420249264772</v>
      </c>
      <c r="F7" s="8" t="inlineStr">
        <is>
          <t>12/12</t>
        </is>
      </c>
      <c r="G7" s="10" t="n">
        <v>1.454884109751269</v>
      </c>
      <c r="H7" s="10" t="n">
        <v>0.6686912636869435</v>
      </c>
      <c r="I7" s="10" t="n">
        <v>0.1292424958264033</v>
      </c>
      <c r="J7" s="10" t="n">
        <v>0.2779015149654738</v>
      </c>
      <c r="K7" s="11" t="n">
        <v>-0.2096082476693609</v>
      </c>
      <c r="L7" s="11" t="n">
        <v>53.99752410152467</v>
      </c>
      <c r="M7" s="8" t="inlineStr">
        <is>
          <t>강함 - 장기간 두 자릿수 ROIC + 안정적 마진</t>
        </is>
      </c>
      <c r="N7" s="12" t="n">
        <v>25</v>
      </c>
      <c r="O7" s="12" t="n">
        <v>20</v>
      </c>
      <c r="P7" s="12" t="n">
        <v>20</v>
      </c>
      <c r="Q7" s="12" t="n">
        <v>15</v>
      </c>
      <c r="R7" s="12" t="n">
        <v>10</v>
      </c>
      <c r="S7" s="12" t="n">
        <v>5</v>
      </c>
      <c r="T7" s="12" t="n">
        <v>5</v>
      </c>
    </row>
    <row r="8">
      <c r="A8" s="8" t="n">
        <v>4</v>
      </c>
      <c r="B8" s="8" t="inlineStr">
        <is>
          <t>V</t>
        </is>
      </c>
      <c r="C8" s="8" t="inlineStr">
        <is>
          <t>VISA INC.</t>
        </is>
      </c>
      <c r="D8" s="9">
        <f>SUM(N8:T8)</f>
        <v/>
      </c>
      <c r="E8" s="10" t="n">
        <v>0.357810968433727</v>
      </c>
      <c r="F8" s="8" t="inlineStr">
        <is>
          <t>10/10</t>
        </is>
      </c>
      <c r="G8" s="10" t="n">
        <v>0.7867566861198916</v>
      </c>
      <c r="H8" s="10" t="n">
        <v>0.3589783411875113</v>
      </c>
      <c r="I8" s="10" t="n">
        <v>0.07857749885524752</v>
      </c>
      <c r="J8" s="10" t="n">
        <v>0.5794873365387561</v>
      </c>
      <c r="K8" s="11" t="n">
        <v>0.3079260085374764</v>
      </c>
      <c r="L8" s="11" t="n">
        <v>42.07640067911715</v>
      </c>
      <c r="M8" s="8" t="inlineStr">
        <is>
          <t>강함 - 장기간 두 자릿수 ROIC + 안정적 마진</t>
        </is>
      </c>
      <c r="N8" s="12" t="n">
        <v>25</v>
      </c>
      <c r="O8" s="12" t="n">
        <v>20</v>
      </c>
      <c r="P8" s="12" t="n">
        <v>20</v>
      </c>
      <c r="Q8" s="12" t="n">
        <v>15</v>
      </c>
      <c r="R8" s="12" t="n">
        <v>10</v>
      </c>
      <c r="S8" s="12" t="n">
        <v>5</v>
      </c>
      <c r="T8" s="12" t="n">
        <v>5</v>
      </c>
    </row>
    <row r="9">
      <c r="A9" s="8" t="n">
        <v>5</v>
      </c>
      <c r="B9" s="8" t="inlineStr">
        <is>
          <t>NVDA</t>
        </is>
      </c>
      <c r="C9" s="8" t="inlineStr">
        <is>
          <t>NVIDIA CORP</t>
        </is>
      </c>
      <c r="D9" s="9">
        <f>SUM(N9:T9)</f>
        <v/>
      </c>
      <c r="E9" s="10" t="n">
        <v>0.3479129971911494</v>
      </c>
      <c r="F9" s="8" t="inlineStr">
        <is>
          <t>12/12</t>
        </is>
      </c>
      <c r="G9" s="10" t="n">
        <v>0.7934188728113448</v>
      </c>
      <c r="H9" s="10" t="n">
        <v>0.8765362580854887</v>
      </c>
      <c r="I9" s="10" t="n">
        <v>0.1456331105610837</v>
      </c>
      <c r="J9" s="10" t="n">
        <v>0.3458930090346904</v>
      </c>
      <c r="K9" s="11" t="n">
        <v>-0.007896800338632564</v>
      </c>
      <c r="L9" s="11" t="n">
        <v>547.1389961389962</v>
      </c>
      <c r="M9" s="8" t="inlineStr">
        <is>
          <t>강함 - 장기간 두 자릿수 ROIC, 마진 변동은 있음</t>
        </is>
      </c>
      <c r="N9" s="12" t="n">
        <v>25</v>
      </c>
      <c r="O9" s="12" t="n">
        <v>20</v>
      </c>
      <c r="P9" s="12" t="n">
        <v>20</v>
      </c>
      <c r="Q9" s="12" t="n">
        <v>15</v>
      </c>
      <c r="R9" s="12" t="n">
        <v>10</v>
      </c>
      <c r="S9" s="12" t="n">
        <v>5</v>
      </c>
      <c r="T9" s="12" t="n">
        <v>5</v>
      </c>
    </row>
    <row r="10">
      <c r="A10" s="8" t="n">
        <v>6</v>
      </c>
      <c r="B10" s="8" t="inlineStr">
        <is>
          <t>ANET</t>
        </is>
      </c>
      <c r="C10" s="8" t="inlineStr">
        <is>
          <t>Arista Networks, Inc.</t>
        </is>
      </c>
      <c r="D10" s="9">
        <f>SUM(N10:T10)</f>
        <v/>
      </c>
      <c r="E10" s="10" t="n">
        <v>0.3855263501305263</v>
      </c>
      <c r="F10" s="8" t="inlineStr">
        <is>
          <t>12/12</t>
        </is>
      </c>
      <c r="G10" s="10" t="n">
        <v>0.3068551910569969</v>
      </c>
      <c r="H10" s="10" t="n">
        <v>0.2426868085228842</v>
      </c>
      <c r="I10" s="10" t="n">
        <v>0.1185785798452123</v>
      </c>
      <c r="J10" s="10" t="n">
        <v>0.1439109822792763</v>
      </c>
      <c r="K10" s="11" t="n">
        <v>-0.4998854582940922</v>
      </c>
      <c r="L10" s="11" t="n">
        <v>107.9237319511292</v>
      </c>
      <c r="M10" s="8" t="inlineStr">
        <is>
          <t>강함 - 장기간 두 자릿수 ROIC, 마진 변동은 있음</t>
        </is>
      </c>
      <c r="N10" s="12" t="n">
        <v>25</v>
      </c>
      <c r="O10" s="12" t="n">
        <v>20</v>
      </c>
      <c r="P10" s="12" t="n">
        <v>20</v>
      </c>
      <c r="Q10" s="12" t="n">
        <v>15</v>
      </c>
      <c r="R10" s="12" t="n">
        <v>7</v>
      </c>
      <c r="S10" s="12" t="n">
        <v>5</v>
      </c>
      <c r="T10" s="12" t="n">
        <v>5</v>
      </c>
    </row>
    <row r="11">
      <c r="A11" s="8" t="n">
        <v>7</v>
      </c>
      <c r="B11" s="8" t="inlineStr">
        <is>
          <t>AMAT</t>
        </is>
      </c>
      <c r="C11" s="8" t="inlineStr">
        <is>
          <t>APPLIED MATERIALS INC /DE</t>
        </is>
      </c>
      <c r="D11" s="9">
        <f>SUM(N11:T11)</f>
        <v/>
      </c>
      <c r="E11" s="10" t="n">
        <v>0.3705525858979837</v>
      </c>
      <c r="F11" s="8" t="inlineStr">
        <is>
          <t>12/12</t>
        </is>
      </c>
      <c r="G11" s="10" t="n">
        <v>0.4681841784168236</v>
      </c>
      <c r="H11" s="10" t="n">
        <v>0.2734835436227716</v>
      </c>
      <c r="I11" s="10" t="n">
        <v>0.1182183945076686</v>
      </c>
      <c r="J11" s="10" t="n">
        <v>0.1909985691367125</v>
      </c>
      <c r="K11" s="11" t="n">
        <v>-0.078796992481203</v>
      </c>
      <c r="L11" s="11" t="n">
        <v>35.46468401486989</v>
      </c>
      <c r="M11" s="8" t="inlineStr">
        <is>
          <t>강함 - 장기간 두 자릿수 ROIC + 안정적 마진</t>
        </is>
      </c>
      <c r="N11" s="12" t="n">
        <v>25</v>
      </c>
      <c r="O11" s="12" t="n">
        <v>20</v>
      </c>
      <c r="P11" s="12" t="n">
        <v>20</v>
      </c>
      <c r="Q11" s="12" t="n">
        <v>15</v>
      </c>
      <c r="R11" s="12" t="n">
        <v>7</v>
      </c>
      <c r="S11" s="12" t="n">
        <v>5</v>
      </c>
      <c r="T11" s="12" t="n">
        <v>5</v>
      </c>
    </row>
    <row r="12">
      <c r="A12" s="8" t="n">
        <v>8</v>
      </c>
      <c r="B12" s="8" t="inlineStr">
        <is>
          <t>PM</t>
        </is>
      </c>
      <c r="C12" s="8" t="inlineStr">
        <is>
          <t>Philip Morris International Inc.</t>
        </is>
      </c>
      <c r="D12" s="9">
        <f>SUM(N12:T12)</f>
        <v/>
      </c>
      <c r="E12" s="10" t="n">
        <v>0.6623062258634751</v>
      </c>
      <c r="F12" s="8" t="inlineStr">
        <is>
          <t>12/12</t>
        </is>
      </c>
      <c r="G12" s="10" t="n">
        <v>0.2479216601004848</v>
      </c>
      <c r="H12" s="10" t="n">
        <v>0.3795740641179524</v>
      </c>
      <c r="I12" s="10" t="n">
        <v>0.05785426096107836</v>
      </c>
      <c r="J12" s="10" t="n">
        <v>0.2634279957181538</v>
      </c>
      <c r="K12" s="11" t="n">
        <v>2.456257594167679</v>
      </c>
      <c r="L12" s="11" t="n">
        <v>9.74606175173283</v>
      </c>
      <c r="M12" s="8" t="inlineStr">
        <is>
          <t>강함 - 장기간 두 자릿수 ROIC + 안정적 마진</t>
        </is>
      </c>
      <c r="N12" s="12" t="n">
        <v>25</v>
      </c>
      <c r="O12" s="12" t="n">
        <v>20</v>
      </c>
      <c r="P12" s="12" t="n">
        <v>20</v>
      </c>
      <c r="Q12" s="12" t="n">
        <v>15</v>
      </c>
      <c r="R12" s="12" t="n">
        <v>10</v>
      </c>
      <c r="S12" s="12" t="n">
        <v>2</v>
      </c>
      <c r="T12" s="12" t="n">
        <v>3</v>
      </c>
    </row>
    <row r="13">
      <c r="A13" s="8" t="n">
        <v>9</v>
      </c>
      <c r="B13" s="8" t="inlineStr">
        <is>
          <t>MSFT</t>
        </is>
      </c>
      <c r="C13" s="8" t="inlineStr">
        <is>
          <t>MICROSOFT CORP</t>
        </is>
      </c>
      <c r="D13" s="9">
        <f>SUM(N13:T13)</f>
        <v/>
      </c>
      <c r="E13" s="10" t="n">
        <v>0.2928242332744144</v>
      </c>
      <c r="F13" s="8" t="inlineStr">
        <is>
          <t>12/12</t>
        </is>
      </c>
      <c r="G13" s="10" t="n">
        <v>0.3413942807970544</v>
      </c>
      <c r="H13" s="10" t="n">
        <v>0.2375899553724434</v>
      </c>
      <c r="I13" s="10" t="n">
        <v>0.09538293152576487</v>
      </c>
      <c r="J13" s="10" t="n">
        <v>0.3209919071325767</v>
      </c>
      <c r="K13" s="11" t="n">
        <v>0.09523083355879676</v>
      </c>
      <c r="L13" s="11" t="n">
        <v>55.38675843985578</v>
      </c>
      <c r="M13" s="8" t="inlineStr">
        <is>
          <t>강함 - 장기간 두 자릿수 ROIC, 마진 변동은 있음</t>
        </is>
      </c>
      <c r="N13" s="12" t="n">
        <v>20</v>
      </c>
      <c r="O13" s="12" t="n">
        <v>20</v>
      </c>
      <c r="P13" s="12" t="n">
        <v>20</v>
      </c>
      <c r="Q13" s="12" t="n">
        <v>15</v>
      </c>
      <c r="R13" s="12" t="n">
        <v>10</v>
      </c>
      <c r="S13" s="12" t="n">
        <v>5</v>
      </c>
      <c r="T13" s="12" t="n">
        <v>5</v>
      </c>
    </row>
    <row r="14">
      <c r="A14" s="8" t="n">
        <v>10</v>
      </c>
      <c r="B14" s="8" t="inlineStr">
        <is>
          <t>KO</t>
        </is>
      </c>
      <c r="C14" s="8" t="inlineStr">
        <is>
          <t>COCA COLA CO</t>
        </is>
      </c>
      <c r="D14" s="9">
        <f>SUM(N14:T14)</f>
        <v/>
      </c>
      <c r="E14" s="10" t="n">
        <v>0.2838628888804338</v>
      </c>
      <c r="F14" s="8" t="inlineStr">
        <is>
          <t>12/12</t>
        </is>
      </c>
      <c r="G14" s="10" t="n">
        <v>0.2785175883921824</v>
      </c>
      <c r="H14" s="10" t="n">
        <v>0.1777525020389059</v>
      </c>
      <c r="I14" s="10" t="n">
        <v>0.05783657846808465</v>
      </c>
      <c r="J14" s="10" t="n">
        <v>0.2138638266207795</v>
      </c>
      <c r="K14" s="11" t="n">
        <v>1.78291091861833</v>
      </c>
      <c r="L14" s="11" t="n">
        <v>10.67230955259976</v>
      </c>
      <c r="M14" s="8" t="inlineStr">
        <is>
          <t>강함 - 장기간 두 자릿수 ROIC, 마진 변동은 있음</t>
        </is>
      </c>
      <c r="N14" s="12" t="n">
        <v>20</v>
      </c>
      <c r="O14" s="12" t="n">
        <v>20</v>
      </c>
      <c r="P14" s="12" t="n">
        <v>20</v>
      </c>
      <c r="Q14" s="12" t="n">
        <v>15</v>
      </c>
      <c r="R14" s="12" t="n">
        <v>10</v>
      </c>
      <c r="S14" s="12" t="n">
        <v>4</v>
      </c>
      <c r="T14" s="12" t="n">
        <v>5</v>
      </c>
    </row>
    <row r="15">
      <c r="A15" s="8" t="n">
        <v>11</v>
      </c>
      <c r="B15" s="8" t="inlineStr">
        <is>
          <t>META</t>
        </is>
      </c>
      <c r="C15" s="8" t="inlineStr">
        <is>
          <t>Meta Platforms, Inc.</t>
        </is>
      </c>
      <c r="D15" s="9">
        <f>SUM(N15:T15)</f>
        <v/>
      </c>
      <c r="E15" s="10" t="n">
        <v>0.2631200029096202</v>
      </c>
      <c r="F15" s="8" t="inlineStr">
        <is>
          <t>7/8</t>
        </is>
      </c>
      <c r="G15" s="10" t="n">
        <v>0.2794971337587431</v>
      </c>
      <c r="H15" s="10" t="n">
        <v>0.202370227384771</v>
      </c>
      <c r="I15" s="10" t="n">
        <v>0.09798139624584966</v>
      </c>
      <c r="J15" s="10" t="n">
        <v>0.1798469310216959</v>
      </c>
      <c r="K15" s="11" t="n">
        <v>0.2165035309263712</v>
      </c>
      <c r="L15" s="11" t="n">
        <v>79.83669724770643</v>
      </c>
      <c r="M15" s="8" t="inlineStr">
        <is>
          <t>보통 - ROIC가 기간에 따라 흔들림</t>
        </is>
      </c>
      <c r="N15" s="12" t="n">
        <v>20</v>
      </c>
      <c r="O15" s="12" t="n">
        <v>18</v>
      </c>
      <c r="P15" s="12" t="n">
        <v>20</v>
      </c>
      <c r="Q15" s="12" t="n">
        <v>15</v>
      </c>
      <c r="R15" s="12" t="n">
        <v>7</v>
      </c>
      <c r="S15" s="12" t="n">
        <v>5</v>
      </c>
      <c r="T15" s="12" t="n">
        <v>5</v>
      </c>
    </row>
    <row r="16">
      <c r="A16" s="8" t="n">
        <v>12</v>
      </c>
      <c r="B16" s="8" t="inlineStr">
        <is>
          <t>JNJ</t>
        </is>
      </c>
      <c r="C16" s="8" t="inlineStr">
        <is>
          <t>JOHNSON &amp; JOHNSON</t>
        </is>
      </c>
      <c r="D16" s="9">
        <f>SUM(N16:T16)</f>
        <v/>
      </c>
      <c r="E16" s="10" t="n">
        <v>0.1953958608444262</v>
      </c>
      <c r="F16" s="8" t="inlineStr">
        <is>
          <t>8/8</t>
        </is>
      </c>
      <c r="G16" s="10" t="n">
        <v>0.2944204710990902</v>
      </c>
      <c r="H16" s="10" t="n">
        <v>0.2313461156993575</v>
      </c>
      <c r="I16" s="10" t="n">
        <v>0.05349958409488952</v>
      </c>
      <c r="J16" s="10" t="n">
        <v>0.2829615788859045</v>
      </c>
      <c r="K16" s="11" t="n">
        <v>0.6875898185361101</v>
      </c>
      <c r="L16" s="11" t="n">
        <v>34.55406797116375</v>
      </c>
      <c r="M16" s="8" t="inlineStr">
        <is>
          <t>강함 - 장기간 두 자릿수 ROIC, 마진 변동은 있음</t>
        </is>
      </c>
      <c r="N16" s="12" t="n">
        <v>15</v>
      </c>
      <c r="O16" s="12" t="n">
        <v>20</v>
      </c>
      <c r="P16" s="12" t="n">
        <v>20</v>
      </c>
      <c r="Q16" s="12" t="n">
        <v>15</v>
      </c>
      <c r="R16" s="12" t="n">
        <v>10</v>
      </c>
      <c r="S16" s="12" t="n">
        <v>5</v>
      </c>
      <c r="T16" s="12" t="n">
        <v>5</v>
      </c>
    </row>
    <row r="17">
      <c r="A17" s="8" t="n">
        <v>13</v>
      </c>
      <c r="B17" s="8" t="inlineStr">
        <is>
          <t>COST</t>
        </is>
      </c>
      <c r="C17" s="8" t="inlineStr">
        <is>
          <t>COSTCO WHOLESALE CORP /NEW</t>
        </is>
      </c>
      <c r="D17" s="9">
        <f>SUM(N17:T17)</f>
        <v/>
      </c>
      <c r="E17" s="10" t="n">
        <v>0.2946129868771939</v>
      </c>
      <c r="F17" s="8" t="inlineStr">
        <is>
          <t>12/12</t>
        </is>
      </c>
      <c r="G17" s="10" t="n">
        <v>0.6627057807601678</v>
      </c>
      <c r="H17" s="10" t="n">
        <v>0.3213058527845504</v>
      </c>
      <c r="I17" s="10" t="n">
        <v>0.08530208626931203</v>
      </c>
      <c r="J17" s="10" t="n">
        <v>0.02197655362679945</v>
      </c>
      <c r="K17" s="11" t="n">
        <v>-0.6249440214957457</v>
      </c>
      <c r="L17" s="11" t="n">
        <v>71.24675324675324</v>
      </c>
      <c r="M17" s="8" t="inlineStr">
        <is>
          <t>강함 - 장기간 두 자릿수 ROIC + 안정적 마진</t>
        </is>
      </c>
      <c r="N17" s="12" t="n">
        <v>20</v>
      </c>
      <c r="O17" s="12" t="n">
        <v>20</v>
      </c>
      <c r="P17" s="12" t="n">
        <v>20</v>
      </c>
      <c r="Q17" s="12" t="n">
        <v>15</v>
      </c>
      <c r="R17" s="12" t="n">
        <v>2</v>
      </c>
      <c r="S17" s="12" t="n">
        <v>5</v>
      </c>
      <c r="T17" s="12" t="n">
        <v>5</v>
      </c>
    </row>
    <row r="18">
      <c r="A18" s="8" t="n">
        <v>14</v>
      </c>
      <c r="B18" s="8" t="inlineStr">
        <is>
          <t>GOOG</t>
        </is>
      </c>
      <c r="C18" s="8" t="inlineStr">
        <is>
          <t>Alphabet Inc.</t>
        </is>
      </c>
      <c r="D18" s="9">
        <f>SUM(N18:T18)</f>
        <v/>
      </c>
      <c r="E18" s="10" t="n">
        <v>0.170660342704682</v>
      </c>
      <c r="F18" s="8" t="inlineStr">
        <is>
          <t>12/12</t>
        </is>
      </c>
      <c r="G18" s="10" t="n">
        <v>0.3459711149397053</v>
      </c>
      <c r="H18" s="10" t="n">
        <v>0.2543038275323271</v>
      </c>
      <c r="I18" s="10" t="n">
        <v>0.09999062799615693</v>
      </c>
      <c r="J18" s="10" t="n">
        <v>0.1998672713195443</v>
      </c>
      <c r="K18" s="11" t="n">
        <v>0.1017000741568805</v>
      </c>
      <c r="L18" s="11" t="n">
        <v>216.7961956521739</v>
      </c>
      <c r="M18" s="8" t="inlineStr">
        <is>
          <t>강함 - 장기간 두 자릿수 ROIC, 마진 변동은 있음</t>
        </is>
      </c>
      <c r="N18" s="12" t="n">
        <v>15</v>
      </c>
      <c r="O18" s="12" t="n">
        <v>20</v>
      </c>
      <c r="P18" s="12" t="n">
        <v>20</v>
      </c>
      <c r="Q18" s="12" t="n">
        <v>15</v>
      </c>
      <c r="R18" s="12" t="n">
        <v>7</v>
      </c>
      <c r="S18" s="12" t="n">
        <v>5</v>
      </c>
      <c r="T18" s="12" t="n">
        <v>5</v>
      </c>
    </row>
    <row r="19">
      <c r="A19" s="8" t="n">
        <v>15</v>
      </c>
      <c r="B19" s="8" t="inlineStr">
        <is>
          <t>LLY</t>
        </is>
      </c>
      <c r="C19" s="8" t="inlineStr">
        <is>
          <t>ELI LILLY &amp; Co</t>
        </is>
      </c>
      <c r="D19" s="9">
        <f>SUM(N19:T19)</f>
        <v/>
      </c>
      <c r="E19" s="10" t="n">
        <v>0.2373832734856327</v>
      </c>
      <c r="F19" s="8" t="inlineStr">
        <is>
          <t>11/12</t>
        </is>
      </c>
      <c r="G19" s="10" t="n">
        <v>0.4489659600741011</v>
      </c>
      <c r="H19" s="10" t="n">
        <v>0.3359677969380853</v>
      </c>
      <c r="I19" s="10" t="n">
        <v>0.06542895960036767</v>
      </c>
      <c r="J19" s="10" t="n">
        <v>0.09575169916690959</v>
      </c>
      <c r="K19" s="11" t="n">
        <v>1.231003039513678</v>
      </c>
      <c r="L19" s="11" t="n">
        <v>29.74972067039106</v>
      </c>
      <c r="M19" s="8" t="inlineStr">
        <is>
          <t>강함 - 장기간 두 자릿수 ROIC, 마진 변동은 있음</t>
        </is>
      </c>
      <c r="N19" s="12" t="n">
        <v>20</v>
      </c>
      <c r="O19" s="12" t="n">
        <v>18</v>
      </c>
      <c r="P19" s="12" t="n">
        <v>20</v>
      </c>
      <c r="Q19" s="12" t="n">
        <v>15</v>
      </c>
      <c r="R19" s="12" t="n">
        <v>4</v>
      </c>
      <c r="S19" s="12" t="n">
        <v>4</v>
      </c>
      <c r="T19" s="12" t="n">
        <v>5</v>
      </c>
    </row>
    <row r="20">
      <c r="A20" s="8" t="n">
        <v>16</v>
      </c>
      <c r="B20" s="8" t="inlineStr">
        <is>
          <t>NFLX</t>
        </is>
      </c>
      <c r="C20" s="8" t="inlineStr">
        <is>
          <t>NETFLIX INC</t>
        </is>
      </c>
      <c r="D20" s="9">
        <f>SUM(N20:T20)</f>
        <v/>
      </c>
      <c r="E20" s="10" t="n">
        <v>0.1898740215423835</v>
      </c>
      <c r="F20" s="8" t="inlineStr">
        <is>
          <t>11/12</t>
        </is>
      </c>
      <c r="G20" s="10" t="n">
        <v>0.3726270342224734</v>
      </c>
      <c r="H20" s="10" t="n">
        <v>0.2465172004520275</v>
      </c>
      <c r="I20" s="10" t="n">
        <v>0.1143965446653057</v>
      </c>
      <c r="J20" s="10" t="n">
        <v>0.1696552080274114</v>
      </c>
      <c r="K20" s="11" t="n">
        <v>0.3924940706459036</v>
      </c>
      <c r="L20" s="11" t="n">
        <v>17.38427322249553</v>
      </c>
      <c r="M20" s="8" t="inlineStr">
        <is>
          <t>강함 - 장기간 두 자릿수 ROIC, 마진 변동은 있음</t>
        </is>
      </c>
      <c r="N20" s="12" t="n">
        <v>15</v>
      </c>
      <c r="O20" s="12" t="n">
        <v>18</v>
      </c>
      <c r="P20" s="12" t="n">
        <v>20</v>
      </c>
      <c r="Q20" s="12" t="n">
        <v>15</v>
      </c>
      <c r="R20" s="12" t="n">
        <v>7</v>
      </c>
      <c r="S20" s="12" t="n">
        <v>5</v>
      </c>
      <c r="T20" s="12" t="n">
        <v>5</v>
      </c>
    </row>
    <row r="21">
      <c r="A21" s="8" t="n">
        <v>17</v>
      </c>
      <c r="B21" s="8" t="inlineStr">
        <is>
          <t>HD</t>
        </is>
      </c>
      <c r="C21" s="8" t="inlineStr">
        <is>
          <t>HOME DEPOT, INC.</t>
        </is>
      </c>
      <c r="D21" s="9">
        <f>SUM(N21:T21)</f>
        <v/>
      </c>
      <c r="E21" s="10" t="n">
        <v>0.451726427868866</v>
      </c>
      <c r="F21" s="8" t="inlineStr">
        <is>
          <t>12/12</t>
        </is>
      </c>
      <c r="G21" s="10" t="n">
        <v>0.1994113014555076</v>
      </c>
      <c r="H21" s="10" t="n">
        <v>0.1807579754175858</v>
      </c>
      <c r="I21" s="10" t="n">
        <v>0.08404606798456353</v>
      </c>
      <c r="J21" s="10" t="n">
        <v>0.08826811439748235</v>
      </c>
      <c r="K21" s="11" t="n">
        <v>2.035184279191129</v>
      </c>
      <c r="L21" s="11" t="n">
        <v>8.712271973466004</v>
      </c>
      <c r="M21" s="8" t="inlineStr">
        <is>
          <t>강함 - 장기간 두 자릿수 ROIC + 안정적 마진</t>
        </is>
      </c>
      <c r="N21" s="12" t="n">
        <v>25</v>
      </c>
      <c r="O21" s="12" t="n">
        <v>20</v>
      </c>
      <c r="P21" s="12" t="n">
        <v>15</v>
      </c>
      <c r="Q21" s="12" t="n">
        <v>15</v>
      </c>
      <c r="R21" s="12" t="n">
        <v>4</v>
      </c>
      <c r="S21" s="12" t="n">
        <v>2</v>
      </c>
      <c r="T21" s="12" t="n">
        <v>3</v>
      </c>
    </row>
    <row r="22">
      <c r="A22" s="8" t="n">
        <v>18</v>
      </c>
      <c r="B22" s="8" t="inlineStr">
        <is>
          <t>AMZN</t>
        </is>
      </c>
      <c r="C22" s="8" t="inlineStr">
        <is>
          <t>AMAZON COM INC</t>
        </is>
      </c>
      <c r="D22" s="9">
        <f>SUM(N22:T22)</f>
        <v/>
      </c>
      <c r="E22" s="10" t="n">
        <v>0.2340793191924545</v>
      </c>
      <c r="F22" s="8" t="inlineStr">
        <is>
          <t>10/12</t>
        </is>
      </c>
      <c r="G22" s="10" t="n">
        <v>0.2066590837290921</v>
      </c>
      <c r="H22" s="10" t="n">
        <v>0.1333392126080928</v>
      </c>
      <c r="I22" s="10" t="n">
        <v>0.1101715384528724</v>
      </c>
      <c r="J22" s="10" t="n">
        <v>0.0381919246356397</v>
      </c>
      <c r="K22" s="11" t="n">
        <v>-0.1113698356729426</v>
      </c>
      <c r="L22" s="11" t="n">
        <v>43.79287598944591</v>
      </c>
      <c r="M22" s="8" t="inlineStr">
        <is>
          <t>보통 - ROIC가 기간에 따라 흔들림</t>
        </is>
      </c>
      <c r="N22" s="12" t="n">
        <v>20</v>
      </c>
      <c r="O22" s="12" t="n">
        <v>17</v>
      </c>
      <c r="P22" s="12" t="n">
        <v>20</v>
      </c>
      <c r="Q22" s="12" t="n">
        <v>12</v>
      </c>
      <c r="R22" s="12" t="n">
        <v>2</v>
      </c>
      <c r="S22" s="12" t="n">
        <v>5</v>
      </c>
      <c r="T22" s="12" t="n">
        <v>5</v>
      </c>
    </row>
    <row r="23">
      <c r="A23" s="8" t="n">
        <v>19</v>
      </c>
      <c r="B23" s="8" t="inlineStr">
        <is>
          <t>AAPL</t>
        </is>
      </c>
      <c r="C23" s="8" t="inlineStr">
        <is>
          <t>Apple Inc.</t>
        </is>
      </c>
      <c r="D23" s="9">
        <f>SUM(N23:T23)</f>
        <v/>
      </c>
      <c r="E23" s="10" t="n">
        <v>0.4070943922707727</v>
      </c>
      <c r="F23" s="8" t="inlineStr">
        <is>
          <t>12/12</t>
        </is>
      </c>
      <c r="G23" s="10" t="n"/>
      <c r="H23" s="10" t="n">
        <v>0.7967408711599615</v>
      </c>
      <c r="I23" s="10" t="n">
        <v>0.09386133464542709</v>
      </c>
      <c r="J23" s="10" t="n">
        <v>0.2924519689192753</v>
      </c>
      <c r="K23" s="11" t="n">
        <v>0.3782021167822699</v>
      </c>
      <c r="L23" s="11" t="n">
        <v>29.91838291380625</v>
      </c>
      <c r="M23" s="8" t="inlineStr">
        <is>
          <t>강함 - 장기간 두 자릿수 ROIC + 안정적 마진</t>
        </is>
      </c>
      <c r="N23" s="12" t="n">
        <v>25</v>
      </c>
      <c r="O23" s="12" t="n">
        <v>20</v>
      </c>
      <c r="P23" s="12" t="n">
        <v>0</v>
      </c>
      <c r="Q23" s="12" t="n">
        <v>15</v>
      </c>
      <c r="R23" s="12" t="n">
        <v>10</v>
      </c>
      <c r="S23" s="12" t="n">
        <v>5</v>
      </c>
      <c r="T23" s="12" t="n">
        <v>5</v>
      </c>
    </row>
    <row r="24">
      <c r="A24" s="8" t="n">
        <v>20</v>
      </c>
      <c r="B24" s="8" t="inlineStr">
        <is>
          <t>PLTR</t>
        </is>
      </c>
      <c r="C24" s="8" t="inlineStr">
        <is>
          <t>Palantir Technologies Inc.</t>
        </is>
      </c>
      <c r="D24" s="9">
        <f>SUM(N24:T24)</f>
        <v/>
      </c>
      <c r="E24" s="10" t="n">
        <v>0.172078154152554</v>
      </c>
      <c r="F24" s="8" t="inlineStr">
        <is>
          <t>3/3</t>
        </is>
      </c>
      <c r="G24" s="10" t="n">
        <v>0.2000900369059736</v>
      </c>
      <c r="H24" s="10" t="n">
        <v>0.1888625566649532</v>
      </c>
      <c r="I24" s="10" t="n">
        <v>0.1157721021956985</v>
      </c>
      <c r="J24" s="10" t="n">
        <v>-0.289476624229183</v>
      </c>
      <c r="K24" s="11" t="n">
        <v>-1.007822047550272</v>
      </c>
      <c r="L24" s="11" t="n">
        <v>69.32593659942363</v>
      </c>
      <c r="M24" s="8" t="inlineStr">
        <is>
          <t>강함 - 장기간 두 자릿수 ROIC, 마진 변동은 있음</t>
        </is>
      </c>
      <c r="N24" s="12" t="n">
        <v>15</v>
      </c>
      <c r="O24" s="12" t="n">
        <v>20</v>
      </c>
      <c r="P24" s="12" t="n">
        <v>20</v>
      </c>
      <c r="Q24" s="12" t="n">
        <v>15</v>
      </c>
      <c r="R24" s="12" t="n">
        <v>0</v>
      </c>
      <c r="S24" s="12" t="n">
        <v>5</v>
      </c>
      <c r="T24" s="12" t="n">
        <v>5</v>
      </c>
    </row>
    <row r="25">
      <c r="A25" s="8" t="n">
        <v>21</v>
      </c>
      <c r="B25" s="8" t="inlineStr">
        <is>
          <t>TXN</t>
        </is>
      </c>
      <c r="C25" s="8" t="inlineStr">
        <is>
          <t>TEXAS INSTRUMENTS INC</t>
        </is>
      </c>
      <c r="D25" s="9">
        <f>SUM(N25:T25)</f>
        <v/>
      </c>
      <c r="E25" s="10" t="n">
        <v>0.2953416843204785</v>
      </c>
      <c r="F25" s="8" t="inlineStr">
        <is>
          <t>12/12</t>
        </is>
      </c>
      <c r="G25" s="10" t="n">
        <v>0.1949018414269337</v>
      </c>
      <c r="H25" s="10" t="n">
        <v>0.09692479943126586</v>
      </c>
      <c r="I25" s="10" t="n">
        <v>0.1044384401139368</v>
      </c>
      <c r="J25" s="10" t="n">
        <v>0.1943219092862798</v>
      </c>
      <c r="K25" s="11" t="n">
        <v>1.324562477052992</v>
      </c>
      <c r="L25" s="11" t="n">
        <v>11.51565377532228</v>
      </c>
      <c r="M25" s="8" t="inlineStr">
        <is>
          <t>강함 - 장기간 두 자릿수 ROIC + 안정적 마진</t>
        </is>
      </c>
      <c r="N25" s="12" t="n">
        <v>20</v>
      </c>
      <c r="O25" s="12" t="n">
        <v>20</v>
      </c>
      <c r="P25" s="12" t="n">
        <v>15</v>
      </c>
      <c r="Q25" s="12" t="n">
        <v>8</v>
      </c>
      <c r="R25" s="12" t="n">
        <v>7</v>
      </c>
      <c r="S25" s="12" t="n">
        <v>4</v>
      </c>
      <c r="T25" s="12" t="n">
        <v>5</v>
      </c>
    </row>
    <row r="26">
      <c r="A26" s="8" t="n">
        <v>22</v>
      </c>
      <c r="B26" s="8" t="inlineStr">
        <is>
          <t>MRK</t>
        </is>
      </c>
      <c r="C26" s="8" t="inlineStr">
        <is>
          <t>Merck &amp; Co., Inc.</t>
        </is>
      </c>
      <c r="D26" s="9">
        <f>SUM(N26:T26)</f>
        <v/>
      </c>
      <c r="E26" s="10" t="n">
        <v>0.1290374950240339</v>
      </c>
      <c r="F26" s="8" t="inlineStr">
        <is>
          <t>7/12</t>
        </is>
      </c>
      <c r="G26" s="10" t="n">
        <v>0.3029907730862548</v>
      </c>
      <c r="H26" s="10" t="n">
        <v>0.1955936208373762</v>
      </c>
      <c r="I26" s="10" t="n">
        <v>0.05115857119013828</v>
      </c>
      <c r="J26" s="10" t="n">
        <v>0.2012381289745796</v>
      </c>
      <c r="K26" s="11" t="n">
        <v>1.365346107032078</v>
      </c>
      <c r="L26" s="11" t="n">
        <v>16.5246868091378</v>
      </c>
      <c r="M26" s="8" t="inlineStr">
        <is>
          <t>약함 - 두 자릿수 ROIC를 지킨 해가 절반 미만</t>
        </is>
      </c>
      <c r="N26" s="12" t="n">
        <v>10</v>
      </c>
      <c r="O26" s="12" t="n">
        <v>12</v>
      </c>
      <c r="P26" s="12" t="n">
        <v>20</v>
      </c>
      <c r="Q26" s="12" t="n">
        <v>15</v>
      </c>
      <c r="R26" s="12" t="n">
        <v>10</v>
      </c>
      <c r="S26" s="12" t="n">
        <v>4</v>
      </c>
      <c r="T26" s="12" t="n">
        <v>5</v>
      </c>
    </row>
    <row r="27">
      <c r="A27" s="8" t="n">
        <v>23</v>
      </c>
      <c r="B27" s="8" t="inlineStr">
        <is>
          <t>WMT</t>
        </is>
      </c>
      <c r="C27" s="8" t="inlineStr">
        <is>
          <t>Walmart Inc.</t>
        </is>
      </c>
      <c r="D27" s="9">
        <f>SUM(N27:T27)</f>
        <v/>
      </c>
      <c r="E27" s="10" t="n">
        <v>0.1603135834117076</v>
      </c>
      <c r="F27" s="8" t="inlineStr">
        <is>
          <t>12/12</t>
        </is>
      </c>
      <c r="G27" s="10" t="n">
        <v>0.167573478524779</v>
      </c>
      <c r="H27" s="10" t="n">
        <v>0.1215731017103524</v>
      </c>
      <c r="I27" s="10" t="n">
        <v>0.0717179957523891</v>
      </c>
      <c r="J27" s="10" t="n">
        <v>0.0163480947578815</v>
      </c>
      <c r="K27" s="11" t="n">
        <v>0.6630354424874972</v>
      </c>
      <c r="L27" s="11" t="n">
        <v>13.71311475409836</v>
      </c>
      <c r="M27" s="8" t="inlineStr">
        <is>
          <t>강함 - 장기간 두 자릿수 ROIC + 안정적 마진</t>
        </is>
      </c>
      <c r="N27" s="12" t="n">
        <v>15</v>
      </c>
      <c r="O27" s="12" t="n">
        <v>20</v>
      </c>
      <c r="P27" s="12" t="n">
        <v>15</v>
      </c>
      <c r="Q27" s="12" t="n">
        <v>12</v>
      </c>
      <c r="R27" s="12" t="n">
        <v>2</v>
      </c>
      <c r="S27" s="12" t="n">
        <v>5</v>
      </c>
      <c r="T27" s="12" t="n">
        <v>5</v>
      </c>
    </row>
    <row r="28">
      <c r="A28" s="8" t="n">
        <v>24</v>
      </c>
      <c r="B28" s="8" t="inlineStr">
        <is>
          <t>AVGO</t>
        </is>
      </c>
      <c r="C28" s="8" t="inlineStr">
        <is>
          <t>Broadcom Inc.</t>
        </is>
      </c>
      <c r="D28" s="9">
        <f>SUM(N28:T28)</f>
        <v/>
      </c>
      <c r="E28" s="10" t="n">
        <v>0.1924258160237389</v>
      </c>
      <c r="F28" s="8" t="inlineStr">
        <is>
          <t>8/9</t>
        </is>
      </c>
      <c r="G28" s="10" t="n">
        <v>0.1894998772756896</v>
      </c>
      <c r="H28" s="10" t="n">
        <v>0.08187749222938351</v>
      </c>
      <c r="I28" s="10" t="n">
        <v>0.1105483237943554</v>
      </c>
      <c r="J28" s="10" t="n">
        <v>0.2792273858531469</v>
      </c>
      <c r="K28" s="11" t="n">
        <v>1.846565835627805</v>
      </c>
      <c r="L28" s="11" t="n">
        <v>8.080685358255451</v>
      </c>
      <c r="M28" s="8" t="inlineStr">
        <is>
          <t>보통 - ROIC가 기간에 따라 흔들림</t>
        </is>
      </c>
      <c r="N28" s="12" t="n">
        <v>15</v>
      </c>
      <c r="O28" s="12" t="n">
        <v>18</v>
      </c>
      <c r="P28" s="12" t="n">
        <v>15</v>
      </c>
      <c r="Q28" s="12" t="n">
        <v>8</v>
      </c>
      <c r="R28" s="12" t="n">
        <v>10</v>
      </c>
      <c r="S28" s="12" t="n">
        <v>4</v>
      </c>
      <c r="T28" s="12" t="n">
        <v>3</v>
      </c>
    </row>
    <row r="29">
      <c r="A29" s="8" t="n">
        <v>25</v>
      </c>
      <c r="B29" s="8" t="inlineStr">
        <is>
          <t>ORCL</t>
        </is>
      </c>
      <c r="C29" s="8" t="inlineStr">
        <is>
          <t>ORACLE CORP</t>
        </is>
      </c>
      <c r="D29" s="9">
        <f>SUM(N29:T29)</f>
        <v/>
      </c>
      <c r="E29" s="10" t="n">
        <v>0.4923874422447437</v>
      </c>
      <c r="F29" s="8" t="inlineStr">
        <is>
          <t>8/8</t>
        </is>
      </c>
      <c r="G29" s="10" t="n"/>
      <c r="H29" s="10" t="n">
        <v>0.7970714837596082</v>
      </c>
      <c r="I29" s="10" t="n">
        <v>0.1238279901330206</v>
      </c>
      <c r="J29" s="10" t="n">
        <v>0.09232493894382832</v>
      </c>
      <c r="K29" s="11" t="n">
        <v>-0.8533777321194517</v>
      </c>
      <c r="L29" s="11" t="n">
        <v>4.480539247662535</v>
      </c>
      <c r="M29" s="8" t="inlineStr">
        <is>
          <t>강함 - 장기간 두 자릿수 ROIC + 안정적 마진</t>
        </is>
      </c>
      <c r="N29" s="12" t="n">
        <v>25</v>
      </c>
      <c r="O29" s="12" t="n">
        <v>20</v>
      </c>
      <c r="P29" s="12" t="n">
        <v>0</v>
      </c>
      <c r="Q29" s="12" t="n">
        <v>15</v>
      </c>
      <c r="R29" s="12" t="n">
        <v>4</v>
      </c>
      <c r="S29" s="12" t="n">
        <v>5</v>
      </c>
      <c r="T29" s="12" t="n">
        <v>1</v>
      </c>
    </row>
    <row r="30">
      <c r="A30" s="8" t="n">
        <v>26</v>
      </c>
      <c r="B30" s="8" t="inlineStr">
        <is>
          <t>PG</t>
        </is>
      </c>
      <c r="C30" s="8" t="inlineStr">
        <is>
          <t>PROCTER &amp; GAMBLE Co</t>
        </is>
      </c>
      <c r="D30" s="9">
        <f>SUM(N30:T30)</f>
        <v/>
      </c>
      <c r="E30" s="10" t="n">
        <v>0.212369442623644</v>
      </c>
      <c r="F30" s="8" t="inlineStr">
        <is>
          <t>9/10</t>
        </is>
      </c>
      <c r="G30" s="10" t="n"/>
      <c r="H30" s="10" t="n">
        <v>0.1560561667570367</v>
      </c>
      <c r="I30" s="10" t="n">
        <v>0.06018234280946971</v>
      </c>
      <c r="J30" s="10" t="n">
        <v>0.1729792120325087</v>
      </c>
      <c r="K30" s="11" t="n">
        <v>0.9910706971409847</v>
      </c>
      <c r="L30" s="11" t="n">
        <v>24.23489167616876</v>
      </c>
      <c r="M30" s="8" t="inlineStr">
        <is>
          <t>강함 - 장기간 두 자릿수 ROIC + 안정적 마진</t>
        </is>
      </c>
      <c r="N30" s="12" t="n">
        <v>20</v>
      </c>
      <c r="O30" s="12" t="n">
        <v>18</v>
      </c>
      <c r="P30" s="12" t="n">
        <v>0</v>
      </c>
      <c r="Q30" s="12" t="n">
        <v>15</v>
      </c>
      <c r="R30" s="12" t="n">
        <v>7</v>
      </c>
      <c r="S30" s="12" t="n">
        <v>5</v>
      </c>
      <c r="T30" s="12" t="n">
        <v>5</v>
      </c>
    </row>
    <row r="31">
      <c r="A31" s="8" t="n">
        <v>27</v>
      </c>
      <c r="B31" s="8" t="inlineStr">
        <is>
          <t>CAT</t>
        </is>
      </c>
      <c r="C31" s="8" t="inlineStr">
        <is>
          <t>CATERPILLAR INC</t>
        </is>
      </c>
      <c r="D31" s="9">
        <f>SUM(N31:T31)</f>
        <v/>
      </c>
      <c r="E31" s="10" t="n">
        <v>0.1523814296290538</v>
      </c>
      <c r="F31" s="8" t="inlineStr">
        <is>
          <t>7/11</t>
        </is>
      </c>
      <c r="G31" s="10" t="n">
        <v>0.8105371402626697</v>
      </c>
      <c r="H31" s="10" t="n">
        <v>0.07249889725023806</v>
      </c>
      <c r="I31" s="10" t="n">
        <v>0.1120063010798135</v>
      </c>
      <c r="J31" s="10" t="n">
        <v>0.1150335113701934</v>
      </c>
      <c r="K31" s="11" t="n">
        <v>1.95511816894058</v>
      </c>
      <c r="L31" s="11" t="n"/>
      <c r="M31" s="8" t="inlineStr">
        <is>
          <t>보통 - ROIC가 기간에 따라 흔들림</t>
        </is>
      </c>
      <c r="N31" s="12" t="n">
        <v>15</v>
      </c>
      <c r="O31" s="12" t="n">
        <v>13</v>
      </c>
      <c r="P31" s="12" t="n">
        <v>20</v>
      </c>
      <c r="Q31" s="12" t="n">
        <v>8</v>
      </c>
      <c r="R31" s="12" t="n">
        <v>7</v>
      </c>
      <c r="S31" s="12" t="n">
        <v>4</v>
      </c>
      <c r="T31" s="12" t="n">
        <v>0</v>
      </c>
    </row>
    <row r="32">
      <c r="A32" s="8" t="n">
        <v>28</v>
      </c>
      <c r="B32" s="8" t="inlineStr">
        <is>
          <t>CSCO</t>
        </is>
      </c>
      <c r="C32" s="8" t="inlineStr">
        <is>
          <t>CISCO SYSTEMS, INC.</t>
        </is>
      </c>
      <c r="D32" s="9">
        <f>SUM(N32:T32)</f>
        <v/>
      </c>
      <c r="E32" s="10" t="n">
        <v>0.1860487508716692</v>
      </c>
      <c r="F32" s="8" t="inlineStr">
        <is>
          <t>11/12</t>
        </is>
      </c>
      <c r="G32" s="10" t="n"/>
      <c r="H32" s="10" t="n">
        <v>0.0825449309730447</v>
      </c>
      <c r="I32" s="10" t="n">
        <v>0.08927620049561703</v>
      </c>
      <c r="J32" s="10" t="n">
        <v>0.2565316057955273</v>
      </c>
      <c r="K32" s="11" t="n">
        <v>1.474426939445979</v>
      </c>
      <c r="L32" s="11" t="n">
        <v>7.967984934086629</v>
      </c>
      <c r="M32" s="8" t="inlineStr">
        <is>
          <t>강함 - 장기간 두 자릿수 ROIC + 안정적 마진</t>
        </is>
      </c>
      <c r="N32" s="12" t="n">
        <v>15</v>
      </c>
      <c r="O32" s="12" t="n">
        <v>18</v>
      </c>
      <c r="P32" s="12" t="n">
        <v>0</v>
      </c>
      <c r="Q32" s="12" t="n">
        <v>8</v>
      </c>
      <c r="R32" s="12" t="n">
        <v>10</v>
      </c>
      <c r="S32" s="12" t="n">
        <v>4</v>
      </c>
      <c r="T32" s="12" t="n">
        <v>3</v>
      </c>
    </row>
    <row r="33">
      <c r="A33" s="8" t="n">
        <v>29</v>
      </c>
      <c r="B33" s="8" t="inlineStr">
        <is>
          <t>DELL</t>
        </is>
      </c>
      <c r="C33" s="8" t="inlineStr">
        <is>
          <t>Dell Technologies Inc.</t>
        </is>
      </c>
      <c r="D33" s="9">
        <f>SUM(N33:T33)</f>
        <v/>
      </c>
      <c r="E33" s="10" t="n">
        <v>0.09542338462377169</v>
      </c>
      <c r="F33" s="8" t="inlineStr">
        <is>
          <t>5/11</t>
        </is>
      </c>
      <c r="G33" s="10" t="n">
        <v>0.8725128616397284</v>
      </c>
      <c r="H33" s="10" t="n">
        <v>0.2880491693418895</v>
      </c>
      <c r="I33" s="10" t="n">
        <v>0.1021869040469045</v>
      </c>
      <c r="J33" s="10" t="n">
        <v>0.05997991861755535</v>
      </c>
      <c r="K33" s="11" t="n">
        <v>1.685369557880527</v>
      </c>
      <c r="L33" s="11" t="n">
        <v>5.655769230769231</v>
      </c>
      <c r="M33" s="8" t="inlineStr">
        <is>
          <t>약함 - 두 자릿수 ROIC를 지킨 해가 절반 미만</t>
        </is>
      </c>
      <c r="N33" s="12" t="n">
        <v>0</v>
      </c>
      <c r="O33" s="12" t="n">
        <v>9</v>
      </c>
      <c r="P33" s="12" t="n">
        <v>20</v>
      </c>
      <c r="Q33" s="12" t="n">
        <v>15</v>
      </c>
      <c r="R33" s="12" t="n">
        <v>4</v>
      </c>
      <c r="S33" s="12" t="n">
        <v>4</v>
      </c>
      <c r="T33" s="12" t="n">
        <v>3</v>
      </c>
    </row>
    <row r="34">
      <c r="A34" s="8" t="n">
        <v>30</v>
      </c>
      <c r="B34" s="8" t="inlineStr">
        <is>
          <t>MU</t>
        </is>
      </c>
      <c r="C34" s="8" t="inlineStr">
        <is>
          <t>MICRON TECHNOLOGY INC</t>
        </is>
      </c>
      <c r="D34" s="9">
        <f>SUM(N34:T34)</f>
        <v/>
      </c>
      <c r="E34" s="10" t="n">
        <v>0.173394752883404</v>
      </c>
      <c r="F34" s="8" t="inlineStr">
        <is>
          <t>8/12</t>
        </is>
      </c>
      <c r="G34" s="10" t="n">
        <v>0.1309035351359027</v>
      </c>
      <c r="H34" s="10" t="n">
        <v>0.01717381914071461</v>
      </c>
      <c r="I34" s="10" t="n">
        <v>0.1447161614539967</v>
      </c>
      <c r="J34" s="10" t="n">
        <v>0.005269806894062444</v>
      </c>
      <c r="K34" s="11" t="n">
        <v>0.2670021100470703</v>
      </c>
      <c r="L34" s="11" t="n">
        <v>21.23899371069182</v>
      </c>
      <c r="M34" s="8" t="inlineStr">
        <is>
          <t>보통 - ROIC가 기간에 따라 흔들림</t>
        </is>
      </c>
      <c r="N34" s="12" t="n">
        <v>15</v>
      </c>
      <c r="O34" s="12" t="n">
        <v>13</v>
      </c>
      <c r="P34" s="12" t="n">
        <v>10</v>
      </c>
      <c r="Q34" s="12" t="n">
        <v>4</v>
      </c>
      <c r="R34" s="12" t="n">
        <v>2</v>
      </c>
      <c r="S34" s="12" t="n">
        <v>5</v>
      </c>
      <c r="T34" s="12" t="n">
        <v>5</v>
      </c>
    </row>
    <row r="35">
      <c r="A35" s="8" t="n">
        <v>31</v>
      </c>
      <c r="B35" s="8" t="inlineStr">
        <is>
          <t>ABBV</t>
        </is>
      </c>
      <c r="C35" s="8" t="inlineStr">
        <is>
          <t>AbbVie Inc.</t>
        </is>
      </c>
      <c r="D35" s="9">
        <f>SUM(N35:T35)</f>
        <v/>
      </c>
      <c r="E35" s="10" t="n">
        <v>0.1967757351668395</v>
      </c>
      <c r="F35" s="8" t="inlineStr">
        <is>
          <t>12/12</t>
        </is>
      </c>
      <c r="G35" s="10" t="n">
        <v>0.08220930289089537</v>
      </c>
      <c r="H35" s="10" t="n">
        <v>0.05527596600775872</v>
      </c>
      <c r="I35" s="10" t="n">
        <v>0.05436031667920567</v>
      </c>
      <c r="J35" s="10" t="n">
        <v>0.09063798061561401</v>
      </c>
      <c r="K35" s="11" t="n">
        <v>5.482930159968786</v>
      </c>
      <c r="L35" s="11" t="n">
        <v>3.280331835464915</v>
      </c>
      <c r="M35" s="8" t="inlineStr">
        <is>
          <t>강함 - 장기간 두 자릿수 ROIC, 마진 변동은 있음</t>
        </is>
      </c>
      <c r="N35" s="12" t="n">
        <v>15</v>
      </c>
      <c r="O35" s="12" t="n">
        <v>20</v>
      </c>
      <c r="P35" s="12" t="n">
        <v>5</v>
      </c>
      <c r="Q35" s="12" t="n">
        <v>8</v>
      </c>
      <c r="R35" s="12" t="n">
        <v>4</v>
      </c>
      <c r="S35" s="12" t="n">
        <v>0</v>
      </c>
      <c r="T35" s="12" t="n">
        <v>1</v>
      </c>
    </row>
    <row r="36">
      <c r="A36" s="8" t="n">
        <v>32</v>
      </c>
      <c r="B36" s="8" t="inlineStr">
        <is>
          <t>PANW</t>
        </is>
      </c>
      <c r="C36" s="8" t="inlineStr">
        <is>
          <t>Palo Alto Networks Inc</t>
        </is>
      </c>
      <c r="D36" s="9">
        <f>SUM(N36:T36)</f>
        <v/>
      </c>
      <c r="E36" s="10" t="n">
        <v>-0.07066635117157891</v>
      </c>
      <c r="F36" s="8" t="inlineStr">
        <is>
          <t>2/12</t>
        </is>
      </c>
      <c r="G36" s="10" t="n">
        <v>0.2476457387173435</v>
      </c>
      <c r="H36" s="10" t="n">
        <v>0.1356423723877195</v>
      </c>
      <c r="I36" s="10" t="n">
        <v>0.0881136678104581</v>
      </c>
      <c r="J36" s="10" t="n">
        <v>0.1560781696577539</v>
      </c>
      <c r="K36" s="11" t="n">
        <v>-1.168116986766902</v>
      </c>
      <c r="L36" s="11" t="n">
        <v>532.9</v>
      </c>
      <c r="M36" s="8" t="inlineStr">
        <is>
          <t>약함 - 두 자릿수 ROIC를 지킨 해가 절반 미만</t>
        </is>
      </c>
      <c r="N36" s="12" t="n">
        <v>0</v>
      </c>
      <c r="O36" s="12" t="n">
        <v>3</v>
      </c>
      <c r="P36" s="12" t="n">
        <v>20</v>
      </c>
      <c r="Q36" s="12" t="n">
        <v>12</v>
      </c>
      <c r="R36" s="12" t="n">
        <v>7</v>
      </c>
      <c r="S36" s="12" t="n">
        <v>5</v>
      </c>
      <c r="T36" s="12" t="n">
        <v>5</v>
      </c>
    </row>
    <row r="37">
      <c r="A37" s="8" t="n">
        <v>33</v>
      </c>
      <c r="B37" s="8" t="inlineStr">
        <is>
          <t>IBM</t>
        </is>
      </c>
      <c r="C37" s="8" t="inlineStr">
        <is>
          <t>INTERNATIONAL BUSINESS MACHINES CORP</t>
        </is>
      </c>
      <c r="D37" s="9">
        <f>SUM(N37:T37)</f>
        <v/>
      </c>
      <c r="E37" s="10" t="n">
        <v>0.1463249030012257</v>
      </c>
      <c r="F37" s="8" t="inlineStr">
        <is>
          <t>9/12</t>
        </is>
      </c>
      <c r="G37" s="10" t="n">
        <v>-0.1069105685964533</v>
      </c>
      <c r="H37" s="10" t="n">
        <v>0.08845453559195506</v>
      </c>
      <c r="I37" s="10" t="n">
        <v>0.06828325821110441</v>
      </c>
      <c r="J37" s="10" t="n">
        <v>0.1084410307076952</v>
      </c>
      <c r="K37" s="11" t="n">
        <v>3.277170550628996</v>
      </c>
      <c r="L37" s="11" t="n">
        <v>6.337467700258398</v>
      </c>
      <c r="M37" s="8" t="inlineStr">
        <is>
          <t>보통 - ROIC가 기간에 따라 흔들림</t>
        </is>
      </c>
      <c r="N37" s="12" t="n">
        <v>10</v>
      </c>
      <c r="O37" s="12" t="n">
        <v>15</v>
      </c>
      <c r="P37" s="12" t="n">
        <v>0</v>
      </c>
      <c r="Q37" s="12" t="n">
        <v>8</v>
      </c>
      <c r="R37" s="12" t="n">
        <v>7</v>
      </c>
      <c r="S37" s="12" t="n">
        <v>0</v>
      </c>
      <c r="T37" s="12" t="n">
        <v>3</v>
      </c>
    </row>
    <row r="38">
      <c r="A38" s="8" t="n">
        <v>34</v>
      </c>
      <c r="B38" s="8" t="inlineStr">
        <is>
          <t>XOM</t>
        </is>
      </c>
      <c r="C38" s="8" t="inlineStr">
        <is>
          <t>EXXON MOBIL CORP</t>
        </is>
      </c>
      <c r="D38" s="9">
        <f>SUM(N38:T38)</f>
        <v/>
      </c>
      <c r="E38" s="10" t="n">
        <v>0.1009688158836083</v>
      </c>
      <c r="F38" s="8" t="inlineStr">
        <is>
          <t>6/12</t>
        </is>
      </c>
      <c r="G38" s="10" t="n">
        <v>-0.03859415940957015</v>
      </c>
      <c r="H38" s="10" t="n">
        <v>0.05164192013034788</v>
      </c>
      <c r="I38" s="10" t="n">
        <v>0.05346575226489168</v>
      </c>
      <c r="J38" s="10" t="n">
        <v>0.09454353018579173</v>
      </c>
      <c r="K38" s="11" t="n">
        <v>0.4841447601084522</v>
      </c>
      <c r="L38" s="11" t="n">
        <v>69.43781094527363</v>
      </c>
      <c r="M38" s="8" t="inlineStr">
        <is>
          <t>약함 - 두 자릿수 ROIC를 지킨 해가 절반 미만</t>
        </is>
      </c>
      <c r="N38" s="12" t="n">
        <v>10</v>
      </c>
      <c r="O38" s="12" t="n">
        <v>10</v>
      </c>
      <c r="P38" s="12" t="n">
        <v>0</v>
      </c>
      <c r="Q38" s="12" t="n">
        <v>8</v>
      </c>
      <c r="R38" s="12" t="n">
        <v>4</v>
      </c>
      <c r="S38" s="12" t="n">
        <v>5</v>
      </c>
      <c r="T38" s="12" t="n">
        <v>5</v>
      </c>
    </row>
    <row r="39">
      <c r="A39" s="8" t="n">
        <v>35</v>
      </c>
      <c r="B39" s="8" t="inlineStr">
        <is>
          <t>GE</t>
        </is>
      </c>
      <c r="C39" s="8" t="inlineStr">
        <is>
          <t>GENERAL ELECTRIC CO</t>
        </is>
      </c>
      <c r="D39" s="9">
        <f>SUM(N39:T39)</f>
        <v/>
      </c>
      <c r="E39" s="10" t="n">
        <v>0.03570848230826214</v>
      </c>
      <c r="F39" s="8" t="inlineStr">
        <is>
          <t>3/10</t>
        </is>
      </c>
      <c r="G39" s="10" t="n"/>
      <c r="H39" s="10" t="n">
        <v>0.2513921578555194</v>
      </c>
      <c r="I39" s="10" t="n">
        <v>0.1061741447965867</v>
      </c>
      <c r="J39" s="10" t="n">
        <v>0.2058752874154913</v>
      </c>
      <c r="K39" s="11" t="n">
        <v>0.5929301297983982</v>
      </c>
      <c r="L39" s="11" t="n"/>
      <c r="M39" s="8" t="inlineStr">
        <is>
          <t>약함 - 두 자릿수 ROIC를 지킨 해가 절반 미만</t>
        </is>
      </c>
      <c r="N39" s="12" t="n">
        <v>0</v>
      </c>
      <c r="O39" s="12" t="n">
        <v>6</v>
      </c>
      <c r="P39" s="12" t="n">
        <v>0</v>
      </c>
      <c r="Q39" s="12" t="n">
        <v>15</v>
      </c>
      <c r="R39" s="12" t="n">
        <v>10</v>
      </c>
      <c r="S39" s="12" t="n">
        <v>5</v>
      </c>
      <c r="T39" s="12" t="n">
        <v>0</v>
      </c>
    </row>
    <row r="40">
      <c r="A40" s="8" t="n">
        <v>36</v>
      </c>
      <c r="B40" s="8" t="inlineStr">
        <is>
          <t>CVX</t>
        </is>
      </c>
      <c r="C40" s="8" t="inlineStr">
        <is>
          <t>CHEVRON CORP</t>
        </is>
      </c>
      <c r="D40" s="9">
        <f>SUM(N40:T40)</f>
        <v/>
      </c>
      <c r="E40" s="10" t="n">
        <v>0.06517945976852266</v>
      </c>
      <c r="F40" s="8" t="inlineStr">
        <is>
          <t>3/11</t>
        </is>
      </c>
      <c r="G40" s="10" t="n">
        <v>0.1133660143164116</v>
      </c>
      <c r="H40" s="10" t="n">
        <v>0.001331554343783042</v>
      </c>
      <c r="I40" s="10" t="n">
        <v>0.06384790542473961</v>
      </c>
      <c r="J40" s="10" t="n">
        <v>0.1056337677719222</v>
      </c>
      <c r="K40" s="11" t="n">
        <v>1.056507349362406</v>
      </c>
      <c r="L40" s="11" t="n">
        <v>17.22267871815941</v>
      </c>
      <c r="M40" s="8" t="inlineStr">
        <is>
          <t>약함 - 두 자릿수 ROIC를 지킨 해가 절반 미만</t>
        </is>
      </c>
      <c r="N40" s="12" t="n">
        <v>0</v>
      </c>
      <c r="O40" s="12" t="n">
        <v>5</v>
      </c>
      <c r="P40" s="12" t="n">
        <v>10</v>
      </c>
      <c r="Q40" s="12" t="n">
        <v>4</v>
      </c>
      <c r="R40" s="12" t="n">
        <v>7</v>
      </c>
      <c r="S40" s="12" t="n">
        <v>4</v>
      </c>
      <c r="T40" s="12" t="n">
        <v>5</v>
      </c>
    </row>
    <row r="41">
      <c r="A41" s="8" t="n">
        <v>37</v>
      </c>
      <c r="B41" s="8" t="inlineStr">
        <is>
          <t>GEV</t>
        </is>
      </c>
      <c r="C41" s="8" t="inlineStr">
        <is>
          <t>GE Vernova Inc.</t>
        </is>
      </c>
      <c r="D41" s="9">
        <f>SUM(N41:T41)</f>
        <v/>
      </c>
      <c r="E41" s="10" t="n">
        <v>0.08680075612239385</v>
      </c>
      <c r="F41" s="8" t="inlineStr">
        <is>
          <t>1/3</t>
        </is>
      </c>
      <c r="G41" s="10" t="n"/>
      <c r="H41" s="10" t="n">
        <v>0.3404711990426426</v>
      </c>
      <c r="I41" s="10" t="n">
        <v>0.1020862770439491</v>
      </c>
      <c r="J41" s="10" t="n">
        <v>0.02536929704279082</v>
      </c>
      <c r="K41" s="11" t="n">
        <v>-4.385921118322516</v>
      </c>
      <c r="L41" s="11" t="n"/>
      <c r="M41" s="8" t="inlineStr">
        <is>
          <t>약함 - 두 자릿수 ROIC를 지킨 해가 절반 미만</t>
        </is>
      </c>
      <c r="N41" s="12" t="n">
        <v>0</v>
      </c>
      <c r="O41" s="12" t="n">
        <v>7</v>
      </c>
      <c r="P41" s="12" t="n">
        <v>0</v>
      </c>
      <c r="Q41" s="12" t="n">
        <v>15</v>
      </c>
      <c r="R41" s="12" t="n">
        <v>2</v>
      </c>
      <c r="S41" s="12" t="n">
        <v>5</v>
      </c>
      <c r="T41" s="12" t="n">
        <v>0</v>
      </c>
    </row>
    <row r="42">
      <c r="A42" s="8" t="n">
        <v>38</v>
      </c>
      <c r="B42" s="8" t="inlineStr">
        <is>
          <t>INTC</t>
        </is>
      </c>
      <c r="C42" s="8" t="inlineStr">
        <is>
          <t>INTEL CORP</t>
        </is>
      </c>
      <c r="D42" s="9">
        <f>SUM(N42:T42)</f>
        <v/>
      </c>
      <c r="E42" s="10" t="n">
        <v>0.121435127826259</v>
      </c>
      <c r="F42" s="8" t="inlineStr">
        <is>
          <t>6/10</t>
        </is>
      </c>
      <c r="G42" s="10" t="n">
        <v>-0.1475674860018827</v>
      </c>
      <c r="H42" s="10" t="n">
        <v>-0.1262645178975144</v>
      </c>
      <c r="I42" s="10" t="n">
        <v>0.1373291241109092</v>
      </c>
      <c r="J42" s="10" t="n">
        <v>-0.2796341373460205</v>
      </c>
      <c r="K42" s="11" t="n">
        <v>2.37769488996643</v>
      </c>
      <c r="L42" s="11" t="n">
        <v>2.427131072410632</v>
      </c>
      <c r="M42" s="8" t="inlineStr">
        <is>
          <t>보통 - ROIC가 기간에 따라 흔들림</t>
        </is>
      </c>
      <c r="N42" s="12" t="n">
        <v>10</v>
      </c>
      <c r="O42" s="12" t="n">
        <v>12</v>
      </c>
      <c r="P42" s="12" t="n">
        <v>0</v>
      </c>
      <c r="Q42" s="12" t="n">
        <v>0</v>
      </c>
      <c r="R42" s="12" t="n">
        <v>0</v>
      </c>
      <c r="S42" s="12" t="n">
        <v>2</v>
      </c>
      <c r="T42" s="12" t="n">
        <v>1</v>
      </c>
    </row>
    <row r="43">
      <c r="A43" s="8" t="n">
        <v>39</v>
      </c>
      <c r="B43" s="8" t="inlineStr">
        <is>
          <t>RTX</t>
        </is>
      </c>
      <c r="C43" s="8" t="inlineStr">
        <is>
          <t>RTX Corp</t>
        </is>
      </c>
      <c r="D43" s="9">
        <f>SUM(N43:T43)</f>
        <v/>
      </c>
      <c r="E43" s="10" t="n">
        <v>0.06791077487784264</v>
      </c>
      <c r="F43" s="8" t="inlineStr">
        <is>
          <t>4/12</t>
        </is>
      </c>
      <c r="G43" s="10" t="n">
        <v>0.008384712067665374</v>
      </c>
      <c r="H43" s="10" t="n">
        <v>0.02212275037710264</v>
      </c>
      <c r="I43" s="10" t="n">
        <v>0.05891501719091596</v>
      </c>
      <c r="J43" s="10" t="n">
        <v>0.09872957693980246</v>
      </c>
      <c r="K43" s="11" t="n">
        <v>1.978140078958912</v>
      </c>
      <c r="L43" s="11" t="n">
        <v>4.326530612244898</v>
      </c>
      <c r="M43" s="8" t="inlineStr">
        <is>
          <t>약함 - 두 자릿수 ROIC를 지킨 해가 절반 미만</t>
        </is>
      </c>
      <c r="N43" s="12" t="n">
        <v>0</v>
      </c>
      <c r="O43" s="12" t="n">
        <v>7</v>
      </c>
      <c r="P43" s="12" t="n">
        <v>5</v>
      </c>
      <c r="Q43" s="12" t="n">
        <v>4</v>
      </c>
      <c r="R43" s="12" t="n">
        <v>4</v>
      </c>
      <c r="S43" s="12" t="n">
        <v>4</v>
      </c>
      <c r="T43" s="12" t="n">
        <v>1</v>
      </c>
    </row>
    <row r="44">
      <c r="A44" s="8" t="n">
        <v>40</v>
      </c>
      <c r="B44" s="8" t="inlineStr">
        <is>
          <t>TSLA</t>
        </is>
      </c>
      <c r="C44" s="8" t="inlineStr">
        <is>
          <t>Tesla, Inc.</t>
        </is>
      </c>
      <c r="D44" s="9">
        <f>SUM(N44:T44)</f>
        <v/>
      </c>
      <c r="E44" s="10" t="n">
        <v>0.05926318793290808</v>
      </c>
      <c r="F44" s="8" t="inlineStr">
        <is>
          <t>5/11</t>
        </is>
      </c>
      <c r="G44" s="10" t="n">
        <v>0.05917399734011251</v>
      </c>
      <c r="H44" s="10" t="n">
        <v>-0.07148410837084559</v>
      </c>
      <c r="I44" s="10" t="n">
        <v>0.1307472963037537</v>
      </c>
      <c r="J44" s="10" t="n">
        <v>-0.003019812918906975</v>
      </c>
      <c r="K44" s="11" t="n">
        <v>-0.7852714634604546</v>
      </c>
      <c r="L44" s="11" t="n">
        <v>16.61538461538462</v>
      </c>
      <c r="M44" s="8" t="inlineStr">
        <is>
          <t>약함 - 두 자릿수 ROIC를 지킨 해가 절반 미만</t>
        </is>
      </c>
      <c r="N44" s="12" t="n">
        <v>0</v>
      </c>
      <c r="O44" s="12" t="n">
        <v>9</v>
      </c>
      <c r="P44" s="12" t="n">
        <v>5</v>
      </c>
      <c r="Q44" s="12" t="n">
        <v>0</v>
      </c>
      <c r="R44" s="12" t="n">
        <v>0</v>
      </c>
      <c r="S44" s="12" t="n">
        <v>5</v>
      </c>
      <c r="T44" s="12" t="n">
        <v>5</v>
      </c>
    </row>
    <row r="45">
      <c r="A45" s="8" t="n">
        <v>41</v>
      </c>
      <c r="B45" s="8" t="inlineStr">
        <is>
          <t>AMD</t>
        </is>
      </c>
      <c r="C45" s="8" t="inlineStr">
        <is>
          <t>ADVANCED MICRO DEVICES INC</t>
        </is>
      </c>
      <c r="D45" s="9">
        <f>SUM(N45:T45)</f>
        <v/>
      </c>
      <c r="E45" s="10" t="n">
        <v>0.05632431761623778</v>
      </c>
      <c r="F45" s="8" t="inlineStr">
        <is>
          <t>5/12</t>
        </is>
      </c>
      <c r="G45" s="10" t="n">
        <v>0.07202240157014027</v>
      </c>
      <c r="H45" s="10" t="n">
        <v>-0.08784940978292433</v>
      </c>
      <c r="I45" s="10" t="n">
        <v>0.1581198428890319</v>
      </c>
      <c r="J45" s="10" t="n">
        <v>-0.01635523918478031</v>
      </c>
      <c r="K45" s="11" t="n">
        <v>-0.4809049398090494</v>
      </c>
      <c r="L45" s="11" t="n">
        <v>32.80152671755725</v>
      </c>
      <c r="M45" s="8" t="inlineStr">
        <is>
          <t>약함 - 두 자릿수 ROIC를 지킨 해가 절반 미만</t>
        </is>
      </c>
      <c r="N45" s="12" t="n">
        <v>0</v>
      </c>
      <c r="O45" s="12" t="n">
        <v>8</v>
      </c>
      <c r="P45" s="12" t="n">
        <v>5</v>
      </c>
      <c r="Q45" s="12" t="n">
        <v>0</v>
      </c>
      <c r="R45" s="12" t="n">
        <v>0</v>
      </c>
      <c r="S45" s="12" t="n">
        <v>5</v>
      </c>
      <c r="T45" s="12" t="n">
        <v>5</v>
      </c>
    </row>
    <row r="47">
      <c r="A47" s="2" t="inlineStr">
        <is>
          <t>배점: ROIC 중앙값 25 · 지속성 20 · 신규 ROIC 20 · ROIC−WACC 15 · 주주이익 마진 10 · 순부채/EBITDA 5 · 이자보상배율 5 (합계 100). 백분위가 아니라 절대 기준입니다 — 비싼 시장에서 나머지 49개사를 이기는 것이 아니라 사업 품질의 절대 수준을 넘어야 합니다.</t>
        </is>
      </c>
    </row>
  </sheetData>
  <autoFilter ref="A4:T4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45" topLeftCell="A46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2" customWidth="1" min="3" max="3"/>
    <col width="100" customWidth="1" min="4" max="4"/>
    <col width="9" customWidth="1" min="5" max="5"/>
    <col width="9" customWidth="1" min="6" max="6"/>
    <col width="9" customWidth="1" min="7" max="7"/>
    <col width="14" customWidth="1" min="8" max="8"/>
    <col width="14" customWidth="1" min="9" max="9"/>
    <col width="14" customWidth="1" min="10" max="10"/>
    <col width="14" customWidth="1" min="11" max="11"/>
    <col width="13" customWidth="1" min="12" max="12"/>
    <col width="18" customWidth="1" min="13" max="13"/>
    <col width="52" customWidth="1" min="14" max="14"/>
  </cols>
  <sheetData>
    <row r="1">
      <c r="A1" s="1" t="inlineStr">
        <is>
          <t>적정가치와 안전마진 — 원칙 5·6</t>
        </is>
      </c>
    </row>
    <row r="2">
      <c r="A2" s="2" t="inlineStr">
        <is>
          <t>주주이익 기준 2단계 DCF. P/적정가치와 안전마진은 수식이므로 시가총액이나 적정가치를 바꾸면 함께 움직입니다.</t>
        </is>
      </c>
    </row>
    <row r="4" ht="30" customHeight="1">
      <c r="A4" s="7" t="inlineStr">
        <is>
          <t>티커</t>
        </is>
      </c>
      <c r="B4" s="7" t="inlineStr">
        <is>
          <t>기업</t>
        </is>
      </c>
      <c r="C4" s="7" t="inlineStr">
        <is>
          <t>정규화 주주이익</t>
        </is>
      </c>
      <c r="D4" s="7" t="inlineStr">
        <is>
          <t>시가총액</t>
        </is>
      </c>
      <c r="E4" s="7" t="inlineStr">
        <is>
          <t>PER</t>
        </is>
      </c>
      <c r="F4" s="7" t="inlineStr">
        <is>
          <t>PBR</t>
        </is>
      </c>
      <c r="G4" s="7" t="inlineStr">
        <is>
          <t>PSR</t>
        </is>
      </c>
      <c r="H4" s="7" t="inlineStr">
        <is>
          <t>보수 적정가치</t>
        </is>
      </c>
      <c r="I4" s="7" t="inlineStr">
        <is>
          <t>기준 적정가치</t>
        </is>
      </c>
      <c r="J4" s="7" t="inlineStr">
        <is>
          <t>낙관 적정가치</t>
        </is>
      </c>
      <c r="K4" s="7" t="inlineStr">
        <is>
          <t>P/적정가치(기준)</t>
        </is>
      </c>
      <c r="L4" s="7" t="inlineStr">
        <is>
          <t>안전마진(기준)</t>
        </is>
      </c>
      <c r="M4" s="7" t="inlineStr">
        <is>
          <t>판정(기준)</t>
        </is>
      </c>
      <c r="N4" s="7" t="inlineStr">
        <is>
          <t>정규화 방식</t>
        </is>
      </c>
    </row>
    <row r="5">
      <c r="A5" s="8" t="inlineStr">
        <is>
          <t>XOM</t>
        </is>
      </c>
      <c r="B5" s="8" t="inlineStr">
        <is>
          <t>EXXON MOBIL CORP</t>
        </is>
      </c>
      <c r="C5" s="13" t="n">
        <v>31.41095338186707</v>
      </c>
      <c r="D5" s="13" t="n">
        <v>637.68147884712</v>
      </c>
      <c r="E5" s="11" t="n">
        <v>22.10794199303564</v>
      </c>
      <c r="F5" s="11" t="n">
        <v>2.458426741794546</v>
      </c>
      <c r="G5" s="11" t="n">
        <v>1.919351425324978</v>
      </c>
      <c r="H5" s="13" t="n">
        <v>461.9801802402369</v>
      </c>
      <c r="I5" s="13" t="n">
        <v>743.3925633708537</v>
      </c>
      <c r="J5" s="13" t="n">
        <v>1663.473200432419</v>
      </c>
      <c r="K5" s="11">
        <f>IF(I5=0,"",D5/I5)</f>
        <v/>
      </c>
      <c r="L5" s="10">
        <f>IF(I5=0,"",(I5-D5)/I5)</f>
        <v/>
      </c>
      <c r="M5" s="8" t="inlineStr">
        <is>
          <t>BORDERLINE</t>
        </is>
      </c>
      <c r="N5" s="8" t="inlineStr">
        <is>
          <t>median owner-earnings margin of the last 5 years (9.5%) applied to FY2025 revenue</t>
        </is>
      </c>
    </row>
    <row r="6">
      <c r="A6" s="8" t="inlineStr">
        <is>
          <t>MRK</t>
        </is>
      </c>
      <c r="B6" s="8" t="inlineStr">
        <is>
          <t>Merck &amp; Co., Inc.</t>
        </is>
      </c>
      <c r="C6" s="13" t="n">
        <v>13.08269200276639</v>
      </c>
      <c r="D6" s="13" t="n">
        <v>317.90016374574</v>
      </c>
      <c r="E6" s="11" t="n">
        <v>17.41536998716665</v>
      </c>
      <c r="F6" s="11" t="n">
        <v>6.043040028622972</v>
      </c>
      <c r="G6" s="11" t="n">
        <v>4.889944220912462</v>
      </c>
      <c r="H6" s="13" t="n">
        <v>183.8664219031031</v>
      </c>
      <c r="I6" s="13" t="n">
        <v>309.6237107321379</v>
      </c>
      <c r="J6" s="13" t="n">
        <v>692.8381724534538</v>
      </c>
      <c r="K6" s="11">
        <f>IF(I6=0,"",D6/I6)</f>
        <v/>
      </c>
      <c r="L6" s="10">
        <f>IF(I6=0,"",(I6-D6)/I6)</f>
        <v/>
      </c>
      <c r="M6" s="8" t="inlineStr">
        <is>
          <t>OUTSIDE_RANGE</t>
        </is>
      </c>
      <c r="N6" s="8" t="inlineStr">
        <is>
          <t>median owner-earnings margin of the last 5 years (20.1%) applied to FY2025 revenue</t>
        </is>
      </c>
    </row>
    <row r="7">
      <c r="A7" s="8" t="inlineStr">
        <is>
          <t>V</t>
        </is>
      </c>
      <c r="B7" s="8" t="inlineStr">
        <is>
          <t>VISA INC.</t>
        </is>
      </c>
      <c r="C7" s="13" t="n">
        <v>23.17949346155024</v>
      </c>
      <c r="D7" s="13" t="n">
        <v>611.765791625</v>
      </c>
      <c r="E7" s="11" t="n">
        <v>30.49984004511915</v>
      </c>
      <c r="F7" s="11" t="n">
        <v>16.13774543314253</v>
      </c>
      <c r="G7" s="11" t="n">
        <v>15.294144790625</v>
      </c>
      <c r="H7" s="13" t="n">
        <v>314.6414475615389</v>
      </c>
      <c r="I7" s="13" t="n">
        <v>548.581345256689</v>
      </c>
      <c r="J7" s="13" t="n">
        <v>1227.548419308608</v>
      </c>
      <c r="K7" s="11">
        <f>IF(I7=0,"",D7/I7)</f>
        <v/>
      </c>
      <c r="L7" s="10">
        <f>IF(I7=0,"",(I7-D7)/I7)</f>
        <v/>
      </c>
      <c r="M7" s="8" t="inlineStr">
        <is>
          <t>OUTSIDE_RANGE</t>
        </is>
      </c>
      <c r="N7" s="8" t="inlineStr">
        <is>
          <t>median owner-earnings margin of the last 5 years (57.9%) applied to FY2025 revenue</t>
        </is>
      </c>
    </row>
    <row r="8">
      <c r="A8" s="8" t="inlineStr">
        <is>
          <t>MA</t>
        </is>
      </c>
      <c r="B8" s="8" t="inlineStr">
        <is>
          <t>Mastercard Inc</t>
        </is>
      </c>
      <c r="C8" s="13" t="n">
        <v>17.24561519089805</v>
      </c>
      <c r="D8" s="13" t="n">
        <v>502.04574047745</v>
      </c>
      <c r="E8" s="11" t="n">
        <v>33.54127074274786</v>
      </c>
      <c r="F8" s="11" t="n">
        <v>64.88894151188445</v>
      </c>
      <c r="G8" s="11" t="n">
        <v>15.3104736201229</v>
      </c>
      <c r="H8" s="13" t="n">
        <v>269.4652608272393</v>
      </c>
      <c r="I8" s="13" t="n">
        <v>408.1462261845871</v>
      </c>
      <c r="J8" s="13" t="n">
        <v>913.2998399083906</v>
      </c>
      <c r="K8" s="11">
        <f>IF(I8=0,"",D8/I8)</f>
        <v/>
      </c>
      <c r="L8" s="10">
        <f>IF(I8=0,"",(I8-D8)/I8)</f>
        <v/>
      </c>
      <c r="M8" s="8" t="inlineStr">
        <is>
          <t>OUTSIDE_RANGE</t>
        </is>
      </c>
      <c r="N8" s="8" t="inlineStr">
        <is>
          <t>median owner-earnings margin of the last 5 years (52.6%) applied to FY2025 revenue</t>
        </is>
      </c>
    </row>
    <row r="9">
      <c r="A9" s="8" t="inlineStr">
        <is>
          <t>HD</t>
        </is>
      </c>
      <c r="B9" s="8" t="inlineStr">
        <is>
          <t>HOME DEPOT, INC.</t>
        </is>
      </c>
      <c r="C9" s="13" t="n">
        <v>14.53625788332059</v>
      </c>
      <c r="D9" s="13" t="n">
        <v>354.20159753892</v>
      </c>
      <c r="E9" s="11" t="n">
        <v>25.02130527966375</v>
      </c>
      <c r="F9" s="11" t="n">
        <v>27.64392394746898</v>
      </c>
      <c r="G9" s="11" t="n">
        <v>2.150808508096889</v>
      </c>
      <c r="H9" s="13" t="n">
        <v>164.2438112882459</v>
      </c>
      <c r="I9" s="13" t="n">
        <v>276.9914271004592</v>
      </c>
      <c r="J9" s="13" t="n">
        <v>474.4028547114241</v>
      </c>
      <c r="K9" s="11">
        <f>IF(I9=0,"",D9/I9)</f>
        <v/>
      </c>
      <c r="L9" s="10">
        <f>IF(I9=0,"",(I9-D9)/I9)</f>
        <v/>
      </c>
      <c r="M9" s="8" t="inlineStr">
        <is>
          <t>OUTSIDE_RANGE</t>
        </is>
      </c>
      <c r="N9" s="8" t="inlineStr">
        <is>
          <t>median owner-earnings margin of the last 5 years (8.8%) applied to FY2025 revenue</t>
        </is>
      </c>
    </row>
    <row r="10">
      <c r="A10" s="8" t="inlineStr">
        <is>
          <t>CVX</t>
        </is>
      </c>
      <c r="B10" s="8" t="inlineStr">
        <is>
          <t>CHEVRON CORP</t>
        </is>
      </c>
      <c r="C10" s="13" t="n">
        <v>19.96805675569423</v>
      </c>
      <c r="D10" s="13" t="n">
        <v>372.25912615584</v>
      </c>
      <c r="E10" s="11" t="n">
        <v>30.26743037286284</v>
      </c>
      <c r="F10" s="11" t="n">
        <v>1.99656275760708</v>
      </c>
      <c r="G10" s="11" t="n">
        <v>1.969301998909385</v>
      </c>
      <c r="H10" s="13" t="n">
        <v>217.7709676073308</v>
      </c>
      <c r="I10" s="13" t="n">
        <v>282.9768078738872</v>
      </c>
      <c r="J10" s="13" t="n">
        <v>411.3419691673009</v>
      </c>
      <c r="K10" s="11">
        <f>IF(I10=0,"",D10/I10)</f>
        <v/>
      </c>
      <c r="L10" s="10">
        <f>IF(I10=0,"",(I10-D10)/I10)</f>
        <v/>
      </c>
      <c r="M10" s="8" t="inlineStr">
        <is>
          <t>OUTSIDE_RANGE</t>
        </is>
      </c>
      <c r="N10" s="8" t="inlineStr">
        <is>
          <t>median owner-earnings margin of the last 5 years (10.6%) applied to FY2025 revenue</t>
        </is>
      </c>
    </row>
    <row r="11">
      <c r="A11" s="8" t="inlineStr">
        <is>
          <t>JNJ</t>
        </is>
      </c>
      <c r="B11" s="8" t="inlineStr">
        <is>
          <t>JOHNSON &amp; JOHNSON</t>
        </is>
      </c>
      <c r="C11" s="13" t="n">
        <v>26.653</v>
      </c>
      <c r="D11" s="13" t="n">
        <v>624.74220016864</v>
      </c>
      <c r="E11" s="11" t="n">
        <v>23.30779734997165</v>
      </c>
      <c r="F11" s="11" t="n">
        <v>7.66141224576474</v>
      </c>
      <c r="G11" s="11" t="n">
        <v>6.63257567089529</v>
      </c>
      <c r="H11" s="13" t="n">
        <v>284.5759047138945</v>
      </c>
      <c r="I11" s="13" t="n">
        <v>448.8638737455506</v>
      </c>
      <c r="J11" s="13" t="n">
        <v>736.4779244395361</v>
      </c>
      <c r="K11" s="11">
        <f>IF(I11=0,"",D11/I11)</f>
        <v/>
      </c>
      <c r="L11" s="10">
        <f>IF(I11=0,"",(I11-D11)/I11)</f>
        <v/>
      </c>
      <c r="M11" s="8" t="inlineStr">
        <is>
          <t>OUTSIDE_RANGE</t>
        </is>
      </c>
      <c r="N11" s="8" t="inlineStr">
        <is>
          <t>median owner-earnings margin of the last 5 years (28.3%) applied to FY2025 revenue</t>
        </is>
      </c>
    </row>
    <row r="12">
      <c r="A12" s="8" t="inlineStr">
        <is>
          <t>CSCO</t>
        </is>
      </c>
      <c r="B12" s="8" t="inlineStr">
        <is>
          <t>CISCO SYSTEMS, INC.</t>
        </is>
      </c>
      <c r="C12" s="13" t="n">
        <v>14.5335415947398</v>
      </c>
      <c r="D12" s="13" t="n">
        <v>480.03670600279</v>
      </c>
      <c r="E12" s="11" t="n">
        <v>47.1548827114725</v>
      </c>
      <c r="F12" s="11" t="n">
        <v>10.24777887844054</v>
      </c>
      <c r="G12" s="11" t="n">
        <v>8.473129982045222</v>
      </c>
      <c r="H12" s="13" t="n">
        <v>224.0229537811596</v>
      </c>
      <c r="I12" s="13" t="n">
        <v>343.960484408842</v>
      </c>
      <c r="J12" s="13" t="n">
        <v>769.6728162404621</v>
      </c>
      <c r="K12" s="11">
        <f>IF(I12=0,"",D12/I12)</f>
        <v/>
      </c>
      <c r="L12" s="10">
        <f>IF(I12=0,"",(I12-D12)/I12)</f>
        <v/>
      </c>
      <c r="M12" s="8" t="inlineStr">
        <is>
          <t>OUTSIDE_RANGE</t>
        </is>
      </c>
      <c r="N12" s="8" t="inlineStr">
        <is>
          <t>median owner-earnings margin of the last 5 years (25.7%) applied to FY2025 revenue</t>
        </is>
      </c>
    </row>
    <row r="13">
      <c r="A13" s="8" t="inlineStr">
        <is>
          <t>MSFT</t>
        </is>
      </c>
      <c r="B13" s="8" t="inlineStr">
        <is>
          <t>MICROSOFT CORP</t>
        </is>
      </c>
      <c r="C13" s="13" t="n">
        <v>106.5176334709671</v>
      </c>
      <c r="D13" s="13" t="n">
        <v>3712.69849004509</v>
      </c>
      <c r="E13" s="11" t="n">
        <v>27.75870092520385</v>
      </c>
      <c r="F13" s="11" t="n">
        <v>8.3924222231781</v>
      </c>
      <c r="G13" s="11" t="n">
        <v>11.18825240566989</v>
      </c>
      <c r="H13" s="13" t="n">
        <v>1500.544791849496</v>
      </c>
      <c r="I13" s="13" t="n">
        <v>2520.917325479555</v>
      </c>
      <c r="J13" s="13" t="n">
        <v>5641.001293348991</v>
      </c>
      <c r="K13" s="11">
        <f>IF(I13=0,"",D13/I13)</f>
        <v/>
      </c>
      <c r="L13" s="10">
        <f>IF(I13=0,"",(I13-D13)/I13)</f>
        <v/>
      </c>
      <c r="M13" s="8" t="inlineStr">
        <is>
          <t>OUTSIDE_RANGE</t>
        </is>
      </c>
      <c r="N13" s="8" t="inlineStr">
        <is>
          <t>median owner-earnings margin of the last 5 years (32.1%) applied to FY2026 revenue</t>
        </is>
      </c>
    </row>
    <row r="14">
      <c r="A14" s="8" t="inlineStr">
        <is>
          <t>PG</t>
        </is>
      </c>
      <c r="B14" s="8" t="inlineStr">
        <is>
          <t>PROCTER &amp; GAMBLE Co</t>
        </is>
      </c>
      <c r="C14" s="13" t="n">
        <v>15.0547267816133</v>
      </c>
      <c r="D14" s="13" t="n">
        <v>338.8790958174</v>
      </c>
      <c r="E14" s="11" t="n">
        <v>21.11922571465785</v>
      </c>
      <c r="F14" s="11" t="n">
        <v>6.239603318248604</v>
      </c>
      <c r="G14" s="11" t="n">
        <v>3.893729844395164</v>
      </c>
      <c r="H14" s="13" t="n">
        <v>149.0516709599816</v>
      </c>
      <c r="I14" s="13" t="n">
        <v>214.990364491196</v>
      </c>
      <c r="J14" s="13" t="n">
        <v>332.5613176694673</v>
      </c>
      <c r="K14" s="11">
        <f>IF(I14=0,"",D14/I14)</f>
        <v/>
      </c>
      <c r="L14" s="10">
        <f>IF(I14=0,"",(I14-D14)/I14)</f>
        <v/>
      </c>
      <c r="M14" s="8" t="inlineStr">
        <is>
          <t>OUTSIDE_RANGE</t>
        </is>
      </c>
      <c r="N14" s="8" t="inlineStr">
        <is>
          <t>median owner-earnings margin of the last 5 years (17.3%) applied to FY2026 revenue</t>
        </is>
      </c>
    </row>
    <row r="15">
      <c r="A15" s="8" t="inlineStr">
        <is>
          <t>DELL</t>
        </is>
      </c>
      <c r="B15" s="8" t="inlineStr">
        <is>
          <t>Dell Technologies Inc.</t>
        </is>
      </c>
      <c r="C15" s="13" t="n">
        <v>6.81</v>
      </c>
      <c r="D15" s="13" t="n">
        <v>293.02127461027</v>
      </c>
      <c r="E15" s="11" t="n">
        <v>49.3634222726196</v>
      </c>
      <c r="F15" s="11" t="n">
        <v>-118.632094983915</v>
      </c>
      <c r="G15" s="11" t="n">
        <v>2.580821175379784</v>
      </c>
      <c r="H15" s="13" t="n">
        <v>89.2070084592158</v>
      </c>
      <c r="I15" s="13" t="n">
        <v>161.17</v>
      </c>
      <c r="J15" s="13" t="n">
        <v>340.8660152284241</v>
      </c>
      <c r="K15" s="11">
        <f>IF(I15=0,"",D15/I15)</f>
        <v/>
      </c>
      <c r="L15" s="10">
        <f>IF(I15=0,"",(I15-D15)/I15)</f>
        <v/>
      </c>
      <c r="M15" s="8" t="inlineStr">
        <is>
          <t>OUTSIDE_RANGE</t>
        </is>
      </c>
      <c r="N15" s="8" t="inlineStr">
        <is>
          <t>median owner-earnings margin of the last 5 years (6.0%) applied to FY2025 revenue</t>
        </is>
      </c>
    </row>
    <row r="16">
      <c r="A16" s="8" t="inlineStr">
        <is>
          <t>PM</t>
        </is>
      </c>
      <c r="B16" s="8" t="inlineStr">
        <is>
          <t>Philip Morris International Inc.</t>
        </is>
      </c>
      <c r="C16" s="13" t="n">
        <v>10.70782116995152</v>
      </c>
      <c r="D16" s="13" t="n">
        <v>295.09974779103</v>
      </c>
      <c r="E16" s="11" t="n">
        <v>26.0045600802811</v>
      </c>
      <c r="F16" s="11" t="n">
        <v>-29.52769139393936</v>
      </c>
      <c r="G16" s="11" t="n">
        <v>7.259883580767319</v>
      </c>
      <c r="H16" s="13" t="n">
        <v>107.7661248260393</v>
      </c>
      <c r="I16" s="13" t="n">
        <v>158.4876495432248</v>
      </c>
      <c r="J16" s="13" t="n">
        <v>248.353857167212</v>
      </c>
      <c r="K16" s="11">
        <f>IF(I16=0,"",D16/I16)</f>
        <v/>
      </c>
      <c r="L16" s="10">
        <f>IF(I16=0,"",(I16-D16)/I16)</f>
        <v/>
      </c>
      <c r="M16" s="8" t="inlineStr">
        <is>
          <t>OUTSIDE_RANGE</t>
        </is>
      </c>
      <c r="N16" s="8" t="inlineStr">
        <is>
          <t>median owner-earnings margin of the last 5 years (26.3%) applied to FY2025 revenue</t>
        </is>
      </c>
    </row>
    <row r="17">
      <c r="A17" s="8" t="inlineStr">
        <is>
          <t>AAPL</t>
        </is>
      </c>
      <c r="B17" s="8" t="inlineStr">
        <is>
          <t>Apple Inc.</t>
        </is>
      </c>
      <c r="C17" s="13" t="n">
        <v>121.7071038374145</v>
      </c>
      <c r="D17" s="13" t="n">
        <v>4629.87468549</v>
      </c>
      <c r="E17" s="11" t="n">
        <v>41.33447625649496</v>
      </c>
      <c r="F17" s="11" t="n">
        <v>62.79243602579578</v>
      </c>
      <c r="G17" s="11" t="n">
        <v>11.12520078885335</v>
      </c>
      <c r="H17" s="13" t="n">
        <v>1404.135126588577</v>
      </c>
      <c r="I17" s="13" t="n">
        <v>2426.985411923693</v>
      </c>
      <c r="J17" s="13" t="n">
        <v>4221.692859444613</v>
      </c>
      <c r="K17" s="11">
        <f>IF(I17=0,"",D17/I17)</f>
        <v/>
      </c>
      <c r="L17" s="10">
        <f>IF(I17=0,"",(I17-D17)/I17)</f>
        <v/>
      </c>
      <c r="M17" s="8" t="inlineStr">
        <is>
          <t>OUTSIDE_RANGE</t>
        </is>
      </c>
      <c r="N17" s="8" t="inlineStr">
        <is>
          <t>median owner-earnings margin of the last 5 years (29.2%) applied to FY2025 revenue</t>
        </is>
      </c>
    </row>
    <row r="18">
      <c r="A18" s="8" t="inlineStr">
        <is>
          <t>GOOG</t>
        </is>
      </c>
      <c r="B18" s="8" t="inlineStr">
        <is>
          <t>Alphabet Inc.</t>
        </is>
      </c>
      <c r="C18" s="13" t="n">
        <v>80.51373210927994</v>
      </c>
      <c r="D18" s="13" t="n">
        <v>4275.926590000001</v>
      </c>
      <c r="E18" s="11" t="n">
        <v>32.35171816599834</v>
      </c>
      <c r="F18" s="11" t="n">
        <v>10.29686246131988</v>
      </c>
      <c r="G18" s="11" t="n">
        <v>10.61455924991808</v>
      </c>
      <c r="H18" s="13" t="n">
        <v>1083.943982430128</v>
      </c>
      <c r="I18" s="13" t="n">
        <v>1905.491659919624</v>
      </c>
      <c r="J18" s="13" t="n">
        <v>4263.876807632933</v>
      </c>
      <c r="K18" s="11">
        <f>IF(I18=0,"",D18/I18)</f>
        <v/>
      </c>
      <c r="L18" s="10">
        <f>IF(I18=0,"",(I18-D18)/I18)</f>
        <v/>
      </c>
      <c r="M18" s="8" t="inlineStr">
        <is>
          <t>OUTSIDE_RANGE</t>
        </is>
      </c>
      <c r="N18" s="8" t="inlineStr">
        <is>
          <t>median owner-earnings margin of the last 5 years (20.0%) applied to FY2025 revenue</t>
        </is>
      </c>
    </row>
    <row r="19">
      <c r="A19" s="8" t="inlineStr">
        <is>
          <t>RTX</t>
        </is>
      </c>
      <c r="B19" s="8" t="inlineStr">
        <is>
          <t>RTX Corp</t>
        </is>
      </c>
      <c r="C19" s="13" t="n">
        <v>8.747736705597317</v>
      </c>
      <c r="D19" s="13" t="n">
        <v>299.37042037828</v>
      </c>
      <c r="E19" s="11" t="n">
        <v>44.4697594144801</v>
      </c>
      <c r="F19" s="11" t="n">
        <v>4.588404021431221</v>
      </c>
      <c r="G19" s="11" t="n">
        <v>3.378784244080675</v>
      </c>
      <c r="H19" s="13" t="n">
        <v>95.40252765001016</v>
      </c>
      <c r="I19" s="13" t="n">
        <v>123.9683279829049</v>
      </c>
      <c r="J19" s="13" t="n">
        <v>180.2033761353046</v>
      </c>
      <c r="K19" s="11">
        <f>IF(I19=0,"",D19/I19)</f>
        <v/>
      </c>
      <c r="L19" s="10">
        <f>IF(I19=0,"",(I19-D19)/I19)</f>
        <v/>
      </c>
      <c r="M19" s="8" t="inlineStr">
        <is>
          <t>OUTSIDE_RANGE</t>
        </is>
      </c>
      <c r="N19" s="8" t="inlineStr">
        <is>
          <t>median owner-earnings margin of the last 5 years (9.9%) applied to FY2025 revenue</t>
        </is>
      </c>
    </row>
    <row r="20">
      <c r="A20" s="8" t="inlineStr">
        <is>
          <t>LRCX</t>
        </is>
      </c>
      <c r="B20" s="8" t="inlineStr">
        <is>
          <t>LAM RESEARCH CORP</t>
        </is>
      </c>
      <c r="C20" s="13" t="n">
        <v>6.456399747723214</v>
      </c>
      <c r="D20" s="13" t="n">
        <v>389.59879335</v>
      </c>
      <c r="E20" s="11" t="n">
        <v>53.62388964758425</v>
      </c>
      <c r="F20" s="11" t="n">
        <v>31.24057905185992</v>
      </c>
      <c r="G20" s="11" t="n">
        <v>16.76942245387857</v>
      </c>
      <c r="H20" s="13" t="n">
        <v>81.89979979144643</v>
      </c>
      <c r="I20" s="13" t="n">
        <v>152.801460696116</v>
      </c>
      <c r="J20" s="13" t="n">
        <v>294.7540000051065</v>
      </c>
      <c r="K20" s="11">
        <f>IF(I20=0,"",D20/I20)</f>
        <v/>
      </c>
      <c r="L20" s="10">
        <f>IF(I20=0,"",(I20-D20)/I20)</f>
        <v/>
      </c>
      <c r="M20" s="8" t="inlineStr">
        <is>
          <t>OUTSIDE_RANGE</t>
        </is>
      </c>
      <c r="N20" s="8" t="inlineStr">
        <is>
          <t>median owner-earnings margin of the last 5 years (27.8%) applied to FY2026 revenue</t>
        </is>
      </c>
    </row>
    <row r="21">
      <c r="A21" s="8" t="inlineStr">
        <is>
          <t>KLAC</t>
        </is>
      </c>
      <c r="B21" s="8" t="inlineStr">
        <is>
          <t>KLA CORP</t>
        </is>
      </c>
      <c r="C21" s="13" t="n">
        <v>4.161932293242543</v>
      </c>
      <c r="D21" s="13" t="n">
        <v>258.83998318013</v>
      </c>
      <c r="E21" s="11" t="n">
        <v>53.58150555680035</v>
      </c>
      <c r="F21" s="11" t="n">
        <v>40.76335757236111</v>
      </c>
      <c r="G21" s="11" t="n">
        <v>19.06111717271933</v>
      </c>
      <c r="H21" s="13" t="n">
        <v>64.48584233148019</v>
      </c>
      <c r="I21" s="13" t="n">
        <v>98.49906427340684</v>
      </c>
      <c r="J21" s="13" t="n">
        <v>220.4091912670143</v>
      </c>
      <c r="K21" s="11">
        <f>IF(I21=0,"",D21/I21)</f>
        <v/>
      </c>
      <c r="L21" s="10">
        <f>IF(I21=0,"",(I21-D21)/I21)</f>
        <v/>
      </c>
      <c r="M21" s="8" t="inlineStr">
        <is>
          <t>OUTSIDE_RANGE</t>
        </is>
      </c>
      <c r="N21" s="8" t="inlineStr">
        <is>
          <t>median owner-earnings margin of the last 5 years (30.6%) applied to FY2026 revenue</t>
        </is>
      </c>
    </row>
    <row r="22">
      <c r="A22" s="8" t="inlineStr">
        <is>
          <t>IBM</t>
        </is>
      </c>
      <c r="B22" s="8" t="inlineStr">
        <is>
          <t>INTERNATIONAL BUSINESS MACHINES CORP</t>
        </is>
      </c>
      <c r="C22" s="13" t="n">
        <v>7.323565008844199</v>
      </c>
      <c r="D22" s="13" t="n">
        <v>222.57680338112</v>
      </c>
      <c r="E22" s="11" t="n">
        <v>21.0116872822732</v>
      </c>
      <c r="F22" s="11" t="n">
        <v>6.817471311600098</v>
      </c>
      <c r="G22" s="11" t="n">
        <v>3.295725229601244</v>
      </c>
      <c r="H22" s="13" t="n">
        <v>65.45660752413941</v>
      </c>
      <c r="I22" s="13" t="n">
        <v>83.6591225846504</v>
      </c>
      <c r="J22" s="13" t="n">
        <v>119.1596635499097</v>
      </c>
      <c r="K22" s="11">
        <f>IF(I22=0,"",D22/I22)</f>
        <v/>
      </c>
      <c r="L22" s="10">
        <f>IF(I22=0,"",(I22-D22)/I22)</f>
        <v/>
      </c>
      <c r="M22" s="8" t="inlineStr">
        <is>
          <t>OUTSIDE_RANGE</t>
        </is>
      </c>
      <c r="N22" s="8" t="inlineStr">
        <is>
          <t>median owner-earnings margin of the last 5 years (10.8%) applied to FY2025 revenue</t>
        </is>
      </c>
    </row>
    <row r="23">
      <c r="A23" s="8" t="inlineStr">
        <is>
          <t>NFLX</t>
        </is>
      </c>
      <c r="B23" s="8" t="inlineStr">
        <is>
          <t>NETFLIX INC</t>
        </is>
      </c>
      <c r="C23" s="13" t="n">
        <v>7.665537371890021</v>
      </c>
      <c r="D23" s="13" t="n">
        <v>313.031101801</v>
      </c>
      <c r="E23" s="11" t="n">
        <v>28.50608979846558</v>
      </c>
      <c r="F23" s="11" t="n">
        <v>11.76123848644068</v>
      </c>
      <c r="G23" s="11" t="n">
        <v>6.928067025000268</v>
      </c>
      <c r="H23" s="13" t="n">
        <v>83.60009745217731</v>
      </c>
      <c r="I23" s="13" t="n">
        <v>108.6319676809237</v>
      </c>
      <c r="J23" s="13" t="n">
        <v>157.9100698609343</v>
      </c>
      <c r="K23" s="11">
        <f>IF(I23=0,"",D23/I23)</f>
        <v/>
      </c>
      <c r="L23" s="10">
        <f>IF(I23=0,"",(I23-D23)/I23)</f>
        <v/>
      </c>
      <c r="M23" s="8" t="inlineStr">
        <is>
          <t>OUTSIDE_RANGE</t>
        </is>
      </c>
      <c r="N23" s="8" t="inlineStr">
        <is>
          <t>median owner-earnings margin of the last 5 years (17.0%) applied to FY2025 revenue</t>
        </is>
      </c>
    </row>
    <row r="24">
      <c r="A24" s="8" t="inlineStr">
        <is>
          <t>GE</t>
        </is>
      </c>
      <c r="B24" s="8" t="inlineStr">
        <is>
          <t>GENERAL ELECTRIC CO</t>
        </is>
      </c>
      <c r="C24" s="13" t="n">
        <v>9.440411304437353</v>
      </c>
      <c r="D24" s="13" t="n">
        <v>388.14494152896</v>
      </c>
      <c r="E24" s="11" t="n">
        <v>44.59385817198529</v>
      </c>
      <c r="F24" s="11" t="n">
        <v>20.78197470305509</v>
      </c>
      <c r="G24" s="11" t="n">
        <v>8.464615451509323</v>
      </c>
      <c r="H24" s="13" t="n">
        <v>102.9568139519759</v>
      </c>
      <c r="I24" s="13" t="n">
        <v>133.7845484230428</v>
      </c>
      <c r="J24" s="13" t="n">
        <v>194.4724728714094</v>
      </c>
      <c r="K24" s="11">
        <f>IF(I24=0,"",D24/I24)</f>
        <v/>
      </c>
      <c r="L24" s="10">
        <f>IF(I24=0,"",(I24-D24)/I24)</f>
        <v/>
      </c>
      <c r="M24" s="8" t="inlineStr">
        <is>
          <t>OUTSIDE_RANGE</t>
        </is>
      </c>
      <c r="N24" s="8" t="inlineStr">
        <is>
          <t>median owner-earnings margin of the last 5 years (20.6%) applied to FY2025 revenue</t>
        </is>
      </c>
    </row>
    <row r="25">
      <c r="A25" s="8" t="inlineStr">
        <is>
          <t>CAT</t>
        </is>
      </c>
      <c r="B25" s="8" t="inlineStr">
        <is>
          <t>CATERPILLAR INC</t>
        </is>
      </c>
      <c r="C25" s="13" t="n">
        <v>7.775</v>
      </c>
      <c r="D25" s="13" t="n">
        <v>391.86033813708</v>
      </c>
      <c r="E25" s="11" t="n">
        <v>44.11847986231479</v>
      </c>
      <c r="F25" s="11" t="n">
        <v>18.38166517201801</v>
      </c>
      <c r="G25" s="11" t="n">
        <v>5.797693975899629</v>
      </c>
      <c r="H25" s="13" t="n">
        <v>84.14237550706636</v>
      </c>
      <c r="I25" s="13" t="n">
        <v>134.8553570358526</v>
      </c>
      <c r="J25" s="13" t="n">
        <v>223.5640166372433</v>
      </c>
      <c r="K25" s="11">
        <f>IF(I25=0,"",D25/I25)</f>
        <v/>
      </c>
      <c r="L25" s="10">
        <f>IF(I25=0,"",(I25-D25)/I25)</f>
        <v/>
      </c>
      <c r="M25" s="8" t="inlineStr">
        <is>
          <t>OUTSIDE_RANGE</t>
        </is>
      </c>
      <c r="N25" s="8" t="inlineStr">
        <is>
          <t>median owner-earnings margin of the last 5 years (11.5%) applied to FY2025 revenue</t>
        </is>
      </c>
    </row>
    <row r="26">
      <c r="A26" s="8" t="inlineStr">
        <is>
          <t>COST</t>
        </is>
      </c>
      <c r="B26" s="8" t="inlineStr">
        <is>
          <t>COSTCO WHOLESALE CORP /NEW</t>
        </is>
      </c>
      <c r="C26" s="13" t="n">
        <v>6.048716737472146</v>
      </c>
      <c r="D26" s="13" t="n">
        <v>420.05408659632</v>
      </c>
      <c r="E26" s="11" t="n">
        <v>51.8649322874824</v>
      </c>
      <c r="F26" s="11" t="n">
        <v>14.40317125896036</v>
      </c>
      <c r="G26" s="11" t="n">
        <v>1.526165228246117</v>
      </c>
      <c r="H26" s="13" t="n">
        <v>80.38869047539465</v>
      </c>
      <c r="I26" s="13" t="n">
        <v>143.1529627868408</v>
      </c>
      <c r="J26" s="13" t="n">
        <v>315.5012324904576</v>
      </c>
      <c r="K26" s="11">
        <f>IF(I26=0,"",D26/I26)</f>
        <v/>
      </c>
      <c r="L26" s="10">
        <f>IF(I26=0,"",(I26-D26)/I26)</f>
        <v/>
      </c>
      <c r="M26" s="8" t="inlineStr">
        <is>
          <t>OUTSIDE_RANGE</t>
        </is>
      </c>
      <c r="N26" s="8" t="inlineStr">
        <is>
          <t>median owner-earnings margin of the last 5 years (2.2%) applied to FY2025 revenue</t>
        </is>
      </c>
    </row>
    <row r="27">
      <c r="A27" s="8" t="inlineStr">
        <is>
          <t>KO</t>
        </is>
      </c>
      <c r="B27" s="8" t="inlineStr">
        <is>
          <t>COCA COLA CO</t>
        </is>
      </c>
      <c r="C27" s="13" t="n">
        <v>10.25284571202679</v>
      </c>
      <c r="D27" s="13" t="n">
        <v>374.37794315645</v>
      </c>
      <c r="E27" s="11" t="n">
        <v>28.5632061613222</v>
      </c>
      <c r="F27" s="11" t="n">
        <v>11.63784833710871</v>
      </c>
      <c r="G27" s="11" t="n">
        <v>7.809139216045764</v>
      </c>
      <c r="H27" s="13" t="n">
        <v>91.60251251413364</v>
      </c>
      <c r="I27" s="13" t="n">
        <v>117.0224819469715</v>
      </c>
      <c r="J27" s="13" t="n">
        <v>166.6278874823319</v>
      </c>
      <c r="K27" s="11">
        <f>IF(I27=0,"",D27/I27)</f>
        <v/>
      </c>
      <c r="L27" s="10">
        <f>IF(I27=0,"",(I27-D27)/I27)</f>
        <v/>
      </c>
      <c r="M27" s="8" t="inlineStr">
        <is>
          <t>OUTSIDE_RANGE</t>
        </is>
      </c>
      <c r="N27" s="8" t="inlineStr">
        <is>
          <t>median owner-earnings margin of the last 5 years (21.4%) applied to FY2025 revenue</t>
        </is>
      </c>
    </row>
    <row r="28">
      <c r="A28" s="8" t="inlineStr">
        <is>
          <t>AMAT</t>
        </is>
      </c>
      <c r="B28" s="8" t="inlineStr">
        <is>
          <t>APPLIED MATERIALS INC /DE</t>
        </is>
      </c>
      <c r="C28" s="13" t="n">
        <v>5.418247409270259</v>
      </c>
      <c r="D28" s="13" t="n">
        <v>427.50748634524</v>
      </c>
      <c r="E28" s="11" t="n">
        <v>61.08995232141183</v>
      </c>
      <c r="F28" s="11" t="n">
        <v>20.94085164561548</v>
      </c>
      <c r="G28" s="11" t="n">
        <v>15.07006085537366</v>
      </c>
      <c r="H28" s="13" t="n">
        <v>70.20717655441324</v>
      </c>
      <c r="I28" s="13" t="n">
        <v>128.2318553527294</v>
      </c>
      <c r="J28" s="13" t="n">
        <v>262.8948535842429</v>
      </c>
      <c r="K28" s="11">
        <f>IF(I28=0,"",D28/I28)</f>
        <v/>
      </c>
      <c r="L28" s="10">
        <f>IF(I28=0,"",(I28-D28)/I28)</f>
        <v/>
      </c>
      <c r="M28" s="8" t="inlineStr">
        <is>
          <t>OUTSIDE_RANGE</t>
        </is>
      </c>
      <c r="N28" s="8" t="inlineStr">
        <is>
          <t>median owner-earnings margin of the last 5 years (19.1%) applied to FY2025 revenue</t>
        </is>
      </c>
    </row>
    <row r="29">
      <c r="A29" s="8" t="inlineStr">
        <is>
          <t>META</t>
        </is>
      </c>
      <c r="B29" s="8" t="inlineStr">
        <is>
          <t>Meta Platforms, Inc.</t>
        </is>
      </c>
      <c r="C29" s="13" t="n">
        <v>36.14311833970614</v>
      </c>
      <c r="D29" s="13" t="n">
        <v>1497.7497902344</v>
      </c>
      <c r="E29" s="11" t="n">
        <v>24.77339293781468</v>
      </c>
      <c r="F29" s="11" t="n">
        <v>6.894352362259775</v>
      </c>
      <c r="G29" s="11" t="n">
        <v>7.452752158247664</v>
      </c>
      <c r="H29" s="13" t="n">
        <v>322.9152708432071</v>
      </c>
      <c r="I29" s="13" t="n">
        <v>412.5252180918086</v>
      </c>
      <c r="J29" s="13" t="n">
        <v>587.3931613839371</v>
      </c>
      <c r="K29" s="11">
        <f>IF(I29=0,"",D29/I29)</f>
        <v/>
      </c>
      <c r="L29" s="10">
        <f>IF(I29=0,"",(I29-D29)/I29)</f>
        <v/>
      </c>
      <c r="M29" s="8" t="inlineStr">
        <is>
          <t>OUTSIDE_RANGE</t>
        </is>
      </c>
      <c r="N29" s="8" t="inlineStr">
        <is>
          <t>median owner-earnings margin of the last 5 years (18.0%) applied to FY2025 revenue</t>
        </is>
      </c>
    </row>
    <row r="30">
      <c r="A30" s="8" t="inlineStr">
        <is>
          <t>AMZN</t>
        </is>
      </c>
      <c r="B30" s="8" t="inlineStr">
        <is>
          <t>AMAZON COM INC</t>
        </is>
      </c>
      <c r="C30" s="13" t="n">
        <v>27.38070737748136</v>
      </c>
      <c r="D30" s="13" t="n">
        <v>2946.5210803976</v>
      </c>
      <c r="E30" s="11" t="n">
        <v>37.93641148960474</v>
      </c>
      <c r="F30" s="11" t="n">
        <v>7.16801741913712</v>
      </c>
      <c r="G30" s="11" t="n">
        <v>4.109949004912097</v>
      </c>
      <c r="H30" s="13" t="n">
        <v>443.7927811959988</v>
      </c>
      <c r="I30" s="13" t="n">
        <v>648.0100746003919</v>
      </c>
      <c r="J30" s="13" t="n">
        <v>1450.037901670819</v>
      </c>
      <c r="K30" s="11">
        <f>IF(I30=0,"",D30/I30)</f>
        <v/>
      </c>
      <c r="L30" s="10">
        <f>IF(I30=0,"",(I30-D30)/I30)</f>
        <v/>
      </c>
      <c r="M30" s="8" t="inlineStr">
        <is>
          <t>OUTSIDE_RANGE</t>
        </is>
      </c>
      <c r="N30" s="8" t="inlineStr">
        <is>
          <t>median owner-earnings margin of the last 5 years (3.8%) applied to FY2025 revenue</t>
        </is>
      </c>
    </row>
    <row r="31">
      <c r="A31" s="8" t="inlineStr">
        <is>
          <t>AVGO</t>
        </is>
      </c>
      <c r="B31" s="8" t="inlineStr">
        <is>
          <t>Broadcom Inc.</t>
        </is>
      </c>
      <c r="C31" s="13" t="n">
        <v>17.839</v>
      </c>
      <c r="D31" s="13" t="n">
        <v>2028.12728026024</v>
      </c>
      <c r="E31" s="11" t="n">
        <v>87.69900891897605</v>
      </c>
      <c r="F31" s="11" t="n">
        <v>24.94866998302711</v>
      </c>
      <c r="G31" s="11" t="n">
        <v>31.74553947219685</v>
      </c>
      <c r="H31" s="13" t="n">
        <v>313.7312581953004</v>
      </c>
      <c r="I31" s="13" t="n">
        <v>422.1896666666665</v>
      </c>
      <c r="J31" s="13" t="n">
        <v>944.7245380219672</v>
      </c>
      <c r="K31" s="11">
        <f>IF(I31=0,"",D31/I31)</f>
        <v/>
      </c>
      <c r="L31" s="10">
        <f>IF(I31=0,"",(I31-D31)/I31)</f>
        <v/>
      </c>
      <c r="M31" s="8" t="inlineStr">
        <is>
          <t>OUTSIDE_RANGE</t>
        </is>
      </c>
      <c r="N31" s="8" t="inlineStr">
        <is>
          <t>median owner-earnings margin of the last 5 years (27.9%) applied to FY2025 revenue</t>
        </is>
      </c>
    </row>
    <row r="32">
      <c r="A32" s="8" t="inlineStr">
        <is>
          <t>ORCL</t>
        </is>
      </c>
      <c r="B32" s="8" t="inlineStr">
        <is>
          <t>ORACLE CORP</t>
        </is>
      </c>
      <c r="C32" s="13" t="n">
        <v>6.218730912439444</v>
      </c>
      <c r="D32" s="13" t="n">
        <v>423.48684642</v>
      </c>
      <c r="E32" s="11" t="n">
        <v>24.7841544109557</v>
      </c>
      <c r="F32" s="11" t="n">
        <v>9.962521088265738</v>
      </c>
      <c r="G32" s="11" t="n">
        <v>6.287198753210506</v>
      </c>
      <c r="H32" s="13" t="n">
        <v>67.82127398077266</v>
      </c>
      <c r="I32" s="13" t="n">
        <v>88.12858678033133</v>
      </c>
      <c r="J32" s="13" t="n">
        <v>128.1058567962525</v>
      </c>
      <c r="K32" s="11">
        <f>IF(I32=0,"",D32/I32)</f>
        <v/>
      </c>
      <c r="L32" s="10">
        <f>IF(I32=0,"",(I32-D32)/I32)</f>
        <v/>
      </c>
      <c r="M32" s="8" t="inlineStr">
        <is>
          <t>OUTSIDE_RANGE</t>
        </is>
      </c>
      <c r="N32" s="8" t="inlineStr">
        <is>
          <t>median owner-earnings margin of the last 5 years (9.2%) applied to FY2025 revenue</t>
        </is>
      </c>
    </row>
    <row r="33">
      <c r="A33" s="8" t="inlineStr">
        <is>
          <t>NVDA</t>
        </is>
      </c>
      <c r="B33" s="8" t="inlineStr">
        <is>
          <t>NVIDIA CORP</t>
        </is>
      </c>
      <c r="C33" s="13" t="n">
        <v>74.69144458493298</v>
      </c>
      <c r="D33" s="13" t="n">
        <v>5442.228</v>
      </c>
      <c r="E33" s="11" t="n">
        <v>45.32659265243572</v>
      </c>
      <c r="F33" s="11" t="n">
        <v>34.59930193969217</v>
      </c>
      <c r="G33" s="11" t="n">
        <v>25.2027341181265</v>
      </c>
      <c r="H33" s="13" t="n">
        <v>814.582428238129</v>
      </c>
      <c r="I33" s="13" t="n">
        <v>1058.48790509404</v>
      </c>
      <c r="J33" s="13" t="n">
        <v>1538.643758449619</v>
      </c>
      <c r="K33" s="11">
        <f>IF(I33=0,"",D33/I33)</f>
        <v/>
      </c>
      <c r="L33" s="10">
        <f>IF(I33=0,"",(I33-D33)/I33)</f>
        <v/>
      </c>
      <c r="M33" s="8" t="inlineStr">
        <is>
          <t>OUTSIDE_RANGE</t>
        </is>
      </c>
      <c r="N33" s="8" t="inlineStr">
        <is>
          <t>median owner-earnings margin of the last 5 years (34.6%) applied to FY2025 revenue</t>
        </is>
      </c>
    </row>
    <row r="34">
      <c r="A34" s="8" t="inlineStr">
        <is>
          <t>TXN</t>
        </is>
      </c>
      <c r="B34" s="8" t="inlineStr">
        <is>
          <t>TEXAS INSTRUMENTS INC</t>
        </is>
      </c>
      <c r="C34" s="13" t="n">
        <v>3.436</v>
      </c>
      <c r="D34" s="13" t="n">
        <v>259.63212542592</v>
      </c>
      <c r="E34" s="11" t="n">
        <v>51.91604187680863</v>
      </c>
      <c r="F34" s="11" t="n">
        <v>15.95477941534566</v>
      </c>
      <c r="G34" s="11" t="n">
        <v>14.68341394785205</v>
      </c>
      <c r="H34" s="13" t="n">
        <v>31.27705911249017</v>
      </c>
      <c r="I34" s="13" t="n">
        <v>40.84595961478075</v>
      </c>
      <c r="J34" s="13" t="n">
        <v>59.05455334440532</v>
      </c>
      <c r="K34" s="11">
        <f>IF(I34=0,"",D34/I34)</f>
        <v/>
      </c>
      <c r="L34" s="10">
        <f>IF(I34=0,"",(I34-D34)/I34)</f>
        <v/>
      </c>
      <c r="M34" s="8" t="inlineStr">
        <is>
          <t>OUTSIDE_RANGE</t>
        </is>
      </c>
      <c r="N34" s="8" t="inlineStr">
        <is>
          <t>median owner-earnings margin of the last 5 years (19.4%) applied to FY2025 revenue</t>
        </is>
      </c>
    </row>
    <row r="35">
      <c r="A35" s="8" t="inlineStr">
        <is>
          <t>WMT</t>
        </is>
      </c>
      <c r="B35" s="8" t="inlineStr">
        <is>
          <t>Walmart Inc.</t>
        </is>
      </c>
      <c r="C35" s="13" t="n">
        <v>11.54850666219934</v>
      </c>
      <c r="D35" s="13" t="n">
        <v>891.71321973685</v>
      </c>
      <c r="E35" s="11" t="n">
        <v>40.73051750499474</v>
      </c>
      <c r="F35" s="11" t="n">
        <v>8.951416121112359</v>
      </c>
      <c r="G35" s="11" t="n">
        <v>1.262311451993168</v>
      </c>
      <c r="H35" s="13" t="n">
        <v>103.1784009782539</v>
      </c>
      <c r="I35" s="13" t="n">
        <v>131.8107138593184</v>
      </c>
      <c r="J35" s="13" t="n">
        <v>187.6847972500616</v>
      </c>
      <c r="K35" s="11">
        <f>IF(I35=0,"",D35/I35)</f>
        <v/>
      </c>
      <c r="L35" s="10">
        <f>IF(I35=0,"",(I35-D35)/I35)</f>
        <v/>
      </c>
      <c r="M35" s="8" t="inlineStr">
        <is>
          <t>OUTSIDE_RANGE</t>
        </is>
      </c>
      <c r="N35" s="8" t="inlineStr">
        <is>
          <t>median owner-earnings margin of the last 5 years (1.6%) applied to FY2025 revenue</t>
        </is>
      </c>
    </row>
    <row r="36">
      <c r="A36" s="8" t="inlineStr">
        <is>
          <t>ABBV</t>
        </is>
      </c>
      <c r="B36" s="8" t="inlineStr">
        <is>
          <t>AbbVie Inc.</t>
        </is>
      </c>
      <c r="C36" s="13" t="n">
        <v>5.543418894450952</v>
      </c>
      <c r="D36" s="13" t="n">
        <v>435.04030371248</v>
      </c>
      <c r="E36" s="11" t="n">
        <v>102.9437538363653</v>
      </c>
      <c r="F36" s="11" t="n">
        <v>-133.0398482301162</v>
      </c>
      <c r="G36" s="11" t="n">
        <v>7.113150812826683</v>
      </c>
      <c r="H36" s="13" t="n">
        <v>49.52684483044344</v>
      </c>
      <c r="I36" s="13" t="n">
        <v>63.27069144710176</v>
      </c>
      <c r="J36" s="13" t="n">
        <v>90.09090800308265</v>
      </c>
      <c r="K36" s="11">
        <f>IF(I36=0,"",D36/I36)</f>
        <v/>
      </c>
      <c r="L36" s="10">
        <f>IF(I36=0,"",(I36-D36)/I36)</f>
        <v/>
      </c>
      <c r="M36" s="8" t="inlineStr">
        <is>
          <t>OUTSIDE_RANGE</t>
        </is>
      </c>
      <c r="N36" s="8" t="inlineStr">
        <is>
          <t>median owner-earnings margin of the last 5 years (9.1%) applied to FY2025 revenue</t>
        </is>
      </c>
    </row>
    <row r="37">
      <c r="A37" s="8" t="inlineStr">
        <is>
          <t>PANW</t>
        </is>
      </c>
      <c r="B37" s="8" t="inlineStr">
        <is>
          <t>Palo Alto Networks Inc</t>
        </is>
      </c>
      <c r="C37" s="13" t="n">
        <v>1.439274841498977</v>
      </c>
      <c r="D37" s="13" t="n">
        <v>243.385954</v>
      </c>
      <c r="E37" s="11" t="n">
        <v>214.6449898580122</v>
      </c>
      <c r="F37" s="11" t="n">
        <v>31.10602142017279</v>
      </c>
      <c r="G37" s="11" t="n">
        <v>26.39331497044949</v>
      </c>
      <c r="H37" s="13" t="n">
        <v>25.31226564898905</v>
      </c>
      <c r="I37" s="13" t="n">
        <v>34.06283791547578</v>
      </c>
      <c r="J37" s="13" t="n">
        <v>76.22166375479348</v>
      </c>
      <c r="K37" s="11">
        <f>IF(I37=0,"",D37/I37)</f>
        <v/>
      </c>
      <c r="L37" s="10">
        <f>IF(I37=0,"",(I37-D37)/I37)</f>
        <v/>
      </c>
      <c r="M37" s="8" t="inlineStr">
        <is>
          <t>OUTSIDE_RANGE</t>
        </is>
      </c>
      <c r="N37" s="8" t="inlineStr">
        <is>
          <t>median owner-earnings margin of the last 5 years (15.6%) applied to FY2025 revenue</t>
        </is>
      </c>
    </row>
    <row r="38">
      <c r="A38" s="8" t="inlineStr">
        <is>
          <t>LLY</t>
        </is>
      </c>
      <c r="B38" s="8" t="inlineStr">
        <is>
          <t>ELI LILLY &amp; Co</t>
        </is>
      </c>
      <c r="C38" s="13" t="n">
        <v>6.241</v>
      </c>
      <c r="D38" s="13" t="n">
        <v>1118.5483264682</v>
      </c>
      <c r="E38" s="11" t="n">
        <v>54.19323287152132</v>
      </c>
      <c r="F38" s="11" t="n">
        <v>42.15369611713586</v>
      </c>
      <c r="G38" s="11" t="n">
        <v>17.16117655177588</v>
      </c>
      <c r="H38" s="13" t="n">
        <v>68.00986899152417</v>
      </c>
      <c r="I38" s="13" t="n">
        <v>109.8949654921556</v>
      </c>
      <c r="J38" s="13" t="n">
        <v>183.1472423792806</v>
      </c>
      <c r="K38" s="11">
        <f>IF(I38=0,"",D38/I38)</f>
        <v/>
      </c>
      <c r="L38" s="10">
        <f>IF(I38=0,"",(I38-D38)/I38)</f>
        <v/>
      </c>
      <c r="M38" s="8" t="inlineStr">
        <is>
          <t>OUTSIDE_RANGE</t>
        </is>
      </c>
      <c r="N38" s="8" t="inlineStr">
        <is>
          <t>median owner-earnings margin of the last 5 years (9.6%) applied to FY2025 revenue</t>
        </is>
      </c>
    </row>
    <row r="39">
      <c r="A39" s="8" t="inlineStr">
        <is>
          <t>ANET</t>
        </is>
      </c>
      <c r="B39" s="8" t="inlineStr">
        <is>
          <t>Arista Networks, Inc.</t>
        </is>
      </c>
      <c r="C39" s="13" t="n">
        <v>1.296019133112479</v>
      </c>
      <c r="D39" s="13" t="n">
        <v>237.07100672502</v>
      </c>
      <c r="E39" s="11" t="n">
        <v>67.51466842997664</v>
      </c>
      <c r="F39" s="11" t="n">
        <v>19.16422187664363</v>
      </c>
      <c r="G39" s="11" t="n">
        <v>26.32455075396915</v>
      </c>
      <c r="H39" s="13" t="n">
        <v>14.13434186954794</v>
      </c>
      <c r="I39" s="13" t="n">
        <v>18.36650214483533</v>
      </c>
      <c r="J39" s="13" t="n">
        <v>26.69799414211705</v>
      </c>
      <c r="K39" s="11">
        <f>IF(I39=0,"",D39/I39)</f>
        <v/>
      </c>
      <c r="L39" s="10">
        <f>IF(I39=0,"",(I39-D39)/I39)</f>
        <v/>
      </c>
      <c r="M39" s="8" t="inlineStr">
        <is>
          <t>OUTSIDE_RANGE</t>
        </is>
      </c>
      <c r="N39" s="8" t="inlineStr">
        <is>
          <t>median owner-earnings margin of the last 5 years (14.4%) applied to FY2025 revenue</t>
        </is>
      </c>
    </row>
    <row r="40">
      <c r="A40" s="8" t="inlineStr">
        <is>
          <t>GEV</t>
        </is>
      </c>
      <c r="B40" s="8" t="inlineStr">
        <is>
          <t>GE Vernova Inc.</t>
        </is>
      </c>
      <c r="C40" s="13" t="n">
        <v>0.965758399824961</v>
      </c>
      <c r="D40" s="13" t="n">
        <v>266.92041878848</v>
      </c>
      <c r="E40" s="11" t="n">
        <v>54.65201039895168</v>
      </c>
      <c r="F40" s="11" t="n">
        <v>21.70790653777489</v>
      </c>
      <c r="G40" s="11" t="n">
        <v>7.011674340350951</v>
      </c>
      <c r="H40" s="13" t="n">
        <v>10.53252921793777</v>
      </c>
      <c r="I40" s="13" t="n">
        <v>13.68622057236132</v>
      </c>
      <c r="J40" s="13" t="n">
        <v>19.89462303639419</v>
      </c>
      <c r="K40" s="11">
        <f>IF(I40=0,"",D40/I40)</f>
        <v/>
      </c>
      <c r="L40" s="10">
        <f>IF(I40=0,"",(I40-D40)/I40)</f>
        <v/>
      </c>
      <c r="M40" s="8" t="inlineStr">
        <is>
          <t>OUTSIDE_RANGE</t>
        </is>
      </c>
      <c r="N40" s="8" t="inlineStr">
        <is>
          <t>median owner-earnings margin of the last 4 years (2.5%) applied to FY2025 revenue</t>
        </is>
      </c>
    </row>
    <row r="41">
      <c r="A41" s="8" t="inlineStr">
        <is>
          <t>MU</t>
        </is>
      </c>
      <c r="B41" s="8" t="inlineStr">
        <is>
          <t>MICRON TECHNOLOGY INC</t>
        </is>
      </c>
      <c r="C41" s="13" t="n">
        <v>0.196974842086266</v>
      </c>
      <c r="D41" s="13" t="n">
        <v>985.04251833495</v>
      </c>
      <c r="E41" s="11" t="n">
        <v>115.3580651522368</v>
      </c>
      <c r="F41" s="11" t="n">
        <v>18.18595990648851</v>
      </c>
      <c r="G41" s="11" t="n">
        <v>26.35353733038017</v>
      </c>
      <c r="H41" s="13" t="n">
        <v>1.82598899930727</v>
      </c>
      <c r="I41" s="13" t="n">
        <v>2.436498513530799</v>
      </c>
      <c r="J41" s="13" t="n">
        <v>3.575227654152572</v>
      </c>
      <c r="K41" s="11">
        <f>IF(I41=0,"",D41/I41)</f>
        <v/>
      </c>
      <c r="L41" s="10">
        <f>IF(I41=0,"",(I41-D41)/I41)</f>
        <v/>
      </c>
      <c r="M41" s="8" t="inlineStr">
        <is>
          <t>OUTSIDE_RANGE</t>
        </is>
      </c>
      <c r="N41" s="8" t="inlineStr">
        <is>
          <t>median owner-earnings margin of the last 5 years (0.5%) applied to FY2025 revenue</t>
        </is>
      </c>
    </row>
    <row r="44">
      <c r="A44" s="5" t="inlineStr">
        <is>
          <t>밸류에이션을 내지 않은 기업</t>
        </is>
      </c>
    </row>
    <row r="45" ht="30" customHeight="1">
      <c r="A45" s="7" t="inlineStr">
        <is>
          <t>티커</t>
        </is>
      </c>
      <c r="B45" s="7" t="inlineStr">
        <is>
          <t>기업</t>
        </is>
      </c>
      <c r="C45" s="7" t="inlineStr">
        <is>
          <t>구분</t>
        </is>
      </c>
      <c r="D45" s="7" t="inlineStr">
        <is>
          <t>사유</t>
        </is>
      </c>
    </row>
    <row r="46">
      <c r="A46" s="8" t="inlineStr">
        <is>
          <t>PLTR</t>
        </is>
      </c>
      <c r="B46" s="8" t="inlineStr">
        <is>
          <t>Palantir Technologies Inc.</t>
        </is>
      </c>
      <c r="C46" s="8" t="inlineStr">
        <is>
          <t>주주이익 음수</t>
        </is>
      </c>
      <c r="D46" s="8" t="inlineStr">
        <is>
          <t>정규화 주주이익 -1.3십억 달러. 설비투자와 운전자본이 순이익을 넘어서 할인할 현금흐름이 없습니다. 사업에 대한 판정입니다.</t>
        </is>
      </c>
    </row>
    <row r="47">
      <c r="A47" s="8" t="inlineStr">
        <is>
          <t>INTC</t>
        </is>
      </c>
      <c r="B47" s="8" t="inlineStr">
        <is>
          <t>INTEL CORP</t>
        </is>
      </c>
      <c r="C47" s="8" t="inlineStr">
        <is>
          <t>주주이익 음수</t>
        </is>
      </c>
      <c r="D47" s="8" t="inlineStr">
        <is>
          <t>정규화 주주이익 -14.8십억 달러. 설비투자와 운전자본이 순이익을 넘어서 할인할 현금흐름이 없습니다. 사업에 대한 판정입니다.</t>
        </is>
      </c>
    </row>
    <row r="48">
      <c r="A48" s="8" t="inlineStr">
        <is>
          <t>TSLA</t>
        </is>
      </c>
      <c r="B48" s="8" t="inlineStr">
        <is>
          <t>Tesla, Inc.</t>
        </is>
      </c>
      <c r="C48" s="8" t="inlineStr">
        <is>
          <t>주주이익 음수</t>
        </is>
      </c>
      <c r="D48" s="8" t="inlineStr">
        <is>
          <t>정규화 주주이익 -0.3십억 달러. 설비투자와 운전자본이 순이익을 넘어서 할인할 현금흐름이 없습니다. 사업에 대한 판정입니다.</t>
        </is>
      </c>
    </row>
    <row r="49">
      <c r="A49" s="8" t="inlineStr">
        <is>
          <t>AMD</t>
        </is>
      </c>
      <c r="B49" s="8" t="inlineStr">
        <is>
          <t>ADVANCED MICRO DEVICES INC</t>
        </is>
      </c>
      <c r="C49" s="8" t="inlineStr">
        <is>
          <t>주주이익 음수</t>
        </is>
      </c>
      <c r="D49" s="8" t="inlineStr">
        <is>
          <t>정규화 주주이익 -0.6십억 달러. 설비투자와 운전자본이 순이익을 넘어서 할인할 현금흐름이 없습니다. 사업에 대한 판정입니다.</t>
        </is>
      </c>
    </row>
  </sheetData>
  <autoFilter ref="A4:N4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7" customWidth="1" min="3" max="3"/>
    <col width="32" customWidth="1" min="4" max="4"/>
    <col width="12" customWidth="1" min="5" max="5"/>
    <col width="11" customWidth="1" min="6" max="6"/>
    <col width="9" customWidth="1" min="7" max="7"/>
    <col width="9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금융업 — 별도 기준</t>
        </is>
      </c>
    </row>
    <row r="2">
      <c r="A2" s="2" t="inlineStr">
        <is>
          <t>ROIC와 주주이익은 산출하지 않았습니다. 은행·보험의 대차대조표에서 부채는 영업 자산이고 유동자산·유동부채 구분이 없어 투하자본과 운전자본이 정의되지 않습니다.</t>
        </is>
      </c>
    </row>
    <row r="4" ht="30" customHeight="1">
      <c r="A4" s="7" t="inlineStr">
        <is>
          <t>티커</t>
        </is>
      </c>
      <c r="B4" s="7" t="inlineStr">
        <is>
          <t>기업</t>
        </is>
      </c>
      <c r="C4" s="7" t="inlineStr">
        <is>
          <t>SIC</t>
        </is>
      </c>
      <c r="D4" s="7" t="inlineStr">
        <is>
          <t>업종</t>
        </is>
      </c>
      <c r="E4" s="7" t="inlineStr">
        <is>
          <t>ROE 중앙값</t>
        </is>
      </c>
      <c r="F4" s="7" t="inlineStr">
        <is>
          <t>최근 ROE</t>
        </is>
      </c>
      <c r="G4" s="7" t="inlineStr">
        <is>
          <t>PER</t>
        </is>
      </c>
      <c r="H4" s="7" t="inlineStr">
        <is>
          <t>PBR</t>
        </is>
      </c>
      <c r="I4" s="7" t="inlineStr">
        <is>
          <t>시가총액</t>
        </is>
      </c>
      <c r="J4" s="7" t="inlineStr">
        <is>
          <t>자기자본</t>
        </is>
      </c>
      <c r="K4" s="7" t="inlineStr">
        <is>
          <t>순이익</t>
        </is>
      </c>
    </row>
    <row r="5">
      <c r="A5" s="8" t="inlineStr">
        <is>
          <t>AXP</t>
        </is>
      </c>
      <c r="B5" s="8" t="inlineStr">
        <is>
          <t>AMERICAN EXPRESS CO</t>
        </is>
      </c>
      <c r="C5" s="8" t="inlineStr">
        <is>
          <t>6199</t>
        </is>
      </c>
      <c r="D5" s="8" t="inlineStr">
        <is>
          <t>Finance Services</t>
        </is>
      </c>
      <c r="E5" s="10" t="n">
        <v>0.3076993150053203</v>
      </c>
      <c r="F5" s="10" t="n">
        <v>0.3399228089993411</v>
      </c>
      <c r="G5" s="11" t="n">
        <v>21.60745688586264</v>
      </c>
      <c r="H5" s="11" t="n">
        <v>6.992698226819323</v>
      </c>
      <c r="I5" s="13" t="n">
        <v>234.07358044455</v>
      </c>
      <c r="J5" s="13" t="n">
        <v>33.474</v>
      </c>
      <c r="K5" s="13" t="n">
        <v>10.833</v>
      </c>
    </row>
    <row r="6">
      <c r="A6" s="8" t="inlineStr">
        <is>
          <t>UNH</t>
        </is>
      </c>
      <c r="B6" s="8" t="inlineStr">
        <is>
          <t>UNITEDHEALTH GROUP INC</t>
        </is>
      </c>
      <c r="C6" s="8" t="inlineStr">
        <is>
          <t>6324</t>
        </is>
      </c>
      <c r="D6" s="8" t="inlineStr">
        <is>
          <t>Hospital &amp; Medical Service Plans</t>
        </is>
      </c>
      <c r="E6" s="10" t="n">
        <v>0.2347037475395563</v>
      </c>
      <c r="F6" s="10" t="n">
        <v>0.1215579911069884</v>
      </c>
      <c r="G6" s="11" t="n">
        <v>30.64836434473457</v>
      </c>
      <c r="H6" s="11" t="n">
        <v>3.691644325508243</v>
      </c>
      <c r="I6" s="13" t="n">
        <v>369.49668054012</v>
      </c>
      <c r="J6" s="13" t="n">
        <v>100.09</v>
      </c>
      <c r="K6" s="13" t="n">
        <v>12.056</v>
      </c>
    </row>
    <row r="7">
      <c r="A7" s="8" t="inlineStr">
        <is>
          <t>JPM</t>
        </is>
      </c>
      <c r="B7" s="8" t="inlineStr">
        <is>
          <t>JPMORGAN CHASE &amp; CO</t>
        </is>
      </c>
      <c r="C7" s="8" t="inlineStr">
        <is>
          <t>6021</t>
        </is>
      </c>
      <c r="D7" s="8" t="inlineStr">
        <is>
          <t>National Commercial Banks</t>
        </is>
      </c>
      <c r="E7" s="10" t="n">
        <v>0.1276432201663223</v>
      </c>
      <c r="F7" s="10" t="n">
        <v>0.1613357541615054</v>
      </c>
      <c r="G7" s="11" t="n">
        <v>16.9023105930094</v>
      </c>
      <c r="H7" s="11" t="n">
        <v>2.660435756488006</v>
      </c>
      <c r="I7" s="13" t="n">
        <v>964.24301471</v>
      </c>
      <c r="J7" s="13" t="n">
        <v>362.438</v>
      </c>
      <c r="K7" s="13" t="n">
        <v>57.048</v>
      </c>
    </row>
    <row r="8">
      <c r="A8" s="8" t="inlineStr">
        <is>
          <t>WFC</t>
        </is>
      </c>
      <c r="B8" s="8" t="inlineStr">
        <is>
          <t>WELLS FARGO &amp; COMPANY/MN</t>
        </is>
      </c>
      <c r="C8" s="8" t="inlineStr">
        <is>
          <t>6021</t>
        </is>
      </c>
      <c r="D8" s="8" t="inlineStr">
        <is>
          <t>National Commercial Banks</t>
        </is>
      </c>
      <c r="E8" s="10" t="n">
        <v>0.1101201402250455</v>
      </c>
      <c r="F8" s="10" t="n">
        <v>0.1184664540288754</v>
      </c>
      <c r="G8" s="11" t="n">
        <v>12.61700767069313</v>
      </c>
      <c r="H8" s="11" t="n">
        <v>1.486451904996494</v>
      </c>
      <c r="I8" s="13" t="n">
        <v>269.22170967725</v>
      </c>
      <c r="J8" s="13" t="n">
        <v>181.117</v>
      </c>
      <c r="K8" s="13" t="n">
        <v>21.338</v>
      </c>
    </row>
    <row r="9">
      <c r="A9" s="8" t="inlineStr">
        <is>
          <t>MS</t>
        </is>
      </c>
      <c r="B9" s="8" t="inlineStr">
        <is>
          <t>MORGAN STANLEY</t>
        </is>
      </c>
      <c r="C9" s="8" t="inlineStr">
        <is>
          <t>6211</t>
        </is>
      </c>
      <c r="D9" s="8" t="inlineStr">
        <is>
          <t>Security Brokers, Dealers &amp; Flotation Companies</t>
        </is>
      </c>
      <c r="E9" s="10" t="n">
        <v>0.1091422785533966</v>
      </c>
      <c r="F9" s="10" t="n">
        <v>0.1560170812841498</v>
      </c>
      <c r="G9" s="11" t="n">
        <v>20.37256380783939</v>
      </c>
      <c r="H9" s="11" t="n">
        <v>3.077090783681919</v>
      </c>
      <c r="I9" s="13" t="n">
        <v>343.50179836398</v>
      </c>
      <c r="J9" s="13" t="n">
        <v>111.632</v>
      </c>
      <c r="K9" s="13" t="n">
        <v>16.861</v>
      </c>
    </row>
    <row r="10">
      <c r="A10" s="8" t="inlineStr">
        <is>
          <t>GS</t>
        </is>
      </c>
      <c r="B10" s="8" t="inlineStr">
        <is>
          <t>GOLDMAN SACHS GROUP INC</t>
        </is>
      </c>
      <c r="C10" s="8" t="inlineStr">
        <is>
          <t>6211</t>
        </is>
      </c>
      <c r="D10" s="8" t="inlineStr">
        <is>
          <t>Security Brokers, Dealers &amp; Flotation Companies</t>
        </is>
      </c>
      <c r="E10" s="10" t="n">
        <v>0.1003838437846445</v>
      </c>
      <c r="F10" s="10" t="n">
        <v>0.1390949434744582</v>
      </c>
      <c r="G10" s="11" t="n">
        <v>17.96153384026665</v>
      </c>
      <c r="H10" s="11" t="n">
        <v>2.468611410879397</v>
      </c>
      <c r="I10" s="13" t="n">
        <v>308.50730524042</v>
      </c>
      <c r="J10" s="13" t="n">
        <v>124.972</v>
      </c>
      <c r="K10" s="13" t="n">
        <v>17.176</v>
      </c>
    </row>
    <row r="11">
      <c r="A11" s="8" t="inlineStr">
        <is>
          <t>BRK-B</t>
        </is>
      </c>
      <c r="B11" s="8" t="inlineStr">
        <is>
          <t>BERKSHIRE HATHAWAY INC</t>
        </is>
      </c>
      <c r="C11" s="8" t="inlineStr">
        <is>
          <t>6331</t>
        </is>
      </c>
      <c r="D11" s="8" t="inlineStr">
        <is>
          <t>Fire, Marine &amp; Casualty Insurance</t>
        </is>
      </c>
      <c r="E11" s="10" t="n">
        <v>0.09835205025925857</v>
      </c>
      <c r="F11" s="10" t="n">
        <v>0.09799332302692372</v>
      </c>
      <c r="G11" s="11" t="n">
        <v>16.80948326857902</v>
      </c>
      <c r="H11" s="11" t="n">
        <v>1.569093480281676</v>
      </c>
      <c r="I11" s="13" t="n">
        <v>1125.6974755302</v>
      </c>
      <c r="J11" s="13" t="n">
        <v>717.419</v>
      </c>
      <c r="K11" s="13" t="n">
        <v>66.968</v>
      </c>
    </row>
    <row r="12">
      <c r="A12" s="8" t="inlineStr">
        <is>
          <t>BAC</t>
        </is>
      </c>
      <c r="B12" s="8" t="inlineStr">
        <is>
          <t>BANK OF AMERICA CORP /DE/</t>
        </is>
      </c>
      <c r="C12" s="8" t="inlineStr">
        <is>
          <t>6021</t>
        </is>
      </c>
      <c r="D12" s="8" t="inlineStr">
        <is>
          <t>National Commercial Banks</t>
        </is>
      </c>
      <c r="E12" s="10" t="n">
        <v>0.09286228856115281</v>
      </c>
      <c r="F12" s="10" t="n">
        <v>0.1021724497074711</v>
      </c>
      <c r="G12" s="11" t="n">
        <v>14.85958283388181</v>
      </c>
      <c r="H12" s="11" t="n">
        <v>1.495008995026761</v>
      </c>
      <c r="I12" s="13" t="n">
        <v>453.3510126789</v>
      </c>
      <c r="J12" s="13" t="n">
        <v>303.243</v>
      </c>
      <c r="K12" s="13" t="n">
        <v>30.509</v>
      </c>
    </row>
    <row r="13">
      <c r="A13" s="8" t="inlineStr">
        <is>
          <t>C</t>
        </is>
      </c>
      <c r="B13" s="8" t="inlineStr">
        <is>
          <t>CITIGROUP INC</t>
        </is>
      </c>
      <c r="C13" s="8" t="inlineStr">
        <is>
          <t>6021</t>
        </is>
      </c>
      <c r="D13" s="8" t="inlineStr">
        <is>
          <t>National Commercial Banks</t>
        </is>
      </c>
      <c r="E13" s="10" t="n">
        <v>0.06735185492647131</v>
      </c>
      <c r="F13" s="10" t="n">
        <v>0.0679799186959032</v>
      </c>
      <c r="G13" s="11" t="n">
        <v>16.50762380924088</v>
      </c>
      <c r="H13" s="11" t="n">
        <v>1.112426180172499</v>
      </c>
      <c r="I13" s="13" t="n">
        <v>236.158066215</v>
      </c>
      <c r="J13" s="13" t="n">
        <v>212.291</v>
      </c>
      <c r="K13" s="13" t="n">
        <v>14.306</v>
      </c>
    </row>
  </sheetData>
  <autoFilter ref="A4:K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59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10" customWidth="1" min="3" max="3"/>
    <col width="9" customWidth="1" min="4" max="4"/>
    <col width="11" customWidth="1" min="5" max="5"/>
    <col width="22" customWidth="1" min="6" max="6"/>
    <col width="12" customWidth="1" min="7" max="7"/>
    <col width="13" customWidth="1" min="8" max="8"/>
    <col width="34" customWidth="1" min="9" max="9"/>
    <col width="12" customWidth="1" min="10" max="10"/>
    <col width="10" customWidth="1" min="11" max="11"/>
    <col width="12" customWidth="1" min="12" max="12"/>
    <col width="13" customWidth="1" min="13" max="13"/>
    <col width="13" customWidth="1" min="14" max="14"/>
    <col width="9" customWidth="1" min="15" max="15"/>
    <col width="30" customWidth="1" min="16" max="16"/>
    <col width="9" customWidth="1" min="17" max="17"/>
    <col width="10" customWidth="1" min="18" max="18"/>
    <col width="13" customWidth="1" min="19" max="19"/>
    <col width="12" customWidth="1" min="20" max="20"/>
    <col width="13" customWidth="1" min="21" max="21"/>
    <col width="34" customWidth="1" min="22" max="22"/>
    <col width="12" customWidth="1" min="23" max="23"/>
    <col width="12" customWidth="1" min="24" max="24"/>
    <col width="12" customWidth="1" min="25" max="25"/>
    <col width="12" customWidth="1" min="26" max="26"/>
    <col width="44" customWidth="1" min="27" max="27"/>
    <col width="11" customWidth="1" min="28" max="28"/>
    <col width="11" customWidth="1" min="29" max="29"/>
    <col width="14" customWidth="1" min="30" max="30"/>
  </cols>
  <sheetData>
    <row r="1">
      <c r="A1" s="1" t="inlineStr">
        <is>
          <t>연도별 원천 데이터</t>
        </is>
      </c>
    </row>
    <row r="2">
      <c r="A2" s="2" t="inlineStr">
        <is>
          <t>모든 지표가 이 표에서 나옵니다. 각 행은 한 기업의 한 회계연도이며, 접수번호로 해당 10-K를 특정할 수 있습니다. 금액 단위는 십억 USD.</t>
        </is>
      </c>
    </row>
    <row r="4" ht="30" customHeight="1">
      <c r="A4" s="7" t="inlineStr">
        <is>
          <t>티커</t>
        </is>
      </c>
      <c r="B4" s="7" t="inlineStr">
        <is>
          <t>기업</t>
        </is>
      </c>
      <c r="C4" s="7" t="inlineStr">
        <is>
          <t>구분</t>
        </is>
      </c>
      <c r="D4" s="7" t="inlineStr">
        <is>
          <t>회계연도</t>
        </is>
      </c>
      <c r="E4" s="7" t="inlineStr">
        <is>
          <t>결산일</t>
        </is>
      </c>
      <c r="F4" s="7" t="inlineStr">
        <is>
          <t>접수번호</t>
        </is>
      </c>
      <c r="G4" s="7" t="inlineStr">
        <is>
          <t>매출</t>
        </is>
      </c>
      <c r="H4" s="7" t="inlineStr">
        <is>
          <t>영업이익(EBIT)</t>
        </is>
      </c>
      <c r="I4" s="7" t="inlineStr">
        <is>
          <t>EBIT 산출방식</t>
        </is>
      </c>
      <c r="J4" s="7" t="inlineStr">
        <is>
          <t>순이익</t>
        </is>
      </c>
      <c r="K4" s="7" t="inlineStr">
        <is>
          <t>실효세율</t>
        </is>
      </c>
      <c r="L4" s="7" t="inlineStr">
        <is>
          <t>NOPAT</t>
        </is>
      </c>
      <c r="M4" s="7" t="inlineStr">
        <is>
          <t>투하자본</t>
        </is>
      </c>
      <c r="N4" s="7" t="inlineStr">
        <is>
          <t>투하자본(평균)</t>
        </is>
      </c>
      <c r="O4" s="7" t="inlineStr">
        <is>
          <t>ROIC</t>
        </is>
      </c>
      <c r="P4" s="7" t="inlineStr">
        <is>
          <t>ROIC 상태</t>
        </is>
      </c>
      <c r="Q4" s="7" t="inlineStr">
        <is>
          <t>ROE</t>
        </is>
      </c>
      <c r="R4" s="7" t="inlineStr">
        <is>
          <t>ROE−ROIC</t>
        </is>
      </c>
      <c r="S4" s="7" t="inlineStr">
        <is>
          <t>자기자본</t>
        </is>
      </c>
      <c r="T4" s="7" t="inlineStr">
        <is>
          <t>현금</t>
        </is>
      </c>
      <c r="U4" s="7" t="inlineStr">
        <is>
          <t>이자부부채</t>
        </is>
      </c>
      <c r="V4" s="7" t="inlineStr">
        <is>
          <t>부채 비고</t>
        </is>
      </c>
      <c r="W4" s="7" t="inlineStr">
        <is>
          <t>EBITDA</t>
        </is>
      </c>
      <c r="X4" s="7" t="inlineStr">
        <is>
          <t>순부채/EBITDA</t>
        </is>
      </c>
      <c r="Y4" s="7" t="inlineStr">
        <is>
          <t>이자보상배율</t>
        </is>
      </c>
      <c r="Z4" s="7" t="inlineStr">
        <is>
          <t>주주이익</t>
        </is>
      </c>
      <c r="AA4" s="7" t="inlineStr">
        <is>
          <t>주주이익 산출방식</t>
        </is>
      </c>
      <c r="AB4" s="7" t="inlineStr">
        <is>
          <t>주주이익률</t>
        </is>
      </c>
      <c r="AC4" s="7" t="inlineStr">
        <is>
          <t>영업이익률</t>
        </is>
      </c>
      <c r="AD4" s="7" t="inlineStr">
        <is>
          <t>주식수</t>
        </is>
      </c>
    </row>
    <row r="5">
      <c r="A5" s="8" t="inlineStr">
        <is>
          <t>NVDA</t>
        </is>
      </c>
      <c r="B5" s="8" t="inlineStr">
        <is>
          <t>NVIDIA CORP</t>
        </is>
      </c>
      <c r="C5" s="8" t="inlineStr">
        <is>
          <t>STANDARD</t>
        </is>
      </c>
      <c r="D5" s="8" t="n">
        <v>2014</v>
      </c>
      <c r="E5" s="8" t="inlineStr">
        <is>
          <t>2015-01-25</t>
        </is>
      </c>
      <c r="F5" s="8" t="inlineStr">
        <is>
          <t>0001045810-17-000027</t>
        </is>
      </c>
      <c r="G5" s="13" t="n">
        <v>4.682</v>
      </c>
      <c r="H5" s="13" t="n">
        <v>0.759</v>
      </c>
      <c r="I5" s="8" t="inlineStr">
        <is>
          <t>reported OperatingIncomeLoss (no interest expense tagged)</t>
        </is>
      </c>
      <c r="J5" s="13" t="n">
        <v>0.631</v>
      </c>
      <c r="K5" s="10" t="n">
        <v>0.21</v>
      </c>
      <c r="L5" s="13" t="n">
        <v>0.59961</v>
      </c>
      <c r="M5" s="13" t="n">
        <v>5.305</v>
      </c>
      <c r="N5" s="13" t="n">
        <v>5.305</v>
      </c>
      <c r="O5" s="10" t="n">
        <v>0.1130273327049953</v>
      </c>
      <c r="P5" s="8" t="inlineStr">
        <is>
          <t>OK</t>
        </is>
      </c>
      <c r="Q5" s="10" t="n">
        <v>0.1428248076052512</v>
      </c>
      <c r="R5" s="10" t="n">
        <v>0.02979747490025594</v>
      </c>
      <c r="S5" s="13" t="n">
        <v>4.418</v>
      </c>
      <c r="T5" s="13" t="n">
        <v>0.497</v>
      </c>
      <c r="U5" s="13" t="n">
        <v>1.384</v>
      </c>
      <c r="V5" s="8" t="inlineStr">
        <is>
          <t>long-term only (no short-term debt tagged; read as nil)</t>
        </is>
      </c>
      <c r="W5" s="13" t="n">
        <v>0.902</v>
      </c>
      <c r="X5" s="11" t="n">
        <v>0.9833702882483371</v>
      </c>
      <c r="Y5" s="11" t="n"/>
      <c r="Z5" s="13" t="n"/>
      <c r="AA5" s="8" t="inlineStr">
        <is>
          <t>net income + D&amp;A - capex - change in no prior year</t>
        </is>
      </c>
      <c r="AB5" s="10" t="n"/>
      <c r="AC5" s="10" t="n">
        <v>0.1621102093122597</v>
      </c>
      <c r="AD5" s="12" t="n">
        <v>21800000000</v>
      </c>
    </row>
    <row r="6">
      <c r="A6" s="8" t="inlineStr">
        <is>
          <t>NVDA</t>
        </is>
      </c>
      <c r="B6" s="8" t="inlineStr">
        <is>
          <t>NVIDIA CORP</t>
        </is>
      </c>
      <c r="C6" s="8" t="inlineStr">
        <is>
          <t>STANDARD</t>
        </is>
      </c>
      <c r="D6" s="8" t="n">
        <v>2015</v>
      </c>
      <c r="E6" s="8" t="inlineStr">
        <is>
          <t>2016-01-31</t>
        </is>
      </c>
      <c r="F6" s="8" t="inlineStr">
        <is>
          <t>0001045810-18-000010</t>
        </is>
      </c>
      <c r="G6" s="13" t="n">
        <v>5.01</v>
      </c>
      <c r="H6" s="13" t="n">
        <v>0.747</v>
      </c>
      <c r="I6" s="8" t="inlineStr">
        <is>
          <t>reported OperatingIncomeLoss (no interest expense tagged)</t>
        </is>
      </c>
      <c r="J6" s="13" t="n">
        <v>0.614</v>
      </c>
      <c r="K6" s="10" t="n">
        <v>0.21</v>
      </c>
      <c r="L6" s="13" t="n">
        <v>0.59013</v>
      </c>
      <c r="M6" s="13" t="n">
        <v>3.873</v>
      </c>
      <c r="N6" s="13" t="n">
        <v>4.589</v>
      </c>
      <c r="O6" s="10" t="n">
        <v>0.1285966441490521</v>
      </c>
      <c r="P6" s="8" t="inlineStr">
        <is>
          <t>OK</t>
        </is>
      </c>
      <c r="Q6" s="10" t="n">
        <v>0.1381793631146619</v>
      </c>
      <c r="R6" s="10" t="n">
        <v>0.009582718965609777</v>
      </c>
      <c r="S6" s="13" t="n">
        <v>4.469</v>
      </c>
      <c r="T6" s="13" t="n">
        <v>0.596</v>
      </c>
      <c r="U6" s="13" t="n">
        <v>0</v>
      </c>
      <c r="V6" s="8" t="inlineStr">
        <is>
          <t>long-term only (no short-term debt tagged; read as nil)</t>
        </is>
      </c>
      <c r="W6" s="13" t="n">
        <v>0.871</v>
      </c>
      <c r="X6" s="11" t="n">
        <v>-0.6842709529276694</v>
      </c>
      <c r="Y6" s="11" t="n"/>
      <c r="Z6" s="13" t="n"/>
      <c r="AA6" s="8" t="inlineStr">
        <is>
          <t>net income + D&amp;A - capex - change in operating working capital (cash and short-term debt excluded)</t>
        </is>
      </c>
      <c r="AB6" s="10" t="n"/>
      <c r="AC6" s="10" t="n">
        <v>0.1491017964071856</v>
      </c>
      <c r="AD6" s="12" t="n">
        <v>21560000000</v>
      </c>
    </row>
    <row r="7">
      <c r="A7" s="8" t="inlineStr">
        <is>
          <t>NVDA</t>
        </is>
      </c>
      <c r="B7" s="8" t="inlineStr">
        <is>
          <t>NVIDIA CORP</t>
        </is>
      </c>
      <c r="C7" s="8" t="inlineStr">
        <is>
          <t>STANDARD</t>
        </is>
      </c>
      <c r="D7" s="8" t="n">
        <v>2016</v>
      </c>
      <c r="E7" s="8" t="inlineStr">
        <is>
          <t>2017-01-29</t>
        </is>
      </c>
      <c r="F7" s="8" t="inlineStr">
        <is>
          <t>0001045810-19-000023</t>
        </is>
      </c>
      <c r="G7" s="13" t="n">
        <v>6.91</v>
      </c>
      <c r="H7" s="13" t="n">
        <v>1.934</v>
      </c>
      <c r="I7" s="8" t="inlineStr">
        <is>
          <t>reported OperatingIncomeLoss (no interest expense tagged)</t>
        </is>
      </c>
      <c r="J7" s="13" t="n">
        <v>1.666</v>
      </c>
      <c r="K7" s="10" t="n">
        <v>0.21</v>
      </c>
      <c r="L7" s="13" t="n">
        <v>1.52786</v>
      </c>
      <c r="M7" s="13" t="n">
        <v>5.979</v>
      </c>
      <c r="N7" s="13" t="n">
        <v>4.926</v>
      </c>
      <c r="O7" s="10" t="n">
        <v>0.3101624035728786</v>
      </c>
      <c r="P7" s="8" t="inlineStr">
        <is>
          <t>OK</t>
        </is>
      </c>
      <c r="Q7" s="10" t="n">
        <v>0.3256768644316294</v>
      </c>
      <c r="R7" s="10" t="n">
        <v>0.01551446085875074</v>
      </c>
      <c r="S7" s="13" t="n">
        <v>5.762</v>
      </c>
      <c r="T7" s="13" t="n">
        <v>1.766</v>
      </c>
      <c r="U7" s="13" t="n">
        <v>1.983</v>
      </c>
      <c r="V7" s="8" t="inlineStr">
        <is>
          <t>long-term only (no short-term debt tagged; read as nil)</t>
        </is>
      </c>
      <c r="W7" s="13" t="n">
        <v>2.052</v>
      </c>
      <c r="X7" s="11" t="n">
        <v>0.1057504873294347</v>
      </c>
      <c r="Y7" s="11" t="n"/>
      <c r="Z7" s="13" t="n"/>
      <c r="AA7" s="8" t="inlineStr">
        <is>
          <t>net income + D&amp;A - capex - change in operating working capital (cash and short-term debt excluded)</t>
        </is>
      </c>
      <c r="AB7" s="10" t="n"/>
      <c r="AC7" s="10" t="n">
        <v>0.2798842257597685</v>
      </c>
      <c r="AD7" s="12" t="n">
        <v>23400000000</v>
      </c>
    </row>
    <row r="8">
      <c r="A8" s="8" t="inlineStr">
        <is>
          <t>NVDA</t>
        </is>
      </c>
      <c r="B8" s="8" t="inlineStr">
        <is>
          <t>NVIDIA CORP</t>
        </is>
      </c>
      <c r="C8" s="8" t="inlineStr">
        <is>
          <t>STANDARD</t>
        </is>
      </c>
      <c r="D8" s="8" t="n">
        <v>2017</v>
      </c>
      <c r="E8" s="8" t="inlineStr">
        <is>
          <t>2018-01-28</t>
        </is>
      </c>
      <c r="F8" s="8" t="inlineStr">
        <is>
          <t>0001045810-20-000010</t>
        </is>
      </c>
      <c r="G8" s="13" t="n">
        <v>9.714</v>
      </c>
      <c r="H8" s="13" t="n">
        <v>3.21</v>
      </c>
      <c r="I8" s="8" t="inlineStr">
        <is>
          <t>reported OperatingIncomeLoss (no interest expense tagged)</t>
        </is>
      </c>
      <c r="J8" s="13" t="n">
        <v>3.047</v>
      </c>
      <c r="K8" s="10" t="n">
        <v>0.21</v>
      </c>
      <c r="L8" s="13" t="n">
        <v>2.5359</v>
      </c>
      <c r="M8" s="13" t="n">
        <v>5.454</v>
      </c>
      <c r="N8" s="13" t="n">
        <v>5.7165</v>
      </c>
      <c r="O8" s="10" t="n">
        <v>0.4436106008921543</v>
      </c>
      <c r="P8" s="8" t="inlineStr">
        <is>
          <t>OK</t>
        </is>
      </c>
      <c r="Q8" s="10" t="n">
        <v>0.4605153782211139</v>
      </c>
      <c r="R8" s="10" t="n">
        <v>0.01690477732895956</v>
      </c>
      <c r="S8" s="13" t="n">
        <v>7.471</v>
      </c>
      <c r="T8" s="13" t="n">
        <v>4.002</v>
      </c>
      <c r="U8" s="13" t="n">
        <v>1.985</v>
      </c>
      <c r="V8" s="8" t="inlineStr">
        <is>
          <t>long-term only (no short-term debt tagged; read as nil)</t>
        </is>
      </c>
      <c r="W8" s="13" t="n">
        <v>3.354</v>
      </c>
      <c r="X8" s="11" t="n">
        <v>-0.601371496720334</v>
      </c>
      <c r="Y8" s="11" t="n"/>
      <c r="Z8" s="13" t="n"/>
      <c r="AA8" s="8" t="inlineStr">
        <is>
          <t>net income + D&amp;A - capex - change in operating working capital (cash and short-term debt excluded)</t>
        </is>
      </c>
      <c r="AB8" s="10" t="n"/>
      <c r="AC8" s="10" t="n">
        <v>0.3304508956145769</v>
      </c>
      <c r="AD8" s="12" t="n">
        <v>24240000000</v>
      </c>
    </row>
    <row r="9">
      <c r="A9" s="8" t="inlineStr">
        <is>
          <t>NVDA</t>
        </is>
      </c>
      <c r="B9" s="8" t="inlineStr">
        <is>
          <t>NVIDIA CORP</t>
        </is>
      </c>
      <c r="C9" s="8" t="inlineStr">
        <is>
          <t>STANDARD</t>
        </is>
      </c>
      <c r="D9" s="8" t="n">
        <v>2018</v>
      </c>
      <c r="E9" s="8" t="inlineStr">
        <is>
          <t>2019-01-27</t>
        </is>
      </c>
      <c r="F9" s="8" t="inlineStr">
        <is>
          <t>0001045810-21-000010</t>
        </is>
      </c>
      <c r="G9" s="13" t="n"/>
      <c r="H9" s="13" t="n">
        <v>3.804</v>
      </c>
      <c r="I9" s="8" t="inlineStr">
        <is>
          <t>reported OperatingIncomeLoss (no interest expense tagged)</t>
        </is>
      </c>
      <c r="J9" s="13" t="n">
        <v>4.141</v>
      </c>
      <c r="K9" s="10" t="n">
        <v>0.21</v>
      </c>
      <c r="L9" s="13" t="n">
        <v>3.00516</v>
      </c>
      <c r="M9" s="13" t="n">
        <v>10.548</v>
      </c>
      <c r="N9" s="13" t="n">
        <v>8.000999999999999</v>
      </c>
      <c r="O9" s="10" t="n">
        <v>0.3755980502437196</v>
      </c>
      <c r="P9" s="8" t="inlineStr">
        <is>
          <t>OK</t>
        </is>
      </c>
      <c r="Q9" s="10" t="n">
        <v>0.492595015761613</v>
      </c>
      <c r="R9" s="10" t="n">
        <v>0.1169969655178935</v>
      </c>
      <c r="S9" s="13" t="n">
        <v>9.342000000000001</v>
      </c>
      <c r="T9" s="13" t="n">
        <v>0.782</v>
      </c>
      <c r="U9" s="13" t="n">
        <v>1.988</v>
      </c>
      <c r="V9" s="8" t="inlineStr">
        <is>
          <t>long-term only (no short-term debt tagged; read as nil)</t>
        </is>
      </c>
      <c r="W9" s="13" t="n">
        <v>4.037</v>
      </c>
      <c r="X9" s="11" t="n">
        <v>0.2987366856576666</v>
      </c>
      <c r="Y9" s="11" t="n"/>
      <c r="Z9" s="13" t="n"/>
      <c r="AA9" s="8" t="inlineStr">
        <is>
          <t>net income + D&amp;A - capex - change in operating working capital (cash and short-term debt excluded)</t>
        </is>
      </c>
      <c r="AB9" s="10" t="n"/>
      <c r="AC9" s="10" t="n"/>
      <c r="AD9" s="12" t="n">
        <v>24240000000</v>
      </c>
    </row>
    <row r="10">
      <c r="A10" s="8" t="inlineStr">
        <is>
          <t>NVDA</t>
        </is>
      </c>
      <c r="B10" s="8" t="inlineStr">
        <is>
          <t>NVIDIA CORP</t>
        </is>
      </c>
      <c r="C10" s="8" t="inlineStr">
        <is>
          <t>STANDARD</t>
        </is>
      </c>
      <c r="D10" s="8" t="n">
        <v>2019</v>
      </c>
      <c r="E10" s="8" t="inlineStr">
        <is>
          <t>2020-01-26</t>
        </is>
      </c>
      <c r="F10" s="8" t="inlineStr">
        <is>
          <t>0001045810-22-000036</t>
        </is>
      </c>
      <c r="G10" s="13" t="n">
        <v>10.918</v>
      </c>
      <c r="H10" s="13" t="n">
        <v>2.846</v>
      </c>
      <c r="I10" s="8" t="inlineStr">
        <is>
          <t>reported OperatingIncomeLoss (no interest expense tagged)</t>
        </is>
      </c>
      <c r="J10" s="13" t="n">
        <v>2.796</v>
      </c>
      <c r="K10" s="10" t="n">
        <v>0.05858585858585859</v>
      </c>
      <c r="L10" s="13" t="n">
        <v>2.679264646464646</v>
      </c>
      <c r="M10" s="13" t="n">
        <v>3.299</v>
      </c>
      <c r="N10" s="13" t="n">
        <v>6.9235</v>
      </c>
      <c r="O10" s="10" t="n">
        <v>0.3869812445243946</v>
      </c>
      <c r="P10" s="8" t="inlineStr">
        <is>
          <t>OK</t>
        </is>
      </c>
      <c r="Q10" s="10" t="n">
        <v>0.2595377332219437</v>
      </c>
      <c r="R10" s="10" t="n">
        <v>-0.1274435113024509</v>
      </c>
      <c r="S10" s="13" t="n">
        <v>12.204</v>
      </c>
      <c r="T10" s="13" t="n">
        <v>10.896</v>
      </c>
      <c r="U10" s="13" t="n">
        <v>1.991</v>
      </c>
      <c r="V10" s="8" t="inlineStr">
        <is>
          <t>short-term + long-term</t>
        </is>
      </c>
      <c r="W10" s="13" t="n">
        <v>3.201</v>
      </c>
      <c r="X10" s="11" t="n">
        <v>-2.781943142767885</v>
      </c>
      <c r="Y10" s="11" t="n"/>
      <c r="Z10" s="13" t="n"/>
      <c r="AA10" s="8" t="inlineStr">
        <is>
          <t>net income + D&amp;A - capex - change in operating working capital (cash and short-term debt excluded)</t>
        </is>
      </c>
      <c r="AB10" s="10" t="n"/>
      <c r="AC10" s="10" t="n">
        <v>0.2606704524638212</v>
      </c>
      <c r="AD10" s="12" t="n">
        <v>24480000000</v>
      </c>
    </row>
    <row r="11">
      <c r="A11" s="8" t="inlineStr">
        <is>
          <t>NVDA</t>
        </is>
      </c>
      <c r="B11" s="8" t="inlineStr">
        <is>
          <t>NVIDIA CORP</t>
        </is>
      </c>
      <c r="C11" s="8" t="inlineStr">
        <is>
          <t>STANDARD</t>
        </is>
      </c>
      <c r="D11" s="8" t="n">
        <v>2020</v>
      </c>
      <c r="E11" s="8" t="inlineStr">
        <is>
          <t>2021-01-31</t>
        </is>
      </c>
      <c r="F11" s="8" t="inlineStr">
        <is>
          <t>0001045810-23-000017</t>
        </is>
      </c>
      <c r="G11" s="13" t="n">
        <v>16.675</v>
      </c>
      <c r="H11" s="13" t="n">
        <v>4.532</v>
      </c>
      <c r="I11" s="8" t="inlineStr">
        <is>
          <t>reported OperatingIncomeLoss (no interest expense tagged)</t>
        </is>
      </c>
      <c r="J11" s="13" t="n">
        <v>4.332</v>
      </c>
      <c r="K11" s="10" t="n">
        <v>0.05</v>
      </c>
      <c r="L11" s="13" t="n">
        <v>4.3054</v>
      </c>
      <c r="M11" s="13" t="n">
        <v>24.008</v>
      </c>
      <c r="N11" s="13" t="n">
        <v>13.6535</v>
      </c>
      <c r="O11" s="10" t="n">
        <v>0.315333064781924</v>
      </c>
      <c r="P11" s="8" t="inlineStr">
        <is>
          <t>OK</t>
        </is>
      </c>
      <c r="Q11" s="10" t="n">
        <v>0.2977626559439118</v>
      </c>
      <c r="R11" s="10" t="n">
        <v>-0.01757040883801225</v>
      </c>
      <c r="S11" s="13" t="n">
        <v>16.893</v>
      </c>
      <c r="T11" s="13" t="n">
        <v>0.847</v>
      </c>
      <c r="U11" s="13" t="n">
        <v>7.962</v>
      </c>
      <c r="V11" s="8" t="inlineStr">
        <is>
          <t>short-term + long-term</t>
        </is>
      </c>
      <c r="W11" s="13" t="n">
        <v>5.018</v>
      </c>
      <c r="X11" s="11" t="n">
        <v>1.417895575926664</v>
      </c>
      <c r="Y11" s="11" t="n"/>
      <c r="Z11" s="13" t="n"/>
      <c r="AA11" s="8" t="inlineStr">
        <is>
          <t>net income + D&amp;A - capex - change in operating working capital (cash and short-term debt excluded)</t>
        </is>
      </c>
      <c r="AB11" s="10" t="n"/>
      <c r="AC11" s="10" t="n">
        <v>0.271784107946027</v>
      </c>
      <c r="AD11" s="12" t="n">
        <v>99160000000</v>
      </c>
    </row>
    <row r="12">
      <c r="A12" s="8" t="inlineStr">
        <is>
          <t>NVDA</t>
        </is>
      </c>
      <c r="B12" s="8" t="inlineStr">
        <is>
          <t>NVIDIA CORP</t>
        </is>
      </c>
      <c r="C12" s="8" t="inlineStr">
        <is>
          <t>STANDARD</t>
        </is>
      </c>
      <c r="D12" s="8" t="n">
        <v>2021</v>
      </c>
      <c r="E12" s="8" t="inlineStr">
        <is>
          <t>2022-01-30</t>
        </is>
      </c>
      <c r="F12" s="8" t="inlineStr">
        <is>
          <t>0001045810-24-000029</t>
        </is>
      </c>
      <c r="G12" s="13" t="n">
        <v>26.914</v>
      </c>
      <c r="H12" s="13" t="n">
        <v>10.041</v>
      </c>
      <c r="I12" s="8" t="inlineStr">
        <is>
          <t>reported OperatingIncomeLoss (no interest expense tagged)</t>
        </is>
      </c>
      <c r="J12" s="13" t="n">
        <v>9.752000000000001</v>
      </c>
      <c r="K12" s="10" t="n">
        <v>0.05</v>
      </c>
      <c r="L12" s="13" t="n">
        <v>9.53895</v>
      </c>
      <c r="M12" s="13" t="n">
        <v>35.568</v>
      </c>
      <c r="N12" s="13" t="n">
        <v>29.788</v>
      </c>
      <c r="O12" s="10" t="n">
        <v>0.3202279441385793</v>
      </c>
      <c r="P12" s="8" t="inlineStr">
        <is>
          <t>OK</t>
        </is>
      </c>
      <c r="Q12" s="10" t="n">
        <v>0.4483162854844271</v>
      </c>
      <c r="R12" s="10" t="n">
        <v>0.1280883413458478</v>
      </c>
      <c r="S12" s="13" t="n">
        <v>26.612</v>
      </c>
      <c r="T12" s="13" t="n">
        <v>1.99</v>
      </c>
      <c r="U12" s="13" t="n">
        <v>10.946</v>
      </c>
      <c r="V12" s="8" t="inlineStr">
        <is>
          <t>short-term + long-term</t>
        </is>
      </c>
      <c r="W12" s="13" t="n">
        <v>10.652</v>
      </c>
      <c r="X12" s="11" t="n">
        <v>0.840781073976718</v>
      </c>
      <c r="Y12" s="11" t="n"/>
      <c r="Z12" s="13" t="n">
        <v>-0.835</v>
      </c>
      <c r="AA12" s="8" t="inlineStr">
        <is>
          <t>net income + D&amp;A - capex - change in operating working capital (cash and short-term debt excluded)</t>
        </is>
      </c>
      <c r="AB12" s="10" t="n">
        <v>-0.03102474548562087</v>
      </c>
      <c r="AC12" s="10" t="n">
        <v>0.3730772088875678</v>
      </c>
      <c r="AD12" s="12" t="n">
        <v>25060000000</v>
      </c>
    </row>
    <row r="13">
      <c r="A13" s="8" t="inlineStr">
        <is>
          <t>NVDA</t>
        </is>
      </c>
      <c r="B13" s="8" t="inlineStr">
        <is>
          <t>NVIDIA CORP</t>
        </is>
      </c>
      <c r="C13" s="8" t="inlineStr">
        <is>
          <t>STANDARD</t>
        </is>
      </c>
      <c r="D13" s="8" t="n">
        <v>2022</v>
      </c>
      <c r="E13" s="8" t="inlineStr">
        <is>
          <t>2023-01-29</t>
        </is>
      </c>
      <c r="F13" s="8" t="inlineStr">
        <is>
          <t>0001045810-25-000023</t>
        </is>
      </c>
      <c r="G13" s="13" t="n">
        <v>26.974</v>
      </c>
      <c r="H13" s="13" t="n">
        <v>4.443</v>
      </c>
      <c r="I13" s="8" t="inlineStr">
        <is>
          <t>pretax_income + interest_expense</t>
        </is>
      </c>
      <c r="J13" s="13" t="n">
        <v>4.368</v>
      </c>
      <c r="K13" s="10" t="n">
        <v>0.05</v>
      </c>
      <c r="L13" s="13" t="n">
        <v>4.22085</v>
      </c>
      <c r="M13" s="13" t="n">
        <v>30.915</v>
      </c>
      <c r="N13" s="13" t="n">
        <v>33.2415</v>
      </c>
      <c r="O13" s="10" t="n">
        <v>0.1269753169983304</v>
      </c>
      <c r="P13" s="8" t="inlineStr">
        <is>
          <t>OK</t>
        </is>
      </c>
      <c r="Q13" s="10" t="n">
        <v>0.1793361115102745</v>
      </c>
      <c r="R13" s="10" t="n">
        <v>0.05236079451194406</v>
      </c>
      <c r="S13" s="13" t="n">
        <v>22.101</v>
      </c>
      <c r="T13" s="13" t="n">
        <v>3.389</v>
      </c>
      <c r="U13" s="13" t="n">
        <v>12.203</v>
      </c>
      <c r="V13" s="8" t="inlineStr">
        <is>
          <t>short-term + long-term</t>
        </is>
      </c>
      <c r="W13" s="13" t="n">
        <v>5.287</v>
      </c>
      <c r="X13" s="11" t="n">
        <v>1.667108000756573</v>
      </c>
      <c r="Y13" s="11" t="n">
        <v>16.95801526717557</v>
      </c>
      <c r="Z13" s="13" t="n">
        <v>11.512</v>
      </c>
      <c r="AA13" s="8" t="inlineStr">
        <is>
          <t>net income + D&amp;A - capex - change in operating working capital (cash and short-term debt excluded)</t>
        </is>
      </c>
      <c r="AB13" s="10" t="n">
        <v>0.4267813449988878</v>
      </c>
      <c r="AC13" s="10" t="n">
        <v>0.1647141691999703</v>
      </c>
      <c r="AD13" s="12" t="n">
        <v>24660000000</v>
      </c>
    </row>
    <row r="14">
      <c r="A14" s="8" t="inlineStr">
        <is>
          <t>NVDA</t>
        </is>
      </c>
      <c r="B14" s="8" t="inlineStr">
        <is>
          <t>NVIDIA CORP</t>
        </is>
      </c>
      <c r="C14" s="8" t="inlineStr">
        <is>
          <t>STANDARD</t>
        </is>
      </c>
      <c r="D14" s="8" t="n">
        <v>2023</v>
      </c>
      <c r="E14" s="8" t="inlineStr">
        <is>
          <t>2024-01-28</t>
        </is>
      </c>
      <c r="F14" s="8" t="inlineStr">
        <is>
          <t>0001045810-26-000021</t>
        </is>
      </c>
      <c r="G14" s="13" t="n">
        <v>60.922</v>
      </c>
      <c r="H14" s="13" t="n">
        <v>34.075</v>
      </c>
      <c r="I14" s="8" t="inlineStr">
        <is>
          <t>pretax_income + interest_expense</t>
        </is>
      </c>
      <c r="J14" s="13" t="n">
        <v>29.76</v>
      </c>
      <c r="K14" s="10" t="n">
        <v>0.1199952687917677</v>
      </c>
      <c r="L14" s="13" t="n">
        <v>29.98616121592052</v>
      </c>
      <c r="M14" s="13" t="n">
        <v>46.657</v>
      </c>
      <c r="N14" s="13" t="n">
        <v>38.786</v>
      </c>
      <c r="O14" s="10" t="n">
        <v>0.7731181667591532</v>
      </c>
      <c r="P14" s="8" t="inlineStr">
        <is>
          <t>OK</t>
        </is>
      </c>
      <c r="Q14" s="10" t="n">
        <v>0.9145807403309824</v>
      </c>
      <c r="R14" s="10" t="n">
        <v>0.1414625735718291</v>
      </c>
      <c r="S14" s="13" t="n">
        <v>42.978</v>
      </c>
      <c r="T14" s="13" t="n">
        <v>7.28</v>
      </c>
      <c r="U14" s="13" t="n">
        <v>10.959</v>
      </c>
      <c r="V14" s="8" t="inlineStr">
        <is>
          <t>short-term + long-term</t>
        </is>
      </c>
      <c r="W14" s="13" t="n">
        <v>34.969</v>
      </c>
      <c r="X14" s="11" t="n">
        <v>0.1052074694729618</v>
      </c>
      <c r="Y14" s="11" t="n">
        <v>132.5875486381323</v>
      </c>
      <c r="Z14" s="13" t="n">
        <v>16.272</v>
      </c>
      <c r="AA14" s="8" t="inlineStr">
        <is>
          <t>net income + D&amp;A - capex - change in operating working capital (cash and short-term debt excluded)</t>
        </is>
      </c>
      <c r="AB14" s="10" t="n">
        <v>0.2670956304783165</v>
      </c>
      <c r="AC14" s="10" t="n">
        <v>0.5593217556876006</v>
      </c>
      <c r="AD14" s="12" t="n">
        <v>246430000000</v>
      </c>
    </row>
    <row r="15">
      <c r="A15" s="8" t="inlineStr">
        <is>
          <t>NVDA</t>
        </is>
      </c>
      <c r="B15" s="8" t="inlineStr">
        <is>
          <t>NVIDIA CORP</t>
        </is>
      </c>
      <c r="C15" s="8" t="inlineStr">
        <is>
          <t>STANDARD</t>
        </is>
      </c>
      <c r="D15" s="8" t="n">
        <v>2024</v>
      </c>
      <c r="E15" s="8" t="inlineStr">
        <is>
          <t>2025-01-26</t>
        </is>
      </c>
      <c r="F15" s="8" t="inlineStr">
        <is>
          <t>0001045810-26-000021</t>
        </is>
      </c>
      <c r="G15" s="13" t="n">
        <v>130.497</v>
      </c>
      <c r="H15" s="13" t="n">
        <v>84.273</v>
      </c>
      <c r="I15" s="8" t="inlineStr">
        <is>
          <t>pretax_income + interest_expense</t>
        </is>
      </c>
      <c r="J15" s="13" t="n">
        <v>72.88</v>
      </c>
      <c r="K15" s="10" t="n">
        <v>0.1326494180372742</v>
      </c>
      <c r="L15" s="13" t="n">
        <v>73.0942355937448</v>
      </c>
      <c r="M15" s="13" t="n">
        <v>79.20099999999999</v>
      </c>
      <c r="N15" s="13" t="n">
        <v>62.929</v>
      </c>
      <c r="O15" s="10" t="n">
        <v>1.161534993305865</v>
      </c>
      <c r="P15" s="8" t="inlineStr">
        <is>
          <t>OK</t>
        </is>
      </c>
      <c r="Q15" s="10" t="n">
        <v>1.19177466170639</v>
      </c>
      <c r="R15" s="10" t="n">
        <v>0.03023966840052461</v>
      </c>
      <c r="S15" s="13" t="n">
        <v>79.327</v>
      </c>
      <c r="T15" s="13" t="n">
        <v>8.589</v>
      </c>
      <c r="U15" s="13" t="n">
        <v>8.462999999999999</v>
      </c>
      <c r="V15" s="8" t="inlineStr">
        <is>
          <t>short-term + long-term</t>
        </is>
      </c>
      <c r="W15" s="13" t="n">
        <v>85.57299999999999</v>
      </c>
      <c r="X15" s="11" t="n">
        <v>-0.001472427050588386</v>
      </c>
      <c r="Y15" s="11" t="n">
        <v>341.1862348178138</v>
      </c>
      <c r="Z15" s="13" t="n">
        <v>45.138</v>
      </c>
      <c r="AA15" s="8" t="inlineStr">
        <is>
          <t>net income + D&amp;A - capex - change in operating working capital (cash and short-term debt excluded)</t>
        </is>
      </c>
      <c r="AB15" s="10" t="n">
        <v>0.3458930090346904</v>
      </c>
      <c r="AC15" s="10" t="n">
        <v>0.6457849605738063</v>
      </c>
      <c r="AD15" s="12" t="n">
        <v>24477000000</v>
      </c>
    </row>
    <row r="16">
      <c r="A16" s="8" t="inlineStr">
        <is>
          <t>NVDA</t>
        </is>
      </c>
      <c r="B16" s="8" t="inlineStr">
        <is>
          <t>NVIDIA CORP</t>
        </is>
      </c>
      <c r="C16" s="8" t="inlineStr">
        <is>
          <t>STANDARD</t>
        </is>
      </c>
      <c r="D16" s="8" t="n">
        <v>2025</v>
      </c>
      <c r="E16" s="8" t="inlineStr">
        <is>
          <t>2026-01-25</t>
        </is>
      </c>
      <c r="F16" s="8" t="inlineStr">
        <is>
          <t>0001045810-26-000021</t>
        </is>
      </c>
      <c r="G16" s="13" t="n">
        <v>215.938</v>
      </c>
      <c r="H16" s="13" t="n">
        <v>141.709</v>
      </c>
      <c r="I16" s="8" t="inlineStr">
        <is>
          <t>pretax_income + interest_expense</t>
        </is>
      </c>
      <c r="J16" s="13" t="n">
        <v>120.067</v>
      </c>
      <c r="K16" s="10" t="n">
        <v>0.1511700247437257</v>
      </c>
      <c r="L16" s="13" t="n">
        <v>120.2868469635914</v>
      </c>
      <c r="M16" s="13" t="n">
        <v>156.155</v>
      </c>
      <c r="N16" s="13" t="n">
        <v>117.678</v>
      </c>
      <c r="O16" s="10" t="n">
        <v>1.022169368646572</v>
      </c>
      <c r="P16" s="8" t="inlineStr">
        <is>
          <t>OK</t>
        </is>
      </c>
      <c r="Q16" s="10" t="n">
        <v>1.014850815653791</v>
      </c>
      <c r="R16" s="10" t="n">
        <v>-0.007318552992781502</v>
      </c>
      <c r="S16" s="13" t="n">
        <v>157.293</v>
      </c>
      <c r="T16" s="13" t="n">
        <v>10.605</v>
      </c>
      <c r="U16" s="13" t="n">
        <v>9.467000000000001</v>
      </c>
      <c r="V16" s="8" t="inlineStr">
        <is>
          <t>short-term + long-term</t>
        </is>
      </c>
      <c r="W16" s="13" t="n">
        <v>144.109</v>
      </c>
      <c r="X16" s="11" t="n">
        <v>-0.007896800338632564</v>
      </c>
      <c r="Y16" s="11" t="n">
        <v>547.1389961389962</v>
      </c>
      <c r="Z16" s="13" t="n">
        <v>86.07899999999999</v>
      </c>
      <c r="AA16" s="8" t="inlineStr">
        <is>
          <t>net income + D&amp;A - capex - change in operating working capital (cash and short-term debt excluded)</t>
        </is>
      </c>
      <c r="AB16" s="10" t="n">
        <v>0.398628309977864</v>
      </c>
      <c r="AC16" s="10" t="n">
        <v>0.656248552825348</v>
      </c>
      <c r="AD16" s="12" t="n">
        <v>24304000000</v>
      </c>
    </row>
    <row r="17">
      <c r="A17" s="8" t="inlineStr">
        <is>
          <t>AAPL</t>
        </is>
      </c>
      <c r="B17" s="8" t="inlineStr">
        <is>
          <t>Apple Inc.</t>
        </is>
      </c>
      <c r="C17" s="8" t="inlineStr">
        <is>
          <t>STANDARD</t>
        </is>
      </c>
      <c r="D17" s="8" t="n">
        <v>2014</v>
      </c>
      <c r="E17" s="8" t="inlineStr">
        <is>
          <t>2014-09-27</t>
        </is>
      </c>
      <c r="F17" s="8" t="inlineStr">
        <is>
          <t>0001628280-16-020309</t>
        </is>
      </c>
      <c r="G17" s="13" t="n"/>
      <c r="H17" s="13" t="n">
        <v>53.867</v>
      </c>
      <c r="I17" s="8" t="inlineStr">
        <is>
          <t>pretax_income + interest_expense</t>
        </is>
      </c>
      <c r="J17" s="13" t="n">
        <v>39.51</v>
      </c>
      <c r="K17" s="10" t="n">
        <v>0.2612605874763944</v>
      </c>
      <c r="L17" s="13" t="n">
        <v>39.79367593440907</v>
      </c>
      <c r="M17" s="13" t="n">
        <v>126.69</v>
      </c>
      <c r="N17" s="13" t="n">
        <v>126.69</v>
      </c>
      <c r="O17" s="10" t="n">
        <v>0.3141027384514095</v>
      </c>
      <c r="P17" s="8" t="inlineStr">
        <is>
          <t>OK</t>
        </is>
      </c>
      <c r="Q17" s="10" t="n">
        <v>0.3542004715501089</v>
      </c>
      <c r="R17" s="10" t="n">
        <v>0.04009773309869946</v>
      </c>
      <c r="S17" s="13" t="n">
        <v>111.547</v>
      </c>
      <c r="T17" s="13" t="n">
        <v>13.844</v>
      </c>
      <c r="U17" s="13" t="n">
        <v>28.987</v>
      </c>
      <c r="V17" s="8" t="inlineStr">
        <is>
          <t>short-term + long-term</t>
        </is>
      </c>
      <c r="W17" s="13" t="n"/>
      <c r="X17" s="11" t="n"/>
      <c r="Y17" s="11" t="n">
        <v>140.2786458333333</v>
      </c>
      <c r="Z17" s="13" t="n"/>
      <c r="AA17" s="8" t="inlineStr">
        <is>
          <t>net income + D&amp;A - capex - change in no prior year</t>
        </is>
      </c>
      <c r="AB17" s="10" t="n"/>
      <c r="AC17" s="10" t="n"/>
      <c r="AD17" s="12" t="n">
        <v>23464644000</v>
      </c>
    </row>
    <row r="18">
      <c r="A18" s="8" t="inlineStr">
        <is>
          <t>AAPL</t>
        </is>
      </c>
      <c r="B18" s="8" t="inlineStr">
        <is>
          <t>Apple Inc.</t>
        </is>
      </c>
      <c r="C18" s="8" t="inlineStr">
        <is>
          <t>STANDARD</t>
        </is>
      </c>
      <c r="D18" s="8" t="n">
        <v>2015</v>
      </c>
      <c r="E18" s="8" t="inlineStr">
        <is>
          <t>2015-09-26</t>
        </is>
      </c>
      <c r="F18" s="8" t="inlineStr">
        <is>
          <t>0000320193-17-000070</t>
        </is>
      </c>
      <c r="G18" s="13" t="n"/>
      <c r="H18" s="13" t="n">
        <v>73.248</v>
      </c>
      <c r="I18" s="8" t="inlineStr">
        <is>
          <t>pretax_income + interest_expense</t>
        </is>
      </c>
      <c r="J18" s="13" t="n">
        <v>53.394</v>
      </c>
      <c r="K18" s="10" t="n">
        <v>0.2636833758532717</v>
      </c>
      <c r="L18" s="13" t="n">
        <v>53.93372008549955</v>
      </c>
      <c r="M18" s="13" t="n">
        <v>154.064</v>
      </c>
      <c r="N18" s="13" t="n">
        <v>140.377</v>
      </c>
      <c r="O18" s="10" t="n">
        <v>0.3842062452217924</v>
      </c>
      <c r="P18" s="8" t="inlineStr">
        <is>
          <t>OK</t>
        </is>
      </c>
      <c r="Q18" s="10" t="n">
        <v>0.4624819187360872</v>
      </c>
      <c r="R18" s="10" t="n">
        <v>0.07827567351429482</v>
      </c>
      <c r="S18" s="13" t="n">
        <v>119.355</v>
      </c>
      <c r="T18" s="13" t="n">
        <v>21.12</v>
      </c>
      <c r="U18" s="13" t="n">
        <v>55.829</v>
      </c>
      <c r="V18" s="8" t="inlineStr">
        <is>
          <t>short-term + long-term</t>
        </is>
      </c>
      <c r="W18" s="13" t="n">
        <v>82.44799999999999</v>
      </c>
      <c r="X18" s="11" t="n">
        <v>0.4209804967979818</v>
      </c>
      <c r="Y18" s="11" t="n">
        <v>99.92905866302866</v>
      </c>
      <c r="Z18" s="13" t="n">
        <v>52.438</v>
      </c>
      <c r="AA18" s="8" t="inlineStr">
        <is>
          <t>net income + D&amp;A - capex - change in operating working capital (cash and short-term debt excluded)</t>
        </is>
      </c>
      <c r="AB18" s="10" t="n"/>
      <c r="AC18" s="10" t="n"/>
      <c r="AD18" s="12" t="n">
        <v>22315012000</v>
      </c>
    </row>
    <row r="19">
      <c r="A19" s="8" t="inlineStr">
        <is>
          <t>AAPL</t>
        </is>
      </c>
      <c r="B19" s="8" t="inlineStr">
        <is>
          <t>Apple Inc.</t>
        </is>
      </c>
      <c r="C19" s="8" t="inlineStr">
        <is>
          <t>STANDARD</t>
        </is>
      </c>
      <c r="D19" s="8" t="n">
        <v>2016</v>
      </c>
      <c r="E19" s="8" t="inlineStr">
        <is>
          <t>2016-09-24</t>
        </is>
      </c>
      <c r="F19" s="8" t="inlineStr">
        <is>
          <t>0000320193-18-000145</t>
        </is>
      </c>
      <c r="G19" s="13" t="n"/>
      <c r="H19" s="13" t="n">
        <v>62.828</v>
      </c>
      <c r="I19" s="8" t="inlineStr">
        <is>
          <t>pretax_income + interest_expense</t>
        </is>
      </c>
      <c r="J19" s="13" t="n">
        <v>45.687</v>
      </c>
      <c r="K19" s="10" t="n">
        <v>0.2555725738121619</v>
      </c>
      <c r="L19" s="13" t="n">
        <v>46.77088633252949</v>
      </c>
      <c r="M19" s="13" t="n">
        <v>186.692</v>
      </c>
      <c r="N19" s="13" t="n">
        <v>170.378</v>
      </c>
      <c r="O19" s="10" t="n">
        <v>0.2745124742192624</v>
      </c>
      <c r="P19" s="8" t="inlineStr">
        <is>
          <t>OK</t>
        </is>
      </c>
      <c r="Q19" s="10" t="n">
        <v>0.3690328104554046</v>
      </c>
      <c r="R19" s="10" t="n">
        <v>0.0945203362361422</v>
      </c>
      <c r="S19" s="13" t="n">
        <v>128.249</v>
      </c>
      <c r="T19" s="13" t="n">
        <v>20.484</v>
      </c>
      <c r="U19" s="13" t="n">
        <v>78.92700000000001</v>
      </c>
      <c r="V19" s="8" t="inlineStr">
        <is>
          <t>short-term + long-term</t>
        </is>
      </c>
      <c r="W19" s="13" t="n">
        <v>73.333</v>
      </c>
      <c r="X19" s="11" t="n">
        <v>0.796953622516466</v>
      </c>
      <c r="Y19" s="11" t="n">
        <v>43.1510989010989</v>
      </c>
      <c r="Z19" s="13" t="n">
        <v>22.727</v>
      </c>
      <c r="AA19" s="8" t="inlineStr">
        <is>
          <t>net income + D&amp;A - capex - change in operating working capital (cash and short-term debt excluded)</t>
        </is>
      </c>
      <c r="AB19" s="10" t="n"/>
      <c r="AC19" s="10" t="n"/>
      <c r="AD19" s="12" t="n">
        <v>21344664000</v>
      </c>
    </row>
    <row r="20">
      <c r="A20" s="8" t="inlineStr">
        <is>
          <t>AAPL</t>
        </is>
      </c>
      <c r="B20" s="8" t="inlineStr">
        <is>
          <t>Apple Inc.</t>
        </is>
      </c>
      <c r="C20" s="8" t="inlineStr">
        <is>
          <t>STANDARD</t>
        </is>
      </c>
      <c r="D20" s="8" t="n">
        <v>2017</v>
      </c>
      <c r="E20" s="8" t="inlineStr">
        <is>
          <t>2017-09-30</t>
        </is>
      </c>
      <c r="F20" s="8" t="inlineStr">
        <is>
          <t>0000320193-19-000119</t>
        </is>
      </c>
      <c r="G20" s="13" t="n">
        <v>229.234</v>
      </c>
      <c r="H20" s="13" t="n">
        <v>66.41200000000001</v>
      </c>
      <c r="I20" s="8" t="inlineStr">
        <is>
          <t>pretax_income + interest_expense</t>
        </is>
      </c>
      <c r="J20" s="13" t="n">
        <v>48.351</v>
      </c>
      <c r="K20" s="10" t="n">
        <v>0.2455647615035342</v>
      </c>
      <c r="L20" s="13" t="n">
        <v>50.10355305902729</v>
      </c>
      <c r="M20" s="13" t="n">
        <v>217.461</v>
      </c>
      <c r="N20" s="13" t="n">
        <v>202.0765</v>
      </c>
      <c r="O20" s="10" t="n">
        <v>0.2479434919895549</v>
      </c>
      <c r="P20" s="8" t="inlineStr">
        <is>
          <t>OK</t>
        </is>
      </c>
      <c r="Q20" s="10" t="n">
        <v>0.3686750846372038</v>
      </c>
      <c r="R20" s="10" t="n">
        <v>0.1207315926476489</v>
      </c>
      <c r="S20" s="13" t="n">
        <v>134.047</v>
      </c>
      <c r="T20" s="13" t="n">
        <v>20.289</v>
      </c>
      <c r="U20" s="13" t="n">
        <v>103.703</v>
      </c>
      <c r="V20" s="8" t="inlineStr">
        <is>
          <t>short-term + long-term</t>
        </is>
      </c>
      <c r="W20" s="13" t="n">
        <v>76.569</v>
      </c>
      <c r="X20" s="11" t="n">
        <v>1.08939649205292</v>
      </c>
      <c r="Y20" s="11" t="n">
        <v>28.58889367197589</v>
      </c>
      <c r="Z20" s="13" t="n">
        <v>42.898</v>
      </c>
      <c r="AA20" s="8" t="inlineStr">
        <is>
          <t>net income + D&amp;A - capex - change in operating working capital (cash and short-term debt excluded)</t>
        </is>
      </c>
      <c r="AB20" s="10" t="n">
        <v>0.1871362886831796</v>
      </c>
      <c r="AC20" s="10" t="n">
        <v>0.2897126953244283</v>
      </c>
      <c r="AD20" s="12" t="n">
        <v>20504804000</v>
      </c>
    </row>
    <row r="21">
      <c r="A21" s="8" t="inlineStr">
        <is>
          <t>AAPL</t>
        </is>
      </c>
      <c r="B21" s="8" t="inlineStr">
        <is>
          <t>Apple Inc.</t>
        </is>
      </c>
      <c r="C21" s="8" t="inlineStr">
        <is>
          <t>STANDARD</t>
        </is>
      </c>
      <c r="D21" s="8" t="n">
        <v>2018</v>
      </c>
      <c r="E21" s="8" t="inlineStr">
        <is>
          <t>2018-09-29</t>
        </is>
      </c>
      <c r="F21" s="8" t="inlineStr">
        <is>
          <t>0000320193-20-000096</t>
        </is>
      </c>
      <c r="G21" s="13" t="n">
        <v>265.595</v>
      </c>
      <c r="H21" s="13" t="n">
        <v>76.143</v>
      </c>
      <c r="I21" s="8" t="inlineStr">
        <is>
          <t>pretax_income + interest_expense</t>
        </is>
      </c>
      <c r="J21" s="13" t="n">
        <v>59.531</v>
      </c>
      <c r="K21" s="10" t="n">
        <v>0.1834218070586944</v>
      </c>
      <c r="L21" s="13" t="n">
        <v>62.17671334512983</v>
      </c>
      <c r="M21" s="13" t="n">
        <v>183.753</v>
      </c>
      <c r="N21" s="13" t="n">
        <v>200.607</v>
      </c>
      <c r="O21" s="10" t="n">
        <v>0.3099428900543343</v>
      </c>
      <c r="P21" s="8" t="inlineStr">
        <is>
          <t>OK</t>
        </is>
      </c>
      <c r="Q21" s="10" t="n">
        <v>0.4936358284202758</v>
      </c>
      <c r="R21" s="10" t="n">
        <v>0.1836929383659415</v>
      </c>
      <c r="S21" s="13" t="n">
        <v>107.147</v>
      </c>
      <c r="T21" s="13" t="n">
        <v>25.913</v>
      </c>
      <c r="U21" s="13" t="n">
        <v>102.519</v>
      </c>
      <c r="V21" s="8" t="inlineStr">
        <is>
          <t>short-term + long-term</t>
        </is>
      </c>
      <c r="W21" s="13" t="n">
        <v>87.04600000000001</v>
      </c>
      <c r="X21" s="11" t="n">
        <v>0.8800634147462262</v>
      </c>
      <c r="Y21" s="11" t="n">
        <v>23.50092592592593</v>
      </c>
      <c r="Z21" s="13" t="n">
        <v>72.878</v>
      </c>
      <c r="AA21" s="8" t="inlineStr">
        <is>
          <t>net income + D&amp;A - capex - change in operating working capital (cash and short-term debt excluded)</t>
        </is>
      </c>
      <c r="AB21" s="10" t="n">
        <v>0.274395225813739</v>
      </c>
      <c r="AC21" s="10" t="n">
        <v>0.286688378922796</v>
      </c>
      <c r="AD21" s="12" t="n">
        <v>19019944000</v>
      </c>
    </row>
    <row r="22">
      <c r="A22" s="8" t="inlineStr">
        <is>
          <t>AAPL</t>
        </is>
      </c>
      <c r="B22" s="8" t="inlineStr">
        <is>
          <t>Apple Inc.</t>
        </is>
      </c>
      <c r="C22" s="8" t="inlineStr">
        <is>
          <t>STANDARD</t>
        </is>
      </c>
      <c r="D22" s="8" t="n">
        <v>2019</v>
      </c>
      <c r="E22" s="8" t="inlineStr">
        <is>
          <t>2019-09-28</t>
        </is>
      </c>
      <c r="F22" s="8" t="inlineStr">
        <is>
          <t>0000320193-21-000105</t>
        </is>
      </c>
      <c r="G22" s="13" t="n">
        <v>260.174</v>
      </c>
      <c r="H22" s="13" t="n">
        <v>69.313</v>
      </c>
      <c r="I22" s="8" t="inlineStr">
        <is>
          <t>pretax_income + interest_expense</t>
        </is>
      </c>
      <c r="J22" s="13" t="n">
        <v>55.256</v>
      </c>
      <c r="K22" s="10" t="n">
        <v>0.1594383680423506</v>
      </c>
      <c r="L22" s="13" t="n">
        <v>58.26184839588056</v>
      </c>
      <c r="M22" s="13" t="n">
        <v>143.711</v>
      </c>
      <c r="N22" s="13" t="n">
        <v>163.732</v>
      </c>
      <c r="O22" s="10" t="n">
        <v>0.3558366623255109</v>
      </c>
      <c r="P22" s="8" t="inlineStr">
        <is>
          <t>OK</t>
        </is>
      </c>
      <c r="Q22" s="10" t="n">
        <v>0.5591722113998027</v>
      </c>
      <c r="R22" s="10" t="n">
        <v>0.2033355490742917</v>
      </c>
      <c r="S22" s="13" t="n">
        <v>90.488</v>
      </c>
      <c r="T22" s="13" t="n">
        <v>48.844</v>
      </c>
      <c r="U22" s="13" t="n">
        <v>102.067</v>
      </c>
      <c r="V22" s="8" t="inlineStr">
        <is>
          <t>short-term + long-term</t>
        </is>
      </c>
      <c r="W22" s="13" t="n">
        <v>81.86</v>
      </c>
      <c r="X22" s="11" t="n">
        <v>0.6501710236989983</v>
      </c>
      <c r="Y22" s="11" t="n">
        <v>19.38282997762864</v>
      </c>
      <c r="Z22" s="13" t="n">
        <v>37.072</v>
      </c>
      <c r="AA22" s="8" t="inlineStr">
        <is>
          <t>net income + D&amp;A - capex - change in operating working capital (cash and short-term debt excluded)</t>
        </is>
      </c>
      <c r="AB22" s="10" t="n">
        <v>0.1424892571894194</v>
      </c>
      <c r="AC22" s="10" t="n">
        <v>0.2664101716543544</v>
      </c>
      <c r="AD22" s="12" t="n">
        <v>71091780000</v>
      </c>
    </row>
    <row r="23">
      <c r="A23" s="8" t="inlineStr">
        <is>
          <t>AAPL</t>
        </is>
      </c>
      <c r="B23" s="8" t="inlineStr">
        <is>
          <t>Apple Inc.</t>
        </is>
      </c>
      <c r="C23" s="8" t="inlineStr">
        <is>
          <t>STANDARD</t>
        </is>
      </c>
      <c r="D23" s="8" t="n">
        <v>2020</v>
      </c>
      <c r="E23" s="8" t="inlineStr">
        <is>
          <t>2020-09-26</t>
        </is>
      </c>
      <c r="F23" s="8" t="inlineStr">
        <is>
          <t>0000320193-22-000108</t>
        </is>
      </c>
      <c r="G23" s="13" t="n">
        <v>274.515</v>
      </c>
      <c r="H23" s="13" t="n">
        <v>69.964</v>
      </c>
      <c r="I23" s="8" t="inlineStr">
        <is>
          <t>pretax_income + interest_expense</t>
        </is>
      </c>
      <c r="J23" s="13" t="n">
        <v>57.411</v>
      </c>
      <c r="K23" s="10" t="n">
        <v>0.144281647314841</v>
      </c>
      <c r="L23" s="13" t="n">
        <v>59.86947882726446</v>
      </c>
      <c r="M23" s="13" t="n">
        <v>134.763</v>
      </c>
      <c r="N23" s="13" t="n">
        <v>139.237</v>
      </c>
      <c r="O23" s="10" t="n">
        <v>0.4299825393197531</v>
      </c>
      <c r="P23" s="8" t="inlineStr">
        <is>
          <t>OK</t>
        </is>
      </c>
      <c r="Q23" s="10" t="n">
        <v>0.7368556155223421</v>
      </c>
      <c r="R23" s="10" t="n">
        <v>0.3068730762025891</v>
      </c>
      <c r="S23" s="13" t="n">
        <v>65.339</v>
      </c>
      <c r="T23" s="13" t="n">
        <v>38.016</v>
      </c>
      <c r="U23" s="13" t="n">
        <v>107.44</v>
      </c>
      <c r="V23" s="8" t="inlineStr">
        <is>
          <t>short-term + long-term</t>
        </is>
      </c>
      <c r="W23" s="13" t="n">
        <v>81.02</v>
      </c>
      <c r="X23" s="11" t="n">
        <v>0.8568748457171069</v>
      </c>
      <c r="Y23" s="11" t="n">
        <v>24.35224504002785</v>
      </c>
      <c r="Z23" s="13" t="n">
        <v>70.59699999999999</v>
      </c>
      <c r="AA23" s="8" t="inlineStr">
        <is>
          <t>net income + D&amp;A - capex - change in operating working capital (cash and short-term debt excluded)</t>
        </is>
      </c>
      <c r="AB23" s="10" t="n">
        <v>0.2571699178551263</v>
      </c>
      <c r="AC23" s="10" t="n">
        <v>0.2548640329308052</v>
      </c>
      <c r="AD23" s="12" t="n">
        <v>16976763000</v>
      </c>
    </row>
    <row r="24">
      <c r="A24" s="8" t="inlineStr">
        <is>
          <t>AAPL</t>
        </is>
      </c>
      <c r="B24" s="8" t="inlineStr">
        <is>
          <t>Apple Inc.</t>
        </is>
      </c>
      <c r="C24" s="8" t="inlineStr">
        <is>
          <t>STANDARD</t>
        </is>
      </c>
      <c r="D24" s="8" t="n">
        <v>2021</v>
      </c>
      <c r="E24" s="8" t="inlineStr">
        <is>
          <t>2021-09-25</t>
        </is>
      </c>
      <c r="F24" s="8" t="inlineStr">
        <is>
          <t>0000320193-23-000106</t>
        </is>
      </c>
      <c r="G24" s="13" t="n">
        <v>365.817</v>
      </c>
      <c r="H24" s="13" t="n">
        <v>111.852</v>
      </c>
      <c r="I24" s="8" t="inlineStr">
        <is>
          <t>pretax_income + interest_expense</t>
        </is>
      </c>
      <c r="J24" s="13" t="n">
        <v>94.68000000000001</v>
      </c>
      <c r="K24" s="10" t="n">
        <v>0.1330226084408509</v>
      </c>
      <c r="L24" s="13" t="n">
        <v>96.97315520067394</v>
      </c>
      <c r="M24" s="13" t="n">
        <v>146.869</v>
      </c>
      <c r="N24" s="13" t="n">
        <v>140.816</v>
      </c>
      <c r="O24" s="10" t="n">
        <v>0.688651539602559</v>
      </c>
      <c r="P24" s="8" t="inlineStr">
        <is>
          <t>OK</t>
        </is>
      </c>
      <c r="Q24" s="10" t="n">
        <v>1.474433344493845</v>
      </c>
      <c r="R24" s="10" t="n">
        <v>0.7857818048912859</v>
      </c>
      <c r="S24" s="13" t="n">
        <v>63.09</v>
      </c>
      <c r="T24" s="13" t="n">
        <v>34.94</v>
      </c>
      <c r="U24" s="13" t="n">
        <v>118.719</v>
      </c>
      <c r="V24" s="8" t="inlineStr">
        <is>
          <t>short-term + long-term</t>
        </is>
      </c>
      <c r="W24" s="13" t="n">
        <v>123.136</v>
      </c>
      <c r="X24" s="11" t="n">
        <v>0.6803777936590436</v>
      </c>
      <c r="Y24" s="11" t="n">
        <v>42.28809073724008</v>
      </c>
      <c r="Z24" s="13" t="n">
        <v>119.929</v>
      </c>
      <c r="AA24" s="8" t="inlineStr">
        <is>
          <t>net income + D&amp;A - capex - change in operating working capital (cash and short-term debt excluded)</t>
        </is>
      </c>
      <c r="AB24" s="10" t="n">
        <v>0.3278387827793678</v>
      </c>
      <c r="AC24" s="10" t="n">
        <v>0.305759437095597</v>
      </c>
      <c r="AD24" s="12" t="n">
        <v>16426786000</v>
      </c>
    </row>
    <row r="25">
      <c r="A25" s="8" t="inlineStr">
        <is>
          <t>AAPL</t>
        </is>
      </c>
      <c r="B25" s="8" t="inlineStr">
        <is>
          <t>Apple Inc.</t>
        </is>
      </c>
      <c r="C25" s="8" t="inlineStr">
        <is>
          <t>STANDARD</t>
        </is>
      </c>
      <c r="D25" s="8" t="n">
        <v>2022</v>
      </c>
      <c r="E25" s="8" t="inlineStr">
        <is>
          <t>2022-09-24</t>
        </is>
      </c>
      <c r="F25" s="8" t="inlineStr">
        <is>
          <t>0000320193-24-000123</t>
        </is>
      </c>
      <c r="G25" s="13" t="n">
        <v>394.328</v>
      </c>
      <c r="H25" s="13" t="n">
        <v>122.034</v>
      </c>
      <c r="I25" s="8" t="inlineStr">
        <is>
          <t>pretax_income + interest_expense</t>
        </is>
      </c>
      <c r="J25" s="13" t="n">
        <v>99.803</v>
      </c>
      <c r="K25" s="10" t="n">
        <v>0.1620446168442441</v>
      </c>
      <c r="L25" s="13" t="n">
        <v>102.2590472280295</v>
      </c>
      <c r="M25" s="13" t="n">
        <v>137.113</v>
      </c>
      <c r="N25" s="13" t="n">
        <v>141.991</v>
      </c>
      <c r="O25" s="10" t="n">
        <v>0.7201797806060208</v>
      </c>
      <c r="P25" s="8" t="inlineStr">
        <is>
          <t>OK</t>
        </is>
      </c>
      <c r="Q25" s="10" t="n">
        <v>1.754592922065364</v>
      </c>
      <c r="R25" s="10" t="n">
        <v>1.034413141459344</v>
      </c>
      <c r="S25" s="13" t="n">
        <v>50.672</v>
      </c>
      <c r="T25" s="13" t="n">
        <v>23.646</v>
      </c>
      <c r="U25" s="13" t="n">
        <v>110.087</v>
      </c>
      <c r="V25" s="8" t="inlineStr">
        <is>
          <t>short-term + long-term</t>
        </is>
      </c>
      <c r="W25" s="13" t="n">
        <v>133.138</v>
      </c>
      <c r="X25" s="11" t="n">
        <v>0.6492586639426761</v>
      </c>
      <c r="Y25" s="11" t="n">
        <v>41.63561924257932</v>
      </c>
      <c r="Z25" s="13" t="n">
        <v>115.322</v>
      </c>
      <c r="AA25" s="8" t="inlineStr">
        <is>
          <t>net income + D&amp;A - capex - change in operating working capital (cash and short-term debt excluded)</t>
        </is>
      </c>
      <c r="AB25" s="10" t="n">
        <v>0.2924519689192753</v>
      </c>
      <c r="AC25" s="10" t="n">
        <v>0.3094733318455702</v>
      </c>
      <c r="AD25" s="12" t="n">
        <v>15943425000</v>
      </c>
    </row>
    <row r="26">
      <c r="A26" s="8" t="inlineStr">
        <is>
          <t>AAPL</t>
        </is>
      </c>
      <c r="B26" s="8" t="inlineStr">
        <is>
          <t>Apple Inc.</t>
        </is>
      </c>
      <c r="C26" s="8" t="inlineStr">
        <is>
          <t>STANDARD</t>
        </is>
      </c>
      <c r="D26" s="8" t="n">
        <v>2023</v>
      </c>
      <c r="E26" s="8" t="inlineStr">
        <is>
          <t>2023-09-30</t>
        </is>
      </c>
      <c r="F26" s="8" t="inlineStr">
        <is>
          <t>0000320193-25-000079</t>
        </is>
      </c>
      <c r="G26" s="13" t="n">
        <v>383.285</v>
      </c>
      <c r="H26" s="13" t="n">
        <v>117.669</v>
      </c>
      <c r="I26" s="8" t="inlineStr">
        <is>
          <t>pretax_income + interest_expense</t>
        </is>
      </c>
      <c r="J26" s="13" t="n">
        <v>96.995</v>
      </c>
      <c r="K26" s="10" t="n">
        <v>0.1471917422803686</v>
      </c>
      <c r="L26" s="13" t="n">
        <v>100.3490948776113</v>
      </c>
      <c r="M26" s="13" t="n">
        <v>137.284</v>
      </c>
      <c r="N26" s="13" t="n">
        <v>137.1985</v>
      </c>
      <c r="O26" s="10" t="n">
        <v>0.7314153935911203</v>
      </c>
      <c r="P26" s="8" t="inlineStr">
        <is>
          <t>OK</t>
        </is>
      </c>
      <c r="Q26" s="10" t="n">
        <v>1.719495116027584</v>
      </c>
      <c r="R26" s="10" t="n">
        <v>0.9880797224364639</v>
      </c>
      <c r="S26" s="13" t="n">
        <v>62.146</v>
      </c>
      <c r="T26" s="13" t="n">
        <v>29.965</v>
      </c>
      <c r="U26" s="13" t="n">
        <v>105.103</v>
      </c>
      <c r="V26" s="8" t="inlineStr">
        <is>
          <t>short-term + long-term</t>
        </is>
      </c>
      <c r="W26" s="13" t="n">
        <v>129.188</v>
      </c>
      <c r="X26" s="11" t="n">
        <v>0.5816174876923553</v>
      </c>
      <c r="Y26" s="11" t="n">
        <v>29.91838291380625</v>
      </c>
      <c r="Z26" s="13" t="n">
        <v>88.345</v>
      </c>
      <c r="AA26" s="8" t="inlineStr">
        <is>
          <t>net income + D&amp;A - capex - change in operating working capital (cash and short-term debt excluded)</t>
        </is>
      </c>
      <c r="AB26" s="10" t="n">
        <v>0.2304942797135291</v>
      </c>
      <c r="AC26" s="10" t="n">
        <v>0.3070013175574312</v>
      </c>
      <c r="AD26" s="12" t="n">
        <v>15550061000</v>
      </c>
    </row>
    <row r="27">
      <c r="A27" s="8" t="inlineStr">
        <is>
          <t>AAPL</t>
        </is>
      </c>
      <c r="B27" s="8" t="inlineStr">
        <is>
          <t>Apple Inc.</t>
        </is>
      </c>
      <c r="C27" s="8" t="inlineStr">
        <is>
          <t>STANDARD</t>
        </is>
      </c>
      <c r="D27" s="8" t="n">
        <v>2024</v>
      </c>
      <c r="E27" s="8" t="inlineStr">
        <is>
          <t>2024-09-28</t>
        </is>
      </c>
      <c r="F27" s="8" t="inlineStr">
        <is>
          <t>0000320193-25-000079</t>
        </is>
      </c>
      <c r="G27" s="13" t="n">
        <v>391.035</v>
      </c>
      <c r="H27" s="13" t="n">
        <v>123.216</v>
      </c>
      <c r="I27" s="8" t="inlineStr">
        <is>
          <t>reported OperatingIncomeLoss (no interest expense tagged)</t>
        </is>
      </c>
      <c r="J27" s="13" t="n">
        <v>93.736</v>
      </c>
      <c r="K27" s="10" t="n">
        <v>0.2409118516418998</v>
      </c>
      <c r="L27" s="13" t="n">
        <v>93.53180528809168</v>
      </c>
      <c r="M27" s="13" t="n">
        <v>123.669</v>
      </c>
      <c r="N27" s="13" t="n">
        <v>130.4765</v>
      </c>
      <c r="O27" s="10" t="n">
        <v>0.7168479020213731</v>
      </c>
      <c r="P27" s="8" t="inlineStr">
        <is>
          <t>OK</t>
        </is>
      </c>
      <c r="Q27" s="10" t="n">
        <v>1.574125075569289</v>
      </c>
      <c r="R27" s="10" t="n">
        <v>0.8572771735479155</v>
      </c>
      <c r="S27" s="13" t="n">
        <v>56.95</v>
      </c>
      <c r="T27" s="13" t="n">
        <v>29.943</v>
      </c>
      <c r="U27" s="13" t="n">
        <v>96.66200000000001</v>
      </c>
      <c r="V27" s="8" t="inlineStr">
        <is>
          <t>short-term + long-term</t>
        </is>
      </c>
      <c r="W27" s="13" t="n">
        <v>134.661</v>
      </c>
      <c r="X27" s="11" t="n">
        <v>0.4954589673327838</v>
      </c>
      <c r="Y27" s="11" t="n"/>
      <c r="Z27" s="13" t="n">
        <v>116.285</v>
      </c>
      <c r="AA27" s="8" t="inlineStr">
        <is>
          <t>net income + D&amp;A - capex - change in operating working capital (cash and short-term debt excluded)</t>
        </is>
      </c>
      <c r="AB27" s="10" t="n">
        <v>0.2973774726047541</v>
      </c>
      <c r="AC27" s="10" t="n">
        <v>0.3151022287007557</v>
      </c>
      <c r="AD27" s="12" t="n">
        <v>15116786000</v>
      </c>
    </row>
    <row r="28">
      <c r="A28" s="8" t="inlineStr">
        <is>
          <t>AAPL</t>
        </is>
      </c>
      <c r="B28" s="8" t="inlineStr">
        <is>
          <t>Apple Inc.</t>
        </is>
      </c>
      <c r="C28" s="8" t="inlineStr">
        <is>
          <t>STANDARD</t>
        </is>
      </c>
      <c r="D28" s="8" t="n">
        <v>2025</v>
      </c>
      <c r="E28" s="8" t="inlineStr">
        <is>
          <t>2025-09-27</t>
        </is>
      </c>
      <c r="F28" s="8" t="inlineStr">
        <is>
          <t>0000320193-25-000079</t>
        </is>
      </c>
      <c r="G28" s="13" t="n">
        <v>416.161</v>
      </c>
      <c r="H28" s="13" t="n">
        <v>133.05</v>
      </c>
      <c r="I28" s="8" t="inlineStr">
        <is>
          <t>reported OperatingIncomeLoss (no interest expense tagged)</t>
        </is>
      </c>
      <c r="J28" s="13" t="n">
        <v>112.01</v>
      </c>
      <c r="K28" s="10" t="n">
        <v>0.1561000233558604</v>
      </c>
      <c r="L28" s="13" t="n">
        <v>112.2808918925028</v>
      </c>
      <c r="M28" s="13" t="n">
        <v>128.477</v>
      </c>
      <c r="N28" s="13" t="n">
        <v>126.073</v>
      </c>
      <c r="O28" s="10" t="n">
        <v>0.8906022058053886</v>
      </c>
      <c r="P28" s="8" t="inlineStr">
        <is>
          <t>OK</t>
        </is>
      </c>
      <c r="Q28" s="10" t="n">
        <v>1.714224497448023</v>
      </c>
      <c r="R28" s="10" t="n">
        <v>0.8236222916426346</v>
      </c>
      <c r="S28" s="13" t="n">
        <v>73.733</v>
      </c>
      <c r="T28" s="13" t="n">
        <v>35.934</v>
      </c>
      <c r="U28" s="13" t="n">
        <v>90.678</v>
      </c>
      <c r="V28" s="8" t="inlineStr">
        <is>
          <t>short-term + long-term</t>
        </is>
      </c>
      <c r="W28" s="13" t="n">
        <v>144.748</v>
      </c>
      <c r="X28" s="11" t="n">
        <v>0.3782021167822699</v>
      </c>
      <c r="Y28" s="11" t="n"/>
      <c r="Z28" s="13" t="n">
        <v>109.815</v>
      </c>
      <c r="AA28" s="8" t="inlineStr">
        <is>
          <t>net income + D&amp;A - capex - change in operating working capital (cash and short-term debt excluded)</t>
        </is>
      </c>
      <c r="AB28" s="10" t="n">
        <v>0.2638762402051129</v>
      </c>
      <c r="AC28" s="10" t="n">
        <v>0.3197079976259188</v>
      </c>
      <c r="AD28" s="12" t="n">
        <v>14773260000</v>
      </c>
    </row>
    <row r="29">
      <c r="A29" s="8" t="inlineStr">
        <is>
          <t>GOOG</t>
        </is>
      </c>
      <c r="B29" s="8" t="inlineStr">
        <is>
          <t>Alphabet Inc.</t>
        </is>
      </c>
      <c r="C29" s="8" t="inlineStr">
        <is>
          <t>STANDARD</t>
        </is>
      </c>
      <c r="D29" s="8" t="n">
        <v>2014</v>
      </c>
      <c r="E29" s="8" t="inlineStr">
        <is>
          <t>2014-12-31</t>
        </is>
      </c>
      <c r="F29" s="8" t="inlineStr">
        <is>
          <t>0001652044-17-000008</t>
        </is>
      </c>
      <c r="G29" s="13" t="n">
        <v>66.001</v>
      </c>
      <c r="H29" s="13" t="n">
        <v>16.496</v>
      </c>
      <c r="I29" s="8" t="inlineStr">
        <is>
          <t>reported OperatingIncomeLoss (no interest expense tagged)</t>
        </is>
      </c>
      <c r="J29" s="13" t="n">
        <v>14.136</v>
      </c>
      <c r="K29" s="10" t="n">
        <v>0.21</v>
      </c>
      <c r="L29" s="13" t="n">
        <v>13.03184</v>
      </c>
      <c r="M29" s="13" t="n">
        <v>87.51300000000001</v>
      </c>
      <c r="N29" s="13" t="n">
        <v>87.51300000000001</v>
      </c>
      <c r="O29" s="10" t="n">
        <v>0.1489131900403369</v>
      </c>
      <c r="P29" s="8" t="inlineStr">
        <is>
          <t>OK</t>
        </is>
      </c>
      <c r="Q29" s="10" t="n">
        <v>0.136106296938186</v>
      </c>
      <c r="R29" s="10" t="n">
        <v>-0.01280689310215086</v>
      </c>
      <c r="S29" s="13" t="n">
        <v>103.86</v>
      </c>
      <c r="T29" s="13" t="n">
        <v>18.347</v>
      </c>
      <c r="U29" s="13" t="n">
        <v>2</v>
      </c>
      <c r="V29" s="8" t="inlineStr">
        <is>
          <t>short-term only (no long-term debt tagged; read as nil)</t>
        </is>
      </c>
      <c r="W29" s="13" t="n"/>
      <c r="X29" s="11" t="n"/>
      <c r="Y29" s="11" t="n"/>
      <c r="Z29" s="13" t="n">
        <v>12.01</v>
      </c>
      <c r="AA29" s="8" t="inlineStr">
        <is>
          <t>operating cash flow - capex (working-capital swing already embedded)</t>
        </is>
      </c>
      <c r="AB29" s="10" t="n">
        <v>0.1819669398948501</v>
      </c>
      <c r="AC29" s="10" t="n">
        <v>0.249935607036257</v>
      </c>
      <c r="AD29" s="12" t="n">
        <v>13603440000</v>
      </c>
    </row>
    <row r="30">
      <c r="A30" s="8" t="inlineStr">
        <is>
          <t>GOOG</t>
        </is>
      </c>
      <c r="B30" s="8" t="inlineStr">
        <is>
          <t>Alphabet Inc.</t>
        </is>
      </c>
      <c r="C30" s="8" t="inlineStr">
        <is>
          <t>STANDARD</t>
        </is>
      </c>
      <c r="D30" s="8" t="n">
        <v>2015</v>
      </c>
      <c r="E30" s="8" t="inlineStr">
        <is>
          <t>2015-12-31</t>
        </is>
      </c>
      <c r="F30" s="8" t="inlineStr">
        <is>
          <t>0001652044-18-000007</t>
        </is>
      </c>
      <c r="G30" s="13" t="n">
        <v>74.989</v>
      </c>
      <c r="H30" s="13" t="n">
        <v>19.36</v>
      </c>
      <c r="I30" s="8" t="inlineStr">
        <is>
          <t>reported OperatingIncomeLoss (no interest expense tagged)</t>
        </is>
      </c>
      <c r="J30" s="13" t="n">
        <v>16.348</v>
      </c>
      <c r="K30" s="10" t="n">
        <v>0.21</v>
      </c>
      <c r="L30" s="13" t="n">
        <v>15.2944</v>
      </c>
      <c r="M30" s="13" t="n">
        <v>109.007</v>
      </c>
      <c r="N30" s="13" t="n">
        <v>98.26000000000001</v>
      </c>
      <c r="O30" s="10" t="n">
        <v>0.1556523509057602</v>
      </c>
      <c r="P30" s="8" t="inlineStr">
        <is>
          <t>OK</t>
        </is>
      </c>
      <c r="Q30" s="10" t="n">
        <v>0.1458399311301524</v>
      </c>
      <c r="R30" s="10" t="n">
        <v>-0.009812419775607817</v>
      </c>
      <c r="S30" s="13" t="n">
        <v>120.331</v>
      </c>
      <c r="T30" s="13" t="n">
        <v>16.549</v>
      </c>
      <c r="U30" s="13" t="n">
        <v>5.225</v>
      </c>
      <c r="V30" s="8" t="inlineStr">
        <is>
          <t>short-term + long-term</t>
        </is>
      </c>
      <c r="W30" s="13" t="n"/>
      <c r="X30" s="11" t="n"/>
      <c r="Y30" s="11" t="n"/>
      <c r="Z30" s="13" t="n">
        <v>16.622</v>
      </c>
      <c r="AA30" s="8" t="inlineStr">
        <is>
          <t>operating cash flow - capex (working-capital swing already embedded)</t>
        </is>
      </c>
      <c r="AB30" s="10" t="n">
        <v>0.2216591766792463</v>
      </c>
      <c r="AC30" s="10" t="n">
        <v>0.2581711984424382</v>
      </c>
      <c r="AD30" s="12" t="n">
        <v>13746960000</v>
      </c>
    </row>
    <row r="31">
      <c r="A31" s="8" t="inlineStr">
        <is>
          <t>GOOG</t>
        </is>
      </c>
      <c r="B31" s="8" t="inlineStr">
        <is>
          <t>Alphabet Inc.</t>
        </is>
      </c>
      <c r="C31" s="8" t="inlineStr">
        <is>
          <t>STANDARD</t>
        </is>
      </c>
      <c r="D31" s="8" t="n">
        <v>2016</v>
      </c>
      <c r="E31" s="8" t="inlineStr">
        <is>
          <t>2016-12-31</t>
        </is>
      </c>
      <c r="F31" s="8" t="inlineStr">
        <is>
          <t>0001652044-19-000004</t>
        </is>
      </c>
      <c r="G31" s="13" t="n">
        <v>90.27200000000001</v>
      </c>
      <c r="H31" s="13" t="n">
        <v>23.716</v>
      </c>
      <c r="I31" s="8" t="inlineStr">
        <is>
          <t>reported OperatingIncomeLoss (no interest expense tagged)</t>
        </is>
      </c>
      <c r="J31" s="13" t="n">
        <v>19.478</v>
      </c>
      <c r="K31" s="10" t="n">
        <v>0.21</v>
      </c>
      <c r="L31" s="13" t="n">
        <v>18.73564</v>
      </c>
      <c r="M31" s="13" t="n">
        <v>130.118</v>
      </c>
      <c r="N31" s="13" t="n">
        <v>119.5625</v>
      </c>
      <c r="O31" s="10" t="n">
        <v>0.1567016414009409</v>
      </c>
      <c r="P31" s="8" t="inlineStr">
        <is>
          <t>OK</t>
        </is>
      </c>
      <c r="Q31" s="10" t="n">
        <v>0.1501964397938057</v>
      </c>
      <c r="R31" s="10" t="n">
        <v>-0.006505201607135247</v>
      </c>
      <c r="S31" s="13" t="n">
        <v>139.036</v>
      </c>
      <c r="T31" s="13" t="n">
        <v>12.918</v>
      </c>
      <c r="U31" s="13" t="n">
        <v>4</v>
      </c>
      <c r="V31" s="8" t="inlineStr">
        <is>
          <t>short-term + long-term</t>
        </is>
      </c>
      <c r="W31" s="13" t="n"/>
      <c r="X31" s="11" t="n"/>
      <c r="Y31" s="11" t="n"/>
      <c r="Z31" s="13" t="n">
        <v>25.824</v>
      </c>
      <c r="AA31" s="8" t="inlineStr">
        <is>
          <t>operating cash flow - capex (working-capital swing already embedded)</t>
        </is>
      </c>
      <c r="AB31" s="10" t="n">
        <v>0.2860687699397377</v>
      </c>
      <c r="AC31" s="10" t="n">
        <v>0.2627171215880894</v>
      </c>
      <c r="AD31" s="12" t="n">
        <v>13825860000</v>
      </c>
    </row>
    <row r="32">
      <c r="A32" s="8" t="inlineStr">
        <is>
          <t>GOOG</t>
        </is>
      </c>
      <c r="B32" s="8" t="inlineStr">
        <is>
          <t>Alphabet Inc.</t>
        </is>
      </c>
      <c r="C32" s="8" t="inlineStr">
        <is>
          <t>STANDARD</t>
        </is>
      </c>
      <c r="D32" s="8" t="n">
        <v>2017</v>
      </c>
      <c r="E32" s="8" t="inlineStr">
        <is>
          <t>2017-12-31</t>
        </is>
      </c>
      <c r="F32" s="8" t="inlineStr">
        <is>
          <t>0001652044-20-000008</t>
        </is>
      </c>
      <c r="G32" s="13" t="n">
        <v>110.855</v>
      </c>
      <c r="H32" s="13" t="n">
        <v>26.178</v>
      </c>
      <c r="I32" s="8" t="inlineStr">
        <is>
          <t>reported OperatingIncomeLoss (no interest expense tagged)</t>
        </is>
      </c>
      <c r="J32" s="13" t="n">
        <v>12.662</v>
      </c>
      <c r="K32" s="10" t="n">
        <v>0.4</v>
      </c>
      <c r="L32" s="13" t="n">
        <v>15.7068</v>
      </c>
      <c r="M32" s="13" t="n">
        <v>145.813</v>
      </c>
      <c r="N32" s="13" t="n">
        <v>137.9655</v>
      </c>
      <c r="O32" s="10" t="n">
        <v>0.1138458527675397</v>
      </c>
      <c r="P32" s="8" t="inlineStr">
        <is>
          <t>OK</t>
        </is>
      </c>
      <c r="Q32" s="10" t="n">
        <v>0.08686346205297422</v>
      </c>
      <c r="R32" s="10" t="n">
        <v>-0.02698239071456549</v>
      </c>
      <c r="S32" s="13" t="n">
        <v>152.502</v>
      </c>
      <c r="T32" s="13" t="n">
        <v>10.715</v>
      </c>
      <c r="U32" s="13" t="n">
        <v>4.026</v>
      </c>
      <c r="V32" s="8" t="inlineStr">
        <is>
          <t>short-term + long-term</t>
        </is>
      </c>
      <c r="W32" s="13" t="n"/>
      <c r="X32" s="11" t="n"/>
      <c r="Y32" s="11" t="n"/>
      <c r="Z32" s="13" t="n">
        <v>23.907</v>
      </c>
      <c r="AA32" s="8" t="inlineStr">
        <is>
          <t>operating cash flow - capex (working-capital swing already embedded)</t>
        </is>
      </c>
      <c r="AB32" s="10" t="n">
        <v>0.2156600965224843</v>
      </c>
      <c r="AC32" s="10" t="n">
        <v>0.2361463172612873</v>
      </c>
      <c r="AD32" s="12" t="n">
        <v>13895660000</v>
      </c>
    </row>
    <row r="33">
      <c r="A33" s="8" t="inlineStr">
        <is>
          <t>GOOG</t>
        </is>
      </c>
      <c r="B33" s="8" t="inlineStr">
        <is>
          <t>Alphabet Inc.</t>
        </is>
      </c>
      <c r="C33" s="8" t="inlineStr">
        <is>
          <t>STANDARD</t>
        </is>
      </c>
      <c r="D33" s="8" t="n">
        <v>2018</v>
      </c>
      <c r="E33" s="8" t="inlineStr">
        <is>
          <t>2018-12-31</t>
        </is>
      </c>
      <c r="F33" s="8" t="inlineStr">
        <is>
          <t>0001652044-21-000010</t>
        </is>
      </c>
      <c r="G33" s="13" t="n">
        <v>136.819</v>
      </c>
      <c r="H33" s="13" t="n">
        <v>27.524</v>
      </c>
      <c r="I33" s="8" t="inlineStr">
        <is>
          <t>reported OperatingIncomeLoss (no interest expense tagged)</t>
        </is>
      </c>
      <c r="J33" s="13" t="n">
        <v>30.736</v>
      </c>
      <c r="K33" s="10" t="n">
        <v>0.1196402486179933</v>
      </c>
      <c r="L33" s="13" t="n">
        <v>24.23102179703835</v>
      </c>
      <c r="M33" s="13" t="n">
        <v>164.989</v>
      </c>
      <c r="N33" s="13" t="n">
        <v>155.401</v>
      </c>
      <c r="O33" s="10" t="n">
        <v>0.1559257778073394</v>
      </c>
      <c r="P33" s="8" t="inlineStr">
        <is>
          <t>OK</t>
        </is>
      </c>
      <c r="Q33" s="10" t="n">
        <v>0.1862054342228819</v>
      </c>
      <c r="R33" s="10" t="n">
        <v>0.03027965641554248</v>
      </c>
      <c r="S33" s="13" t="n">
        <v>177.628</v>
      </c>
      <c r="T33" s="13" t="n">
        <v>16.701</v>
      </c>
      <c r="U33" s="13" t="n">
        <v>4.062</v>
      </c>
      <c r="V33" s="8" t="inlineStr">
        <is>
          <t>short-term + long-term</t>
        </is>
      </c>
      <c r="W33" s="13" t="n"/>
      <c r="X33" s="11" t="n"/>
      <c r="Y33" s="11" t="n"/>
      <c r="Z33" s="13" t="n">
        <v>22.832</v>
      </c>
      <c r="AA33" s="8" t="inlineStr">
        <is>
          <t>operating cash flow - capex (working-capital swing already embedded)</t>
        </is>
      </c>
      <c r="AB33" s="10" t="n">
        <v>0.1668774073776303</v>
      </c>
      <c r="AC33" s="10" t="n">
        <v>0.2011708900079667</v>
      </c>
      <c r="AD33" s="12" t="n">
        <v>13911120000</v>
      </c>
    </row>
    <row r="34">
      <c r="A34" s="8" t="inlineStr">
        <is>
          <t>GOOG</t>
        </is>
      </c>
      <c r="B34" s="8" t="inlineStr">
        <is>
          <t>Alphabet Inc.</t>
        </is>
      </c>
      <c r="C34" s="8" t="inlineStr">
        <is>
          <t>STANDARD</t>
        </is>
      </c>
      <c r="D34" s="8" t="n">
        <v>2019</v>
      </c>
      <c r="E34" s="8" t="inlineStr">
        <is>
          <t>2019-12-31</t>
        </is>
      </c>
      <c r="F34" s="8" t="inlineStr">
        <is>
          <t>0001652044-22-000019</t>
        </is>
      </c>
      <c r="G34" s="13" t="n">
        <v>161.857</v>
      </c>
      <c r="H34" s="13" t="n">
        <v>34.231</v>
      </c>
      <c r="I34" s="8" t="inlineStr">
        <is>
          <t>reported OperatingIncomeLoss (no interest expense tagged)</t>
        </is>
      </c>
      <c r="J34" s="13" t="n">
        <v>34.343</v>
      </c>
      <c r="K34" s="10" t="n">
        <v>0.1332996845425868</v>
      </c>
      <c r="L34" s="13" t="n">
        <v>29.66801849842271</v>
      </c>
      <c r="M34" s="13" t="n">
        <v>187.629</v>
      </c>
      <c r="N34" s="13" t="n">
        <v>176.309</v>
      </c>
      <c r="O34" s="10" t="n">
        <v>0.1682728533337647</v>
      </c>
      <c r="P34" s="8" t="inlineStr">
        <is>
          <t>OK</t>
        </is>
      </c>
      <c r="Q34" s="10" t="n">
        <v>0.181196085155776</v>
      </c>
      <c r="R34" s="10" t="n">
        <v>0.01292323182201133</v>
      </c>
      <c r="S34" s="13" t="n">
        <v>201.442</v>
      </c>
      <c r="T34" s="13" t="n">
        <v>18.498</v>
      </c>
      <c r="U34" s="13" t="n">
        <v>4.685</v>
      </c>
      <c r="V34" s="8" t="inlineStr">
        <is>
          <t>short-term + long-term</t>
        </is>
      </c>
      <c r="W34" s="13" t="n"/>
      <c r="X34" s="11" t="n"/>
      <c r="Y34" s="11" t="n"/>
      <c r="Z34" s="13" t="n">
        <v>30.972</v>
      </c>
      <c r="AA34" s="8" t="inlineStr">
        <is>
          <t>operating cash flow - capex (working-capital swing already embedded)</t>
        </is>
      </c>
      <c r="AB34" s="10" t="n">
        <v>0.1913540965172961</v>
      </c>
      <c r="AC34" s="10" t="n">
        <v>0.2114891540063142</v>
      </c>
      <c r="AD34" s="12" t="n">
        <v>13766700000</v>
      </c>
    </row>
    <row r="35">
      <c r="A35" s="8" t="inlineStr">
        <is>
          <t>GOOG</t>
        </is>
      </c>
      <c r="B35" s="8" t="inlineStr">
        <is>
          <t>Alphabet Inc.</t>
        </is>
      </c>
      <c r="C35" s="8" t="inlineStr">
        <is>
          <t>STANDARD</t>
        </is>
      </c>
      <c r="D35" s="8" t="n">
        <v>2020</v>
      </c>
      <c r="E35" s="8" t="inlineStr">
        <is>
          <t>2020-12-31</t>
        </is>
      </c>
      <c r="F35" s="8" t="inlineStr">
        <is>
          <t>0001652044-23-000016</t>
        </is>
      </c>
      <c r="G35" s="13" t="n">
        <v>182.527</v>
      </c>
      <c r="H35" s="13" t="n">
        <v>41.224</v>
      </c>
      <c r="I35" s="8" t="inlineStr">
        <is>
          <t>reported OperatingIncomeLoss (no interest expense tagged)</t>
        </is>
      </c>
      <c r="J35" s="13" t="n">
        <v>40.269</v>
      </c>
      <c r="K35" s="10" t="n">
        <v>0.1624932407137806</v>
      </c>
      <c r="L35" s="13" t="n">
        <v>34.5253786448151</v>
      </c>
      <c r="M35" s="13" t="n">
        <v>211.398</v>
      </c>
      <c r="N35" s="13" t="n">
        <v>199.5135</v>
      </c>
      <c r="O35" s="10" t="n">
        <v>0.1730478320755994</v>
      </c>
      <c r="P35" s="8" t="inlineStr">
        <is>
          <t>OK</t>
        </is>
      </c>
      <c r="Q35" s="10" t="n">
        <v>0.1899543852863066</v>
      </c>
      <c r="R35" s="10" t="n">
        <v>0.01690655321070722</v>
      </c>
      <c r="S35" s="13" t="n">
        <v>222.544</v>
      </c>
      <c r="T35" s="13" t="n">
        <v>26.465</v>
      </c>
      <c r="U35" s="13" t="n">
        <v>15.319</v>
      </c>
      <c r="V35" s="8" t="inlineStr">
        <is>
          <t>short-term + long-term</t>
        </is>
      </c>
      <c r="W35" s="13" t="n"/>
      <c r="X35" s="11" t="n"/>
      <c r="Y35" s="11" t="n"/>
      <c r="Z35" s="13" t="n">
        <v>42.843</v>
      </c>
      <c r="AA35" s="8" t="inlineStr">
        <is>
          <t>operating cash flow - capex (working-capital swing already embedded)</t>
        </is>
      </c>
      <c r="AB35" s="10" t="n">
        <v>0.2347214384721165</v>
      </c>
      <c r="AC35" s="10" t="n">
        <v>0.225851517857632</v>
      </c>
      <c r="AD35" s="12" t="n">
        <v>13504440000</v>
      </c>
    </row>
    <row r="36">
      <c r="A36" s="8" t="inlineStr">
        <is>
          <t>GOOG</t>
        </is>
      </c>
      <c r="B36" s="8" t="inlineStr">
        <is>
          <t>Alphabet Inc.</t>
        </is>
      </c>
      <c r="C36" s="8" t="inlineStr">
        <is>
          <t>STANDARD</t>
        </is>
      </c>
      <c r="D36" s="8" t="n">
        <v>2021</v>
      </c>
      <c r="E36" s="8" t="inlineStr">
        <is>
          <t>2021-12-31</t>
        </is>
      </c>
      <c r="F36" s="8" t="inlineStr">
        <is>
          <t>0001652044-24-000022</t>
        </is>
      </c>
      <c r="G36" s="13" t="n">
        <v>257.637</v>
      </c>
      <c r="H36" s="13" t="n">
        <v>78.714</v>
      </c>
      <c r="I36" s="8" t="inlineStr">
        <is>
          <t>reported OperatingIncomeLoss (no interest expense tagged)</t>
        </is>
      </c>
      <c r="J36" s="13" t="n">
        <v>76.033</v>
      </c>
      <c r="K36" s="10" t="n">
        <v>0.1620230564066392</v>
      </c>
      <c r="L36" s="13" t="n">
        <v>65.9605171380078</v>
      </c>
      <c r="M36" s="13" t="n">
        <v>246.13</v>
      </c>
      <c r="N36" s="13" t="n">
        <v>228.764</v>
      </c>
      <c r="O36" s="10" t="n">
        <v>0.288334340796663</v>
      </c>
      <c r="P36" s="8" t="inlineStr">
        <is>
          <t>OK</t>
        </is>
      </c>
      <c r="Q36" s="10" t="n">
        <v>0.3206932403164206</v>
      </c>
      <c r="R36" s="10" t="n">
        <v>0.03235889951975762</v>
      </c>
      <c r="S36" s="13" t="n">
        <v>251.635</v>
      </c>
      <c r="T36" s="13" t="n">
        <v>20.945</v>
      </c>
      <c r="U36" s="13" t="n">
        <v>15.44</v>
      </c>
      <c r="V36" s="8" t="inlineStr">
        <is>
          <t>short-term + long-term</t>
        </is>
      </c>
      <c r="W36" s="13" t="n">
        <v>88.98699999999999</v>
      </c>
      <c r="X36" s="11" t="n">
        <v>-0.06186296874824412</v>
      </c>
      <c r="Y36" s="11" t="n"/>
      <c r="Z36" s="13" t="n">
        <v>49.719</v>
      </c>
      <c r="AA36" s="8" t="inlineStr">
        <is>
          <t>net income + D&amp;A - capex - change in operating working capital (cash and short-term debt excluded)</t>
        </is>
      </c>
      <c r="AB36" s="10" t="n">
        <v>0.1929808218540039</v>
      </c>
      <c r="AC36" s="10" t="n">
        <v>0.3055228868524319</v>
      </c>
      <c r="AD36" s="12" t="n">
        <v>264840000000</v>
      </c>
    </row>
    <row r="37">
      <c r="A37" s="8" t="inlineStr">
        <is>
          <t>GOOG</t>
        </is>
      </c>
      <c r="B37" s="8" t="inlineStr">
        <is>
          <t>Alphabet Inc.</t>
        </is>
      </c>
      <c r="C37" s="8" t="inlineStr">
        <is>
          <t>STANDARD</t>
        </is>
      </c>
      <c r="D37" s="8" t="n">
        <v>2022</v>
      </c>
      <c r="E37" s="8" t="inlineStr">
        <is>
          <t>2022-12-31</t>
        </is>
      </c>
      <c r="F37" s="8" t="inlineStr">
        <is>
          <t>0001652044-25-000014</t>
        </is>
      </c>
      <c r="G37" s="13" t="n"/>
      <c r="H37" s="13" t="n">
        <v>71.685</v>
      </c>
      <c r="I37" s="8" t="inlineStr">
        <is>
          <t>pretax_income + interest_expense</t>
        </is>
      </c>
      <c r="J37" s="13" t="n">
        <v>59.972</v>
      </c>
      <c r="K37" s="10" t="n">
        <v>0.1592081650964558</v>
      </c>
      <c r="L37" s="13" t="n">
        <v>60.27216268506056</v>
      </c>
      <c r="M37" s="13" t="n">
        <v>249.577</v>
      </c>
      <c r="N37" s="13" t="n">
        <v>247.8535</v>
      </c>
      <c r="O37" s="10" t="n">
        <v>0.2431765647249708</v>
      </c>
      <c r="P37" s="8" t="inlineStr">
        <is>
          <t>OK</t>
        </is>
      </c>
      <c r="Q37" s="10" t="n">
        <v>0.2362129981744026</v>
      </c>
      <c r="R37" s="10" t="n">
        <v>-0.006963566550568207</v>
      </c>
      <c r="S37" s="13" t="n">
        <v>256.144</v>
      </c>
      <c r="T37" s="13" t="n">
        <v>21.879</v>
      </c>
      <c r="U37" s="13" t="n">
        <v>15.312</v>
      </c>
      <c r="V37" s="8" t="inlineStr">
        <is>
          <t>short-term + long-term</t>
        </is>
      </c>
      <c r="W37" s="13" t="n">
        <v>85.16</v>
      </c>
      <c r="X37" s="11" t="n">
        <v>-0.07711366838891498</v>
      </c>
      <c r="Y37" s="11" t="n">
        <v>200.7983193277311</v>
      </c>
      <c r="Z37" s="13" t="n">
        <v>71.29000000000001</v>
      </c>
      <c r="AA37" s="8" t="inlineStr">
        <is>
          <t>net income + D&amp;A - capex - change in operating working capital (cash and short-term debt excluded)</t>
        </is>
      </c>
      <c r="AB37" s="10" t="n"/>
      <c r="AC37" s="10" t="n"/>
      <c r="AD37" s="12" t="n">
        <v>12849000000</v>
      </c>
    </row>
    <row r="38">
      <c r="A38" s="8" t="inlineStr">
        <is>
          <t>GOOG</t>
        </is>
      </c>
      <c r="B38" s="8" t="inlineStr">
        <is>
          <t>Alphabet Inc.</t>
        </is>
      </c>
      <c r="C38" s="8" t="inlineStr">
        <is>
          <t>STANDARD</t>
        </is>
      </c>
      <c r="D38" s="8" t="n">
        <v>2023</v>
      </c>
      <c r="E38" s="8" t="inlineStr">
        <is>
          <t>2023-12-31</t>
        </is>
      </c>
      <c r="F38" s="8" t="inlineStr">
        <is>
          <t>0001652044-26-000018</t>
        </is>
      </c>
      <c r="G38" s="13" t="n">
        <v>307.394</v>
      </c>
      <c r="H38" s="13" t="n">
        <v>86.02500000000001</v>
      </c>
      <c r="I38" s="8" t="inlineStr">
        <is>
          <t>pretax_income + interest_expense</t>
        </is>
      </c>
      <c r="J38" s="13" t="n">
        <v>73.795</v>
      </c>
      <c r="K38" s="10" t="n">
        <v>0.1390855956228053</v>
      </c>
      <c r="L38" s="13" t="n">
        <v>74.06016163654817</v>
      </c>
      <c r="M38" s="13" t="n">
        <v>272.331</v>
      </c>
      <c r="N38" s="13" t="n">
        <v>260.954</v>
      </c>
      <c r="O38" s="10" t="n">
        <v>0.283805427916599</v>
      </c>
      <c r="P38" s="8" t="inlineStr">
        <is>
          <t>OK</t>
        </is>
      </c>
      <c r="Q38" s="10" t="n">
        <v>0.2735564563512584</v>
      </c>
      <c r="R38" s="10" t="n">
        <v>-0.01024897156534055</v>
      </c>
      <c r="S38" s="13" t="n">
        <v>283.379</v>
      </c>
      <c r="T38" s="13" t="n">
        <v>24.048</v>
      </c>
      <c r="U38" s="13" t="n">
        <v>13</v>
      </c>
      <c r="V38" s="8" t="inlineStr">
        <is>
          <t>short-term + long-term</t>
        </is>
      </c>
      <c r="W38" s="13" t="n">
        <v>97.971</v>
      </c>
      <c r="X38" s="11" t="n">
        <v>-0.1127680640189444</v>
      </c>
      <c r="Y38" s="11" t="n">
        <v>279.301948051948</v>
      </c>
      <c r="Z38" s="13" t="n">
        <v>61.438</v>
      </c>
      <c r="AA38" s="8" t="inlineStr">
        <is>
          <t>net income + D&amp;A - capex - change in operating working capital (cash and short-term debt excluded)</t>
        </is>
      </c>
      <c r="AB38" s="10" t="n">
        <v>0.1998672713195443</v>
      </c>
      <c r="AC38" s="10" t="n">
        <v>0.2798525670637683</v>
      </c>
      <c r="AD38" s="12" t="n">
        <v>12460000000</v>
      </c>
    </row>
    <row r="39">
      <c r="A39" s="8" t="inlineStr">
        <is>
          <t>GOOG</t>
        </is>
      </c>
      <c r="B39" s="8" t="inlineStr">
        <is>
          <t>Alphabet Inc.</t>
        </is>
      </c>
      <c r="C39" s="8" t="inlineStr">
        <is>
          <t>STANDARD</t>
        </is>
      </c>
      <c r="D39" s="8" t="n">
        <v>2024</v>
      </c>
      <c r="E39" s="8" t="inlineStr">
        <is>
          <t>2024-12-31</t>
        </is>
      </c>
      <c r="F39" s="8" t="inlineStr">
        <is>
          <t>0001652044-26-000018</t>
        </is>
      </c>
      <c r="G39" s="13" t="n">
        <v>350.018</v>
      </c>
      <c r="H39" s="13" t="n">
        <v>120.083</v>
      </c>
      <c r="I39" s="8" t="inlineStr">
        <is>
          <t>pretax_income + interest_expense</t>
        </is>
      </c>
      <c r="J39" s="13" t="n">
        <v>100.118</v>
      </c>
      <c r="K39" s="10" t="n">
        <v>0.1643951091265701</v>
      </c>
      <c r="L39" s="13" t="n">
        <v>100.3419421107541</v>
      </c>
      <c r="M39" s="13" t="n">
        <v>315.918</v>
      </c>
      <c r="N39" s="13" t="n">
        <v>294.1245</v>
      </c>
      <c r="O39" s="10" t="n">
        <v>0.3411546542731194</v>
      </c>
      <c r="P39" s="8" t="inlineStr">
        <is>
          <t>OK</t>
        </is>
      </c>
      <c r="Q39" s="10" t="n">
        <v>0.3290849238162386</v>
      </c>
      <c r="R39" s="10" t="n">
        <v>-0.01206973045688076</v>
      </c>
      <c r="S39" s="13" t="n">
        <v>325.084</v>
      </c>
      <c r="T39" s="13" t="n">
        <v>23.466</v>
      </c>
      <c r="U39" s="13" t="n">
        <v>14.3</v>
      </c>
      <c r="V39" s="8" t="inlineStr">
        <is>
          <t>short-term + long-term</t>
        </is>
      </c>
      <c r="W39" s="13" t="n">
        <v>135.394</v>
      </c>
      <c r="X39" s="11" t="n">
        <v>-0.06769871633898104</v>
      </c>
      <c r="Y39" s="11" t="n">
        <v>448.0708955223881</v>
      </c>
      <c r="Z39" s="13" t="n">
        <v>75.139</v>
      </c>
      <c r="AA39" s="8" t="inlineStr">
        <is>
          <t>net income + D&amp;A - capex - change in operating working capital (cash and short-term debt excluded)</t>
        </is>
      </c>
      <c r="AB39" s="10" t="n">
        <v>0.2146718168779891</v>
      </c>
      <c r="AC39" s="10" t="n">
        <v>0.3430766417727089</v>
      </c>
      <c r="AD39" s="12" t="n">
        <v>12211000000</v>
      </c>
    </row>
    <row r="40">
      <c r="A40" s="8" t="inlineStr">
        <is>
          <t>GOOG</t>
        </is>
      </c>
      <c r="B40" s="8" t="inlineStr">
        <is>
          <t>Alphabet Inc.</t>
        </is>
      </c>
      <c r="C40" s="8" t="inlineStr">
        <is>
          <t>STANDARD</t>
        </is>
      </c>
      <c r="D40" s="8" t="n">
        <v>2025</v>
      </c>
      <c r="E40" s="8" t="inlineStr">
        <is>
          <t>2025-12-31</t>
        </is>
      </c>
      <c r="F40" s="8" t="inlineStr">
        <is>
          <t>0001652044-26-000018</t>
        </is>
      </c>
      <c r="G40" s="13" t="n">
        <v>402.836</v>
      </c>
      <c r="H40" s="13" t="n">
        <v>159.562</v>
      </c>
      <c r="I40" s="8" t="inlineStr">
        <is>
          <t>pretax_income + interest_expense</t>
        </is>
      </c>
      <c r="J40" s="13" t="n">
        <v>132.17</v>
      </c>
      <c r="K40" s="10" t="n">
        <v>0.1678314633624218</v>
      </c>
      <c r="L40" s="13" t="n">
        <v>132.7824760429652</v>
      </c>
      <c r="M40" s="13" t="n">
        <v>433.642</v>
      </c>
      <c r="N40" s="13" t="n">
        <v>374.78</v>
      </c>
      <c r="O40" s="10" t="n">
        <v>0.354294455528484</v>
      </c>
      <c r="P40" s="8" t="inlineStr">
        <is>
          <t>OK</t>
        </is>
      </c>
      <c r="Q40" s="10" t="n">
        <v>0.3570478247421149</v>
      </c>
      <c r="R40" s="10" t="n">
        <v>0.002753369213630841</v>
      </c>
      <c r="S40" s="13" t="n">
        <v>415.265</v>
      </c>
      <c r="T40" s="13" t="n">
        <v>30.708</v>
      </c>
      <c r="U40" s="13" t="n">
        <v>49.085</v>
      </c>
      <c r="V40" s="8" t="inlineStr">
        <is>
          <t>short-term + long-term</t>
        </is>
      </c>
      <c r="W40" s="13" t="n">
        <v>180.698</v>
      </c>
      <c r="X40" s="11" t="n">
        <v>0.1017000741568805</v>
      </c>
      <c r="Y40" s="11" t="n">
        <v>216.7961956521739</v>
      </c>
      <c r="Z40" s="13" t="n">
        <v>42.697</v>
      </c>
      <c r="AA40" s="8" t="inlineStr">
        <is>
          <t>net income + D&amp;A - capex - change in operating working capital (cash and short-term debt excluded)</t>
        </is>
      </c>
      <c r="AB40" s="10" t="n">
        <v>0.1059910236423756</v>
      </c>
      <c r="AC40" s="10" t="n">
        <v>0.3960966745772473</v>
      </c>
      <c r="AD40" s="12" t="n">
        <v>12088000000</v>
      </c>
    </row>
    <row r="41">
      <c r="A41" s="8" t="inlineStr">
        <is>
          <t>MSFT</t>
        </is>
      </c>
      <c r="B41" s="8" t="inlineStr">
        <is>
          <t>MICROSOFT CORP</t>
        </is>
      </c>
      <c r="C41" s="8" t="inlineStr">
        <is>
          <t>STANDARD</t>
        </is>
      </c>
      <c r="D41" s="8" t="n">
        <v>2015</v>
      </c>
      <c r="E41" s="8" t="inlineStr">
        <is>
          <t>2015-06-30</t>
        </is>
      </c>
      <c r="F41" s="8" t="inlineStr">
        <is>
          <t>0001564590-17-014900</t>
        </is>
      </c>
      <c r="G41" s="13" t="n"/>
      <c r="H41" s="13" t="n">
        <v>18.161</v>
      </c>
      <c r="I41" s="8" t="inlineStr">
        <is>
          <t>reported OperatingIncomeLoss (no interest expense tagged)</t>
        </is>
      </c>
      <c r="J41" s="13" t="n">
        <v>12.193</v>
      </c>
      <c r="K41" s="10" t="n">
        <v>0.21</v>
      </c>
      <c r="L41" s="13" t="n">
        <v>14.34719</v>
      </c>
      <c r="M41" s="13" t="n">
        <v>104.795</v>
      </c>
      <c r="N41" s="13" t="n">
        <v>104.795</v>
      </c>
      <c r="O41" s="10" t="n">
        <v>0.1369071997709815</v>
      </c>
      <c r="P41" s="8" t="inlineStr">
        <is>
          <t>OK</t>
        </is>
      </c>
      <c r="Q41" s="10" t="n">
        <v>0.1522545359189841</v>
      </c>
      <c r="R41" s="10" t="n">
        <v>0.0153473361480026</v>
      </c>
      <c r="S41" s="13" t="n">
        <v>80.083</v>
      </c>
      <c r="T41" s="13" t="n">
        <v>5.595</v>
      </c>
      <c r="U41" s="13" t="n">
        <v>30.307</v>
      </c>
      <c r="V41" s="8" t="inlineStr">
        <is>
          <t>short-term + long-term</t>
        </is>
      </c>
      <c r="W41" s="13" t="n">
        <v>22.261</v>
      </c>
      <c r="X41" s="11" t="n">
        <v>1.110102870490993</v>
      </c>
      <c r="Y41" s="11" t="n"/>
      <c r="Z41" s="13" t="n"/>
      <c r="AA41" s="8" t="inlineStr">
        <is>
          <t>net income + D&amp;A - capex - change in no prior year</t>
        </is>
      </c>
      <c r="AB41" s="10" t="n"/>
      <c r="AC41" s="10" t="n"/>
      <c r="AD41" s="12" t="n">
        <v>8027000000</v>
      </c>
    </row>
    <row r="42">
      <c r="A42" s="8" t="inlineStr">
        <is>
          <t>MSFT</t>
        </is>
      </c>
      <c r="B42" s="8" t="inlineStr">
        <is>
          <t>MICROSOFT CORP</t>
        </is>
      </c>
      <c r="C42" s="8" t="inlineStr">
        <is>
          <t>STANDARD</t>
        </is>
      </c>
      <c r="D42" s="8" t="n">
        <v>2016</v>
      </c>
      <c r="E42" s="8" t="inlineStr">
        <is>
          <t>2016-06-30</t>
        </is>
      </c>
      <c r="F42" s="8" t="inlineStr">
        <is>
          <t>0001564590-18-019062</t>
        </is>
      </c>
      <c r="G42" s="13" t="n">
        <v>91.154</v>
      </c>
      <c r="H42" s="13" t="n">
        <v>26.078</v>
      </c>
      <c r="I42" s="8" t="inlineStr">
        <is>
          <t>reported OperatingIncomeLoss (no interest expense tagged)</t>
        </is>
      </c>
      <c r="J42" s="13" t="n">
        <v>20.539</v>
      </c>
      <c r="K42" s="10" t="n">
        <v>0.21</v>
      </c>
      <c r="L42" s="13" t="n">
        <v>20.60162</v>
      </c>
      <c r="M42" s="13" t="n">
        <v>117.137</v>
      </c>
      <c r="N42" s="13" t="n">
        <v>110.966</v>
      </c>
      <c r="O42" s="10" t="n">
        <v>0.1856570481048249</v>
      </c>
      <c r="P42" s="8" t="inlineStr">
        <is>
          <t>OK</t>
        </is>
      </c>
      <c r="Q42" s="10" t="n">
        <v>0.2517450803748169</v>
      </c>
      <c r="R42" s="10" t="n">
        <v>0.06608803226999202</v>
      </c>
      <c r="S42" s="13" t="n">
        <v>83.09</v>
      </c>
      <c r="T42" s="13" t="n">
        <v>6.51</v>
      </c>
      <c r="U42" s="13" t="n">
        <v>40.557</v>
      </c>
      <c r="V42" s="8" t="inlineStr">
        <is>
          <t>short-term + long-term</t>
        </is>
      </c>
      <c r="W42" s="13" t="n">
        <v>30.978</v>
      </c>
      <c r="X42" s="11" t="n">
        <v>1.099070307960488</v>
      </c>
      <c r="Y42" s="11" t="n"/>
      <c r="Z42" s="13" t="n">
        <v>13.357</v>
      </c>
      <c r="AA42" s="8" t="inlineStr">
        <is>
          <t>net income + D&amp;A - capex - change in operating working capital (cash and short-term debt excluded)</t>
        </is>
      </c>
      <c r="AB42" s="10" t="n">
        <v>0.1465322421396757</v>
      </c>
      <c r="AC42" s="10" t="n">
        <v>0.2860872808653487</v>
      </c>
      <c r="AD42" s="12" t="n">
        <v>7808000000</v>
      </c>
    </row>
    <row r="43">
      <c r="A43" s="8" t="inlineStr">
        <is>
          <t>MSFT</t>
        </is>
      </c>
      <c r="B43" s="8" t="inlineStr">
        <is>
          <t>MICROSOFT CORP</t>
        </is>
      </c>
      <c r="C43" s="8" t="inlineStr">
        <is>
          <t>STANDARD</t>
        </is>
      </c>
      <c r="D43" s="8" t="n">
        <v>2017</v>
      </c>
      <c r="E43" s="8" t="inlineStr">
        <is>
          <t>2017-06-30</t>
        </is>
      </c>
      <c r="F43" s="8" t="inlineStr">
        <is>
          <t>0001564590-19-027952</t>
        </is>
      </c>
      <c r="G43" s="13" t="n">
        <v>96.571</v>
      </c>
      <c r="H43" s="13" t="n">
        <v>29.025</v>
      </c>
      <c r="I43" s="8" t="inlineStr">
        <is>
          <t>reported OperatingIncomeLoss (no interest expense tagged)</t>
        </is>
      </c>
      <c r="J43" s="13" t="n">
        <v>25.489</v>
      </c>
      <c r="K43" s="10" t="n">
        <v>0.21</v>
      </c>
      <c r="L43" s="13" t="n">
        <v>22.92975</v>
      </c>
      <c r="M43" s="13" t="n">
        <v>157.17</v>
      </c>
      <c r="N43" s="13" t="n">
        <v>137.1535</v>
      </c>
      <c r="O43" s="10" t="n">
        <v>0.1671831196433193</v>
      </c>
      <c r="P43" s="8" t="inlineStr">
        <is>
          <t>OK</t>
        </is>
      </c>
      <c r="Q43" s="10" t="n">
        <v>0.2984642947055345</v>
      </c>
      <c r="R43" s="10" t="n">
        <v>0.1312811750622152</v>
      </c>
      <c r="S43" s="13" t="n">
        <v>87.711</v>
      </c>
      <c r="T43" s="13" t="n">
        <v>7.663</v>
      </c>
      <c r="U43" s="13" t="n">
        <v>77.122</v>
      </c>
      <c r="V43" s="8" t="inlineStr">
        <is>
          <t>short-term + long-term</t>
        </is>
      </c>
      <c r="W43" s="13" t="n">
        <v>35.125</v>
      </c>
      <c r="X43" s="11" t="n">
        <v>1.977480427046263</v>
      </c>
      <c r="Y43" s="11" t="n"/>
      <c r="Z43" s="13" t="n">
        <v>-3.084</v>
      </c>
      <c r="AA43" s="8" t="inlineStr">
        <is>
          <t>net income + D&amp;A - capex - change in operating working capital (cash and short-term debt excluded)</t>
        </is>
      </c>
      <c r="AB43" s="10" t="n">
        <v>-0.03193505296621139</v>
      </c>
      <c r="AC43" s="10" t="n">
        <v>0.3005560675565128</v>
      </c>
      <c r="AD43" s="12" t="n">
        <v>7708000000</v>
      </c>
    </row>
    <row r="44">
      <c r="A44" s="8" t="inlineStr">
        <is>
          <t>MSFT</t>
        </is>
      </c>
      <c r="B44" s="8" t="inlineStr">
        <is>
          <t>MICROSOFT CORP</t>
        </is>
      </c>
      <c r="C44" s="8" t="inlineStr">
        <is>
          <t>STANDARD</t>
        </is>
      </c>
      <c r="D44" s="8" t="n">
        <v>2018</v>
      </c>
      <c r="E44" s="8" t="inlineStr">
        <is>
          <t>2018-06-30</t>
        </is>
      </c>
      <c r="F44" s="8" t="inlineStr">
        <is>
          <t>0001564590-20-034944</t>
        </is>
      </c>
      <c r="G44" s="13" t="n">
        <v>110.36</v>
      </c>
      <c r="H44" s="13" t="n">
        <v>35.058</v>
      </c>
      <c r="I44" s="8" t="inlineStr">
        <is>
          <t>reported OperatingIncomeLoss (no interest expense tagged)</t>
        </is>
      </c>
      <c r="J44" s="13" t="n">
        <v>16.571</v>
      </c>
      <c r="K44" s="10" t="n">
        <v>0.21</v>
      </c>
      <c r="L44" s="13" t="n">
        <v>27.69582</v>
      </c>
      <c r="M44" s="13" t="n">
        <v>147.012</v>
      </c>
      <c r="N44" s="13" t="n">
        <v>152.091</v>
      </c>
      <c r="O44" s="10" t="n">
        <v>0.1821003215180385</v>
      </c>
      <c r="P44" s="8" t="inlineStr">
        <is>
          <t>OK</t>
        </is>
      </c>
      <c r="Q44" s="10" t="n">
        <v>0.1944622100698825</v>
      </c>
      <c r="R44" s="10" t="n">
        <v>0.01236188855184395</v>
      </c>
      <c r="S44" s="13" t="n">
        <v>82.718</v>
      </c>
      <c r="T44" s="13" t="n">
        <v>11.946</v>
      </c>
      <c r="U44" s="13" t="n">
        <v>76.23999999999999</v>
      </c>
      <c r="V44" s="8" t="inlineStr">
        <is>
          <t>short-term + long-term</t>
        </is>
      </c>
      <c r="W44" s="13" t="n">
        <v>42.758</v>
      </c>
      <c r="X44" s="11" t="n">
        <v>1.50367182749427</v>
      </c>
      <c r="Y44" s="11" t="n"/>
      <c r="Z44" s="13" t="n">
        <v>9.75</v>
      </c>
      <c r="AA44" s="8" t="inlineStr">
        <is>
          <t>net income + D&amp;A - capex - change in operating working capital (cash and short-term debt excluded)</t>
        </is>
      </c>
      <c r="AB44" s="10" t="n">
        <v>0.08834722725625227</v>
      </c>
      <c r="AC44" s="10" t="n">
        <v>0.3176694454512505</v>
      </c>
      <c r="AD44" s="12" t="n">
        <v>7677000000</v>
      </c>
    </row>
    <row r="45">
      <c r="A45" s="8" t="inlineStr">
        <is>
          <t>MSFT</t>
        </is>
      </c>
      <c r="B45" s="8" t="inlineStr">
        <is>
          <t>MICROSOFT CORP</t>
        </is>
      </c>
      <c r="C45" s="8" t="inlineStr">
        <is>
          <t>STANDARD</t>
        </is>
      </c>
      <c r="D45" s="8" t="n">
        <v>2019</v>
      </c>
      <c r="E45" s="8" t="inlineStr">
        <is>
          <t>2019-06-30</t>
        </is>
      </c>
      <c r="F45" s="8" t="inlineStr">
        <is>
          <t>0001564590-21-039151</t>
        </is>
      </c>
      <c r="G45" s="13" t="n">
        <v>125.843</v>
      </c>
      <c r="H45" s="13" t="n">
        <v>42.959</v>
      </c>
      <c r="I45" s="8" t="inlineStr">
        <is>
          <t>reported OperatingIncomeLoss (no interest expense tagged)</t>
        </is>
      </c>
      <c r="J45" s="13" t="n">
        <v>39.24</v>
      </c>
      <c r="K45" s="10" t="n">
        <v>0.21</v>
      </c>
      <c r="L45" s="13" t="n">
        <v>33.93761</v>
      </c>
      <c r="M45" s="13" t="n">
        <v>163.152</v>
      </c>
      <c r="N45" s="13" t="n">
        <v>155.082</v>
      </c>
      <c r="O45" s="10" t="n">
        <v>0.21883655098593</v>
      </c>
      <c r="P45" s="8" t="inlineStr">
        <is>
          <t>OK</t>
        </is>
      </c>
      <c r="Q45" s="10" t="n">
        <v>0.4241061778565561</v>
      </c>
      <c r="R45" s="10" t="n">
        <v>0.2052696268706261</v>
      </c>
      <c r="S45" s="13" t="n">
        <v>102.33</v>
      </c>
      <c r="T45" s="13" t="n">
        <v>11.356</v>
      </c>
      <c r="U45" s="13" t="n">
        <v>72.178</v>
      </c>
      <c r="V45" s="8" t="inlineStr">
        <is>
          <t>short-term + long-term</t>
        </is>
      </c>
      <c r="W45" s="13" t="n">
        <v>52.659</v>
      </c>
      <c r="X45" s="11" t="n">
        <v>1.155016236540762</v>
      </c>
      <c r="Y45" s="11" t="n"/>
      <c r="Z45" s="13" t="n">
        <v>37.949</v>
      </c>
      <c r="AA45" s="8" t="inlineStr">
        <is>
          <t>net income + D&amp;A - capex - change in operating working capital (cash and short-term debt excluded)</t>
        </is>
      </c>
      <c r="AB45" s="10" t="n">
        <v>0.3015582908862631</v>
      </c>
      <c r="AC45" s="10" t="n">
        <v>0.3413698020549415</v>
      </c>
      <c r="AD45" s="12" t="n">
        <v>7643000000</v>
      </c>
    </row>
    <row r="46">
      <c r="A46" s="8" t="inlineStr">
        <is>
          <t>MSFT</t>
        </is>
      </c>
      <c r="B46" s="8" t="inlineStr">
        <is>
          <t>MICROSOFT CORP</t>
        </is>
      </c>
      <c r="C46" s="8" t="inlineStr">
        <is>
          <t>STANDARD</t>
        </is>
      </c>
      <c r="D46" s="8" t="n">
        <v>2020</v>
      </c>
      <c r="E46" s="8" t="inlineStr">
        <is>
          <t>2020-06-30</t>
        </is>
      </c>
      <c r="F46" s="8" t="inlineStr">
        <is>
          <t>0001564590-22-026876</t>
        </is>
      </c>
      <c r="G46" s="13" t="n">
        <v>143.015</v>
      </c>
      <c r="H46" s="13" t="n">
        <v>52.959</v>
      </c>
      <c r="I46" s="8" t="inlineStr">
        <is>
          <t>reported OperatingIncomeLoss (no interest expense tagged)</t>
        </is>
      </c>
      <c r="J46" s="13" t="n">
        <v>44.281</v>
      </c>
      <c r="K46" s="10" t="n">
        <v>0.165076551776152</v>
      </c>
      <c r="L46" s="13" t="n">
        <v>44.21671089448677</v>
      </c>
      <c r="M46" s="13" t="n">
        <v>168.055</v>
      </c>
      <c r="N46" s="13" t="n">
        <v>165.6035</v>
      </c>
      <c r="O46" s="10" t="n">
        <v>0.2670034805694733</v>
      </c>
      <c r="P46" s="8" t="inlineStr">
        <is>
          <t>OK</t>
        </is>
      </c>
      <c r="Q46" s="10" t="n">
        <v>0.401397790005167</v>
      </c>
      <c r="R46" s="10" t="n">
        <v>0.1343943094356937</v>
      </c>
      <c r="S46" s="13" t="n">
        <v>118.304</v>
      </c>
      <c r="T46" s="13" t="n">
        <v>13.576</v>
      </c>
      <c r="U46" s="13" t="n">
        <v>63.327</v>
      </c>
      <c r="V46" s="8" t="inlineStr">
        <is>
          <t>short-term + long-term</t>
        </is>
      </c>
      <c r="W46" s="13" t="n">
        <v>63.659</v>
      </c>
      <c r="X46" s="11" t="n">
        <v>0.7815234295229269</v>
      </c>
      <c r="Y46" s="11" t="n"/>
      <c r="Z46" s="13" t="n">
        <v>40.054</v>
      </c>
      <c r="AA46" s="8" t="inlineStr">
        <is>
          <t>net income + D&amp;A - capex - change in operating working capital (cash and short-term debt excluded)</t>
        </is>
      </c>
      <c r="AB46" s="10" t="n">
        <v>0.2800685242806699</v>
      </c>
      <c r="AC46" s="10" t="n">
        <v>0.3703038142852149</v>
      </c>
      <c r="AD46" s="12" t="n">
        <v>7571000000</v>
      </c>
    </row>
    <row r="47">
      <c r="A47" s="8" t="inlineStr">
        <is>
          <t>MSFT</t>
        </is>
      </c>
      <c r="B47" s="8" t="inlineStr">
        <is>
          <t>MICROSOFT CORP</t>
        </is>
      </c>
      <c r="C47" s="8" t="inlineStr">
        <is>
          <t>STANDARD</t>
        </is>
      </c>
      <c r="D47" s="8" t="n">
        <v>2021</v>
      </c>
      <c r="E47" s="8" t="inlineStr">
        <is>
          <t>2021-06-30</t>
        </is>
      </c>
      <c r="F47" s="8" t="inlineStr">
        <is>
          <t>0000950170-23-035122</t>
        </is>
      </c>
      <c r="G47" s="13" t="n">
        <v>168.088</v>
      </c>
      <c r="H47" s="13" t="n">
        <v>69.916</v>
      </c>
      <c r="I47" s="8" t="inlineStr">
        <is>
          <t>reported OperatingIncomeLoss (no interest expense tagged)</t>
        </is>
      </c>
      <c r="J47" s="13" t="n">
        <v>61.271</v>
      </c>
      <c r="K47" s="10" t="n">
        <v>0.138266152850834</v>
      </c>
      <c r="L47" s="13" t="n">
        <v>60.24898365728109</v>
      </c>
      <c r="M47" s="13" t="n">
        <v>185.91</v>
      </c>
      <c r="N47" s="13" t="n">
        <v>176.9825</v>
      </c>
      <c r="O47" s="10" t="n">
        <v>0.3404233958571107</v>
      </c>
      <c r="P47" s="8" t="inlineStr">
        <is>
          <t>OK</t>
        </is>
      </c>
      <c r="Q47" s="10" t="n">
        <v>0.4707866549874756</v>
      </c>
      <c r="R47" s="10" t="n">
        <v>0.130363259130365</v>
      </c>
      <c r="S47" s="13" t="n">
        <v>141.988</v>
      </c>
      <c r="T47" s="13" t="n">
        <v>14.224</v>
      </c>
      <c r="U47" s="13" t="n">
        <v>58.146</v>
      </c>
      <c r="V47" s="8" t="inlineStr">
        <is>
          <t>short-term + long-term</t>
        </is>
      </c>
      <c r="W47" s="13" t="n">
        <v>79.21599999999999</v>
      </c>
      <c r="X47" s="11" t="n">
        <v>0.5544586952130882</v>
      </c>
      <c r="Y47" s="11" t="n"/>
      <c r="Z47" s="13" t="n">
        <v>60.13</v>
      </c>
      <c r="AA47" s="8" t="inlineStr">
        <is>
          <t>net income + D&amp;A - capex - change in operating working capital (cash and short-term debt excluded)</t>
        </is>
      </c>
      <c r="AB47" s="10" t="n">
        <v>0.357729284660416</v>
      </c>
      <c r="AC47" s="10" t="n">
        <v>0.415948788729713</v>
      </c>
      <c r="AD47" s="12" t="n">
        <v>7519000000</v>
      </c>
    </row>
    <row r="48">
      <c r="A48" s="8" t="inlineStr">
        <is>
          <t>MSFT</t>
        </is>
      </c>
      <c r="B48" s="8" t="inlineStr">
        <is>
          <t>MICROSOFT CORP</t>
        </is>
      </c>
      <c r="C48" s="8" t="inlineStr">
        <is>
          <t>STANDARD</t>
        </is>
      </c>
      <c r="D48" s="8" t="n">
        <v>2022</v>
      </c>
      <c r="E48" s="8" t="inlineStr">
        <is>
          <t>2022-06-30</t>
        </is>
      </c>
      <c r="F48" s="8" t="inlineStr">
        <is>
          <t>0000950170-24-087843</t>
        </is>
      </c>
      <c r="G48" s="13" t="n">
        <v>198.27</v>
      </c>
      <c r="H48" s="13" t="n">
        <v>83.383</v>
      </c>
      <c r="I48" s="8" t="inlineStr">
        <is>
          <t>reported OperatingIncomeLoss (no interest expense tagged)</t>
        </is>
      </c>
      <c r="J48" s="13" t="n">
        <v>72.738</v>
      </c>
      <c r="K48" s="10" t="n">
        <v>0.1311338334368579</v>
      </c>
      <c r="L48" s="13" t="n">
        <v>72.44866756653447</v>
      </c>
      <c r="M48" s="13" t="n">
        <v>202.392</v>
      </c>
      <c r="N48" s="13" t="n">
        <v>194.151</v>
      </c>
      <c r="O48" s="10" t="n">
        <v>0.3731562936401794</v>
      </c>
      <c r="P48" s="8" t="inlineStr">
        <is>
          <t>OK</t>
        </is>
      </c>
      <c r="Q48" s="10" t="n">
        <v>0.4715133050270638</v>
      </c>
      <c r="R48" s="10" t="n">
        <v>0.09835701138688446</v>
      </c>
      <c r="S48" s="13" t="n">
        <v>166.542</v>
      </c>
      <c r="T48" s="13" t="n">
        <v>13.931</v>
      </c>
      <c r="U48" s="13" t="n">
        <v>49.781</v>
      </c>
      <c r="V48" s="8" t="inlineStr">
        <is>
          <t>short-term + long-term</t>
        </is>
      </c>
      <c r="W48" s="13" t="n">
        <v>95.983</v>
      </c>
      <c r="X48" s="11" t="n">
        <v>0.3735036412698082</v>
      </c>
      <c r="Y48" s="11" t="n"/>
      <c r="Z48" s="13" t="n">
        <v>87.629</v>
      </c>
      <c r="AA48" s="8" t="inlineStr">
        <is>
          <t>net income + D&amp;A - capex - change in operating working capital (cash and short-term debt excluded)</t>
        </is>
      </c>
      <c r="AB48" s="10" t="n">
        <v>0.441968023402431</v>
      </c>
      <c r="AC48" s="10" t="n">
        <v>0.4205527815604983</v>
      </c>
      <c r="AD48" s="12" t="n">
        <v>7464000000</v>
      </c>
    </row>
    <row r="49">
      <c r="A49" s="8" t="inlineStr">
        <is>
          <t>MSFT</t>
        </is>
      </c>
      <c r="B49" s="8" t="inlineStr">
        <is>
          <t>MICROSOFT CORP</t>
        </is>
      </c>
      <c r="C49" s="8" t="inlineStr">
        <is>
          <t>STANDARD</t>
        </is>
      </c>
      <c r="D49" s="8" t="n">
        <v>2023</v>
      </c>
      <c r="E49" s="8" t="inlineStr">
        <is>
          <t>2023-06-30</t>
        </is>
      </c>
      <c r="F49" s="8" t="inlineStr">
        <is>
          <t>0000950170-25-100235</t>
        </is>
      </c>
      <c r="G49" s="13" t="n">
        <v>211.915</v>
      </c>
      <c r="H49" s="13" t="n">
        <v>91.279</v>
      </c>
      <c r="I49" s="8" t="inlineStr">
        <is>
          <t>pretax_income + interest_expense</t>
        </is>
      </c>
      <c r="J49" s="13" t="n">
        <v>72.361</v>
      </c>
      <c r="K49" s="10" t="n">
        <v>0.1897862525332826</v>
      </c>
      <c r="L49" s="13" t="n">
        <v>73.95550065501452</v>
      </c>
      <c r="M49" s="13" t="n">
        <v>218.756</v>
      </c>
      <c r="N49" s="13" t="n">
        <v>210.574</v>
      </c>
      <c r="O49" s="10" t="n">
        <v>0.3512090792548677</v>
      </c>
      <c r="P49" s="8" t="inlineStr">
        <is>
          <t>OK</t>
        </is>
      </c>
      <c r="Q49" s="10" t="n">
        <v>0.3882392391989591</v>
      </c>
      <c r="R49" s="10" t="n">
        <v>0.03703015994409142</v>
      </c>
      <c r="S49" s="13" t="n">
        <v>206.223</v>
      </c>
      <c r="T49" s="13" t="n">
        <v>34.704</v>
      </c>
      <c r="U49" s="13" t="n">
        <v>47.237</v>
      </c>
      <c r="V49" s="8" t="inlineStr">
        <is>
          <t>short-term + long-term</t>
        </is>
      </c>
      <c r="W49" s="13" t="n">
        <v>102.279</v>
      </c>
      <c r="X49" s="11" t="n">
        <v>0.1225373732633287</v>
      </c>
      <c r="Y49" s="11" t="n">
        <v>46.38160569105691</v>
      </c>
      <c r="Z49" s="13" t="n">
        <v>68.023</v>
      </c>
      <c r="AA49" s="8" t="inlineStr">
        <is>
          <t>net income + D&amp;A - capex - change in operating working capital (cash and short-term debt excluded)</t>
        </is>
      </c>
      <c r="AB49" s="10" t="n">
        <v>0.3209919071325767</v>
      </c>
      <c r="AC49" s="10" t="n">
        <v>0.430734020715853</v>
      </c>
      <c r="AD49" s="12" t="n">
        <v>7432000000</v>
      </c>
    </row>
    <row r="50">
      <c r="A50" s="8" t="inlineStr">
        <is>
          <t>MSFT</t>
        </is>
      </c>
      <c r="B50" s="8" t="inlineStr">
        <is>
          <t>MICROSOFT CORP</t>
        </is>
      </c>
      <c r="C50" s="8" t="inlineStr">
        <is>
          <t>STANDARD</t>
        </is>
      </c>
      <c r="D50" s="8" t="n">
        <v>2024</v>
      </c>
      <c r="E50" s="8" t="inlineStr">
        <is>
          <t>2024-06-30</t>
        </is>
      </c>
      <c r="F50" s="8" t="inlineStr">
        <is>
          <t>0001193125-26-323660</t>
        </is>
      </c>
      <c r="G50" s="13" t="n">
        <v>245.122</v>
      </c>
      <c r="H50" s="13" t="n">
        <v>110.722</v>
      </c>
      <c r="I50" s="8" t="inlineStr">
        <is>
          <t>pretax_income + interest_expense</t>
        </is>
      </c>
      <c r="J50" s="13" t="n">
        <v>88.136</v>
      </c>
      <c r="K50" s="10" t="n">
        <v>0.182313265978272</v>
      </c>
      <c r="L50" s="13" t="n">
        <v>90.53591056435376</v>
      </c>
      <c r="M50" s="13" t="n">
        <v>295.099</v>
      </c>
      <c r="N50" s="13" t="n">
        <v>256.9275</v>
      </c>
      <c r="O50" s="10" t="n">
        <v>0.352379214231072</v>
      </c>
      <c r="P50" s="8" t="inlineStr">
        <is>
          <t>OK</t>
        </is>
      </c>
      <c r="Q50" s="10" t="n">
        <v>0.3713334737729092</v>
      </c>
      <c r="R50" s="10" t="n">
        <v>0.01895425954183716</v>
      </c>
      <c r="S50" s="13" t="n">
        <v>268.477</v>
      </c>
      <c r="T50" s="13" t="n">
        <v>18.315</v>
      </c>
      <c r="U50" s="13" t="n">
        <v>44.937</v>
      </c>
      <c r="V50" s="8" t="inlineStr">
        <is>
          <t>short-term + long-term</t>
        </is>
      </c>
      <c r="W50" s="13" t="n">
        <v>125.922</v>
      </c>
      <c r="X50" s="11" t="n">
        <v>0.2114165912231381</v>
      </c>
      <c r="Y50" s="11" t="n">
        <v>37.72470187393527</v>
      </c>
      <c r="Z50" s="13" t="n">
        <v>91.128</v>
      </c>
      <c r="AA50" s="8" t="inlineStr">
        <is>
          <t>net income + D&amp;A - capex - change in operating working capital (cash and short-term debt excluded)</t>
        </is>
      </c>
      <c r="AB50" s="10" t="n">
        <v>0.3717658961659908</v>
      </c>
      <c r="AC50" s="10" t="n">
        <v>0.4517016016514225</v>
      </c>
      <c r="AD50" s="12" t="n">
        <v>7434000000</v>
      </c>
    </row>
    <row r="51">
      <c r="A51" s="8" t="inlineStr">
        <is>
          <t>MSFT</t>
        </is>
      </c>
      <c r="B51" s="8" t="inlineStr">
        <is>
          <t>MICROSOFT CORP</t>
        </is>
      </c>
      <c r="C51" s="8" t="inlineStr">
        <is>
          <t>STANDARD</t>
        </is>
      </c>
      <c r="D51" s="8" t="n">
        <v>2025</v>
      </c>
      <c r="E51" s="8" t="inlineStr">
        <is>
          <t>2025-06-30</t>
        </is>
      </c>
      <c r="F51" s="8" t="inlineStr">
        <is>
          <t>0001193125-26-323660</t>
        </is>
      </c>
      <c r="G51" s="13" t="n">
        <v>281.724</v>
      </c>
      <c r="H51" s="13" t="n">
        <v>126.012</v>
      </c>
      <c r="I51" s="8" t="inlineStr">
        <is>
          <t>pretax_income + interest_expense</t>
        </is>
      </c>
      <c r="J51" s="13" t="n">
        <v>101.832</v>
      </c>
      <c r="K51" s="10" t="n">
        <v>0.1762964400980368</v>
      </c>
      <c r="L51" s="13" t="n">
        <v>103.7965329903662</v>
      </c>
      <c r="M51" s="13" t="n">
        <v>356.388</v>
      </c>
      <c r="N51" s="13" t="n">
        <v>325.7435</v>
      </c>
      <c r="O51" s="10" t="n">
        <v>0.3186449859793555</v>
      </c>
      <c r="P51" s="8" t="inlineStr">
        <is>
          <t>OK</t>
        </is>
      </c>
      <c r="Q51" s="10" t="n">
        <v>0.3328082411153743</v>
      </c>
      <c r="R51" s="10" t="n">
        <v>0.01416325513601885</v>
      </c>
      <c r="S51" s="13" t="n">
        <v>343.479</v>
      </c>
      <c r="T51" s="13" t="n">
        <v>30.242</v>
      </c>
      <c r="U51" s="13" t="n">
        <v>43.151</v>
      </c>
      <c r="V51" s="8" t="inlineStr">
        <is>
          <t>short-term + long-term</t>
        </is>
      </c>
      <c r="W51" s="13" t="n">
        <v>148.012</v>
      </c>
      <c r="X51" s="11" t="n">
        <v>0.08721590141339891</v>
      </c>
      <c r="Y51" s="11" t="n">
        <v>52.83522012578617</v>
      </c>
      <c r="Z51" s="13" t="n">
        <v>54.993</v>
      </c>
      <c r="AA51" s="8" t="inlineStr">
        <is>
          <t>net income + D&amp;A - capex - change in operating working capital (cash and short-term debt excluded)</t>
        </is>
      </c>
      <c r="AB51" s="10" t="n">
        <v>0.1952016867572518</v>
      </c>
      <c r="AC51" s="10" t="n">
        <v>0.447288835881927</v>
      </c>
      <c r="AD51" s="12" t="n">
        <v>7434000000</v>
      </c>
    </row>
    <row r="52">
      <c r="A52" s="8" t="inlineStr">
        <is>
          <t>MSFT</t>
        </is>
      </c>
      <c r="B52" s="8" t="inlineStr">
        <is>
          <t>MICROSOFT CORP</t>
        </is>
      </c>
      <c r="C52" s="8" t="inlineStr">
        <is>
          <t>STANDARD</t>
        </is>
      </c>
      <c r="D52" s="8" t="n">
        <v>2026</v>
      </c>
      <c r="E52" s="8" t="inlineStr">
        <is>
          <t>2026-06-30</t>
        </is>
      </c>
      <c r="F52" s="8" t="inlineStr">
        <is>
          <t>0001193125-26-323660</t>
        </is>
      </c>
      <c r="G52" s="13" t="n">
        <v>331.839</v>
      </c>
      <c r="H52" s="13" t="n">
        <v>168.985</v>
      </c>
      <c r="I52" s="8" t="inlineStr">
        <is>
          <t>pretax_income + interest_expense</t>
        </is>
      </c>
      <c r="J52" s="13" t="n">
        <v>133.749</v>
      </c>
      <c r="K52" s="10" t="n">
        <v>0.1939626598527125</v>
      </c>
      <c r="L52" s="13" t="n">
        <v>136.2082199247894</v>
      </c>
      <c r="M52" s="13" t="n">
        <v>461.746</v>
      </c>
      <c r="N52" s="13" t="n">
        <v>409.067</v>
      </c>
      <c r="O52" s="10" t="n">
        <v>0.3329728868982083</v>
      </c>
      <c r="P52" s="8" t="inlineStr">
        <is>
          <t>OK</t>
        </is>
      </c>
      <c r="Q52" s="10" t="n">
        <v>0.3403862745048138</v>
      </c>
      <c r="R52" s="10" t="n">
        <v>0.007413387606605482</v>
      </c>
      <c r="S52" s="13" t="n">
        <v>442.387</v>
      </c>
      <c r="T52" s="13" t="n">
        <v>20.935</v>
      </c>
      <c r="U52" s="13" t="n">
        <v>40.294</v>
      </c>
      <c r="V52" s="8" t="inlineStr">
        <is>
          <t>short-term + long-term</t>
        </is>
      </c>
      <c r="W52" s="13" t="n">
        <v>203.285</v>
      </c>
      <c r="X52" s="11" t="n">
        <v>0.09523083355879676</v>
      </c>
      <c r="Y52" s="11" t="n">
        <v>55.38675843985578</v>
      </c>
      <c r="Z52" s="13" t="n">
        <v>47.594</v>
      </c>
      <c r="AA52" s="8" t="inlineStr">
        <is>
          <t>net income + D&amp;A - capex - change in operating working capital (cash and short-term debt excluded)</t>
        </is>
      </c>
      <c r="AB52" s="10" t="n">
        <v>0.1434249741591555</v>
      </c>
      <c r="AC52" s="10" t="n">
        <v>0.5092379135665187</v>
      </c>
      <c r="AD52" s="12" t="n">
        <v>7427000000</v>
      </c>
    </row>
    <row r="53">
      <c r="A53" s="8" t="inlineStr">
        <is>
          <t>AMZN</t>
        </is>
      </c>
      <c r="B53" s="8" t="inlineStr">
        <is>
          <t>AMAZON COM INC</t>
        </is>
      </c>
      <c r="C53" s="8" t="inlineStr">
        <is>
          <t>STANDARD</t>
        </is>
      </c>
      <c r="D53" s="8" t="n">
        <v>2014</v>
      </c>
      <c r="E53" s="8" t="inlineStr">
        <is>
          <t>2014-12-31</t>
        </is>
      </c>
      <c r="F53" s="8" t="inlineStr">
        <is>
          <t>0001018724-17-000011</t>
        </is>
      </c>
      <c r="G53" s="13" t="n"/>
      <c r="H53" s="13" t="n">
        <v>0.178</v>
      </c>
      <c r="I53" s="8" t="inlineStr">
        <is>
          <t>reported OperatingIncomeLoss (no interest expense tagged)</t>
        </is>
      </c>
      <c r="J53" s="13" t="n">
        <v>-0.241</v>
      </c>
      <c r="K53" s="10" t="n">
        <v>0.21</v>
      </c>
      <c r="L53" s="13" t="n">
        <v>0.14062</v>
      </c>
      <c r="M53" s="13" t="n">
        <v>5.969</v>
      </c>
      <c r="N53" s="13" t="n">
        <v>5.969</v>
      </c>
      <c r="O53" s="10" t="n">
        <v>0.0235583849891104</v>
      </c>
      <c r="P53" s="8" t="inlineStr">
        <is>
          <t>OK</t>
        </is>
      </c>
      <c r="Q53" s="10" t="n">
        <v>-0.0224373894423238</v>
      </c>
      <c r="R53" s="10" t="n">
        <v>-0.04599577443143421</v>
      </c>
      <c r="S53" s="13" t="n">
        <v>10.741</v>
      </c>
      <c r="T53" s="13" t="n">
        <v>14.557</v>
      </c>
      <c r="U53" s="13" t="n">
        <v>9.785</v>
      </c>
      <c r="V53" s="8" t="inlineStr">
        <is>
          <t>short-term + long-term</t>
        </is>
      </c>
      <c r="W53" s="13" t="n">
        <v>3.794</v>
      </c>
      <c r="X53" s="11" t="n">
        <v>-1.257775434897206</v>
      </c>
      <c r="Y53" s="11" t="n"/>
      <c r="Z53" s="13" t="n"/>
      <c r="AA53" s="8" t="inlineStr">
        <is>
          <t>net income + D&amp;A - capex - change in no prior year</t>
        </is>
      </c>
      <c r="AB53" s="10" t="n"/>
      <c r="AC53" s="10" t="n"/>
      <c r="AD53" s="12" t="n">
        <v>9300000000</v>
      </c>
    </row>
    <row r="54">
      <c r="A54" s="8" t="inlineStr">
        <is>
          <t>AMZN</t>
        </is>
      </c>
      <c r="B54" s="8" t="inlineStr">
        <is>
          <t>AMAZON COM INC</t>
        </is>
      </c>
      <c r="C54" s="8" t="inlineStr">
        <is>
          <t>STANDARD</t>
        </is>
      </c>
      <c r="D54" s="8" t="n">
        <v>2015</v>
      </c>
      <c r="E54" s="8" t="inlineStr">
        <is>
          <t>2015-12-31</t>
        </is>
      </c>
      <c r="F54" s="8" t="inlineStr">
        <is>
          <t>0001018724-18-000005</t>
        </is>
      </c>
      <c r="G54" s="13" t="n"/>
      <c r="H54" s="13" t="n">
        <v>2.233</v>
      </c>
      <c r="I54" s="8" t="inlineStr">
        <is>
          <t>reported OperatingIncomeLoss (no interest expense tagged)</t>
        </is>
      </c>
      <c r="J54" s="13" t="n">
        <v>0.596</v>
      </c>
      <c r="K54" s="10" t="n">
        <v>0.4</v>
      </c>
      <c r="L54" s="13" t="n">
        <v>1.3398</v>
      </c>
      <c r="M54" s="13" t="n">
        <v>5.959</v>
      </c>
      <c r="N54" s="13" t="n">
        <v>5.964</v>
      </c>
      <c r="O54" s="10" t="n">
        <v>0.2246478873239437</v>
      </c>
      <c r="P54" s="8" t="inlineStr">
        <is>
          <t>OK</t>
        </is>
      </c>
      <c r="Q54" s="10" t="n">
        <v>0.04940932642487047</v>
      </c>
      <c r="R54" s="10" t="n">
        <v>-0.1752385608990732</v>
      </c>
      <c r="S54" s="13" t="n">
        <v>13.384</v>
      </c>
      <c r="T54" s="13" t="n">
        <v>15.89</v>
      </c>
      <c r="U54" s="13" t="n">
        <v>8.465</v>
      </c>
      <c r="V54" s="8" t="inlineStr">
        <is>
          <t>short-term + long-term</t>
        </is>
      </c>
      <c r="W54" s="13" t="n">
        <v>8.513999999999999</v>
      </c>
      <c r="X54" s="11" t="n">
        <v>-0.8720930232558139</v>
      </c>
      <c r="Y54" s="11" t="n"/>
      <c r="Z54" s="13" t="n"/>
      <c r="AA54" s="8" t="inlineStr">
        <is>
          <t>net income + D&amp;A - capex - change in operating working capital (cash and short-term debt excluded)</t>
        </is>
      </c>
      <c r="AB54" s="10" t="n"/>
      <c r="AC54" s="10" t="n"/>
      <c r="AD54" s="12" t="n">
        <v>9420000000</v>
      </c>
    </row>
    <row r="55">
      <c r="A55" s="8" t="inlineStr">
        <is>
          <t>AMZN</t>
        </is>
      </c>
      <c r="B55" s="8" t="inlineStr">
        <is>
          <t>AMAZON COM INC</t>
        </is>
      </c>
      <c r="C55" s="8" t="inlineStr">
        <is>
          <t>STANDARD</t>
        </is>
      </c>
      <c r="D55" s="8" t="n">
        <v>2016</v>
      </c>
      <c r="E55" s="8" t="inlineStr">
        <is>
          <t>2016-12-31</t>
        </is>
      </c>
      <c r="F55" s="8" t="inlineStr">
        <is>
          <t>0001018724-19-000004</t>
        </is>
      </c>
      <c r="G55" s="13" t="n">
        <v>135.987</v>
      </c>
      <c r="H55" s="13" t="n">
        <v>4.186</v>
      </c>
      <c r="I55" s="8" t="inlineStr">
        <is>
          <t>reported OperatingIncomeLoss (no interest expense tagged)</t>
        </is>
      </c>
      <c r="J55" s="13" t="n">
        <v>2.371</v>
      </c>
      <c r="K55" s="10" t="n">
        <v>0.3661356628982528</v>
      </c>
      <c r="L55" s="13" t="n">
        <v>2.653356115107913</v>
      </c>
      <c r="M55" s="13" t="n">
        <v>8.701000000000001</v>
      </c>
      <c r="N55" s="13" t="n">
        <v>7.33</v>
      </c>
      <c r="O55" s="10" t="n">
        <v>0.3619858274362774</v>
      </c>
      <c r="P55" s="8" t="inlineStr">
        <is>
          <t>UNSTABLE_MINIMAL_INVESTED_CAPITAL</t>
        </is>
      </c>
      <c r="Q55" s="10" t="n">
        <v>0.1451528972420337</v>
      </c>
      <c r="R55" s="10" t="n">
        <v>-0.2168329301942437</v>
      </c>
      <c r="S55" s="13" t="n">
        <v>19.285</v>
      </c>
      <c r="T55" s="13" t="n">
        <v>19.334</v>
      </c>
      <c r="U55" s="13" t="n">
        <v>8.75</v>
      </c>
      <c r="V55" s="8" t="inlineStr">
        <is>
          <t>short-term + long-term</t>
        </is>
      </c>
      <c r="W55" s="13" t="n">
        <v>12.302</v>
      </c>
      <c r="X55" s="11" t="n">
        <v>-0.8603479109087954</v>
      </c>
      <c r="Y55" s="11" t="n"/>
      <c r="Z55" s="13" t="n">
        <v>5.162</v>
      </c>
      <c r="AA55" s="8" t="inlineStr">
        <is>
          <t>net income + D&amp;A - capex - change in operating working capital (cash and short-term debt excluded)</t>
        </is>
      </c>
      <c r="AB55" s="10" t="n">
        <v>0.03795951083559458</v>
      </c>
      <c r="AC55" s="10" t="n">
        <v>0.03078235419562164</v>
      </c>
      <c r="AD55" s="12" t="n">
        <v>9540000000</v>
      </c>
    </row>
    <row r="56">
      <c r="A56" s="8" t="inlineStr">
        <is>
          <t>AMZN</t>
        </is>
      </c>
      <c r="B56" s="8" t="inlineStr">
        <is>
          <t>AMAZON COM INC</t>
        </is>
      </c>
      <c r="C56" s="8" t="inlineStr">
        <is>
          <t>STANDARD</t>
        </is>
      </c>
      <c r="D56" s="8" t="n">
        <v>2017</v>
      </c>
      <c r="E56" s="8" t="inlineStr">
        <is>
          <t>2017-12-31</t>
        </is>
      </c>
      <c r="F56" s="8" t="inlineStr">
        <is>
          <t>0001018724-20-000004</t>
        </is>
      </c>
      <c r="G56" s="13" t="n">
        <v>177.866</v>
      </c>
      <c r="H56" s="13" t="n">
        <v>4.106</v>
      </c>
      <c r="I56" s="8" t="inlineStr">
        <is>
          <t>reported OperatingIncomeLoss (no interest expense tagged)</t>
        </is>
      </c>
      <c r="J56" s="13" t="n">
        <v>3.033</v>
      </c>
      <c r="K56" s="10" t="n">
        <v>0.2020493956910142</v>
      </c>
      <c r="L56" s="13" t="n">
        <v>3.276385181292695</v>
      </c>
      <c r="M56" s="13" t="n">
        <v>32.03</v>
      </c>
      <c r="N56" s="13" t="n">
        <v>20.3655</v>
      </c>
      <c r="O56" s="10" t="n">
        <v>0.1608791918338708</v>
      </c>
      <c r="P56" s="8" t="inlineStr">
        <is>
          <t>OK</t>
        </is>
      </c>
      <c r="Q56" s="10" t="n">
        <v>0.1290803081244414</v>
      </c>
      <c r="R56" s="10" t="n">
        <v>-0.03179888370942938</v>
      </c>
      <c r="S56" s="13" t="n">
        <v>27.709</v>
      </c>
      <c r="T56" s="13" t="n">
        <v>20.522</v>
      </c>
      <c r="U56" s="13" t="n">
        <v>24.843</v>
      </c>
      <c r="V56" s="8" t="inlineStr">
        <is>
          <t>short-term + long-term</t>
        </is>
      </c>
      <c r="W56" s="13" t="n">
        <v>15.584</v>
      </c>
      <c r="X56" s="11" t="n">
        <v>0.2772715605749487</v>
      </c>
      <c r="Y56" s="11" t="n"/>
      <c r="Z56" s="13" t="n">
        <v>4.351</v>
      </c>
      <c r="AA56" s="8" t="inlineStr">
        <is>
          <t>net income + D&amp;A - capex - change in operating working capital (cash and short-term debt excluded)</t>
        </is>
      </c>
      <c r="AB56" s="10" t="n">
        <v>0.02446223561557577</v>
      </c>
      <c r="AC56" s="10" t="n">
        <v>0.02308479417089269</v>
      </c>
      <c r="AD56" s="12" t="n">
        <v>9680000000</v>
      </c>
    </row>
    <row r="57">
      <c r="A57" s="8" t="inlineStr">
        <is>
          <t>AMZN</t>
        </is>
      </c>
      <c r="B57" s="8" t="inlineStr">
        <is>
          <t>AMAZON COM INC</t>
        </is>
      </c>
      <c r="C57" s="8" t="inlineStr">
        <is>
          <t>STANDARD</t>
        </is>
      </c>
      <c r="D57" s="8" t="n">
        <v>2018</v>
      </c>
      <c r="E57" s="8" t="inlineStr">
        <is>
          <t>2018-12-31</t>
        </is>
      </c>
      <c r="F57" s="8" t="inlineStr">
        <is>
          <t>0001018724-21-000004</t>
        </is>
      </c>
      <c r="G57" s="13" t="n">
        <v>232.887</v>
      </c>
      <c r="H57" s="13" t="n">
        <v>12.421</v>
      </c>
      <c r="I57" s="8" t="inlineStr">
        <is>
          <t>reported OperatingIncomeLoss (no interest expense tagged)</t>
        </is>
      </c>
      <c r="J57" s="13" t="n">
        <v>10.073</v>
      </c>
      <c r="K57" s="10" t="n">
        <v>0.1062960660687328</v>
      </c>
      <c r="L57" s="13" t="n">
        <v>11.10069656336027</v>
      </c>
      <c r="M57" s="13" t="n">
        <v>36.665</v>
      </c>
      <c r="N57" s="13" t="n">
        <v>34.3475</v>
      </c>
      <c r="O57" s="10" t="n">
        <v>0.3231879048943961</v>
      </c>
      <c r="P57" s="8" t="inlineStr">
        <is>
          <t>OK</t>
        </is>
      </c>
      <c r="Q57" s="10" t="n">
        <v>0.2827191332902972</v>
      </c>
      <c r="R57" s="10" t="n">
        <v>-0.04046877160409884</v>
      </c>
      <c r="S57" s="13" t="n">
        <v>43.549</v>
      </c>
      <c r="T57" s="13" t="n">
        <v>31.75</v>
      </c>
      <c r="U57" s="13" t="n">
        <v>24.866</v>
      </c>
      <c r="V57" s="8" t="inlineStr">
        <is>
          <t>short-term + long-term</t>
        </is>
      </c>
      <c r="W57" s="13" t="n">
        <v>27.762</v>
      </c>
      <c r="X57" s="11" t="n">
        <v>-0.2479648440314098</v>
      </c>
      <c r="Y57" s="11" t="n"/>
      <c r="Z57" s="13" t="n">
        <v>17.548</v>
      </c>
      <c r="AA57" s="8" t="inlineStr">
        <is>
          <t>net income + D&amp;A - capex - change in operating working capital (cash and short-term debt excluded)</t>
        </is>
      </c>
      <c r="AB57" s="10" t="n">
        <v>0.07534984778025394</v>
      </c>
      <c r="AC57" s="10" t="n">
        <v>0.05333487914739767</v>
      </c>
      <c r="AD57" s="12" t="n">
        <v>9820000000</v>
      </c>
    </row>
    <row r="58">
      <c r="A58" s="8" t="inlineStr">
        <is>
          <t>AMZN</t>
        </is>
      </c>
      <c r="B58" s="8" t="inlineStr">
        <is>
          <t>AMAZON COM INC</t>
        </is>
      </c>
      <c r="C58" s="8" t="inlineStr">
        <is>
          <t>STANDARD</t>
        </is>
      </c>
      <c r="D58" s="8" t="n">
        <v>2019</v>
      </c>
      <c r="E58" s="8" t="inlineStr">
        <is>
          <t>2019-12-31</t>
        </is>
      </c>
      <c r="F58" s="8" t="inlineStr">
        <is>
          <t>0001018724-22-000005</t>
        </is>
      </c>
      <c r="G58" s="13" t="n">
        <v>280.522</v>
      </c>
      <c r="H58" s="13" t="n">
        <v>14.541</v>
      </c>
      <c r="I58" s="8" t="inlineStr">
        <is>
          <t>reported OperatingIncomeLoss (no interest expense tagged)</t>
        </is>
      </c>
      <c r="J58" s="13" t="n">
        <v>11.588</v>
      </c>
      <c r="K58" s="10" t="n">
        <v>0.1698626216370921</v>
      </c>
      <c r="L58" s="13" t="n">
        <v>12.07102761877504</v>
      </c>
      <c r="M58" s="13" t="n">
        <v>50.687</v>
      </c>
      <c r="N58" s="13" t="n">
        <v>43.676</v>
      </c>
      <c r="O58" s="10" t="n">
        <v>0.2763766741179376</v>
      </c>
      <c r="P58" s="8" t="inlineStr">
        <is>
          <t>OK</t>
        </is>
      </c>
      <c r="Q58" s="10" t="n">
        <v>0.2194509937600015</v>
      </c>
      <c r="R58" s="10" t="n">
        <v>-0.05692568035793608</v>
      </c>
      <c r="S58" s="13" t="n">
        <v>62.06</v>
      </c>
      <c r="T58" s="13" t="n">
        <v>36.092</v>
      </c>
      <c r="U58" s="13" t="n">
        <v>24.719</v>
      </c>
      <c r="V58" s="8" t="inlineStr">
        <is>
          <t>short-term + long-term</t>
        </is>
      </c>
      <c r="W58" s="13" t="n">
        <v>36.33</v>
      </c>
      <c r="X58" s="11" t="n">
        <v>-0.313047068538398</v>
      </c>
      <c r="Y58" s="11" t="n"/>
      <c r="Z58" s="13" t="n">
        <v>19.112</v>
      </c>
      <c r="AA58" s="8" t="inlineStr">
        <is>
          <t>net income + D&amp;A - capex - change in operating working capital (cash and short-term debt excluded)</t>
        </is>
      </c>
      <c r="AB58" s="10" t="n">
        <v>0.06813012883125032</v>
      </c>
      <c r="AC58" s="10" t="n">
        <v>0.05183550666257905</v>
      </c>
      <c r="AD58" s="12" t="n">
        <v>9960000000</v>
      </c>
    </row>
    <row r="59">
      <c r="A59" s="8" t="inlineStr">
        <is>
          <t>AMZN</t>
        </is>
      </c>
      <c r="B59" s="8" t="inlineStr">
        <is>
          <t>AMAZON COM INC</t>
        </is>
      </c>
      <c r="C59" s="8" t="inlineStr">
        <is>
          <t>STANDARD</t>
        </is>
      </c>
      <c r="D59" s="8" t="n">
        <v>2020</v>
      </c>
      <c r="E59" s="8" t="inlineStr">
        <is>
          <t>2020-12-31</t>
        </is>
      </c>
      <c r="F59" s="8" t="inlineStr">
        <is>
          <t>0001018724-23-000004</t>
        </is>
      </c>
      <c r="G59" s="13" t="n">
        <v>386.064</v>
      </c>
      <c r="H59" s="13" t="n">
        <v>22.899</v>
      </c>
      <c r="I59" s="8" t="inlineStr">
        <is>
          <t>reported OperatingIncomeLoss (no interest expense tagged)</t>
        </is>
      </c>
      <c r="J59" s="13" t="n">
        <v>21.331</v>
      </c>
      <c r="K59" s="10" t="n">
        <v>0.1184134337000579</v>
      </c>
      <c r="L59" s="13" t="n">
        <v>20.18745078170237</v>
      </c>
      <c r="M59" s="13" t="n">
        <v>84.253</v>
      </c>
      <c r="N59" s="13" t="n">
        <v>67.47</v>
      </c>
      <c r="O59" s="10" t="n">
        <v>0.2992063255032218</v>
      </c>
      <c r="P59" s="8" t="inlineStr">
        <is>
          <t>OK</t>
        </is>
      </c>
      <c r="Q59" s="10" t="n">
        <v>0.2744172284258735</v>
      </c>
      <c r="R59" s="10" t="n">
        <v>-0.02478909707734828</v>
      </c>
      <c r="S59" s="13" t="n">
        <v>93.404</v>
      </c>
      <c r="T59" s="13" t="n">
        <v>42.122</v>
      </c>
      <c r="U59" s="13" t="n">
        <v>32.971</v>
      </c>
      <c r="V59" s="8" t="inlineStr">
        <is>
          <t>short-term + long-term</t>
        </is>
      </c>
      <c r="W59" s="13" t="n">
        <v>48.079</v>
      </c>
      <c r="X59" s="11" t="n">
        <v>-0.1903325776326463</v>
      </c>
      <c r="Y59" s="11" t="n"/>
      <c r="Z59" s="13" t="n">
        <v>14.725</v>
      </c>
      <c r="AA59" s="8" t="inlineStr">
        <is>
          <t>net income + D&amp;A - capex - change in operating working capital (cash and short-term debt excluded)</t>
        </is>
      </c>
      <c r="AB59" s="10" t="n">
        <v>0.03814134444030005</v>
      </c>
      <c r="AC59" s="10" t="n">
        <v>0.05931399975133657</v>
      </c>
      <c r="AD59" s="12" t="n">
        <v>10060000000</v>
      </c>
    </row>
    <row r="60">
      <c r="A60" s="8" t="inlineStr">
        <is>
          <t>AMZN</t>
        </is>
      </c>
      <c r="B60" s="8" t="inlineStr">
        <is>
          <t>AMAZON COM INC</t>
        </is>
      </c>
      <c r="C60" s="8" t="inlineStr">
        <is>
          <t>STANDARD</t>
        </is>
      </c>
      <c r="D60" s="8" t="n">
        <v>2021</v>
      </c>
      <c r="E60" s="8" t="inlineStr">
        <is>
          <t>2021-12-31</t>
        </is>
      </c>
      <c r="F60" s="8" t="inlineStr">
        <is>
          <t>0001018724-24-000008</t>
        </is>
      </c>
      <c r="G60" s="13" t="n">
        <v>469.822</v>
      </c>
      <c r="H60" s="13" t="n">
        <v>24.879</v>
      </c>
      <c r="I60" s="8" t="inlineStr">
        <is>
          <t>reported OperatingIncomeLoss (no interest expense tagged)</t>
        </is>
      </c>
      <c r="J60" s="13" t="n">
        <v>33.364</v>
      </c>
      <c r="K60" s="10" t="n">
        <v>0.1255799323739876</v>
      </c>
      <c r="L60" s="13" t="n">
        <v>21.75469686246756</v>
      </c>
      <c r="M60" s="13" t="n">
        <v>152.26</v>
      </c>
      <c r="N60" s="13" t="n">
        <v>118.2565</v>
      </c>
      <c r="O60" s="10" t="n">
        <v>0.1839619544166076</v>
      </c>
      <c r="P60" s="8" t="inlineStr">
        <is>
          <t>OK</t>
        </is>
      </c>
      <c r="Q60" s="10" t="n">
        <v>0.2880564992726064</v>
      </c>
      <c r="R60" s="10" t="n">
        <v>0.1040945448559988</v>
      </c>
      <c r="S60" s="13" t="n">
        <v>138.245</v>
      </c>
      <c r="T60" s="13" t="n">
        <v>36.22</v>
      </c>
      <c r="U60" s="13" t="n">
        <v>50.235</v>
      </c>
      <c r="V60" s="8" t="inlineStr">
        <is>
          <t>short-term + long-term</t>
        </is>
      </c>
      <c r="W60" s="13" t="n">
        <v>59.312</v>
      </c>
      <c r="X60" s="11" t="n">
        <v>0.2362928243862962</v>
      </c>
      <c r="Y60" s="11" t="n"/>
      <c r="Z60" s="13" t="n">
        <v>-12.46</v>
      </c>
      <c r="AA60" s="8" t="inlineStr">
        <is>
          <t>net income + D&amp;A - capex - change in operating working capital (cash and short-term debt excluded)</t>
        </is>
      </c>
      <c r="AB60" s="10" t="n">
        <v>-0.02652068230095653</v>
      </c>
      <c r="AC60" s="10" t="n">
        <v>0.05295409750926947</v>
      </c>
      <c r="AD60" s="12" t="n">
        <v>203500000000</v>
      </c>
    </row>
    <row r="61">
      <c r="A61" s="8" t="inlineStr">
        <is>
          <t>AMZN</t>
        </is>
      </c>
      <c r="B61" s="8" t="inlineStr">
        <is>
          <t>AMAZON COM INC</t>
        </is>
      </c>
      <c r="C61" s="8" t="inlineStr">
        <is>
          <t>STANDARD</t>
        </is>
      </c>
      <c r="D61" s="8" t="n">
        <v>2022</v>
      </c>
      <c r="E61" s="8" t="inlineStr">
        <is>
          <t>2022-12-31</t>
        </is>
      </c>
      <c r="F61" s="8" t="inlineStr">
        <is>
          <t>0001018724-25-000004</t>
        </is>
      </c>
      <c r="G61" s="13" t="n">
        <v>513.9829999999999</v>
      </c>
      <c r="H61" s="13" t="n">
        <v>-3.569</v>
      </c>
      <c r="I61" s="8" t="inlineStr">
        <is>
          <t>pretax_income + interest_expense</t>
        </is>
      </c>
      <c r="J61" s="13" t="n">
        <v>-2.722</v>
      </c>
      <c r="K61" s="10" t="n">
        <v>0.21</v>
      </c>
      <c r="L61" s="13" t="n">
        <v>-2.81951</v>
      </c>
      <c r="M61" s="13" t="n">
        <v>162.304</v>
      </c>
      <c r="N61" s="13" t="n">
        <v>157.282</v>
      </c>
      <c r="O61" s="10" t="n">
        <v>-0.01792646329522768</v>
      </c>
      <c r="P61" s="8" t="inlineStr">
        <is>
          <t>OK</t>
        </is>
      </c>
      <c r="Q61" s="10" t="n">
        <v>-0.01914959477712742</v>
      </c>
      <c r="R61" s="10" t="n">
        <v>-0.001223131481899741</v>
      </c>
      <c r="S61" s="13" t="n">
        <v>146.043</v>
      </c>
      <c r="T61" s="13" t="n">
        <v>53.888</v>
      </c>
      <c r="U61" s="13" t="n">
        <v>70.149</v>
      </c>
      <c r="V61" s="8" t="inlineStr">
        <is>
          <t>short-term + long-term</t>
        </is>
      </c>
      <c r="W61" s="13" t="n">
        <v>38.352</v>
      </c>
      <c r="X61" s="11" t="n">
        <v>0.4239935335836462</v>
      </c>
      <c r="Y61" s="11" t="n">
        <v>-1.507815800591466</v>
      </c>
      <c r="Z61" s="13" t="n">
        <v>19.63</v>
      </c>
      <c r="AA61" s="8" t="inlineStr">
        <is>
          <t>net income + D&amp;A - capex - change in operating working capital (cash and short-term debt excluded)</t>
        </is>
      </c>
      <c r="AB61" s="10" t="n">
        <v>0.0381919246356397</v>
      </c>
      <c r="AC61" s="10" t="n">
        <v>-0.00694380942560357</v>
      </c>
      <c r="AD61" s="12" t="n">
        <v>10242000000</v>
      </c>
    </row>
    <row r="62">
      <c r="A62" s="8" t="inlineStr">
        <is>
          <t>AMZN</t>
        </is>
      </c>
      <c r="B62" s="8" t="inlineStr">
        <is>
          <t>AMAZON COM INC</t>
        </is>
      </c>
      <c r="C62" s="8" t="inlineStr">
        <is>
          <t>STANDARD</t>
        </is>
      </c>
      <c r="D62" s="8" t="n">
        <v>2023</v>
      </c>
      <c r="E62" s="8" t="inlineStr">
        <is>
          <t>2023-12-31</t>
        </is>
      </c>
      <c r="F62" s="8" t="inlineStr">
        <is>
          <t>0001018724-26-000004</t>
        </is>
      </c>
      <c r="G62" s="13" t="n">
        <v>574.785</v>
      </c>
      <c r="H62" s="13" t="n">
        <v>40.739</v>
      </c>
      <c r="I62" s="8" t="inlineStr">
        <is>
          <t>pretax_income + interest_expense</t>
        </is>
      </c>
      <c r="J62" s="13" t="n">
        <v>30.425</v>
      </c>
      <c r="K62" s="10" t="n">
        <v>0.1895785073355167</v>
      </c>
      <c r="L62" s="13" t="n">
        <v>33.01576118965838</v>
      </c>
      <c r="M62" s="13" t="n">
        <v>195.296</v>
      </c>
      <c r="N62" s="13" t="n">
        <v>178.8</v>
      </c>
      <c r="O62" s="10" t="n">
        <v>0.1846519082195659</v>
      </c>
      <c r="P62" s="8" t="inlineStr">
        <is>
          <t>OK</t>
        </is>
      </c>
      <c r="Q62" s="10" t="n">
        <v>0.1748975333268184</v>
      </c>
      <c r="R62" s="10" t="n">
        <v>-0.009754374892747497</v>
      </c>
      <c r="S62" s="13" t="n">
        <v>201.875</v>
      </c>
      <c r="T62" s="13" t="n">
        <v>73.387</v>
      </c>
      <c r="U62" s="13" t="n">
        <v>66.80800000000001</v>
      </c>
      <c r="V62" s="8" t="inlineStr">
        <is>
          <t>short-term + long-term</t>
        </is>
      </c>
      <c r="W62" s="13" t="n">
        <v>89.402</v>
      </c>
      <c r="X62" s="11" t="n">
        <v>-0.07358895774143755</v>
      </c>
      <c r="Y62" s="11" t="n">
        <v>12.80295411690761</v>
      </c>
      <c r="Z62" s="13" t="n">
        <v>24.327</v>
      </c>
      <c r="AA62" s="8" t="inlineStr">
        <is>
          <t>net income + D&amp;A - capex - change in operating working capital (cash and short-term debt excluded)</t>
        </is>
      </c>
      <c r="AB62" s="10" t="n">
        <v>0.04232365145228216</v>
      </c>
      <c r="AC62" s="10" t="n">
        <v>0.07087693659368285</v>
      </c>
      <c r="AD62" s="12" t="n">
        <v>10383000000</v>
      </c>
    </row>
    <row r="63">
      <c r="A63" s="8" t="inlineStr">
        <is>
          <t>AMZN</t>
        </is>
      </c>
      <c r="B63" s="8" t="inlineStr">
        <is>
          <t>AMAZON COM INC</t>
        </is>
      </c>
      <c r="C63" s="8" t="inlineStr">
        <is>
          <t>STANDARD</t>
        </is>
      </c>
      <c r="D63" s="8" t="n">
        <v>2024</v>
      </c>
      <c r="E63" s="8" t="inlineStr">
        <is>
          <t>2024-12-31</t>
        </is>
      </c>
      <c r="F63" s="8" t="inlineStr">
        <is>
          <t>0001018724-26-000004</t>
        </is>
      </c>
      <c r="G63" s="13" t="n">
        <v>637.9589999999999</v>
      </c>
      <c r="H63" s="13" t="n">
        <v>71.02</v>
      </c>
      <c r="I63" s="8" t="inlineStr">
        <is>
          <t>pretax_income + interest_expense</t>
        </is>
      </c>
      <c r="J63" s="13" t="n">
        <v>59.248</v>
      </c>
      <c r="K63" s="10" t="n">
        <v>0.1350307517416271</v>
      </c>
      <c r="L63" s="13" t="n">
        <v>61.43011601130965</v>
      </c>
      <c r="M63" s="13" t="n">
        <v>264.831</v>
      </c>
      <c r="N63" s="13" t="n">
        <v>230.0635</v>
      </c>
      <c r="O63" s="10" t="n">
        <v>0.2670137419073849</v>
      </c>
      <c r="P63" s="8" t="inlineStr">
        <is>
          <t>OK</t>
        </is>
      </c>
      <c r="Q63" s="10" t="n">
        <v>0.2428968217364122</v>
      </c>
      <c r="R63" s="10" t="n">
        <v>-0.02411692017097275</v>
      </c>
      <c r="S63" s="13" t="n">
        <v>285.97</v>
      </c>
      <c r="T63" s="13" t="n">
        <v>78.779</v>
      </c>
      <c r="U63" s="13" t="n">
        <v>57.64</v>
      </c>
      <c r="V63" s="8" t="inlineStr">
        <is>
          <t>short-term + long-term</t>
        </is>
      </c>
      <c r="W63" s="13" t="n">
        <v>123.815</v>
      </c>
      <c r="X63" s="11" t="n">
        <v>-0.1707305253806082</v>
      </c>
      <c r="Y63" s="11" t="n">
        <v>29.51787198669992</v>
      </c>
      <c r="Z63" s="13" t="n">
        <v>33.911</v>
      </c>
      <c r="AA63" s="8" t="inlineStr">
        <is>
          <t>net income + D&amp;A - capex - change in operating working capital (cash and short-term debt excluded)</t>
        </is>
      </c>
      <c r="AB63" s="10" t="n">
        <v>0.05315545356363027</v>
      </c>
      <c r="AC63" s="10" t="n">
        <v>0.1113237684553396</v>
      </c>
      <c r="AD63" s="12" t="n">
        <v>10593000000</v>
      </c>
    </row>
    <row r="64">
      <c r="A64" s="8" t="inlineStr">
        <is>
          <t>AMZN</t>
        </is>
      </c>
      <c r="B64" s="8" t="inlineStr">
        <is>
          <t>AMAZON COM INC</t>
        </is>
      </c>
      <c r="C64" s="8" t="inlineStr">
        <is>
          <t>STANDARD</t>
        </is>
      </c>
      <c r="D64" s="8" t="n">
        <v>2025</v>
      </c>
      <c r="E64" s="8" t="inlineStr">
        <is>
          <t>2025-12-31</t>
        </is>
      </c>
      <c r="F64" s="8" t="inlineStr">
        <is>
          <t>0001018724-26-000004</t>
        </is>
      </c>
      <c r="G64" s="13" t="n">
        <v>716.924</v>
      </c>
      <c r="H64" s="13" t="n">
        <v>99.58499999999999</v>
      </c>
      <c r="I64" s="8" t="inlineStr">
        <is>
          <t>pretax_income + interest_expense</t>
        </is>
      </c>
      <c r="J64" s="13" t="n">
        <v>77.67</v>
      </c>
      <c r="K64" s="10" t="n">
        <v>0.1961443207859337</v>
      </c>
      <c r="L64" s="13" t="n">
        <v>80.05196781453279</v>
      </c>
      <c r="M64" s="13" t="n">
        <v>392.651</v>
      </c>
      <c r="N64" s="13" t="n">
        <v>328.741</v>
      </c>
      <c r="O64" s="10" t="n">
        <v>0.2435107510609653</v>
      </c>
      <c r="P64" s="8" t="inlineStr">
        <is>
          <t>OK</t>
        </is>
      </c>
      <c r="Q64" s="10" t="n">
        <v>0.2228582495857453</v>
      </c>
      <c r="R64" s="10" t="n">
        <v>-0.02065250147521994</v>
      </c>
      <c r="S64" s="13" t="n">
        <v>411.065</v>
      </c>
      <c r="T64" s="13" t="n">
        <v>86.81</v>
      </c>
      <c r="U64" s="13" t="n">
        <v>68.396</v>
      </c>
      <c r="V64" s="8" t="inlineStr">
        <is>
          <t>short-term + long-term</t>
        </is>
      </c>
      <c r="W64" s="13" t="n">
        <v>165.341</v>
      </c>
      <c r="X64" s="11" t="n">
        <v>-0.1113698356729426</v>
      </c>
      <c r="Y64" s="11" t="n">
        <v>43.79287598944591</v>
      </c>
      <c r="Z64" s="13" t="n">
        <v>22.265</v>
      </c>
      <c r="AA64" s="8" t="inlineStr">
        <is>
          <t>net income + D&amp;A - capex - change in operating working capital (cash and short-term debt excluded)</t>
        </is>
      </c>
      <c r="AB64" s="10" t="n">
        <v>0.0310562904854629</v>
      </c>
      <c r="AC64" s="10" t="n">
        <v>0.1389059370309824</v>
      </c>
      <c r="AD64" s="12" t="n">
        <v>10731000000</v>
      </c>
    </row>
    <row r="65">
      <c r="A65" s="8" t="inlineStr">
        <is>
          <t>AVGO</t>
        </is>
      </c>
      <c r="B65" s="8" t="inlineStr">
        <is>
          <t>Broadcom Inc.</t>
        </is>
      </c>
      <c r="C65" s="8" t="inlineStr">
        <is>
          <t>STANDARD</t>
        </is>
      </c>
      <c r="D65" s="8" t="n">
        <v>2016</v>
      </c>
      <c r="E65" s="8" t="inlineStr">
        <is>
          <t>2016-10-30</t>
        </is>
      </c>
      <c r="F65" s="8" t="inlineStr">
        <is>
          <t>0001730168-18-000084</t>
        </is>
      </c>
      <c r="G65" s="13" t="n"/>
      <c r="H65" s="13" t="n">
        <v>-0.409</v>
      </c>
      <c r="I65" s="8" t="inlineStr">
        <is>
          <t>reported OperatingIncomeLoss (no interest expense tagged)</t>
        </is>
      </c>
      <c r="J65" s="13" t="n">
        <v>-1.861</v>
      </c>
      <c r="K65" s="10" t="n">
        <v>0.21</v>
      </c>
      <c r="L65" s="13" t="n">
        <v>-0.32311</v>
      </c>
      <c r="M65" s="13" t="n"/>
      <c r="N65" s="13" t="n"/>
      <c r="O65" s="10" t="n"/>
      <c r="P65" s="8" t="inlineStr">
        <is>
          <t>DATA_UNAVAILABLE</t>
        </is>
      </c>
      <c r="Q65" s="10" t="n">
        <v>-0.0850703967818614</v>
      </c>
      <c r="R65" s="10" t="n"/>
      <c r="S65" s="13" t="n">
        <v>21.876</v>
      </c>
      <c r="T65" s="13" t="n">
        <v>3.097</v>
      </c>
      <c r="U65" s="13" t="n"/>
      <c r="V65" s="8" t="inlineStr">
        <is>
          <t>DATA_UNAVAILABLE</t>
        </is>
      </c>
      <c r="W65" s="13" t="n">
        <v>-0.007</v>
      </c>
      <c r="X65" s="11" t="n"/>
      <c r="Y65" s="11" t="n"/>
      <c r="Z65" s="13" t="n">
        <v>2.688</v>
      </c>
      <c r="AA65" s="8" t="inlineStr">
        <is>
          <t>operating cash flow - capex (working-capital swing already embedded)</t>
        </is>
      </c>
      <c r="AB65" s="10" t="n"/>
      <c r="AC65" s="10" t="n"/>
      <c r="AD65" s="12" t="n">
        <v>3830000000</v>
      </c>
    </row>
    <row r="66">
      <c r="A66" s="8" t="inlineStr">
        <is>
          <t>AVGO</t>
        </is>
      </c>
      <c r="B66" s="8" t="inlineStr">
        <is>
          <t>Broadcom Inc.</t>
        </is>
      </c>
      <c r="C66" s="8" t="inlineStr">
        <is>
          <t>STANDARD</t>
        </is>
      </c>
      <c r="D66" s="8" t="n">
        <v>2017</v>
      </c>
      <c r="E66" s="8" t="inlineStr">
        <is>
          <t>2017-10-29</t>
        </is>
      </c>
      <c r="F66" s="8" t="inlineStr">
        <is>
          <t>0001730168-19-000144</t>
        </is>
      </c>
      <c r="G66" s="13" t="n">
        <v>17.636</v>
      </c>
      <c r="H66" s="13" t="n">
        <v>2.371</v>
      </c>
      <c r="I66" s="8" t="inlineStr">
        <is>
          <t>reported OperatingIncomeLoss (no interest expense tagged)</t>
        </is>
      </c>
      <c r="J66" s="13" t="n">
        <v>1.784</v>
      </c>
      <c r="K66" s="10" t="n">
        <v>0.05</v>
      </c>
      <c r="L66" s="13" t="n">
        <v>2.25245</v>
      </c>
      <c r="M66" s="13" t="n">
        <v>12.099</v>
      </c>
      <c r="N66" s="13" t="n">
        <v>12.099</v>
      </c>
      <c r="O66" s="10" t="n">
        <v>0.1861682783701132</v>
      </c>
      <c r="P66" s="8" t="inlineStr">
        <is>
          <t>OK</t>
        </is>
      </c>
      <c r="Q66" s="10" t="n">
        <v>0.07917979672451289</v>
      </c>
      <c r="R66" s="10" t="n">
        <v>-0.1069884816456003</v>
      </c>
      <c r="S66" s="13" t="n">
        <v>23.186</v>
      </c>
      <c r="T66" s="13" t="n">
        <v>11.204</v>
      </c>
      <c r="U66" s="13" t="n">
        <v>0.117</v>
      </c>
      <c r="V66" s="8" t="inlineStr">
        <is>
          <t>short-term only (no long-term debt tagged; read as nil)</t>
        </is>
      </c>
      <c r="W66" s="13" t="n">
        <v>2.822</v>
      </c>
      <c r="X66" s="11" t="n">
        <v>-3.928773919206237</v>
      </c>
      <c r="Y66" s="11" t="n"/>
      <c r="Z66" s="13" t="n">
        <v>5.482</v>
      </c>
      <c r="AA66" s="8" t="inlineStr">
        <is>
          <t>operating cash flow - capex (working-capital swing already embedded)</t>
        </is>
      </c>
      <c r="AB66" s="10" t="n">
        <v>0.3108414606486732</v>
      </c>
      <c r="AC66" s="10" t="n">
        <v>0.1344409163075527</v>
      </c>
      <c r="AD66" s="12" t="n">
        <v>4210000000</v>
      </c>
    </row>
    <row r="67">
      <c r="A67" s="8" t="inlineStr">
        <is>
          <t>AVGO</t>
        </is>
      </c>
      <c r="B67" s="8" t="inlineStr">
        <is>
          <t>Broadcom Inc.</t>
        </is>
      </c>
      <c r="C67" s="8" t="inlineStr">
        <is>
          <t>STANDARD</t>
        </is>
      </c>
      <c r="D67" s="8" t="n">
        <v>2018</v>
      </c>
      <c r="E67" s="8" t="inlineStr">
        <is>
          <t>2018-11-04</t>
        </is>
      </c>
      <c r="F67" s="8" t="inlineStr">
        <is>
          <t>0001730168-20-000226</t>
        </is>
      </c>
      <c r="G67" s="13" t="n">
        <v>20.848</v>
      </c>
      <c r="H67" s="13" t="n">
        <v>5.135</v>
      </c>
      <c r="I67" s="8" t="inlineStr">
        <is>
          <t>reported OperatingIncomeLoss (no interest expense tagged)</t>
        </is>
      </c>
      <c r="J67" s="13" t="n">
        <v>12.61</v>
      </c>
      <c r="K67" s="10" t="n">
        <v>0.05</v>
      </c>
      <c r="L67" s="13" t="n">
        <v>4.87825</v>
      </c>
      <c r="M67" s="13" t="n">
        <v>22.365</v>
      </c>
      <c r="N67" s="13" t="n">
        <v>17.232</v>
      </c>
      <c r="O67" s="10" t="n">
        <v>0.2830925023212628</v>
      </c>
      <c r="P67" s="8" t="inlineStr">
        <is>
          <t>OK</t>
        </is>
      </c>
      <c r="Q67" s="10" t="n">
        <v>0.5059888048472203</v>
      </c>
      <c r="R67" s="10" t="n">
        <v>0.2228963025259575</v>
      </c>
      <c r="S67" s="13" t="n">
        <v>26.657</v>
      </c>
      <c r="T67" s="13" t="n">
        <v>4.292</v>
      </c>
      <c r="U67" s="13" t="n">
        <v>0</v>
      </c>
      <c r="V67" s="8" t="inlineStr">
        <is>
          <t>short-term only (no long-term debt tagged; read as nil)</t>
        </is>
      </c>
      <c r="W67" s="13" t="n">
        <v>5.65</v>
      </c>
      <c r="X67" s="11" t="n">
        <v>-0.759646017699115</v>
      </c>
      <c r="Y67" s="11" t="n"/>
      <c r="Z67" s="13" t="n">
        <v>12.22</v>
      </c>
      <c r="AA67" s="8" t="inlineStr">
        <is>
          <t>net income + D&amp;A - capex - change in operating working capital (cash and short-term debt excluded)</t>
        </is>
      </c>
      <c r="AB67" s="10" t="n">
        <v>0.5861473522640062</v>
      </c>
      <c r="AC67" s="10" t="n">
        <v>0.2463066001534919</v>
      </c>
      <c r="AD67" s="12" t="n">
        <v>4310000000</v>
      </c>
    </row>
    <row r="68">
      <c r="A68" s="8" t="inlineStr">
        <is>
          <t>AVGO</t>
        </is>
      </c>
      <c r="B68" s="8" t="inlineStr">
        <is>
          <t>Broadcom Inc.</t>
        </is>
      </c>
      <c r="C68" s="8" t="inlineStr">
        <is>
          <t>STANDARD</t>
        </is>
      </c>
      <c r="D68" s="8" t="n">
        <v>2019</v>
      </c>
      <c r="E68" s="8" t="inlineStr">
        <is>
          <t>2019-11-03</t>
        </is>
      </c>
      <c r="F68" s="8" t="inlineStr">
        <is>
          <t>0001730168-21-000153</t>
        </is>
      </c>
      <c r="G68" s="13" t="n">
        <v>22.597</v>
      </c>
      <c r="H68" s="13" t="n">
        <v>3.444</v>
      </c>
      <c r="I68" s="8" t="inlineStr">
        <is>
          <t>reported OperatingIncomeLoss (no interest expense tagged)</t>
        </is>
      </c>
      <c r="J68" s="13" t="n">
        <v>2.724</v>
      </c>
      <c r="K68" s="10" t="n">
        <v>0.05</v>
      </c>
      <c r="L68" s="13" t="n">
        <v>3.2718</v>
      </c>
      <c r="M68" s="13" t="n">
        <v>22.673</v>
      </c>
      <c r="N68" s="13" t="n">
        <v>22.519</v>
      </c>
      <c r="O68" s="10" t="n">
        <v>0.1452906434566366</v>
      </c>
      <c r="P68" s="8" t="inlineStr">
        <is>
          <t>OK</t>
        </is>
      </c>
      <c r="Q68" s="10" t="n">
        <v>0.105585487809605</v>
      </c>
      <c r="R68" s="10" t="n">
        <v>-0.03970515564703159</v>
      </c>
      <c r="S68" s="13" t="n">
        <v>24.941</v>
      </c>
      <c r="T68" s="13" t="n">
        <v>5.055</v>
      </c>
      <c r="U68" s="13" t="n">
        <v>2.787</v>
      </c>
      <c r="V68" s="8" t="inlineStr">
        <is>
          <t>short-term only (no long-term debt tagged; read as nil)</t>
        </is>
      </c>
      <c r="W68" s="13" t="n">
        <v>4.013</v>
      </c>
      <c r="X68" s="11" t="n">
        <v>-0.5651632195365064</v>
      </c>
      <c r="Y68" s="11" t="n"/>
      <c r="Z68" s="13" t="n">
        <v>4.588</v>
      </c>
      <c r="AA68" s="8" t="inlineStr">
        <is>
          <t>net income + D&amp;A - capex - change in operating working capital (cash and short-term debt excluded)</t>
        </is>
      </c>
      <c r="AB68" s="10" t="n">
        <v>0.2030358012125503</v>
      </c>
      <c r="AC68" s="10" t="n">
        <v>0.1524096118953844</v>
      </c>
      <c r="AD68" s="12" t="n">
        <v>4190000000</v>
      </c>
    </row>
    <row r="69">
      <c r="A69" s="8" t="inlineStr">
        <is>
          <t>AVGO</t>
        </is>
      </c>
      <c r="B69" s="8" t="inlineStr">
        <is>
          <t>Broadcom Inc.</t>
        </is>
      </c>
      <c r="C69" s="8" t="inlineStr">
        <is>
          <t>STANDARD</t>
        </is>
      </c>
      <c r="D69" s="8" t="n">
        <v>2020</v>
      </c>
      <c r="E69" s="8" t="inlineStr">
        <is>
          <t>2020-11-01</t>
        </is>
      </c>
      <c r="F69" s="8" t="inlineStr">
        <is>
          <t>0001730168-22-000118</t>
        </is>
      </c>
      <c r="G69" s="13" t="n">
        <v>23.888</v>
      </c>
      <c r="H69" s="13" t="n">
        <v>4.014</v>
      </c>
      <c r="I69" s="8" t="inlineStr">
        <is>
          <t>reported OperatingIncomeLoss (no interest expense tagged)</t>
        </is>
      </c>
      <c r="J69" s="13" t="n">
        <v>2.96</v>
      </c>
      <c r="K69" s="10" t="n">
        <v>0.05</v>
      </c>
      <c r="L69" s="13" t="n">
        <v>3.8133</v>
      </c>
      <c r="M69" s="13" t="n">
        <v>17.083</v>
      </c>
      <c r="N69" s="13" t="n">
        <v>19.878</v>
      </c>
      <c r="O69" s="10" t="n">
        <v>0.1918351946875943</v>
      </c>
      <c r="P69" s="8" t="inlineStr">
        <is>
          <t>OK</t>
        </is>
      </c>
      <c r="Q69" s="10" t="n">
        <v>0.121274198504558</v>
      </c>
      <c r="R69" s="10" t="n">
        <v>-0.07056099618303631</v>
      </c>
      <c r="S69" s="13" t="n">
        <v>23.874</v>
      </c>
      <c r="T69" s="13" t="n">
        <v>7.618</v>
      </c>
      <c r="U69" s="13" t="n">
        <v>0.827</v>
      </c>
      <c r="V69" s="8" t="inlineStr">
        <is>
          <t>short-term only (no long-term debt tagged; read as nil)</t>
        </is>
      </c>
      <c r="W69" s="13" t="n">
        <v>4.584</v>
      </c>
      <c r="X69" s="11" t="n">
        <v>-1.481457242582897</v>
      </c>
      <c r="Y69" s="11" t="n"/>
      <c r="Z69" s="13" t="n">
        <v>5.084</v>
      </c>
      <c r="AA69" s="8" t="inlineStr">
        <is>
          <t>net income + D&amp;A - capex - change in operating working capital (cash and short-term debt excluded)</t>
        </is>
      </c>
      <c r="AB69" s="10" t="n">
        <v>0.2128265237776289</v>
      </c>
      <c r="AC69" s="10" t="n">
        <v>0.1680341594105827</v>
      </c>
      <c r="AD69" s="12" t="n">
        <v>4210000000</v>
      </c>
    </row>
    <row r="70">
      <c r="A70" s="8" t="inlineStr">
        <is>
          <t>AVGO</t>
        </is>
      </c>
      <c r="B70" s="8" t="inlineStr">
        <is>
          <t>Broadcom Inc.</t>
        </is>
      </c>
      <c r="C70" s="8" t="inlineStr">
        <is>
          <t>STANDARD</t>
        </is>
      </c>
      <c r="D70" s="8" t="n">
        <v>2021</v>
      </c>
      <c r="E70" s="8" t="inlineStr">
        <is>
          <t>2021-10-31</t>
        </is>
      </c>
      <c r="F70" s="8" t="inlineStr">
        <is>
          <t>0001730168-23-000096</t>
        </is>
      </c>
      <c r="G70" s="13" t="n">
        <v>27.45</v>
      </c>
      <c r="H70" s="13" t="n">
        <v>8.519</v>
      </c>
      <c r="I70" s="8" t="inlineStr">
        <is>
          <t>reported OperatingIncomeLoss (no interest expense tagged)</t>
        </is>
      </c>
      <c r="J70" s="13" t="n">
        <v>6.736</v>
      </c>
      <c r="K70" s="10" t="n">
        <v>0.05</v>
      </c>
      <c r="L70" s="13" t="n">
        <v>8.09305</v>
      </c>
      <c r="M70" s="13" t="n">
        <v>52.503</v>
      </c>
      <c r="N70" s="13" t="n">
        <v>34.793</v>
      </c>
      <c r="O70" s="10" t="n">
        <v>0.2326056965481562</v>
      </c>
      <c r="P70" s="8" t="inlineStr">
        <is>
          <t>OK</t>
        </is>
      </c>
      <c r="Q70" s="10" t="n">
        <v>0.2758620689655172</v>
      </c>
      <c r="R70" s="10" t="n">
        <v>0.04325637241736099</v>
      </c>
      <c r="S70" s="13" t="n">
        <v>24.962</v>
      </c>
      <c r="T70" s="13" t="n">
        <v>12.163</v>
      </c>
      <c r="U70" s="13" t="n">
        <v>39.704</v>
      </c>
      <c r="V70" s="8" t="inlineStr">
        <is>
          <t>short-term + long-term</t>
        </is>
      </c>
      <c r="W70" s="13" t="n">
        <v>9.058</v>
      </c>
      <c r="X70" s="11" t="n">
        <v>3.040516670346655</v>
      </c>
      <c r="Y70" s="11" t="n"/>
      <c r="Z70" s="13" t="n">
        <v>7.159</v>
      </c>
      <c r="AA70" s="8" t="inlineStr">
        <is>
          <t>net income + D&amp;A - capex - change in operating working capital (cash and short-term debt excluded)</t>
        </is>
      </c>
      <c r="AB70" s="10" t="n">
        <v>0.2608014571948998</v>
      </c>
      <c r="AC70" s="10" t="n">
        <v>0.3103460837887068</v>
      </c>
      <c r="AD70" s="12" t="n">
        <v>4290000000</v>
      </c>
    </row>
    <row r="71">
      <c r="A71" s="8" t="inlineStr">
        <is>
          <t>AVGO</t>
        </is>
      </c>
      <c r="B71" s="8" t="inlineStr">
        <is>
          <t>Broadcom Inc.</t>
        </is>
      </c>
      <c r="C71" s="8" t="inlineStr">
        <is>
          <t>STANDARD</t>
        </is>
      </c>
      <c r="D71" s="8" t="n">
        <v>2022</v>
      </c>
      <c r="E71" s="8" t="inlineStr">
        <is>
          <t>2022-10-30</t>
        </is>
      </c>
      <c r="F71" s="8" t="inlineStr">
        <is>
          <t>0001730168-24-000139</t>
        </is>
      </c>
      <c r="G71" s="13" t="n">
        <v>33.203</v>
      </c>
      <c r="H71" s="13" t="n">
        <v>14.225</v>
      </c>
      <c r="I71" s="8" t="inlineStr">
        <is>
          <t>reported OperatingIncomeLoss (no interest expense tagged)</t>
        </is>
      </c>
      <c r="J71" s="13" t="n">
        <v>11.495</v>
      </c>
      <c r="K71" s="10" t="n">
        <v>0.07551873894161171</v>
      </c>
      <c r="L71" s="13" t="n">
        <v>13.15074593855558</v>
      </c>
      <c r="M71" s="13" t="n">
        <v>49.771</v>
      </c>
      <c r="N71" s="13" t="n">
        <v>51.137</v>
      </c>
      <c r="O71" s="10" t="n">
        <v>0.2571669424986913</v>
      </c>
      <c r="P71" s="8" t="inlineStr">
        <is>
          <t>OK</t>
        </is>
      </c>
      <c r="Q71" s="10" t="n">
        <v>0.4822638501394978</v>
      </c>
      <c r="R71" s="10" t="n">
        <v>0.2250969076408065</v>
      </c>
      <c r="S71" s="13" t="n">
        <v>22.709</v>
      </c>
      <c r="T71" s="13" t="n">
        <v>12.416</v>
      </c>
      <c r="U71" s="13" t="n">
        <v>39.478</v>
      </c>
      <c r="V71" s="8" t="inlineStr">
        <is>
          <t>short-term + long-term</t>
        </is>
      </c>
      <c r="W71" s="13" t="n">
        <v>14.754</v>
      </c>
      <c r="X71" s="11" t="n">
        <v>1.834214450318558</v>
      </c>
      <c r="Y71" s="11" t="n"/>
      <c r="Z71" s="13" t="n">
        <v>10.567</v>
      </c>
      <c r="AA71" s="8" t="inlineStr">
        <is>
          <t>net income + D&amp;A - capex - change in operating working capital (cash and short-term debt excluded)</t>
        </is>
      </c>
      <c r="AB71" s="10" t="n">
        <v>0.3182543746047044</v>
      </c>
      <c r="AC71" s="10" t="n">
        <v>0.4284251423064181</v>
      </c>
      <c r="AD71" s="12" t="n">
        <v>42320000000</v>
      </c>
    </row>
    <row r="72">
      <c r="A72" s="8" t="inlineStr">
        <is>
          <t>AVGO</t>
        </is>
      </c>
      <c r="B72" s="8" t="inlineStr">
        <is>
          <t>Broadcom Inc.</t>
        </is>
      </c>
      <c r="C72" s="8" t="inlineStr">
        <is>
          <t>STANDARD</t>
        </is>
      </c>
      <c r="D72" s="8" t="n">
        <v>2023</v>
      </c>
      <c r="E72" s="8" t="inlineStr">
        <is>
          <t>2023-10-29</t>
        </is>
      </c>
      <c r="F72" s="8" t="inlineStr">
        <is>
          <t>0001730168-25-000121</t>
        </is>
      </c>
      <c r="G72" s="13" t="n">
        <v>35.819</v>
      </c>
      <c r="H72" s="13" t="n">
        <v>16.719</v>
      </c>
      <c r="I72" s="8" t="inlineStr">
        <is>
          <t>pretax_income + interest_expense</t>
        </is>
      </c>
      <c r="J72" s="13" t="n">
        <v>14.082</v>
      </c>
      <c r="K72" s="10" t="n">
        <v>0.06723190037755845</v>
      </c>
      <c r="L72" s="13" t="n">
        <v>15.5949498575876</v>
      </c>
      <c r="M72" s="13" t="n">
        <v>48.983</v>
      </c>
      <c r="N72" s="13" t="n">
        <v>49.377</v>
      </c>
      <c r="O72" s="10" t="n">
        <v>0.3158342924354983</v>
      </c>
      <c r="P72" s="8" t="inlineStr">
        <is>
          <t>OK</t>
        </is>
      </c>
      <c r="Q72" s="10" t="n">
        <v>0.6031222562477246</v>
      </c>
      <c r="R72" s="10" t="n">
        <v>0.2872879638122263</v>
      </c>
      <c r="S72" s="13" t="n">
        <v>23.988</v>
      </c>
      <c r="T72" s="13" t="n">
        <v>14.189</v>
      </c>
      <c r="U72" s="13" t="n">
        <v>39.184</v>
      </c>
      <c r="V72" s="8" t="inlineStr">
        <is>
          <t>short-term + long-term</t>
        </is>
      </c>
      <c r="W72" s="13" t="n">
        <v>17.221</v>
      </c>
      <c r="X72" s="11" t="n">
        <v>1.451425585041519</v>
      </c>
      <c r="Y72" s="11" t="n">
        <v>10.30764488286067</v>
      </c>
      <c r="Z72" s="13" t="n">
        <v>12.755</v>
      </c>
      <c r="AA72" s="8" t="inlineStr">
        <is>
          <t>net income + D&amp;A - capex - change in operating working capital (cash and short-term debt excluded)</t>
        </is>
      </c>
      <c r="AB72" s="10" t="n">
        <v>0.3560959267427901</v>
      </c>
      <c r="AC72" s="10" t="n">
        <v>0.4667634495658728</v>
      </c>
      <c r="AD72" s="12" t="n">
        <v>42720000000</v>
      </c>
    </row>
    <row r="73">
      <c r="A73" s="8" t="inlineStr">
        <is>
          <t>AVGO</t>
        </is>
      </c>
      <c r="B73" s="8" t="inlineStr">
        <is>
          <t>Broadcom Inc.</t>
        </is>
      </c>
      <c r="C73" s="8" t="inlineStr">
        <is>
          <t>STANDARD</t>
        </is>
      </c>
      <c r="D73" s="8" t="n">
        <v>2024</v>
      </c>
      <c r="E73" s="8" t="inlineStr">
        <is>
          <t>2024-11-03</t>
        </is>
      </c>
      <c r="F73" s="8" t="inlineStr">
        <is>
          <t>0001730168-25-000121</t>
        </is>
      </c>
      <c r="G73" s="13" t="n">
        <v>51.574</v>
      </c>
      <c r="H73" s="13" t="n">
        <v>13.869</v>
      </c>
      <c r="I73" s="8" t="inlineStr">
        <is>
          <t>pretax_income + interest_expense</t>
        </is>
      </c>
      <c r="J73" s="13" t="n">
        <v>5.895</v>
      </c>
      <c r="K73" s="10" t="n">
        <v>0.3779749899152884</v>
      </c>
      <c r="L73" s="13" t="n">
        <v>8.626864864864864</v>
      </c>
      <c r="M73" s="13" t="n">
        <v>125.87</v>
      </c>
      <c r="N73" s="13" t="n">
        <v>87.4265</v>
      </c>
      <c r="O73" s="10" t="n">
        <v>0.09867562884096771</v>
      </c>
      <c r="P73" s="8" t="inlineStr">
        <is>
          <t>OK</t>
        </is>
      </c>
      <c r="Q73" s="10" t="n">
        <v>0.1286191172299435</v>
      </c>
      <c r="R73" s="10" t="n">
        <v>0.02994348838897577</v>
      </c>
      <c r="S73" s="13" t="n">
        <v>67.678</v>
      </c>
      <c r="T73" s="13" t="n">
        <v>9.348000000000001</v>
      </c>
      <c r="U73" s="13" t="n">
        <v>67.54000000000001</v>
      </c>
      <c r="V73" s="8" t="inlineStr">
        <is>
          <t>short-term + long-term</t>
        </is>
      </c>
      <c r="W73" s="13" t="n">
        <v>14.462</v>
      </c>
      <c r="X73" s="11" t="n">
        <v>4.023786474899738</v>
      </c>
      <c r="Y73" s="11" t="n">
        <v>3.508474576271186</v>
      </c>
      <c r="Z73" s="13" t="n">
        <v>11.961</v>
      </c>
      <c r="AA73" s="8" t="inlineStr">
        <is>
          <t>net income + D&amp;A - capex - change in operating working capital (cash and short-term debt excluded)</t>
        </is>
      </c>
      <c r="AB73" s="10" t="n">
        <v>0.2319191840850041</v>
      </c>
      <c r="AC73" s="10" t="n">
        <v>0.2689145693566526</v>
      </c>
      <c r="AD73" s="12" t="n">
        <v>4778000000</v>
      </c>
    </row>
    <row r="74">
      <c r="A74" s="8" t="inlineStr">
        <is>
          <t>AVGO</t>
        </is>
      </c>
      <c r="B74" s="8" t="inlineStr">
        <is>
          <t>Broadcom Inc.</t>
        </is>
      </c>
      <c r="C74" s="8" t="inlineStr">
        <is>
          <t>STANDARD</t>
        </is>
      </c>
      <c r="D74" s="8" t="n">
        <v>2025</v>
      </c>
      <c r="E74" s="8" t="inlineStr">
        <is>
          <t>2025-11-02</t>
        </is>
      </c>
      <c r="F74" s="8" t="inlineStr">
        <is>
          <t>0001730168-25-000121</t>
        </is>
      </c>
      <c r="G74" s="13" t="n">
        <v>63.887</v>
      </c>
      <c r="H74" s="13" t="n">
        <v>25.939</v>
      </c>
      <c r="I74" s="8" t="inlineStr">
        <is>
          <t>pretax_income + interest_expense</t>
        </is>
      </c>
      <c r="J74" s="13" t="n">
        <v>23.126</v>
      </c>
      <c r="K74" s="10" t="n">
        <v>0.05</v>
      </c>
      <c r="L74" s="13" t="n">
        <v>24.64205</v>
      </c>
      <c r="M74" s="13" t="n">
        <v>130.25</v>
      </c>
      <c r="N74" s="13" t="n">
        <v>128.06</v>
      </c>
      <c r="O74" s="10" t="n">
        <v>0.1924258160237389</v>
      </c>
      <c r="P74" s="8" t="inlineStr">
        <is>
          <t>OK</t>
        </is>
      </c>
      <c r="Q74" s="10" t="n">
        <v>0.3104786198563469</v>
      </c>
      <c r="R74" s="10" t="n">
        <v>0.118052803832608</v>
      </c>
      <c r="S74" s="13" t="n">
        <v>81.292</v>
      </c>
      <c r="T74" s="13" t="n">
        <v>16.178</v>
      </c>
      <c r="U74" s="13" t="n">
        <v>65.136</v>
      </c>
      <c r="V74" s="8" t="inlineStr">
        <is>
          <t>short-term + long-term</t>
        </is>
      </c>
      <c r="W74" s="13" t="n">
        <v>26.513</v>
      </c>
      <c r="X74" s="11" t="n">
        <v>1.846565835627805</v>
      </c>
      <c r="Y74" s="11" t="n">
        <v>8.080685358255451</v>
      </c>
      <c r="Z74" s="13" t="n">
        <v>17.839</v>
      </c>
      <c r="AA74" s="8" t="inlineStr">
        <is>
          <t>net income + D&amp;A - capex - change in operating working capital (cash and short-term debt excluded)</t>
        </is>
      </c>
      <c r="AB74" s="10" t="n">
        <v>0.2792273858531469</v>
      </c>
      <c r="AC74" s="10" t="n">
        <v>0.4060137430150109</v>
      </c>
      <c r="AD74" s="12" t="n">
        <v>4853000000</v>
      </c>
    </row>
    <row r="75">
      <c r="A75" s="8" t="inlineStr">
        <is>
          <t>META</t>
        </is>
      </c>
      <c r="B75" s="8" t="inlineStr">
        <is>
          <t>Meta Platforms, Inc.</t>
        </is>
      </c>
      <c r="C75" s="8" t="inlineStr">
        <is>
          <t>STANDARD</t>
        </is>
      </c>
      <c r="D75" s="8" t="n">
        <v>2014</v>
      </c>
      <c r="E75" s="8" t="inlineStr">
        <is>
          <t>2014-12-31</t>
        </is>
      </c>
      <c r="F75" s="8" t="inlineStr">
        <is>
          <t>0001326801-17-000007</t>
        </is>
      </c>
      <c r="G75" s="13" t="n"/>
      <c r="H75" s="13" t="n">
        <v>4.994</v>
      </c>
      <c r="I75" s="8" t="inlineStr">
        <is>
          <t>reported OperatingIncomeLoss (no interest expense tagged)</t>
        </is>
      </c>
      <c r="J75" s="13" t="n">
        <v>2.94</v>
      </c>
      <c r="K75" s="10" t="n">
        <v>0.4</v>
      </c>
      <c r="L75" s="13" t="n">
        <v>2.9964</v>
      </c>
      <c r="M75" s="13" t="n">
        <v>31.781</v>
      </c>
      <c r="N75" s="13" t="n">
        <v>31.781</v>
      </c>
      <c r="O75" s="10" t="n">
        <v>0.09428274755356975</v>
      </c>
      <c r="P75" s="8" t="inlineStr">
        <is>
          <t>OK</t>
        </is>
      </c>
      <c r="Q75" s="10" t="n">
        <v>0.08144946808510638</v>
      </c>
      <c r="R75" s="10" t="n">
        <v>-0.01283327946846337</v>
      </c>
      <c r="S75" s="13" t="n">
        <v>36.096</v>
      </c>
      <c r="T75" s="13" t="n">
        <v>4.315</v>
      </c>
      <c r="U75" s="13" t="n">
        <v>0</v>
      </c>
      <c r="V75" s="8" t="inlineStr">
        <is>
          <t>short-term only (no long-term debt tagged; read as nil)</t>
        </is>
      </c>
      <c r="W75" s="13" t="n">
        <v>6.237</v>
      </c>
      <c r="X75" s="11" t="n">
        <v>-0.6918390251723585</v>
      </c>
      <c r="Y75" s="11" t="n"/>
      <c r="Z75" s="13" t="n">
        <v>5.495</v>
      </c>
      <c r="AA75" s="8" t="inlineStr">
        <is>
          <t>operating cash flow - capex (working-capital swing already embedded)</t>
        </is>
      </c>
      <c r="AB75" s="10" t="n"/>
      <c r="AC75" s="10" t="n"/>
      <c r="AD75" s="12" t="n">
        <v>2664000000</v>
      </c>
    </row>
    <row r="76">
      <c r="A76" s="8" t="inlineStr">
        <is>
          <t>META</t>
        </is>
      </c>
      <c r="B76" s="8" t="inlineStr">
        <is>
          <t>Meta Platforms, Inc.</t>
        </is>
      </c>
      <c r="C76" s="8" t="inlineStr">
        <is>
          <t>STANDARD</t>
        </is>
      </c>
      <c r="D76" s="8" t="n">
        <v>2015</v>
      </c>
      <c r="E76" s="8" t="inlineStr">
        <is>
          <t>2015-12-31</t>
        </is>
      </c>
      <c r="F76" s="8" t="inlineStr">
        <is>
          <t>0001326801-18-000009</t>
        </is>
      </c>
      <c r="G76" s="13" t="n"/>
      <c r="H76" s="13" t="n">
        <v>6.225</v>
      </c>
      <c r="I76" s="8" t="inlineStr">
        <is>
          <t>reported OperatingIncomeLoss (no interest expense tagged)</t>
        </is>
      </c>
      <c r="J76" s="13" t="n">
        <v>3.688</v>
      </c>
      <c r="K76" s="10" t="n">
        <v>0.4</v>
      </c>
      <c r="L76" s="13" t="n">
        <v>3.735</v>
      </c>
      <c r="M76" s="13" t="n">
        <v>39.512</v>
      </c>
      <c r="N76" s="13" t="n">
        <v>35.6465</v>
      </c>
      <c r="O76" s="10" t="n">
        <v>0.1047788702958215</v>
      </c>
      <c r="P76" s="8" t="inlineStr">
        <is>
          <t>OK</t>
        </is>
      </c>
      <c r="Q76" s="10" t="n">
        <v>0.09183952984535697</v>
      </c>
      <c r="R76" s="10" t="n">
        <v>-0.01293934045046451</v>
      </c>
      <c r="S76" s="13" t="n">
        <v>44.218</v>
      </c>
      <c r="T76" s="13" t="n">
        <v>4.907</v>
      </c>
      <c r="U76" s="13" t="n">
        <v>0.201</v>
      </c>
      <c r="V76" s="8" t="inlineStr">
        <is>
          <t>short-term only (no long-term debt tagged; read as nil)</t>
        </is>
      </c>
      <c r="W76" s="13" t="n">
        <v>8.17</v>
      </c>
      <c r="X76" s="11" t="n">
        <v>-0.5760097919216646</v>
      </c>
      <c r="Y76" s="11" t="n"/>
      <c r="Z76" s="13" t="n">
        <v>-4.26</v>
      </c>
      <c r="AA76" s="8" t="inlineStr">
        <is>
          <t>net income + D&amp;A - capex - change in operating working capital (cash and short-term debt excluded)</t>
        </is>
      </c>
      <c r="AB76" s="10" t="n"/>
      <c r="AC76" s="10" t="n"/>
      <c r="AD76" s="12" t="n">
        <v>2905000000</v>
      </c>
    </row>
    <row r="77">
      <c r="A77" s="8" t="inlineStr">
        <is>
          <t>META</t>
        </is>
      </c>
      <c r="B77" s="8" t="inlineStr">
        <is>
          <t>Meta Platforms, Inc.</t>
        </is>
      </c>
      <c r="C77" s="8" t="inlineStr">
        <is>
          <t>STANDARD</t>
        </is>
      </c>
      <c r="D77" s="8" t="n">
        <v>2016</v>
      </c>
      <c r="E77" s="8" t="inlineStr">
        <is>
          <t>2016-12-31</t>
        </is>
      </c>
      <c r="F77" s="8" t="inlineStr">
        <is>
          <t>0001326801-19-000009</t>
        </is>
      </c>
      <c r="G77" s="13" t="n">
        <v>27.638</v>
      </c>
      <c r="H77" s="13" t="n">
        <v>12.427</v>
      </c>
      <c r="I77" s="8" t="inlineStr">
        <is>
          <t>reported OperatingIncomeLoss (no interest expense tagged)</t>
        </is>
      </c>
      <c r="J77" s="13" t="n">
        <v>10.217</v>
      </c>
      <c r="K77" s="10" t="n">
        <v>0.1838153059594184</v>
      </c>
      <c r="L77" s="13" t="n">
        <v>10.14272719284231</v>
      </c>
      <c r="M77" s="13" t="n">
        <v>50.291</v>
      </c>
      <c r="N77" s="13" t="n">
        <v>44.9015</v>
      </c>
      <c r="O77" s="10" t="n">
        <v>0.2258883821886197</v>
      </c>
      <c r="P77" s="8" t="inlineStr">
        <is>
          <t>OK</t>
        </is>
      </c>
      <c r="Q77" s="10" t="n">
        <v>0.1975979576838278</v>
      </c>
      <c r="R77" s="10" t="n">
        <v>-0.02829042450479191</v>
      </c>
      <c r="S77" s="13" t="n">
        <v>59.194</v>
      </c>
      <c r="T77" s="13" t="n">
        <v>8.903</v>
      </c>
      <c r="U77" s="13" t="n">
        <v>0</v>
      </c>
      <c r="V77" s="8" t="inlineStr">
        <is>
          <t>short-term only (no long-term debt tagged; read as nil)</t>
        </is>
      </c>
      <c r="W77" s="13" t="n">
        <v>14.769</v>
      </c>
      <c r="X77" s="11" t="n">
        <v>-0.602816710677771</v>
      </c>
      <c r="Y77" s="11" t="n"/>
      <c r="Z77" s="13" t="n">
        <v>0.466</v>
      </c>
      <c r="AA77" s="8" t="inlineStr">
        <is>
          <t>net income + D&amp;A - capex - change in operating working capital (cash and short-term debt excluded)</t>
        </is>
      </c>
      <c r="AB77" s="10" t="n">
        <v>0.01686084376582965</v>
      </c>
      <c r="AC77" s="10" t="n">
        <v>0.4496345611115131</v>
      </c>
      <c r="AD77" s="12" t="n">
        <v>2925000000</v>
      </c>
    </row>
    <row r="78">
      <c r="A78" s="8" t="inlineStr">
        <is>
          <t>META</t>
        </is>
      </c>
      <c r="B78" s="8" t="inlineStr">
        <is>
          <t>Meta Platforms, Inc.</t>
        </is>
      </c>
      <c r="C78" s="8" t="inlineStr">
        <is>
          <t>STANDARD</t>
        </is>
      </c>
      <c r="D78" s="8" t="n">
        <v>2017</v>
      </c>
      <c r="E78" s="8" t="inlineStr">
        <is>
          <t>2017-12-31</t>
        </is>
      </c>
      <c r="F78" s="8" t="inlineStr">
        <is>
          <t>0001326801-20-000013</t>
        </is>
      </c>
      <c r="G78" s="13" t="n">
        <v>40.653</v>
      </c>
      <c r="H78" s="13" t="n">
        <v>20.203</v>
      </c>
      <c r="I78" s="8" t="inlineStr">
        <is>
          <t>reported OperatingIncomeLoss (no interest expense tagged)</t>
        </is>
      </c>
      <c r="J78" s="13" t="n">
        <v>15.934</v>
      </c>
      <c r="K78" s="10" t="n">
        <v>0.2262794988831699</v>
      </c>
      <c r="L78" s="13" t="n">
        <v>15.63147528406332</v>
      </c>
      <c r="M78" s="13" t="n"/>
      <c r="N78" s="13" t="n"/>
      <c r="O78" s="10" t="n"/>
      <c r="P78" s="8" t="inlineStr">
        <is>
          <t>DATA_UNAVAILABLE</t>
        </is>
      </c>
      <c r="Q78" s="10" t="n">
        <v>0.2386383208153301</v>
      </c>
      <c r="R78" s="10" t="n"/>
      <c r="S78" s="13" t="n">
        <v>74.34699999999999</v>
      </c>
      <c r="T78" s="13" t="n">
        <v>8.079000000000001</v>
      </c>
      <c r="U78" s="13" t="n"/>
      <c r="V78" s="8" t="inlineStr">
        <is>
          <t>DATA_UNAVAILABLE</t>
        </is>
      </c>
      <c r="W78" s="13" t="n">
        <v>23.228</v>
      </c>
      <c r="X78" s="11" t="n"/>
      <c r="Y78" s="11" t="n"/>
      <c r="Z78" s="13" t="n">
        <v>-1.875</v>
      </c>
      <c r="AA78" s="8" t="inlineStr">
        <is>
          <t>net income + D&amp;A - capex - change in operating working capital (cash and short-term debt excluded)</t>
        </is>
      </c>
      <c r="AB78" s="10" t="n">
        <v>-0.04612205741273707</v>
      </c>
      <c r="AC78" s="10" t="n">
        <v>0.4969620938184144</v>
      </c>
      <c r="AD78" s="12" t="n">
        <v>2956000000</v>
      </c>
    </row>
    <row r="79">
      <c r="A79" s="8" t="inlineStr">
        <is>
          <t>META</t>
        </is>
      </c>
      <c r="B79" s="8" t="inlineStr">
        <is>
          <t>Meta Platforms, Inc.</t>
        </is>
      </c>
      <c r="C79" s="8" t="inlineStr">
        <is>
          <t>STANDARD</t>
        </is>
      </c>
      <c r="D79" s="8" t="n">
        <v>2018</v>
      </c>
      <c r="E79" s="8" t="inlineStr">
        <is>
          <t>2018-12-31</t>
        </is>
      </c>
      <c r="F79" s="8" t="inlineStr">
        <is>
          <t>0001326801-21-000014</t>
        </is>
      </c>
      <c r="G79" s="13" t="n">
        <v>55.838</v>
      </c>
      <c r="H79" s="13" t="n">
        <v>24.913</v>
      </c>
      <c r="I79" s="8" t="inlineStr">
        <is>
          <t>reported OperatingIncomeLoss (no interest expense tagged)</t>
        </is>
      </c>
      <c r="J79" s="13" t="n">
        <v>22.112</v>
      </c>
      <c r="K79" s="10" t="n">
        <v>0.128110090296124</v>
      </c>
      <c r="L79" s="13" t="n">
        <v>21.72139332045266</v>
      </c>
      <c r="M79" s="13" t="n"/>
      <c r="N79" s="13" t="n"/>
      <c r="O79" s="10" t="n"/>
      <c r="P79" s="8" t="inlineStr">
        <is>
          <t>DATA_UNAVAILABLE</t>
        </is>
      </c>
      <c r="Q79" s="10" t="n">
        <v>0.2790615495286293</v>
      </c>
      <c r="R79" s="10" t="n"/>
      <c r="S79" s="13" t="n">
        <v>84.127</v>
      </c>
      <c r="T79" s="13" t="n">
        <v>10.019</v>
      </c>
      <c r="U79" s="13" t="n"/>
      <c r="V79" s="8" t="inlineStr">
        <is>
          <t>DATA_UNAVAILABLE</t>
        </is>
      </c>
      <c r="W79" s="13" t="n">
        <v>29.228</v>
      </c>
      <c r="X79" s="11" t="n"/>
      <c r="Y79" s="11" t="n"/>
      <c r="Z79" s="13" t="n">
        <v>15.792</v>
      </c>
      <c r="AA79" s="8" t="inlineStr">
        <is>
          <t>net income + D&amp;A - capex - change in operating working capital (cash and short-term debt excluded)</t>
        </is>
      </c>
      <c r="AB79" s="10" t="n">
        <v>0.2828181525126258</v>
      </c>
      <c r="AC79" s="10" t="n">
        <v>0.4461656936136681</v>
      </c>
      <c r="AD79" s="12" t="n">
        <v>2921000000</v>
      </c>
    </row>
    <row r="80">
      <c r="A80" s="8" t="inlineStr">
        <is>
          <t>META</t>
        </is>
      </c>
      <c r="B80" s="8" t="inlineStr">
        <is>
          <t>Meta Platforms, Inc.</t>
        </is>
      </c>
      <c r="C80" s="8" t="inlineStr">
        <is>
          <t>STANDARD</t>
        </is>
      </c>
      <c r="D80" s="8" t="n">
        <v>2019</v>
      </c>
      <c r="E80" s="8" t="inlineStr">
        <is>
          <t>2019-12-31</t>
        </is>
      </c>
      <c r="F80" s="8" t="inlineStr">
        <is>
          <t>0001326801-22-000018</t>
        </is>
      </c>
      <c r="G80" s="13" t="n">
        <v>70.697</v>
      </c>
      <c r="H80" s="13" t="n">
        <v>23.986</v>
      </c>
      <c r="I80" s="8" t="inlineStr">
        <is>
          <t>reported OperatingIncomeLoss (no interest expense tagged)</t>
        </is>
      </c>
      <c r="J80" s="13" t="n">
        <v>18.485</v>
      </c>
      <c r="K80" s="10" t="n">
        <v>0.2549975818152507</v>
      </c>
      <c r="L80" s="13" t="n">
        <v>17.8696280025794</v>
      </c>
      <c r="M80" s="13" t="n"/>
      <c r="N80" s="13" t="n"/>
      <c r="O80" s="10" t="n"/>
      <c r="P80" s="8" t="inlineStr">
        <is>
          <t>DATA_UNAVAILABLE</t>
        </is>
      </c>
      <c r="Q80" s="10" t="n">
        <v>0.1996425119207694</v>
      </c>
      <c r="R80" s="10" t="n"/>
      <c r="S80" s="13" t="n">
        <v>101.054</v>
      </c>
      <c r="T80" s="13" t="n">
        <v>19.079</v>
      </c>
      <c r="U80" s="13" t="n"/>
      <c r="V80" s="8" t="inlineStr">
        <is>
          <t>DATA_UNAVAILABLE</t>
        </is>
      </c>
      <c r="W80" s="13" t="n">
        <v>29.727</v>
      </c>
      <c r="X80" s="11" t="n"/>
      <c r="Y80" s="11" t="n"/>
      <c r="Z80" s="13" t="n">
        <v>10.475</v>
      </c>
      <c r="AA80" s="8" t="inlineStr">
        <is>
          <t>net income + D&amp;A - capex - change in operating working capital (cash and short-term debt excluded)</t>
        </is>
      </c>
      <c r="AB80" s="10" t="n">
        <v>0.1481675318613237</v>
      </c>
      <c r="AC80" s="10" t="n">
        <v>0.3392788944368219</v>
      </c>
      <c r="AD80" s="12" t="n">
        <v>2876000000</v>
      </c>
    </row>
    <row r="81">
      <c r="A81" s="8" t="inlineStr">
        <is>
          <t>META</t>
        </is>
      </c>
      <c r="B81" s="8" t="inlineStr">
        <is>
          <t>Meta Platforms, Inc.</t>
        </is>
      </c>
      <c r="C81" s="8" t="inlineStr">
        <is>
          <t>STANDARD</t>
        </is>
      </c>
      <c r="D81" s="8" t="n">
        <v>2020</v>
      </c>
      <c r="E81" s="8" t="inlineStr">
        <is>
          <t>2020-12-31</t>
        </is>
      </c>
      <c r="F81" s="8" t="inlineStr">
        <is>
          <t>0001326801-23-000013</t>
        </is>
      </c>
      <c r="G81" s="13" t="n">
        <v>85.965</v>
      </c>
      <c r="H81" s="13" t="n">
        <v>32.671</v>
      </c>
      <c r="I81" s="8" t="inlineStr">
        <is>
          <t>reported OperatingIncomeLoss (no interest expense tagged)</t>
        </is>
      </c>
      <c r="J81" s="13" t="n">
        <v>29.146</v>
      </c>
      <c r="K81" s="10" t="n">
        <v>0.1215792646172393</v>
      </c>
      <c r="L81" s="13" t="n">
        <v>28.69888384569017</v>
      </c>
      <c r="M81" s="13" t="n"/>
      <c r="N81" s="13" t="n"/>
      <c r="O81" s="10" t="n"/>
      <c r="P81" s="8" t="inlineStr">
        <is>
          <t>DATA_UNAVAILABLE</t>
        </is>
      </c>
      <c r="Q81" s="10" t="n">
        <v>0.254168410771592</v>
      </c>
      <c r="R81" s="10" t="n"/>
      <c r="S81" s="13" t="n">
        <v>128.29</v>
      </c>
      <c r="T81" s="13" t="n">
        <v>17.576</v>
      </c>
      <c r="U81" s="13" t="n"/>
      <c r="V81" s="8" t="inlineStr">
        <is>
          <t>DATA_UNAVAILABLE</t>
        </is>
      </c>
      <c r="W81" s="13" t="n">
        <v>39.533</v>
      </c>
      <c r="X81" s="11" t="n"/>
      <c r="Y81" s="11" t="n"/>
      <c r="Z81" s="13" t="n">
        <v>9.824999999999999</v>
      </c>
      <c r="AA81" s="8" t="inlineStr">
        <is>
          <t>net income + D&amp;A - capex - change in operating working capital (cash and short-term debt excluded)</t>
        </is>
      </c>
      <c r="AB81" s="10" t="n">
        <v>0.1142906997033677</v>
      </c>
      <c r="AC81" s="10" t="n">
        <v>0.3800500203571221</v>
      </c>
      <c r="AD81" s="12" t="n">
        <v>2888000000</v>
      </c>
    </row>
    <row r="82">
      <c r="A82" s="8" t="inlineStr">
        <is>
          <t>META</t>
        </is>
      </c>
      <c r="B82" s="8" t="inlineStr">
        <is>
          <t>Meta Platforms, Inc.</t>
        </is>
      </c>
      <c r="C82" s="8" t="inlineStr">
        <is>
          <t>STANDARD</t>
        </is>
      </c>
      <c r="D82" s="8" t="n">
        <v>2021</v>
      </c>
      <c r="E82" s="8" t="inlineStr">
        <is>
          <t>2021-12-31</t>
        </is>
      </c>
      <c r="F82" s="8" t="inlineStr">
        <is>
          <t>0001326801-24-000012</t>
        </is>
      </c>
      <c r="G82" s="13" t="n">
        <v>117.929</v>
      </c>
      <c r="H82" s="13" t="n">
        <v>46.753</v>
      </c>
      <c r="I82" s="8" t="inlineStr">
        <is>
          <t>reported OperatingIncomeLoss (no interest expense tagged)</t>
        </is>
      </c>
      <c r="J82" s="13" t="n">
        <v>39.37</v>
      </c>
      <c r="K82" s="10" t="n">
        <v>0.167371626765925</v>
      </c>
      <c r="L82" s="13" t="n">
        <v>38.9278743338127</v>
      </c>
      <c r="M82" s="13" t="n">
        <v>108.278</v>
      </c>
      <c r="N82" s="13" t="n">
        <v>108.278</v>
      </c>
      <c r="O82" s="10" t="n">
        <v>0.3595178552781979</v>
      </c>
      <c r="P82" s="8" t="inlineStr">
        <is>
          <t>OK</t>
        </is>
      </c>
      <c r="Q82" s="10" t="n">
        <v>0.3110175416421442</v>
      </c>
      <c r="R82" s="10" t="n">
        <v>-0.04850031363605367</v>
      </c>
      <c r="S82" s="13" t="n">
        <v>124.879</v>
      </c>
      <c r="T82" s="13" t="n">
        <v>16.601</v>
      </c>
      <c r="U82" s="13" t="n">
        <v>0</v>
      </c>
      <c r="V82" s="8" t="inlineStr">
        <is>
          <t>long-term only (no short-term debt tagged; read as nil)</t>
        </is>
      </c>
      <c r="W82" s="13" t="n">
        <v>54.72</v>
      </c>
      <c r="X82" s="11" t="n">
        <v>-0.3033808479532163</v>
      </c>
      <c r="Y82" s="11" t="n"/>
      <c r="Z82" s="13" t="n">
        <v>42.83</v>
      </c>
      <c r="AA82" s="8" t="inlineStr">
        <is>
          <t>net income + D&amp;A - capex - change in operating working capital (cash and short-term debt excluded)</t>
        </is>
      </c>
      <c r="AB82" s="10" t="n">
        <v>0.3631846280389048</v>
      </c>
      <c r="AC82" s="10" t="n">
        <v>0.3964504066005817</v>
      </c>
      <c r="AD82" s="12" t="n">
        <v>2859000000</v>
      </c>
    </row>
    <row r="83">
      <c r="A83" s="8" t="inlineStr">
        <is>
          <t>META</t>
        </is>
      </c>
      <c r="B83" s="8" t="inlineStr">
        <is>
          <t>Meta Platforms, Inc.</t>
        </is>
      </c>
      <c r="C83" s="8" t="inlineStr">
        <is>
          <t>STANDARD</t>
        </is>
      </c>
      <c r="D83" s="8" t="n">
        <v>2022</v>
      </c>
      <c r="E83" s="8" t="inlineStr">
        <is>
          <t>2022-12-31</t>
        </is>
      </c>
      <c r="F83" s="8" t="inlineStr">
        <is>
          <t>0001326801-25-000017</t>
        </is>
      </c>
      <c r="G83" s="13" t="n">
        <v>116.609</v>
      </c>
      <c r="H83" s="13" t="n">
        <v>28.979</v>
      </c>
      <c r="I83" s="8" t="inlineStr">
        <is>
          <t>pretax_income + interest_expense</t>
        </is>
      </c>
      <c r="J83" s="13" t="n">
        <v>23.2</v>
      </c>
      <c r="K83" s="10" t="n">
        <v>0.1949755369721364</v>
      </c>
      <c r="L83" s="13" t="n">
        <v>23.32880391408446</v>
      </c>
      <c r="M83" s="13" t="n">
        <v>120.955</v>
      </c>
      <c r="N83" s="13" t="n">
        <v>114.6165</v>
      </c>
      <c r="O83" s="10" t="n">
        <v>0.2035379191834026</v>
      </c>
      <c r="P83" s="8" t="inlineStr">
        <is>
          <t>OK</t>
        </is>
      </c>
      <c r="Q83" s="10" t="n">
        <v>0.1851615374792491</v>
      </c>
      <c r="R83" s="10" t="n">
        <v>-0.01837638170415343</v>
      </c>
      <c r="S83" s="13" t="n">
        <v>125.713</v>
      </c>
      <c r="T83" s="13" t="n">
        <v>14.681</v>
      </c>
      <c r="U83" s="13" t="n">
        <v>9.923</v>
      </c>
      <c r="V83" s="8" t="inlineStr">
        <is>
          <t>long-term only (no short-term debt tagged; read as nil)</t>
        </is>
      </c>
      <c r="W83" s="13" t="n">
        <v>37.665</v>
      </c>
      <c r="X83" s="11" t="n">
        <v>-0.1263241736360016</v>
      </c>
      <c r="Y83" s="11" t="n">
        <v>181.11875</v>
      </c>
      <c r="Z83" s="13" t="n">
        <v>11.788</v>
      </c>
      <c r="AA83" s="8" t="inlineStr">
        <is>
          <t>net income + D&amp;A - capex - change in operating working capital (cash and short-term debt excluded)</t>
        </is>
      </c>
      <c r="AB83" s="10" t="n">
        <v>0.1010899673267072</v>
      </c>
      <c r="AC83" s="10" t="n">
        <v>0.2485142656227221</v>
      </c>
      <c r="AD83" s="12" t="n">
        <v>2702000000</v>
      </c>
    </row>
    <row r="84">
      <c r="A84" s="8" t="inlineStr">
        <is>
          <t>META</t>
        </is>
      </c>
      <c r="B84" s="8" t="inlineStr">
        <is>
          <t>Meta Platforms, Inc.</t>
        </is>
      </c>
      <c r="C84" s="8" t="inlineStr">
        <is>
          <t>STANDARD</t>
        </is>
      </c>
      <c r="D84" s="8" t="n">
        <v>2023</v>
      </c>
      <c r="E84" s="8" t="inlineStr">
        <is>
          <t>2023-12-31</t>
        </is>
      </c>
      <c r="F84" s="8" t="inlineStr">
        <is>
          <t>0001628280-26-003942</t>
        </is>
      </c>
      <c r="G84" s="13" t="n">
        <v>134.902</v>
      </c>
      <c r="H84" s="13" t="n">
        <v>47.848</v>
      </c>
      <c r="I84" s="8" t="inlineStr">
        <is>
          <t>pretax_income + interest_expense</t>
        </is>
      </c>
      <c r="J84" s="13" t="n">
        <v>39.098</v>
      </c>
      <c r="K84" s="10" t="n">
        <v>0.1756346462005566</v>
      </c>
      <c r="L84" s="13" t="n">
        <v>39.44423344859577</v>
      </c>
      <c r="M84" s="13" t="n">
        <v>129.691</v>
      </c>
      <c r="N84" s="13" t="n">
        <v>125.323</v>
      </c>
      <c r="O84" s="10" t="n">
        <v>0.3147405779353811</v>
      </c>
      <c r="P84" s="8" t="inlineStr">
        <is>
          <t>OK</t>
        </is>
      </c>
      <c r="Q84" s="10" t="n">
        <v>0.2803919951520541</v>
      </c>
      <c r="R84" s="10" t="n">
        <v>-0.03434858278332698</v>
      </c>
      <c r="S84" s="13" t="n">
        <v>153.168</v>
      </c>
      <c r="T84" s="13" t="n">
        <v>41.862</v>
      </c>
      <c r="U84" s="13" t="n">
        <v>18.385</v>
      </c>
      <c r="V84" s="8" t="inlineStr">
        <is>
          <t>long-term only (no short-term debt tagged; read as nil)</t>
        </is>
      </c>
      <c r="W84" s="13" t="n">
        <v>59.026</v>
      </c>
      <c r="X84" s="11" t="n">
        <v>-0.3977399789923085</v>
      </c>
      <c r="Y84" s="11" t="n">
        <v>113.9238095238095</v>
      </c>
      <c r="Z84" s="13" t="n">
        <v>29.53</v>
      </c>
      <c r="AA84" s="8" t="inlineStr">
        <is>
          <t>net income + D&amp;A - capex - change in operating working capital (cash and short-term debt excluded)</t>
        </is>
      </c>
      <c r="AB84" s="10" t="n">
        <v>0.2188996456687076</v>
      </c>
      <c r="AC84" s="10" t="n">
        <v>0.3546871061956087</v>
      </c>
      <c r="AD84" s="12" t="n">
        <v>2629000000</v>
      </c>
    </row>
    <row r="85">
      <c r="A85" s="8" t="inlineStr">
        <is>
          <t>META</t>
        </is>
      </c>
      <c r="B85" s="8" t="inlineStr">
        <is>
          <t>Meta Platforms, Inc.</t>
        </is>
      </c>
      <c r="C85" s="8" t="inlineStr">
        <is>
          <t>STANDARD</t>
        </is>
      </c>
      <c r="D85" s="8" t="n">
        <v>2024</v>
      </c>
      <c r="E85" s="8" t="inlineStr">
        <is>
          <t>2024-12-31</t>
        </is>
      </c>
      <c r="F85" s="8" t="inlineStr">
        <is>
          <t>0001628280-26-003942</t>
        </is>
      </c>
      <c r="G85" s="13" t="n">
        <v>164.501</v>
      </c>
      <c r="H85" s="13" t="n">
        <v>71.346</v>
      </c>
      <c r="I85" s="8" t="inlineStr">
        <is>
          <t>pretax_income + interest_expense</t>
        </is>
      </c>
      <c r="J85" s="13" t="n">
        <v>62.36</v>
      </c>
      <c r="K85" s="10" t="n">
        <v>0.1175013797885739</v>
      </c>
      <c r="L85" s="13" t="n">
        <v>62.96274655760441</v>
      </c>
      <c r="M85" s="13" t="n">
        <v>167.574</v>
      </c>
      <c r="N85" s="13" t="n">
        <v>148.6325</v>
      </c>
      <c r="O85" s="10" t="n">
        <v>0.4236135875908997</v>
      </c>
      <c r="P85" s="8" t="inlineStr">
        <is>
          <t>OK</t>
        </is>
      </c>
      <c r="Q85" s="10" t="n">
        <v>0.371406024329596</v>
      </c>
      <c r="R85" s="10" t="n">
        <v>-0.05220756326130371</v>
      </c>
      <c r="S85" s="13" t="n">
        <v>182.637</v>
      </c>
      <c r="T85" s="13" t="n">
        <v>43.889</v>
      </c>
      <c r="U85" s="13" t="n">
        <v>28.826</v>
      </c>
      <c r="V85" s="8" t="inlineStr">
        <is>
          <t>long-term only (no short-term debt tagged; read as nil)</t>
        </is>
      </c>
      <c r="W85" s="13" t="n">
        <v>86.84399999999999</v>
      </c>
      <c r="X85" s="11" t="n">
        <v>-0.1734489429321542</v>
      </c>
      <c r="Y85" s="11" t="n">
        <v>104.4597364568082</v>
      </c>
      <c r="Z85" s="13" t="n">
        <v>29.585</v>
      </c>
      <c r="AA85" s="8" t="inlineStr">
        <is>
          <t>net income + D&amp;A - capex - change in operating working capital (cash and short-term debt excluded)</t>
        </is>
      </c>
      <c r="AB85" s="10" t="n">
        <v>0.1798469310216959</v>
      </c>
      <c r="AC85" s="10" t="n">
        <v>0.4337116491693059</v>
      </c>
      <c r="AD85" s="12" t="n">
        <v>2614000000</v>
      </c>
    </row>
    <row r="86">
      <c r="A86" s="8" t="inlineStr">
        <is>
          <t>META</t>
        </is>
      </c>
      <c r="B86" s="8" t="inlineStr">
        <is>
          <t>Meta Platforms, Inc.</t>
        </is>
      </c>
      <c r="C86" s="8" t="inlineStr">
        <is>
          <t>STANDARD</t>
        </is>
      </c>
      <c r="D86" s="8" t="n">
        <v>2025</v>
      </c>
      <c r="E86" s="8" t="inlineStr">
        <is>
          <t>2025-12-31</t>
        </is>
      </c>
      <c r="F86" s="8" t="inlineStr">
        <is>
          <t>0001628280-26-003942</t>
        </is>
      </c>
      <c r="G86" s="13" t="n">
        <v>200.966</v>
      </c>
      <c r="H86" s="13" t="n">
        <v>87.02200000000001</v>
      </c>
      <c r="I86" s="8" t="inlineStr">
        <is>
          <t>pretax_income + interest_expense</t>
        </is>
      </c>
      <c r="J86" s="13" t="n">
        <v>60.458</v>
      </c>
      <c r="K86" s="10" t="n">
        <v>0.2964436996695061</v>
      </c>
      <c r="L86" s="13" t="n">
        <v>61.22487636736024</v>
      </c>
      <c r="M86" s="13" t="n">
        <v>240.114</v>
      </c>
      <c r="N86" s="13" t="n">
        <v>203.844</v>
      </c>
      <c r="O86" s="10" t="n">
        <v>0.3003516236306207</v>
      </c>
      <c r="P86" s="8" t="inlineStr">
        <is>
          <t>OK</t>
        </is>
      </c>
      <c r="Q86" s="10" t="n">
        <v>0.3023807142142643</v>
      </c>
      <c r="R86" s="10" t="n">
        <v>0.002029090583643589</v>
      </c>
      <c r="S86" s="13" t="n">
        <v>217.243</v>
      </c>
      <c r="T86" s="13" t="n">
        <v>35.873</v>
      </c>
      <c r="U86" s="13" t="n">
        <v>58.744</v>
      </c>
      <c r="V86" s="8" t="inlineStr">
        <is>
          <t>long-term only (no short-term debt tagged; read as nil)</t>
        </is>
      </c>
      <c r="W86" s="13" t="n">
        <v>105.638</v>
      </c>
      <c r="X86" s="11" t="n">
        <v>0.2165035309263712</v>
      </c>
      <c r="Y86" s="11" t="n">
        <v>79.83669724770643</v>
      </c>
      <c r="Z86" s="13" t="n">
        <v>0.93</v>
      </c>
      <c r="AA86" s="8" t="inlineStr">
        <is>
          <t>net income + D&amp;A - capex - change in operating working capital (cash and short-term debt excluded)</t>
        </is>
      </c>
      <c r="AB86" s="10" t="n">
        <v>0.004627648457948111</v>
      </c>
      <c r="AC86" s="10" t="n">
        <v>0.433018520545764</v>
      </c>
      <c r="AD86" s="12" t="n">
        <v>2574000000</v>
      </c>
    </row>
    <row r="87">
      <c r="A87" s="8" t="inlineStr">
        <is>
          <t>TSLA</t>
        </is>
      </c>
      <c r="B87" s="8" t="inlineStr">
        <is>
          <t>Tesla, Inc.</t>
        </is>
      </c>
      <c r="C87" s="8" t="inlineStr">
        <is>
          <t>STANDARD</t>
        </is>
      </c>
      <c r="D87" s="8" t="n">
        <v>2014</v>
      </c>
      <c r="E87" s="8" t="inlineStr">
        <is>
          <t>2014-12-31</t>
        </is>
      </c>
      <c r="F87" s="8" t="inlineStr">
        <is>
          <t>0001564590-17-003118</t>
        </is>
      </c>
      <c r="G87" s="13" t="n">
        <v>3.198356</v>
      </c>
      <c r="H87" s="13" t="n">
        <v>-0.186689</v>
      </c>
      <c r="I87" s="8" t="inlineStr">
        <is>
          <t>reported OperatingIncomeLoss (no interest expense tagged)</t>
        </is>
      </c>
      <c r="J87" s="13" t="n">
        <v>-0.29404</v>
      </c>
      <c r="K87" s="10" t="n">
        <v>0.21</v>
      </c>
      <c r="L87" s="13" t="n">
        <v>-0.14748431</v>
      </c>
      <c r="M87" s="13" t="n">
        <v>1.965792</v>
      </c>
      <c r="N87" s="13" t="n">
        <v>1.965792</v>
      </c>
      <c r="O87" s="10" t="n">
        <v>-0.07502538925786655</v>
      </c>
      <c r="P87" s="8" t="inlineStr">
        <is>
          <t>OK</t>
        </is>
      </c>
      <c r="Q87" s="10" t="n">
        <v>-0.3225148347610534</v>
      </c>
      <c r="R87" s="10" t="n">
        <v>-0.2474894455031869</v>
      </c>
      <c r="S87" s="13" t="n">
        <v>0.91171</v>
      </c>
      <c r="T87" s="13" t="n">
        <v>1.905713</v>
      </c>
      <c r="U87" s="13" t="n">
        <v>2.959795</v>
      </c>
      <c r="V87" s="8" t="inlineStr">
        <is>
          <t>long-term only (no short-term debt tagged; read as nil)</t>
        </is>
      </c>
      <c r="W87" s="13" t="n"/>
      <c r="X87" s="11" t="n"/>
      <c r="Y87" s="11" t="n"/>
      <c r="Z87" s="13" t="n"/>
      <c r="AA87" s="8" t="inlineStr">
        <is>
          <t>net income + D&amp;A - capex - change in no prior year</t>
        </is>
      </c>
      <c r="AB87" s="10" t="n"/>
      <c r="AC87" s="10" t="n">
        <v>-0.0583703002417492</v>
      </c>
      <c r="AD87" s="12" t="n">
        <v>1885320000</v>
      </c>
    </row>
    <row r="88">
      <c r="A88" s="8" t="inlineStr">
        <is>
          <t>TSLA</t>
        </is>
      </c>
      <c r="B88" s="8" t="inlineStr">
        <is>
          <t>Tesla, Inc.</t>
        </is>
      </c>
      <c r="C88" s="8" t="inlineStr">
        <is>
          <t>STANDARD</t>
        </is>
      </c>
      <c r="D88" s="8" t="n">
        <v>2015</v>
      </c>
      <c r="E88" s="8" t="inlineStr">
        <is>
          <t>2015-12-31</t>
        </is>
      </c>
      <c r="F88" s="8" t="inlineStr">
        <is>
          <t>0001564590-18-002956</t>
        </is>
      </c>
      <c r="G88" s="13" t="n">
        <v>4.046025</v>
      </c>
      <c r="H88" s="13" t="n">
        <v>-0.716629</v>
      </c>
      <c r="I88" s="8" t="inlineStr">
        <is>
          <t>reported OperatingIncomeLoss (no interest expense tagged)</t>
        </is>
      </c>
      <c r="J88" s="13" t="n">
        <v>-0.888663</v>
      </c>
      <c r="K88" s="10" t="n">
        <v>0.21</v>
      </c>
      <c r="L88" s="13" t="n">
        <v>-0.56613691</v>
      </c>
      <c r="M88" s="13" t="n"/>
      <c r="N88" s="13" t="n"/>
      <c r="O88" s="10" t="n"/>
      <c r="P88" s="8" t="inlineStr">
        <is>
          <t>DATA_UNAVAILABLE</t>
        </is>
      </c>
      <c r="Q88" s="10" t="n">
        <v>-0.8907053874534308</v>
      </c>
      <c r="R88" s="10" t="n"/>
      <c r="S88" s="13" t="n">
        <v>1.083704</v>
      </c>
      <c r="T88" s="13" t="n">
        <v>1.196908</v>
      </c>
      <c r="U88" s="13" t="n"/>
      <c r="V88" s="8" t="inlineStr">
        <is>
          <t>DATA_UNAVAILABLE</t>
        </is>
      </c>
      <c r="W88" s="13" t="n"/>
      <c r="X88" s="11" t="n"/>
      <c r="Y88" s="11" t="n"/>
      <c r="Z88" s="13" t="n"/>
      <c r="AA88" s="8" t="inlineStr">
        <is>
          <t>net income + D&amp;A - capex - change in operating working capital (cash and short-term debt excluded)</t>
        </is>
      </c>
      <c r="AB88" s="10" t="n"/>
      <c r="AC88" s="10" t="n">
        <v>-0.177119271383642</v>
      </c>
      <c r="AD88" s="12" t="n">
        <v>1971375000</v>
      </c>
    </row>
    <row r="89">
      <c r="A89" s="8" t="inlineStr">
        <is>
          <t>TSLA</t>
        </is>
      </c>
      <c r="B89" s="8" t="inlineStr">
        <is>
          <t>Tesla, Inc.</t>
        </is>
      </c>
      <c r="C89" s="8" t="inlineStr">
        <is>
          <t>STANDARD</t>
        </is>
      </c>
      <c r="D89" s="8" t="n">
        <v>2016</v>
      </c>
      <c r="E89" s="8" t="inlineStr">
        <is>
          <t>2016-12-31</t>
        </is>
      </c>
      <c r="F89" s="8" t="inlineStr">
        <is>
          <t>0001564590-19-003165</t>
        </is>
      </c>
      <c r="G89" s="13" t="n">
        <v>7.000132</v>
      </c>
      <c r="H89" s="13" t="n">
        <v>-0.66734</v>
      </c>
      <c r="I89" s="8" t="inlineStr">
        <is>
          <t>reported OperatingIncomeLoss (no interest expense tagged)</t>
        </is>
      </c>
      <c r="J89" s="13" t="n">
        <v>-0.674914</v>
      </c>
      <c r="K89" s="10" t="n">
        <v>0.21</v>
      </c>
      <c r="L89" s="13" t="n">
        <v>-0.5271986</v>
      </c>
      <c r="M89" s="13" t="n">
        <v>8.366579</v>
      </c>
      <c r="N89" s="13" t="n">
        <v>8.366579</v>
      </c>
      <c r="O89" s="10" t="n">
        <v>-0.06301244511048064</v>
      </c>
      <c r="P89" s="8" t="inlineStr">
        <is>
          <t>OK</t>
        </is>
      </c>
      <c r="Q89" s="10" t="n">
        <v>-0.2312689803936014</v>
      </c>
      <c r="R89" s="10" t="n">
        <v>-0.1682565352831208</v>
      </c>
      <c r="S89" s="13" t="n">
        <v>4.752911</v>
      </c>
      <c r="T89" s="13" t="n">
        <v>3.393</v>
      </c>
      <c r="U89" s="13" t="n">
        <v>7.006668</v>
      </c>
      <c r="V89" s="8" t="inlineStr">
        <is>
          <t>short-term + long-term</t>
        </is>
      </c>
      <c r="W89" s="13" t="n">
        <v>-0.19004</v>
      </c>
      <c r="X89" s="11" t="n">
        <v>-19.01530204167544</v>
      </c>
      <c r="Y89" s="11" t="n"/>
      <c r="Z89" s="13" t="n">
        <v>-0.858796</v>
      </c>
      <c r="AA89" s="8" t="inlineStr">
        <is>
          <t>net income + D&amp;A - capex - change in operating working capital (cash and short-term debt excluded)</t>
        </is>
      </c>
      <c r="AB89" s="10" t="n">
        <v>-0.1226828294095026</v>
      </c>
      <c r="AC89" s="10" t="n">
        <v>-0.09533248801594027</v>
      </c>
      <c r="AD89" s="12" t="n">
        <v>2423415000</v>
      </c>
    </row>
    <row r="90">
      <c r="A90" s="8" t="inlineStr">
        <is>
          <t>TSLA</t>
        </is>
      </c>
      <c r="B90" s="8" t="inlineStr">
        <is>
          <t>Tesla, Inc.</t>
        </is>
      </c>
      <c r="C90" s="8" t="inlineStr">
        <is>
          <t>STANDARD</t>
        </is>
      </c>
      <c r="D90" s="8" t="n">
        <v>2017</v>
      </c>
      <c r="E90" s="8" t="inlineStr">
        <is>
          <t>2017-12-31</t>
        </is>
      </c>
      <c r="F90" s="8" t="inlineStr">
        <is>
          <t>0001564590-20-004475</t>
        </is>
      </c>
      <c r="G90" s="13" t="n">
        <v>11.759</v>
      </c>
      <c r="H90" s="13" t="n">
        <v>-1.632</v>
      </c>
      <c r="I90" s="8" t="inlineStr">
        <is>
          <t>reported OperatingIncomeLoss (no interest expense tagged)</t>
        </is>
      </c>
      <c r="J90" s="13" t="n">
        <v>-1.962</v>
      </c>
      <c r="K90" s="10" t="n">
        <v>0.21</v>
      </c>
      <c r="L90" s="13" t="n">
        <v>-1.28928</v>
      </c>
      <c r="M90" s="13" t="n">
        <v>10.498076</v>
      </c>
      <c r="N90" s="13" t="n">
        <v>9.4323275</v>
      </c>
      <c r="O90" s="10" t="n">
        <v>-0.1366873658701948</v>
      </c>
      <c r="P90" s="8" t="inlineStr">
        <is>
          <t>OK</t>
        </is>
      </c>
      <c r="Q90" s="10" t="n">
        <v>-0.4364775549426133</v>
      </c>
      <c r="R90" s="10" t="n">
        <v>-0.2997901890724185</v>
      </c>
      <c r="S90" s="13" t="n">
        <v>4.237242</v>
      </c>
      <c r="T90" s="13" t="n">
        <v>3.368</v>
      </c>
      <c r="U90" s="13" t="n">
        <v>9.628833999999999</v>
      </c>
      <c r="V90" s="8" t="inlineStr">
        <is>
          <t>short-term + long-term</t>
        </is>
      </c>
      <c r="W90" s="13" t="n">
        <v>-0.863</v>
      </c>
      <c r="X90" s="11" t="n">
        <v>-7.254732329084589</v>
      </c>
      <c r="Y90" s="11" t="n"/>
      <c r="Z90" s="13" t="n">
        <v>-2.781256</v>
      </c>
      <c r="AA90" s="8" t="inlineStr">
        <is>
          <t>net income + D&amp;A - capex - change in operating working capital (cash and short-term debt excluded)</t>
        </is>
      </c>
      <c r="AB90" s="10" t="n">
        <v>-0.2365214729143635</v>
      </c>
      <c r="AC90" s="10" t="n">
        <v>-0.1387873118462454</v>
      </c>
      <c r="AD90" s="12" t="n">
        <v>2531955000</v>
      </c>
    </row>
    <row r="91">
      <c r="A91" s="8" t="inlineStr">
        <is>
          <t>TSLA</t>
        </is>
      </c>
      <c r="B91" s="8" t="inlineStr">
        <is>
          <t>Tesla, Inc.</t>
        </is>
      </c>
      <c r="C91" s="8" t="inlineStr">
        <is>
          <t>STANDARD</t>
        </is>
      </c>
      <c r="D91" s="8" t="n">
        <v>2018</v>
      </c>
      <c r="E91" s="8" t="inlineStr">
        <is>
          <t>2018-12-31</t>
        </is>
      </c>
      <c r="F91" s="8" t="inlineStr">
        <is>
          <t>0001564590-21-004599</t>
        </is>
      </c>
      <c r="G91" s="13" t="n">
        <v>21.461</v>
      </c>
      <c r="H91" s="13" t="n">
        <v>-0.388</v>
      </c>
      <c r="I91" s="8" t="inlineStr">
        <is>
          <t>reported OperatingIncomeLoss (no interest expense tagged)</t>
        </is>
      </c>
      <c r="J91" s="13" t="n">
        <v>-0.976</v>
      </c>
      <c r="K91" s="10" t="n">
        <v>0.21</v>
      </c>
      <c r="L91" s="13" t="n">
        <v>-0.30652</v>
      </c>
      <c r="M91" s="13" t="n">
        <v>11.87</v>
      </c>
      <c r="N91" s="13" t="n">
        <v>11.184038</v>
      </c>
      <c r="O91" s="10" t="n">
        <v>-0.02740691689352271</v>
      </c>
      <c r="P91" s="8" t="inlineStr">
        <is>
          <t>OK</t>
        </is>
      </c>
      <c r="Q91" s="10" t="n">
        <v>-0.2130948068839229</v>
      </c>
      <c r="R91" s="10" t="n">
        <v>-0.1856878899904002</v>
      </c>
      <c r="S91" s="13" t="n">
        <v>4.923</v>
      </c>
      <c r="T91" s="13" t="n">
        <v>3.686</v>
      </c>
      <c r="U91" s="13" t="n">
        <v>10.633</v>
      </c>
      <c r="V91" s="8" t="inlineStr">
        <is>
          <t>short-term + long-term</t>
        </is>
      </c>
      <c r="W91" s="13" t="n">
        <v>0.722</v>
      </c>
      <c r="X91" s="11" t="n">
        <v>9.621883656509695</v>
      </c>
      <c r="Y91" s="11" t="n"/>
      <c r="Z91" s="13" t="n">
        <v>-2.489301</v>
      </c>
      <c r="AA91" s="8" t="inlineStr">
        <is>
          <t>net income + D&amp;A - capex - change in operating working capital (cash and short-term debt excluded)</t>
        </is>
      </c>
      <c r="AB91" s="10" t="n">
        <v>-0.1159918456735474</v>
      </c>
      <c r="AC91" s="10" t="n">
        <v>-0.01807930664927077</v>
      </c>
      <c r="AD91" s="12" t="n">
        <v>2595000000</v>
      </c>
    </row>
    <row r="92">
      <c r="A92" s="8" t="inlineStr">
        <is>
          <t>TSLA</t>
        </is>
      </c>
      <c r="B92" s="8" t="inlineStr">
        <is>
          <t>Tesla, Inc.</t>
        </is>
      </c>
      <c r="C92" s="8" t="inlineStr">
        <is>
          <t>STANDARD</t>
        </is>
      </c>
      <c r="D92" s="8" t="n">
        <v>2019</v>
      </c>
      <c r="E92" s="8" t="inlineStr">
        <is>
          <t>2019-12-31</t>
        </is>
      </c>
      <c r="F92" s="8" t="inlineStr">
        <is>
          <t>0000950170-22-000796</t>
        </is>
      </c>
      <c r="G92" s="13" t="n">
        <v>24.578</v>
      </c>
      <c r="H92" s="13" t="n">
        <v>-0.06900000000000001</v>
      </c>
      <c r="I92" s="8" t="inlineStr">
        <is>
          <t>reported OperatingIncomeLoss (no interest expense tagged)</t>
        </is>
      </c>
      <c r="J92" s="13" t="n">
        <v>-0.862</v>
      </c>
      <c r="K92" s="10" t="n">
        <v>0.21</v>
      </c>
      <c r="L92" s="13" t="n">
        <v>-0.05451</v>
      </c>
      <c r="M92" s="13" t="n">
        <v>12.151</v>
      </c>
      <c r="N92" s="13" t="n">
        <v>12.0105</v>
      </c>
      <c r="O92" s="10" t="n">
        <v>-0.004538528787311103</v>
      </c>
      <c r="P92" s="8" t="inlineStr">
        <is>
          <t>OK</t>
        </is>
      </c>
      <c r="Q92" s="10" t="n">
        <v>-0.1493804696300147</v>
      </c>
      <c r="R92" s="10" t="n">
        <v>-0.1448419408427036</v>
      </c>
      <c r="S92" s="13" t="n">
        <v>6.618</v>
      </c>
      <c r="T92" s="13" t="n">
        <v>6.268</v>
      </c>
      <c r="U92" s="13" t="n">
        <v>11.801</v>
      </c>
      <c r="V92" s="8" t="inlineStr">
        <is>
          <t>short-term + long-term</t>
        </is>
      </c>
      <c r="W92" s="13" t="n">
        <v>1.301</v>
      </c>
      <c r="X92" s="11" t="n">
        <v>4.252882398155265</v>
      </c>
      <c r="Y92" s="11" t="n"/>
      <c r="Z92" s="13" t="n">
        <v>-0.536</v>
      </c>
      <c r="AA92" s="8" t="inlineStr">
        <is>
          <t>net income + D&amp;A - capex - change in operating working capital (cash and short-term debt excluded)</t>
        </is>
      </c>
      <c r="AB92" s="10" t="n">
        <v>-0.02180812108389617</v>
      </c>
      <c r="AC92" s="10" t="n">
        <v>-0.002807388721620962</v>
      </c>
      <c r="AD92" s="12" t="n">
        <v>13575000000</v>
      </c>
    </row>
    <row r="93">
      <c r="A93" s="8" t="inlineStr">
        <is>
          <t>TSLA</t>
        </is>
      </c>
      <c r="B93" s="8" t="inlineStr">
        <is>
          <t>Tesla, Inc.</t>
        </is>
      </c>
      <c r="C93" s="8" t="inlineStr">
        <is>
          <t>STANDARD</t>
        </is>
      </c>
      <c r="D93" s="8" t="n">
        <v>2020</v>
      </c>
      <c r="E93" s="8" t="inlineStr">
        <is>
          <t>2020-12-31</t>
        </is>
      </c>
      <c r="F93" s="8" t="inlineStr">
        <is>
          <t>0000950170-23-001409</t>
        </is>
      </c>
      <c r="G93" s="13" t="n">
        <v>31.536</v>
      </c>
      <c r="H93" s="13" t="n">
        <v>1.994</v>
      </c>
      <c r="I93" s="8" t="inlineStr">
        <is>
          <t>reported OperatingIncomeLoss (no interest expense tagged)</t>
        </is>
      </c>
      <c r="J93" s="13" t="n">
        <v>0.721</v>
      </c>
      <c r="K93" s="10" t="n">
        <v>0.2530329289428076</v>
      </c>
      <c r="L93" s="13" t="n">
        <v>1.489452339688042</v>
      </c>
      <c r="M93" s="13" t="n">
        <v>13.061</v>
      </c>
      <c r="N93" s="13" t="n">
        <v>12.606</v>
      </c>
      <c r="O93" s="10" t="n">
        <v>0.1181542392264034</v>
      </c>
      <c r="P93" s="8" t="inlineStr">
        <is>
          <t>OK</t>
        </is>
      </c>
      <c r="Q93" s="10" t="n">
        <v>0.0499947994314045</v>
      </c>
      <c r="R93" s="10" t="n">
        <v>-0.06815943979499893</v>
      </c>
      <c r="S93" s="13" t="n">
        <v>22.225</v>
      </c>
      <c r="T93" s="13" t="n">
        <v>19.384</v>
      </c>
      <c r="U93" s="13" t="n">
        <v>10.22</v>
      </c>
      <c r="V93" s="8" t="inlineStr">
        <is>
          <t>short-term + long-term</t>
        </is>
      </c>
      <c r="W93" s="13" t="n">
        <v>3.564</v>
      </c>
      <c r="X93" s="11" t="n">
        <v>-2.571268237934905</v>
      </c>
      <c r="Y93" s="11" t="n"/>
      <c r="Z93" s="13" t="n">
        <v>0.858</v>
      </c>
      <c r="AA93" s="8" t="inlineStr">
        <is>
          <t>net income + D&amp;A - capex - change in operating working capital (cash and short-term debt excluded)</t>
        </is>
      </c>
      <c r="AB93" s="10" t="n">
        <v>0.02720700152207001</v>
      </c>
      <c r="AC93" s="10" t="n">
        <v>0.06322932521562659</v>
      </c>
      <c r="AD93" s="12" t="n">
        <v>2880000000</v>
      </c>
    </row>
    <row r="94">
      <c r="A94" s="8" t="inlineStr">
        <is>
          <t>TSLA</t>
        </is>
      </c>
      <c r="B94" s="8" t="inlineStr">
        <is>
          <t>Tesla, Inc.</t>
        </is>
      </c>
      <c r="C94" s="8" t="inlineStr">
        <is>
          <t>STANDARD</t>
        </is>
      </c>
      <c r="D94" s="8" t="n">
        <v>2021</v>
      </c>
      <c r="E94" s="8" t="inlineStr">
        <is>
          <t>2021-12-31</t>
        </is>
      </c>
      <c r="F94" s="8" t="inlineStr">
        <is>
          <t>0001628280-24-002390</t>
        </is>
      </c>
      <c r="G94" s="13" t="n">
        <v>53.823</v>
      </c>
      <c r="H94" s="13" t="n">
        <v>6.523</v>
      </c>
      <c r="I94" s="8" t="inlineStr">
        <is>
          <t>reported OperatingIncomeLoss (no interest expense tagged)</t>
        </is>
      </c>
      <c r="J94" s="13" t="n">
        <v>5.519</v>
      </c>
      <c r="K94" s="10" t="n">
        <v>0.1102002207157496</v>
      </c>
      <c r="L94" s="13" t="n">
        <v>5.804163960271165</v>
      </c>
      <c r="M94" s="13" t="n">
        <v>17.955</v>
      </c>
      <c r="N94" s="13" t="n">
        <v>15.508</v>
      </c>
      <c r="O94" s="10" t="n">
        <v>0.3742690198782025</v>
      </c>
      <c r="P94" s="8" t="inlineStr">
        <is>
          <t>OK</t>
        </is>
      </c>
      <c r="Q94" s="10" t="n">
        <v>0.210592589766093</v>
      </c>
      <c r="R94" s="10" t="n">
        <v>-0.1636764301121095</v>
      </c>
      <c r="S94" s="13" t="n">
        <v>30.189</v>
      </c>
      <c r="T94" s="13" t="n">
        <v>17.576</v>
      </c>
      <c r="U94" s="13" t="n">
        <v>5.342</v>
      </c>
      <c r="V94" s="8" t="inlineStr">
        <is>
          <t>short-term + long-term</t>
        </is>
      </c>
      <c r="W94" s="13" t="n">
        <v>8.433</v>
      </c>
      <c r="X94" s="11" t="n">
        <v>-1.450729277837069</v>
      </c>
      <c r="Y94" s="11" t="n"/>
      <c r="Z94" s="13" t="n">
        <v>4.883</v>
      </c>
      <c r="AA94" s="8" t="inlineStr">
        <is>
          <t>net income + D&amp;A - capex - change in operating working capital (cash and short-term debt excluded)</t>
        </is>
      </c>
      <c r="AB94" s="10" t="n">
        <v>0.09072329673188043</v>
      </c>
      <c r="AC94" s="10" t="n">
        <v>0.1211935417944002</v>
      </c>
      <c r="AD94" s="12" t="n">
        <v>9300000000</v>
      </c>
    </row>
    <row r="95">
      <c r="A95" s="8" t="inlineStr">
        <is>
          <t>TSLA</t>
        </is>
      </c>
      <c r="B95" s="8" t="inlineStr">
        <is>
          <t>Tesla, Inc.</t>
        </is>
      </c>
      <c r="C95" s="8" t="inlineStr">
        <is>
          <t>STANDARD</t>
        </is>
      </c>
      <c r="D95" s="8" t="n">
        <v>2022</v>
      </c>
      <c r="E95" s="8" t="inlineStr">
        <is>
          <t>2022-12-31</t>
        </is>
      </c>
      <c r="F95" s="8" t="inlineStr">
        <is>
          <t>0001628280-25-003063</t>
        </is>
      </c>
      <c r="G95" s="13" t="n">
        <v>81.462</v>
      </c>
      <c r="H95" s="13" t="n">
        <v>13.91</v>
      </c>
      <c r="I95" s="8" t="inlineStr">
        <is>
          <t>pretax_income + interest_expense</t>
        </is>
      </c>
      <c r="J95" s="13" t="n">
        <v>12.556</v>
      </c>
      <c r="K95" s="10" t="n">
        <v>0.08251330271885705</v>
      </c>
      <c r="L95" s="13" t="n">
        <v>12.7622399591807</v>
      </c>
      <c r="M95" s="13" t="n">
        <v>30.496</v>
      </c>
      <c r="N95" s="13" t="n">
        <v>24.2255</v>
      </c>
      <c r="O95" s="10" t="n">
        <v>0.5268101776714907</v>
      </c>
      <c r="P95" s="8" t="inlineStr">
        <is>
          <t>OK</t>
        </is>
      </c>
      <c r="Q95" s="10" t="n">
        <v>0.3353050351835285</v>
      </c>
      <c r="R95" s="10" t="n">
        <v>-0.1915051424879622</v>
      </c>
      <c r="S95" s="13" t="n">
        <v>44.704</v>
      </c>
      <c r="T95" s="13" t="n">
        <v>16.253</v>
      </c>
      <c r="U95" s="13" t="n">
        <v>2.045</v>
      </c>
      <c r="V95" s="8" t="inlineStr">
        <is>
          <t>short-term + long-term</t>
        </is>
      </c>
      <c r="W95" s="13" t="n">
        <v>16.33</v>
      </c>
      <c r="X95" s="11" t="n">
        <v>-0.8700551132884262</v>
      </c>
      <c r="Y95" s="11" t="n">
        <v>72.82722513089006</v>
      </c>
      <c r="Z95" s="13" t="n">
        <v>-0.246</v>
      </c>
      <c r="AA95" s="8" t="inlineStr">
        <is>
          <t>net income + D&amp;A - capex - change in operating working capital (cash and short-term debt excluded)</t>
        </is>
      </c>
      <c r="AB95" s="10" t="n">
        <v>-0.003019812918906975</v>
      </c>
      <c r="AC95" s="10" t="n">
        <v>0.1707544622032359</v>
      </c>
      <c r="AD95" s="12" t="n">
        <v>3164000000</v>
      </c>
    </row>
    <row r="96">
      <c r="A96" s="8" t="inlineStr">
        <is>
          <t>TSLA</t>
        </is>
      </c>
      <c r="B96" s="8" t="inlineStr">
        <is>
          <t>Tesla, Inc.</t>
        </is>
      </c>
      <c r="C96" s="8" t="inlineStr">
        <is>
          <t>STANDARD</t>
        </is>
      </c>
      <c r="D96" s="8" t="n">
        <v>2023</v>
      </c>
      <c r="E96" s="8" t="inlineStr">
        <is>
          <t>2023-12-31</t>
        </is>
      </c>
      <c r="F96" s="8" t="inlineStr">
        <is>
          <t>0001628280-26-003952</t>
        </is>
      </c>
      <c r="G96" s="13" t="n">
        <v>96.773</v>
      </c>
      <c r="H96" s="13" t="n">
        <v>10.129</v>
      </c>
      <c r="I96" s="8" t="inlineStr">
        <is>
          <t>pretax_income + interest_expense</t>
        </is>
      </c>
      <c r="J96" s="13" t="n">
        <v>14.997</v>
      </c>
      <c r="K96" s="10" t="n">
        <v>0.05</v>
      </c>
      <c r="L96" s="13" t="n">
        <v>9.62255</v>
      </c>
      <c r="M96" s="13" t="n">
        <v>50.893</v>
      </c>
      <c r="N96" s="13" t="n">
        <v>40.6945</v>
      </c>
      <c r="O96" s="10" t="n">
        <v>0.2364582437430119</v>
      </c>
      <c r="P96" s="8" t="inlineStr">
        <is>
          <t>OK</t>
        </is>
      </c>
      <c r="Q96" s="10" t="n">
        <v>0.2794350556186998</v>
      </c>
      <c r="R96" s="10" t="n">
        <v>0.04297681187568786</v>
      </c>
      <c r="S96" s="13" t="n">
        <v>62.634</v>
      </c>
      <c r="T96" s="13" t="n">
        <v>16.398</v>
      </c>
      <c r="U96" s="13" t="n">
        <v>4.657</v>
      </c>
      <c r="V96" s="8" t="inlineStr">
        <is>
          <t>short-term + long-term</t>
        </is>
      </c>
      <c r="W96" s="13" t="n">
        <v>13.459</v>
      </c>
      <c r="X96" s="11" t="n">
        <v>-0.8723530722936325</v>
      </c>
      <c r="Y96" s="11" t="n">
        <v>64.92948717948718</v>
      </c>
      <c r="Z96" s="13" t="n">
        <v>1.954</v>
      </c>
      <c r="AA96" s="8" t="inlineStr">
        <is>
          <t>net income + D&amp;A - capex - change in operating working capital (cash and short-term debt excluded)</t>
        </is>
      </c>
      <c r="AB96" s="10" t="n">
        <v>0.02019158236284914</v>
      </c>
      <c r="AC96" s="10" t="n">
        <v>0.1046676242340322</v>
      </c>
      <c r="AD96" s="12" t="n">
        <v>3185000000</v>
      </c>
    </row>
    <row r="97">
      <c r="A97" s="8" t="inlineStr">
        <is>
          <t>TSLA</t>
        </is>
      </c>
      <c r="B97" s="8" t="inlineStr">
        <is>
          <t>Tesla, Inc.</t>
        </is>
      </c>
      <c r="C97" s="8" t="inlineStr">
        <is>
          <t>STANDARD</t>
        </is>
      </c>
      <c r="D97" s="8" t="n">
        <v>2024</v>
      </c>
      <c r="E97" s="8" t="inlineStr">
        <is>
          <t>2024-12-31</t>
        </is>
      </c>
      <c r="F97" s="8" t="inlineStr">
        <is>
          <t>0001628280-26-003952</t>
        </is>
      </c>
      <c r="G97" s="13" t="n">
        <v>97.69</v>
      </c>
      <c r="H97" s="13" t="n">
        <v>9.34</v>
      </c>
      <c r="I97" s="8" t="inlineStr">
        <is>
          <t>pretax_income + interest_expense</t>
        </is>
      </c>
      <c r="J97" s="13" t="n">
        <v>7.091</v>
      </c>
      <c r="K97" s="10" t="n">
        <v>0.2043381535038932</v>
      </c>
      <c r="L97" s="13" t="n">
        <v>7.431481646273637</v>
      </c>
      <c r="M97" s="13" t="n">
        <v>64.652</v>
      </c>
      <c r="N97" s="13" t="n">
        <v>57.7725</v>
      </c>
      <c r="O97" s="10" t="n">
        <v>0.1286335479038234</v>
      </c>
      <c r="P97" s="8" t="inlineStr">
        <is>
          <t>OK</t>
        </is>
      </c>
      <c r="Q97" s="10" t="n">
        <v>0.1046279150405394</v>
      </c>
      <c r="R97" s="10" t="n">
        <v>-0.02400563286328394</v>
      </c>
      <c r="S97" s="13" t="n">
        <v>72.913</v>
      </c>
      <c r="T97" s="13" t="n">
        <v>16.139</v>
      </c>
      <c r="U97" s="13" t="n">
        <v>7.878</v>
      </c>
      <c r="V97" s="8" t="inlineStr">
        <is>
          <t>short-term + long-term</t>
        </is>
      </c>
      <c r="W97" s="13" t="n">
        <v>13.46</v>
      </c>
      <c r="X97" s="11" t="n">
        <v>-0.6137444279346211</v>
      </c>
      <c r="Y97" s="11" t="n">
        <v>26.68571428571429</v>
      </c>
      <c r="Z97" s="13" t="n">
        <v>-9.429</v>
      </c>
      <c r="AA97" s="8" t="inlineStr">
        <is>
          <t>net income + D&amp;A - capex - change in operating working capital (cash and short-term debt excluded)</t>
        </is>
      </c>
      <c r="AB97" s="10" t="n">
        <v>-0.09651960282526359</v>
      </c>
      <c r="AC97" s="10" t="n">
        <v>0.09560855768246494</v>
      </c>
      <c r="AD97" s="12" t="n">
        <v>3216000000</v>
      </c>
    </row>
    <row r="98">
      <c r="A98" s="8" t="inlineStr">
        <is>
          <t>TSLA</t>
        </is>
      </c>
      <c r="B98" s="8" t="inlineStr">
        <is>
          <t>Tesla, Inc.</t>
        </is>
      </c>
      <c r="C98" s="8" t="inlineStr">
        <is>
          <t>STANDARD</t>
        </is>
      </c>
      <c r="D98" s="8" t="n">
        <v>2025</v>
      </c>
      <c r="E98" s="8" t="inlineStr">
        <is>
          <t>2025-12-31</t>
        </is>
      </c>
      <c r="F98" s="8" t="inlineStr">
        <is>
          <t>0001628280-26-003952</t>
        </is>
      </c>
      <c r="G98" s="13" t="n">
        <v>94.827</v>
      </c>
      <c r="H98" s="13" t="n">
        <v>5.616</v>
      </c>
      <c r="I98" s="8" t="inlineStr">
        <is>
          <t>pretax_income + interest_expense</t>
        </is>
      </c>
      <c r="J98" s="13" t="n">
        <v>3.794</v>
      </c>
      <c r="K98" s="10" t="n">
        <v>0.2696097006441834</v>
      </c>
      <c r="L98" s="13" t="n">
        <v>4.101871921182267</v>
      </c>
      <c r="M98" s="13" t="n">
        <v>73.777</v>
      </c>
      <c r="N98" s="13" t="n">
        <v>69.2145</v>
      </c>
      <c r="O98" s="10" t="n">
        <v>0.05926318793290808</v>
      </c>
      <c r="P98" s="8" t="inlineStr">
        <is>
          <t>OK</t>
        </is>
      </c>
      <c r="Q98" s="10" t="n">
        <v>0.04893905191873589</v>
      </c>
      <c r="R98" s="10" t="n">
        <v>-0.01032413601417219</v>
      </c>
      <c r="S98" s="13" t="n">
        <v>82.137</v>
      </c>
      <c r="T98" s="13" t="n">
        <v>16.513</v>
      </c>
      <c r="U98" s="13" t="n">
        <v>8.153</v>
      </c>
      <c r="V98" s="8" t="inlineStr">
        <is>
          <t>short-term + long-term</t>
        </is>
      </c>
      <c r="W98" s="13" t="n">
        <v>10.646</v>
      </c>
      <c r="X98" s="11" t="n">
        <v>-0.7852714634604546</v>
      </c>
      <c r="Y98" s="11" t="n">
        <v>16.61538461538462</v>
      </c>
      <c r="Z98" s="13" t="n">
        <v>-5.944</v>
      </c>
      <c r="AA98" s="8" t="inlineStr">
        <is>
          <t>net income + D&amp;A - capex - change in operating working capital (cash and short-term debt excluded)</t>
        </is>
      </c>
      <c r="AB98" s="10" t="n">
        <v>-0.06268256931042847</v>
      </c>
      <c r="AC98" s="10" t="n">
        <v>0.05922363883704009</v>
      </c>
      <c r="AD98" s="12" t="n">
        <v>3751000000</v>
      </c>
    </row>
    <row r="99">
      <c r="A99" s="8" t="inlineStr">
        <is>
          <t>BRK-B</t>
        </is>
      </c>
      <c r="B99" s="8" t="inlineStr">
        <is>
          <t>BERKSHIRE HATHAWAY INC</t>
        </is>
      </c>
      <c r="C99" s="8" t="inlineStr">
        <is>
          <t>FINANCIAL</t>
        </is>
      </c>
      <c r="D99" s="8" t="n">
        <v>2014</v>
      </c>
      <c r="E99" s="8" t="inlineStr">
        <is>
          <t>2014-12-31</t>
        </is>
      </c>
      <c r="F99" s="8" t="inlineStr">
        <is>
          <t>0001193125-17-056969</t>
        </is>
      </c>
      <c r="G99" s="13" t="n">
        <v>194.699</v>
      </c>
      <c r="H99" s="13" t="n">
        <v>31.358</v>
      </c>
      <c r="I99" s="8" t="inlineStr">
        <is>
          <t>pretax_income + interest_expense</t>
        </is>
      </c>
      <c r="J99" s="13" t="n">
        <v>19.872</v>
      </c>
      <c r="K99" s="10" t="n">
        <v>0.2823341042519125</v>
      </c>
      <c r="L99" s="13" t="n">
        <v>22.50456715886853</v>
      </c>
      <c r="M99" s="13" t="n"/>
      <c r="N99" s="13" t="n"/>
      <c r="O99" s="10" t="n"/>
      <c r="P99" s="8" t="inlineStr">
        <is>
          <t>FRAMEWORK_NOT_APPLICABLE</t>
        </is>
      </c>
      <c r="Q99" s="10" t="n">
        <v>0.08274139151434401</v>
      </c>
      <c r="R99" s="10" t="n"/>
      <c r="S99" s="13" t="n">
        <v>240.17</v>
      </c>
      <c r="T99" s="13" t="n"/>
      <c r="U99" s="13" t="n">
        <v>0</v>
      </c>
      <c r="V99" s="8" t="inlineStr">
        <is>
          <t>short-term only (no long-term debt tagged; read as nil)</t>
        </is>
      </c>
      <c r="W99" s="13" t="n">
        <v>38.728</v>
      </c>
      <c r="X99" s="11" t="n"/>
      <c r="Y99" s="11" t="n">
        <v>9.639717184137719</v>
      </c>
      <c r="Z99" s="13" t="n"/>
      <c r="AA99" s="8" t="inlineStr">
        <is>
          <t>FRAMEWORK_NOT_APPLICABLE (financial sector)</t>
        </is>
      </c>
      <c r="AB99" s="10" t="n"/>
      <c r="AC99" s="10" t="n">
        <v>0.1610588652227284</v>
      </c>
      <c r="AD99" s="12" t="n">
        <v>1643456</v>
      </c>
    </row>
    <row r="100">
      <c r="A100" s="8" t="inlineStr">
        <is>
          <t>BRK-B</t>
        </is>
      </c>
      <c r="B100" s="8" t="inlineStr">
        <is>
          <t>BERKSHIRE HATHAWAY INC</t>
        </is>
      </c>
      <c r="C100" s="8" t="inlineStr">
        <is>
          <t>FINANCIAL</t>
        </is>
      </c>
      <c r="D100" s="8" t="n">
        <v>2015</v>
      </c>
      <c r="E100" s="8" t="inlineStr">
        <is>
          <t>2015-12-31</t>
        </is>
      </c>
      <c r="F100" s="8" t="inlineStr">
        <is>
          <t>0001193125-18-057033</t>
        </is>
      </c>
      <c r="G100" s="13" t="n">
        <v>210.943</v>
      </c>
      <c r="H100" s="13" t="n">
        <v>38.461</v>
      </c>
      <c r="I100" s="8" t="inlineStr">
        <is>
          <t>pretax_income + interest_expense</t>
        </is>
      </c>
      <c r="J100" s="13" t="n">
        <v>24.083</v>
      </c>
      <c r="K100" s="10" t="n">
        <v>0.3013792708750644</v>
      </c>
      <c r="L100" s="13" t="n">
        <v>26.86965186287415</v>
      </c>
      <c r="M100" s="13" t="n"/>
      <c r="N100" s="13" t="n"/>
      <c r="O100" s="10" t="n"/>
      <c r="P100" s="8" t="inlineStr">
        <is>
          <t>FRAMEWORK_NOT_APPLICABLE</t>
        </is>
      </c>
      <c r="Q100" s="10" t="n">
        <v>0.09716372145566045</v>
      </c>
      <c r="R100" s="10" t="n"/>
      <c r="S100" s="13" t="n">
        <v>255.55</v>
      </c>
      <c r="T100" s="13" t="n">
        <v>67.602</v>
      </c>
      <c r="U100" s="13" t="n">
        <v>0</v>
      </c>
      <c r="V100" s="8" t="inlineStr">
        <is>
          <t>short-term only (no long-term debt tagged; read as nil)</t>
        </is>
      </c>
      <c r="W100" s="13" t="n">
        <v>46.24</v>
      </c>
      <c r="X100" s="11" t="n">
        <v>-1.461980968858132</v>
      </c>
      <c r="Y100" s="11" t="n">
        <v>10.94196301564723</v>
      </c>
      <c r="Z100" s="13" t="n"/>
      <c r="AA100" s="8" t="inlineStr">
        <is>
          <t>FRAMEWORK_NOT_APPLICABLE (financial sector)</t>
        </is>
      </c>
      <c r="AB100" s="10" t="n"/>
      <c r="AC100" s="10" t="n">
        <v>0.1823288755730221</v>
      </c>
      <c r="AD100" s="12" t="n"/>
    </row>
    <row r="101">
      <c r="A101" s="8" t="inlineStr">
        <is>
          <t>BRK-B</t>
        </is>
      </c>
      <c r="B101" s="8" t="inlineStr">
        <is>
          <t>BERKSHIRE HATHAWAY INC</t>
        </is>
      </c>
      <c r="C101" s="8" t="inlineStr">
        <is>
          <t>FINANCIAL</t>
        </is>
      </c>
      <c r="D101" s="8" t="n">
        <v>2016</v>
      </c>
      <c r="E101" s="8" t="inlineStr">
        <is>
          <t>2016-12-31</t>
        </is>
      </c>
      <c r="F101" s="8" t="inlineStr">
        <is>
          <t>0001193125-19-048926</t>
        </is>
      </c>
      <c r="G101" s="13" t="n">
        <v>215.114</v>
      </c>
      <c r="H101" s="13" t="n">
        <v>37.408</v>
      </c>
      <c r="I101" s="8" t="inlineStr">
        <is>
          <t>pretax_income + interest_expense</t>
        </is>
      </c>
      <c r="J101" s="13" t="n">
        <v>24.074</v>
      </c>
      <c r="K101" s="10" t="n">
        <v>0.27445272819081</v>
      </c>
      <c r="L101" s="13" t="n">
        <v>27.14127234383818</v>
      </c>
      <c r="M101" s="13" t="n"/>
      <c r="N101" s="13" t="n"/>
      <c r="O101" s="10" t="n"/>
      <c r="P101" s="8" t="inlineStr">
        <is>
          <t>FRAMEWORK_NOT_APPLICABLE</t>
        </is>
      </c>
      <c r="Q101" s="10" t="n">
        <v>0.08955768014582791</v>
      </c>
      <c r="R101" s="10" t="n"/>
      <c r="S101" s="13" t="n">
        <v>282.07</v>
      </c>
      <c r="T101" s="13" t="n">
        <v>28.643</v>
      </c>
      <c r="U101" s="13" t="n">
        <v>0</v>
      </c>
      <c r="V101" s="8" t="inlineStr">
        <is>
          <t>short-term only (no long-term debt tagged; read as nil)</t>
        </is>
      </c>
      <c r="W101" s="13" t="n">
        <v>46.309</v>
      </c>
      <c r="X101" s="11" t="n">
        <v>-0.6185190783648967</v>
      </c>
      <c r="Y101" s="11" t="n">
        <v>9.999465383587276</v>
      </c>
      <c r="Z101" s="13" t="n"/>
      <c r="AA101" s="8" t="inlineStr">
        <is>
          <t>FRAMEWORK_NOT_APPLICABLE (financial sector)</t>
        </is>
      </c>
      <c r="AB101" s="10" t="n"/>
      <c r="AC101" s="10" t="n">
        <v>0.1738984910326618</v>
      </c>
      <c r="AD101" s="12" t="n"/>
    </row>
    <row r="102">
      <c r="A102" s="8" t="inlineStr">
        <is>
          <t>BRK-B</t>
        </is>
      </c>
      <c r="B102" s="8" t="inlineStr">
        <is>
          <t>BERKSHIRE HATHAWAY INC</t>
        </is>
      </c>
      <c r="C102" s="8" t="inlineStr">
        <is>
          <t>FINANCIAL</t>
        </is>
      </c>
      <c r="D102" s="8" t="n">
        <v>2017</v>
      </c>
      <c r="E102" s="8" t="inlineStr">
        <is>
          <t>2017-12-31</t>
        </is>
      </c>
      <c r="F102" s="8" t="inlineStr">
        <is>
          <t>0001564590-20-005874</t>
        </is>
      </c>
      <c r="G102" s="13" t="n">
        <v>239.933</v>
      </c>
      <c r="H102" s="13" t="n">
        <v>28.224</v>
      </c>
      <c r="I102" s="8" t="inlineStr">
        <is>
          <t>pretax_income + interest_expense</t>
        </is>
      </c>
      <c r="J102" s="13" t="n">
        <v>44.94</v>
      </c>
      <c r="K102" s="10" t="n">
        <v>0.05</v>
      </c>
      <c r="L102" s="13" t="n">
        <v>26.8128</v>
      </c>
      <c r="M102" s="13" t="n"/>
      <c r="N102" s="13" t="n"/>
      <c r="O102" s="10" t="n"/>
      <c r="P102" s="8" t="inlineStr">
        <is>
          <t>FRAMEWORK_NOT_APPLICABLE</t>
        </is>
      </c>
      <c r="Q102" s="10" t="n">
        <v>0.1425838322498358</v>
      </c>
      <c r="R102" s="10" t="n"/>
      <c r="S102" s="13" t="n">
        <v>348.296</v>
      </c>
      <c r="T102" s="13" t="n">
        <v>32.212</v>
      </c>
      <c r="U102" s="13" t="n">
        <v>0</v>
      </c>
      <c r="V102" s="8" t="inlineStr">
        <is>
          <t>short-term only (no long-term debt tagged; read as nil)</t>
        </is>
      </c>
      <c r="W102" s="13" t="n">
        <v>37.412</v>
      </c>
      <c r="X102" s="11" t="n">
        <v>-0.8610071634769593</v>
      </c>
      <c r="Y102" s="11" t="n">
        <v>6.435020519835842</v>
      </c>
      <c r="Z102" s="13" t="n"/>
      <c r="AA102" s="8" t="inlineStr">
        <is>
          <t>FRAMEWORK_NOT_APPLICABLE (financial sector)</t>
        </is>
      </c>
      <c r="AB102" s="10" t="n"/>
      <c r="AC102" s="10" t="n">
        <v>0.1176328391676009</v>
      </c>
      <c r="AD102" s="12" t="n"/>
    </row>
    <row r="103">
      <c r="A103" s="8" t="inlineStr">
        <is>
          <t>BRK-B</t>
        </is>
      </c>
      <c r="B103" s="8" t="inlineStr">
        <is>
          <t>BERKSHIRE HATHAWAY INC</t>
        </is>
      </c>
      <c r="C103" s="8" t="inlineStr">
        <is>
          <t>FINANCIAL</t>
        </is>
      </c>
      <c r="D103" s="8" t="n">
        <v>2018</v>
      </c>
      <c r="E103" s="8" t="inlineStr">
        <is>
          <t>2018-12-31</t>
        </is>
      </c>
      <c r="F103" s="8" t="inlineStr">
        <is>
          <t>0001564590-21-009611</t>
        </is>
      </c>
      <c r="G103" s="13" t="n">
        <v>247.837</v>
      </c>
      <c r="H103" s="13" t="n">
        <v>7.854</v>
      </c>
      <c r="I103" s="8" t="inlineStr">
        <is>
          <t>pretax_income + interest_expense</t>
        </is>
      </c>
      <c r="J103" s="13" t="n">
        <v>4.021</v>
      </c>
      <c r="K103" s="10" t="n">
        <v>0.05</v>
      </c>
      <c r="L103" s="13" t="n">
        <v>7.4613</v>
      </c>
      <c r="M103" s="13" t="n"/>
      <c r="N103" s="13" t="n"/>
      <c r="O103" s="10" t="n"/>
      <c r="P103" s="8" t="inlineStr">
        <is>
          <t>FRAMEWORK_NOT_APPLICABLE</t>
        </is>
      </c>
      <c r="Q103" s="10" t="n">
        <v>0.01153803663993779</v>
      </c>
      <c r="R103" s="10" t="n"/>
      <c r="S103" s="13" t="n">
        <v>348.703</v>
      </c>
      <c r="T103" s="13" t="n">
        <v>30.811</v>
      </c>
      <c r="U103" s="13" t="n">
        <v>0</v>
      </c>
      <c r="V103" s="8" t="inlineStr">
        <is>
          <t>short-term only (no long-term debt tagged; read as nil)</t>
        </is>
      </c>
      <c r="W103" s="13" t="n">
        <v>17.633</v>
      </c>
      <c r="X103" s="11" t="n">
        <v>-1.747348721147848</v>
      </c>
      <c r="Y103" s="11" t="n">
        <v>2.0384116273034</v>
      </c>
      <c r="Z103" s="13" t="n"/>
      <c r="AA103" s="8" t="inlineStr">
        <is>
          <t>FRAMEWORK_NOT_APPLICABLE (financial sector)</t>
        </is>
      </c>
      <c r="AB103" s="10" t="n"/>
      <c r="AC103" s="10" t="n">
        <v>0.03169018346735959</v>
      </c>
      <c r="AD103" s="12" t="n"/>
    </row>
    <row r="104">
      <c r="A104" s="8" t="inlineStr">
        <is>
          <t>BRK-B</t>
        </is>
      </c>
      <c r="B104" s="8" t="inlineStr">
        <is>
          <t>BERKSHIRE HATHAWAY INC</t>
        </is>
      </c>
      <c r="C104" s="8" t="inlineStr">
        <is>
          <t>FINANCIAL</t>
        </is>
      </c>
      <c r="D104" s="8" t="n">
        <v>2019</v>
      </c>
      <c r="E104" s="8" t="inlineStr">
        <is>
          <t>2019-12-31</t>
        </is>
      </c>
      <c r="F104" s="8" t="inlineStr">
        <is>
          <t>0001564590-22-007322</t>
        </is>
      </c>
      <c r="G104" s="13" t="n">
        <v>254.616</v>
      </c>
      <c r="H104" s="13" t="n">
        <v>106.657</v>
      </c>
      <c r="I104" s="8" t="inlineStr">
        <is>
          <t>pretax_income + interest_expense</t>
        </is>
      </c>
      <c r="J104" s="13" t="n">
        <v>81.417</v>
      </c>
      <c r="K104" s="10" t="n">
        <v>0.2035522318298668</v>
      </c>
      <c r="L104" s="13" t="n">
        <v>84.9467296097219</v>
      </c>
      <c r="M104" s="13" t="n"/>
      <c r="N104" s="13" t="n"/>
      <c r="O104" s="10" t="n"/>
      <c r="P104" s="8" t="inlineStr">
        <is>
          <t>FRAMEWORK_NOT_APPLICABLE</t>
        </is>
      </c>
      <c r="Q104" s="10" t="n">
        <v>0.2105174700773374</v>
      </c>
      <c r="R104" s="10" t="n"/>
      <c r="S104" s="13" t="n">
        <v>424.791</v>
      </c>
      <c r="T104" s="13" t="n">
        <v>64.63200000000001</v>
      </c>
      <c r="U104" s="13" t="n">
        <v>0</v>
      </c>
      <c r="V104" s="8" t="inlineStr">
        <is>
          <t>short-term only (no long-term debt tagged; read as nil)</t>
        </is>
      </c>
      <c r="W104" s="13" t="n">
        <v>116.721</v>
      </c>
      <c r="X104" s="11" t="n">
        <v>-0.5537306911352713</v>
      </c>
      <c r="Y104" s="11" t="n">
        <v>26.92678616510982</v>
      </c>
      <c r="Z104" s="13" t="n"/>
      <c r="AA104" s="8" t="inlineStr">
        <is>
          <t>FRAMEWORK_NOT_APPLICABLE (financial sector)</t>
        </is>
      </c>
      <c r="AB104" s="10" t="n"/>
      <c r="AC104" s="10" t="n">
        <v>0.4188935495019951</v>
      </c>
      <c r="AD104" s="12" t="n"/>
    </row>
    <row r="105">
      <c r="A105" s="8" t="inlineStr">
        <is>
          <t>BRK-B</t>
        </is>
      </c>
      <c r="B105" s="8" t="inlineStr">
        <is>
          <t>BERKSHIRE HATHAWAY INC</t>
        </is>
      </c>
      <c r="C105" s="8" t="inlineStr">
        <is>
          <t>FINANCIAL</t>
        </is>
      </c>
      <c r="D105" s="8" t="n">
        <v>2020</v>
      </c>
      <c r="E105" s="8" t="inlineStr">
        <is>
          <t>2020-12-31</t>
        </is>
      </c>
      <c r="F105" s="8" t="inlineStr">
        <is>
          <t>0000950170-23-004451</t>
        </is>
      </c>
      <c r="G105" s="13" t="n">
        <v>245.579</v>
      </c>
      <c r="H105" s="13" t="n">
        <v>59.776</v>
      </c>
      <c r="I105" s="8" t="inlineStr">
        <is>
          <t>pretax_income + interest_expense</t>
        </is>
      </c>
      <c r="J105" s="13" t="n">
        <v>42.521</v>
      </c>
      <c r="K105" s="10" t="n">
        <v>0.2233673890794175</v>
      </c>
      <c r="L105" s="13" t="n">
        <v>46.42399095038873</v>
      </c>
      <c r="M105" s="13" t="n"/>
      <c r="N105" s="13" t="n"/>
      <c r="O105" s="10" t="n"/>
      <c r="P105" s="8" t="inlineStr">
        <is>
          <t>FRAMEWORK_NOT_APPLICABLE</t>
        </is>
      </c>
      <c r="Q105" s="10" t="n">
        <v>0.09871077749159342</v>
      </c>
      <c r="R105" s="10" t="n"/>
      <c r="S105" s="13" t="n">
        <v>436.736</v>
      </c>
      <c r="T105" s="13" t="n">
        <v>48.396</v>
      </c>
      <c r="U105" s="13" t="n">
        <v>0</v>
      </c>
      <c r="V105" s="8" t="inlineStr">
        <is>
          <t>short-term only (no long-term debt tagged; read as nil)</t>
        </is>
      </c>
      <c r="W105" s="13" t="n">
        <v>70.372</v>
      </c>
      <c r="X105" s="11" t="n">
        <v>-0.6877167055078725</v>
      </c>
      <c r="Y105" s="11" t="n">
        <v>14.64021552779819</v>
      </c>
      <c r="Z105" s="13" t="n"/>
      <c r="AA105" s="8" t="inlineStr">
        <is>
          <t>FRAMEWORK_NOT_APPLICABLE (financial sector)</t>
        </is>
      </c>
      <c r="AB105" s="10" t="n"/>
      <c r="AC105" s="10" t="n">
        <v>0.2434084347603012</v>
      </c>
      <c r="AD105" s="12" t="n"/>
    </row>
    <row r="106">
      <c r="A106" s="8" t="inlineStr">
        <is>
          <t>BRK-B</t>
        </is>
      </c>
      <c r="B106" s="8" t="inlineStr">
        <is>
          <t>BERKSHIRE HATHAWAY INC</t>
        </is>
      </c>
      <c r="C106" s="8" t="inlineStr">
        <is>
          <t>FINANCIAL</t>
        </is>
      </c>
      <c r="D106" s="8" t="n">
        <v>2021</v>
      </c>
      <c r="E106" s="8" t="inlineStr">
        <is>
          <t>2021-12-31</t>
        </is>
      </c>
      <c r="F106" s="8" t="inlineStr">
        <is>
          <t>0000950170-24-019719</t>
        </is>
      </c>
      <c r="G106" s="13" t="n">
        <v>276.185</v>
      </c>
      <c r="H106" s="13" t="n">
        <v>116.033</v>
      </c>
      <c r="I106" s="8" t="inlineStr">
        <is>
          <t>pretax_income + interest_expense</t>
        </is>
      </c>
      <c r="J106" s="13" t="n">
        <v>89.937</v>
      </c>
      <c r="K106" s="10" t="n">
        <v>0.1869462994251795</v>
      </c>
      <c r="L106" s="13" t="n">
        <v>94.34106003879815</v>
      </c>
      <c r="M106" s="13" t="n"/>
      <c r="N106" s="13" t="n"/>
      <c r="O106" s="10" t="n"/>
      <c r="P106" s="8" t="inlineStr">
        <is>
          <t>FRAMEWORK_NOT_APPLICABLE</t>
        </is>
      </c>
      <c r="Q106" s="10" t="n">
        <v>0.1907597024185124</v>
      </c>
      <c r="R106" s="10" t="n"/>
      <c r="S106" s="13" t="n">
        <v>506.199</v>
      </c>
      <c r="T106" s="13" t="n">
        <v>88.706</v>
      </c>
      <c r="U106" s="13" t="n">
        <v>0</v>
      </c>
      <c r="V106" s="8" t="inlineStr">
        <is>
          <t>short-term only (no long-term debt tagged; read as nil)</t>
        </is>
      </c>
      <c r="W106" s="13" t="n">
        <v>126.751</v>
      </c>
      <c r="X106" s="11" t="n">
        <v>-0.6998445771630993</v>
      </c>
      <c r="Y106" s="11" t="n">
        <v>27.81232023010546</v>
      </c>
      <c r="Z106" s="13" t="n"/>
      <c r="AA106" s="8" t="inlineStr">
        <is>
          <t>FRAMEWORK_NOT_APPLICABLE (financial sector)</t>
        </is>
      </c>
      <c r="AB106" s="10" t="n"/>
      <c r="AC106" s="10" t="n">
        <v>0.4201278128790485</v>
      </c>
      <c r="AD106" s="12" t="n"/>
    </row>
    <row r="107">
      <c r="A107" s="8" t="inlineStr">
        <is>
          <t>BRK-B</t>
        </is>
      </c>
      <c r="B107" s="8" t="inlineStr">
        <is>
          <t>BERKSHIRE HATHAWAY INC</t>
        </is>
      </c>
      <c r="C107" s="8" t="inlineStr">
        <is>
          <t>FINANCIAL</t>
        </is>
      </c>
      <c r="D107" s="8" t="n">
        <v>2022</v>
      </c>
      <c r="E107" s="8" t="inlineStr">
        <is>
          <t>2022-12-31</t>
        </is>
      </c>
      <c r="F107" s="8" t="inlineStr">
        <is>
          <t>0000950170-25-025210</t>
        </is>
      </c>
      <c r="G107" s="13" t="n">
        <v>302.02</v>
      </c>
      <c r="H107" s="13" t="n">
        <v>-26.148</v>
      </c>
      <c r="I107" s="8" t="inlineStr">
        <is>
          <t>pretax_income + interest_expense</t>
        </is>
      </c>
      <c r="J107" s="13" t="n">
        <v>-22.759</v>
      </c>
      <c r="K107" s="10" t="n">
        <v>0.21</v>
      </c>
      <c r="L107" s="13" t="n">
        <v>-20.65692</v>
      </c>
      <c r="M107" s="13" t="n"/>
      <c r="N107" s="13" t="n"/>
      <c r="O107" s="10" t="n"/>
      <c r="P107" s="8" t="inlineStr">
        <is>
          <t>FRAMEWORK_NOT_APPLICABLE</t>
        </is>
      </c>
      <c r="Q107" s="10" t="n">
        <v>-0.04646481350478705</v>
      </c>
      <c r="R107" s="10" t="n"/>
      <c r="S107" s="13" t="n">
        <v>473.424</v>
      </c>
      <c r="T107" s="13" t="n">
        <v>36.399</v>
      </c>
      <c r="U107" s="13" t="n">
        <v>0</v>
      </c>
      <c r="V107" s="8" t="inlineStr">
        <is>
          <t>short-term only (no long-term debt tagged; read as nil)</t>
        </is>
      </c>
      <c r="W107" s="13" t="n">
        <v>-15.249</v>
      </c>
      <c r="X107" s="11" t="n">
        <v>2.386976195160338</v>
      </c>
      <c r="Y107" s="11" t="n">
        <v>-6.008272058823529</v>
      </c>
      <c r="Z107" s="13" t="n"/>
      <c r="AA107" s="8" t="inlineStr">
        <is>
          <t>FRAMEWORK_NOT_APPLICABLE (financial sector)</t>
        </is>
      </c>
      <c r="AB107" s="10" t="n"/>
      <c r="AC107" s="10" t="n">
        <v>-0.08657704787762399</v>
      </c>
      <c r="AD107" s="12" t="n"/>
    </row>
    <row r="108">
      <c r="A108" s="8" t="inlineStr">
        <is>
          <t>BRK-B</t>
        </is>
      </c>
      <c r="B108" s="8" t="inlineStr">
        <is>
          <t>BERKSHIRE HATHAWAY INC</t>
        </is>
      </c>
      <c r="C108" s="8" t="inlineStr">
        <is>
          <t>FINANCIAL</t>
        </is>
      </c>
      <c r="D108" s="8" t="n">
        <v>2023</v>
      </c>
      <c r="E108" s="8" t="inlineStr">
        <is>
          <t>2023-12-31</t>
        </is>
      </c>
      <c r="F108" s="8" t="inlineStr">
        <is>
          <t>0001193125-26-083899</t>
        </is>
      </c>
      <c r="G108" s="13" t="n">
        <v>364.482</v>
      </c>
      <c r="H108" s="13" t="n">
        <v>125.169</v>
      </c>
      <c r="I108" s="8" t="inlineStr">
        <is>
          <t>pretax_income + interest_expense</t>
        </is>
      </c>
      <c r="J108" s="13" t="n">
        <v>96.223</v>
      </c>
      <c r="K108" s="10" t="n">
        <v>0.1915600086546943</v>
      </c>
      <c r="L108" s="13" t="n">
        <v>101.1916252767006</v>
      </c>
      <c r="M108" s="13" t="n"/>
      <c r="N108" s="13" t="n"/>
      <c r="O108" s="10" t="n"/>
      <c r="P108" s="8" t="inlineStr">
        <is>
          <t>FRAMEWORK_NOT_APPLICABLE</t>
        </is>
      </c>
      <c r="Q108" s="10" t="n">
        <v>0.1859926142629195</v>
      </c>
      <c r="R108" s="10" t="n"/>
      <c r="S108" s="13" t="n">
        <v>561.273</v>
      </c>
      <c r="T108" s="13" t="n">
        <v>38.643</v>
      </c>
      <c r="U108" s="13" t="n">
        <v>0</v>
      </c>
      <c r="V108" s="8" t="inlineStr">
        <is>
          <t>short-term only (no long-term debt tagged; read as nil)</t>
        </is>
      </c>
      <c r="W108" s="13" t="n">
        <v>137.655</v>
      </c>
      <c r="X108" s="11" t="n">
        <v>-0.2807235480004359</v>
      </c>
      <c r="Y108" s="11" t="n">
        <v>25.01878872676394</v>
      </c>
      <c r="Z108" s="13" t="n"/>
      <c r="AA108" s="8" t="inlineStr">
        <is>
          <t>FRAMEWORK_NOT_APPLICABLE (financial sector)</t>
        </is>
      </c>
      <c r="AB108" s="10" t="n"/>
      <c r="AC108" s="10" t="n">
        <v>0.3434161357762524</v>
      </c>
      <c r="AD108" s="12" t="n"/>
    </row>
    <row r="109">
      <c r="A109" s="8" t="inlineStr">
        <is>
          <t>BRK-B</t>
        </is>
      </c>
      <c r="B109" s="8" t="inlineStr">
        <is>
          <t>BERKSHIRE HATHAWAY INC</t>
        </is>
      </c>
      <c r="C109" s="8" t="inlineStr">
        <is>
          <t>FINANCIAL</t>
        </is>
      </c>
      <c r="D109" s="8" t="n">
        <v>2024</v>
      </c>
      <c r="E109" s="8" t="inlineStr">
        <is>
          <t>2024-12-31</t>
        </is>
      </c>
      <c r="F109" s="8" t="inlineStr">
        <is>
          <t>0001193125-26-083899</t>
        </is>
      </c>
      <c r="G109" s="13" t="n">
        <v>371.433</v>
      </c>
      <c r="H109" s="13" t="n">
        <v>115.576</v>
      </c>
      <c r="I109" s="8" t="inlineStr">
        <is>
          <t>pretax_income + interest_expense</t>
        </is>
      </c>
      <c r="J109" s="13" t="n">
        <v>88.995</v>
      </c>
      <c r="K109" s="10" t="n">
        <v>0.1885826628977314</v>
      </c>
      <c r="L109" s="13" t="n">
        <v>93.78037015293179</v>
      </c>
      <c r="M109" s="13" t="n"/>
      <c r="N109" s="13" t="n"/>
      <c r="O109" s="10" t="n"/>
      <c r="P109" s="8" t="inlineStr">
        <is>
          <t>FRAMEWORK_NOT_APPLICABLE</t>
        </is>
      </c>
      <c r="Q109" s="10" t="n">
        <v>0.1470212887222554</v>
      </c>
      <c r="R109" s="10" t="n"/>
      <c r="S109" s="13" t="n">
        <v>649.3680000000001</v>
      </c>
      <c r="T109" s="13" t="n">
        <v>48.376</v>
      </c>
      <c r="U109" s="13" t="n">
        <v>0</v>
      </c>
      <c r="V109" s="8" t="inlineStr">
        <is>
          <t>short-term only (no long-term debt tagged; read as nil)</t>
        </is>
      </c>
      <c r="W109" s="13" t="n">
        <v>128.431</v>
      </c>
      <c r="X109" s="11" t="n">
        <v>-0.3766691842312214</v>
      </c>
      <c r="Y109" s="11" t="n">
        <v>22.22615384615385</v>
      </c>
      <c r="Z109" s="13" t="n"/>
      <c r="AA109" s="8" t="inlineStr">
        <is>
          <t>FRAMEWORK_NOT_APPLICABLE (financial sector)</t>
        </is>
      </c>
      <c r="AB109" s="10" t="n"/>
      <c r="AC109" s="10" t="n">
        <v>0.3111624438324004</v>
      </c>
      <c r="AD109" s="12" t="n"/>
    </row>
    <row r="110">
      <c r="A110" s="8" t="inlineStr">
        <is>
          <t>BRK-B</t>
        </is>
      </c>
      <c r="B110" s="8" t="inlineStr">
        <is>
          <t>BERKSHIRE HATHAWAY INC</t>
        </is>
      </c>
      <c r="C110" s="8" t="inlineStr">
        <is>
          <t>FINANCIAL</t>
        </is>
      </c>
      <c r="D110" s="8" t="n">
        <v>2025</v>
      </c>
      <c r="E110" s="8" t="inlineStr">
        <is>
          <t>2025-12-31</t>
        </is>
      </c>
      <c r="F110" s="8" t="inlineStr">
        <is>
          <t>0001193125-26-083899</t>
        </is>
      </c>
      <c r="G110" s="13" t="n">
        <v>371.444</v>
      </c>
      <c r="H110" s="13" t="n">
        <v>87.52800000000001</v>
      </c>
      <c r="I110" s="8" t="inlineStr">
        <is>
          <t>pretax_income + interest_expense</t>
        </is>
      </c>
      <c r="J110" s="13" t="n">
        <v>66.968</v>
      </c>
      <c r="K110" s="10" t="n">
        <v>0.1843219054317903</v>
      </c>
      <c r="L110" s="13" t="n">
        <v>71.39467226136625</v>
      </c>
      <c r="M110" s="13" t="n"/>
      <c r="N110" s="13" t="n"/>
      <c r="O110" s="10" t="n"/>
      <c r="P110" s="8" t="inlineStr">
        <is>
          <t>FRAMEWORK_NOT_APPLICABLE</t>
        </is>
      </c>
      <c r="Q110" s="10" t="n">
        <v>0.09799332302692372</v>
      </c>
      <c r="R110" s="10" t="n"/>
      <c r="S110" s="13" t="n">
        <v>717.419</v>
      </c>
      <c r="T110" s="13" t="n">
        <v>52.569</v>
      </c>
      <c r="U110" s="13" t="n">
        <v>0</v>
      </c>
      <c r="V110" s="8" t="inlineStr">
        <is>
          <t>short-term only (no long-term debt tagged; read as nil)</t>
        </is>
      </c>
      <c r="W110" s="13" t="n">
        <v>101.004</v>
      </c>
      <c r="X110" s="11" t="n">
        <v>-0.5204645360579779</v>
      </c>
      <c r="Y110" s="11" t="n">
        <v>17.26731110672716</v>
      </c>
      <c r="Z110" s="13" t="n"/>
      <c r="AA110" s="8" t="inlineStr">
        <is>
          <t>FRAMEWORK_NOT_APPLICABLE (financial sector)</t>
        </is>
      </c>
      <c r="AB110" s="10" t="n"/>
      <c r="AC110" s="10" t="n">
        <v>0.2356425194645761</v>
      </c>
      <c r="AD110" s="12" t="n"/>
    </row>
    <row r="111">
      <c r="A111" s="8" t="inlineStr">
        <is>
          <t>LLY</t>
        </is>
      </c>
      <c r="B111" s="8" t="inlineStr">
        <is>
          <t>ELI LILLY &amp; Co</t>
        </is>
      </c>
      <c r="C111" s="8" t="inlineStr">
        <is>
          <t>STANDARD</t>
        </is>
      </c>
      <c r="D111" s="8" t="n">
        <v>2014</v>
      </c>
      <c r="E111" s="8" t="inlineStr">
        <is>
          <t>2014-12-31</t>
        </is>
      </c>
      <c r="F111" s="8" t="inlineStr">
        <is>
          <t>0000059478-17-000098</t>
        </is>
      </c>
      <c r="G111" s="13" t="n">
        <v>19.6156</v>
      </c>
      <c r="H111" s="13" t="n">
        <v>3.0003</v>
      </c>
      <c r="I111" s="8" t="inlineStr">
        <is>
          <t>pretax_income only (no interest expense tagged)</t>
        </is>
      </c>
      <c r="J111" s="13" t="n">
        <v>2.3905</v>
      </c>
      <c r="K111" s="10" t="n">
        <v>0.2032463420324634</v>
      </c>
      <c r="L111" s="13" t="n">
        <v>2.3905</v>
      </c>
      <c r="M111" s="13" t="n">
        <v>19.5231</v>
      </c>
      <c r="N111" s="13" t="n">
        <v>19.5231</v>
      </c>
      <c r="O111" s="10" t="n">
        <v>0.1224446937217962</v>
      </c>
      <c r="P111" s="8" t="inlineStr">
        <is>
          <t>OK</t>
        </is>
      </c>
      <c r="Q111" s="10" t="n">
        <v>0.1554978794265345</v>
      </c>
      <c r="R111" s="10" t="n">
        <v>0.03305318570473825</v>
      </c>
      <c r="S111" s="13" t="n">
        <v>15.3732</v>
      </c>
      <c r="T111" s="13" t="n">
        <v>3.8716</v>
      </c>
      <c r="U111" s="13" t="n">
        <v>8.0215</v>
      </c>
      <c r="V111" s="8" t="inlineStr">
        <is>
          <t>short-term + long-term</t>
        </is>
      </c>
      <c r="W111" s="13" t="n">
        <v>4.3793</v>
      </c>
      <c r="X111" s="11" t="n">
        <v>0.9476171990957459</v>
      </c>
      <c r="Y111" s="11" t="n"/>
      <c r="Z111" s="13" t="n">
        <v>3.2958</v>
      </c>
      <c r="AA111" s="8" t="inlineStr">
        <is>
          <t>operating cash flow - capex (working-capital swing already embedded)</t>
        </is>
      </c>
      <c r="AB111" s="10" t="n">
        <v>0.1680193315524379</v>
      </c>
      <c r="AC111" s="10" t="n">
        <v>0.1529547910846469</v>
      </c>
      <c r="AD111" s="12" t="n">
        <v>1074286000</v>
      </c>
    </row>
    <row r="112">
      <c r="A112" s="8" t="inlineStr">
        <is>
          <t>LLY</t>
        </is>
      </c>
      <c r="B112" s="8" t="inlineStr">
        <is>
          <t>ELI LILLY &amp; Co</t>
        </is>
      </c>
      <c r="C112" s="8" t="inlineStr">
        <is>
          <t>STANDARD</t>
        </is>
      </c>
      <c r="D112" s="8" t="n">
        <v>2015</v>
      </c>
      <c r="E112" s="8" t="inlineStr">
        <is>
          <t>2015-12-31</t>
        </is>
      </c>
      <c r="F112" s="8" t="inlineStr">
        <is>
          <t>0000059478-18-000089</t>
        </is>
      </c>
      <c r="G112" s="13" t="n">
        <v>19.9587</v>
      </c>
      <c r="H112" s="13" t="n">
        <v>2.79</v>
      </c>
      <c r="I112" s="8" t="inlineStr">
        <is>
          <t>pretax_income only (no interest expense tagged)</t>
        </is>
      </c>
      <c r="J112" s="13" t="n">
        <v>2.4084</v>
      </c>
      <c r="K112" s="10" t="n">
        <v>0.1367741935483871</v>
      </c>
      <c r="L112" s="13" t="n">
        <v>2.4084</v>
      </c>
      <c r="M112" s="13" t="n">
        <v>18.8834</v>
      </c>
      <c r="N112" s="13" t="n">
        <v>19.20325</v>
      </c>
      <c r="O112" s="10" t="n">
        <v>0.1254162706833479</v>
      </c>
      <c r="P112" s="8" t="inlineStr">
        <is>
          <t>OK</t>
        </is>
      </c>
      <c r="Q112" s="10" t="n">
        <v>0.1608575865350899</v>
      </c>
      <c r="R112" s="10" t="n">
        <v>0.03544131585174204</v>
      </c>
      <c r="S112" s="13" t="n">
        <v>14.5713</v>
      </c>
      <c r="T112" s="13" t="n">
        <v>3.6664</v>
      </c>
      <c r="U112" s="13" t="n">
        <v>7.9785</v>
      </c>
      <c r="V112" s="8" t="inlineStr">
        <is>
          <t>short-term + long-term</t>
        </is>
      </c>
      <c r="W112" s="13" t="n">
        <v>4.2177</v>
      </c>
      <c r="X112" s="11" t="n">
        <v>1.022381866894279</v>
      </c>
      <c r="Y112" s="11" t="n"/>
      <c r="Z112" s="13" t="n">
        <v>3.0906</v>
      </c>
      <c r="AA112" s="8" t="inlineStr">
        <is>
          <t>net income + D&amp;A - capex - change in operating working capital (cash and short-term debt excluded)</t>
        </is>
      </c>
      <c r="AB112" s="10" t="n">
        <v>0.1548497647642381</v>
      </c>
      <c r="AC112" s="10" t="n">
        <v>0.139788663590314</v>
      </c>
      <c r="AD112" s="12" t="n">
        <v>1065720000</v>
      </c>
    </row>
    <row r="113">
      <c r="A113" s="8" t="inlineStr">
        <is>
          <t>LLY</t>
        </is>
      </c>
      <c r="B113" s="8" t="inlineStr">
        <is>
          <t>ELI LILLY &amp; Co</t>
        </is>
      </c>
      <c r="C113" s="8" t="inlineStr">
        <is>
          <t>STANDARD</t>
        </is>
      </c>
      <c r="D113" s="8" t="n">
        <v>2016</v>
      </c>
      <c r="E113" s="8" t="inlineStr">
        <is>
          <t>2016-12-31</t>
        </is>
      </c>
      <c r="F113" s="8" t="inlineStr">
        <is>
          <t>0000059478-19-000082</t>
        </is>
      </c>
      <c r="G113" s="13" t="n">
        <v>21.2221</v>
      </c>
      <c r="H113" s="13" t="n">
        <v>3.374</v>
      </c>
      <c r="I113" s="8" t="inlineStr">
        <is>
          <t>pretax_income only (no interest expense tagged)</t>
        </is>
      </c>
      <c r="J113" s="13" t="n">
        <v>2.7376</v>
      </c>
      <c r="K113" s="10" t="n">
        <v>0.1886188500296384</v>
      </c>
      <c r="L113" s="13" t="n">
        <v>2.7376</v>
      </c>
      <c r="M113" s="13" t="n">
        <v>19.7308</v>
      </c>
      <c r="N113" s="13" t="n">
        <v>19.3071</v>
      </c>
      <c r="O113" s="10" t="n">
        <v>0.141792397615385</v>
      </c>
      <c r="P113" s="8" t="inlineStr">
        <is>
          <t>OK</t>
        </is>
      </c>
      <c r="Q113" s="10" t="n">
        <v>0.191581230973792</v>
      </c>
      <c r="R113" s="10" t="n">
        <v>0.04978883335840695</v>
      </c>
      <c r="S113" s="13" t="n">
        <v>14.0077</v>
      </c>
      <c r="T113" s="13" t="n">
        <v>4.5821</v>
      </c>
      <c r="U113" s="13" t="n">
        <v>10.3052</v>
      </c>
      <c r="V113" s="8" t="inlineStr">
        <is>
          <t>short-term + long-term</t>
        </is>
      </c>
      <c r="W113" s="13" t="n">
        <v>4.8706</v>
      </c>
      <c r="X113" s="11" t="n">
        <v>1.175029770459492</v>
      </c>
      <c r="Y113" s="11" t="n"/>
      <c r="Z113" s="13" t="n">
        <v>2.4108</v>
      </c>
      <c r="AA113" s="8" t="inlineStr">
        <is>
          <t>net income + D&amp;A - capex - change in operating working capital (cash and short-term debt excluded)</t>
        </is>
      </c>
      <c r="AB113" s="10" t="n">
        <v>0.1135985599917068</v>
      </c>
      <c r="AC113" s="10" t="n">
        <v>0.1589852088153387</v>
      </c>
      <c r="AD113" s="12" t="n">
        <v>1061825000</v>
      </c>
    </row>
    <row r="114">
      <c r="A114" s="8" t="inlineStr">
        <is>
          <t>LLY</t>
        </is>
      </c>
      <c r="B114" s="8" t="inlineStr">
        <is>
          <t>ELI LILLY &amp; Co</t>
        </is>
      </c>
      <c r="C114" s="8" t="inlineStr">
        <is>
          <t>STANDARD</t>
        </is>
      </c>
      <c r="D114" s="8" t="n">
        <v>2017</v>
      </c>
      <c r="E114" s="8" t="inlineStr">
        <is>
          <t>2017-12-31</t>
        </is>
      </c>
      <c r="F114" s="8" t="inlineStr">
        <is>
          <t>0000059478-20-000057</t>
        </is>
      </c>
      <c r="G114" s="13" t="n">
        <v>19.9738</v>
      </c>
      <c r="H114" s="13" t="n">
        <v>2.3048</v>
      </c>
      <c r="I114" s="8" t="inlineStr">
        <is>
          <t>pretax_income only (no interest expense tagged)</t>
        </is>
      </c>
      <c r="J114" s="13" t="n">
        <v>-0.2041</v>
      </c>
      <c r="K114" s="10" t="n">
        <v>0.4</v>
      </c>
      <c r="L114" s="13" t="n">
        <v>1.38288</v>
      </c>
      <c r="M114" s="13" t="n">
        <v>18.7031</v>
      </c>
      <c r="N114" s="13" t="n">
        <v>19.21695</v>
      </c>
      <c r="O114" s="10" t="n">
        <v>0.07196147151342955</v>
      </c>
      <c r="P114" s="8" t="inlineStr">
        <is>
          <t>OK</t>
        </is>
      </c>
      <c r="Q114" s="10" t="n">
        <v>-0.01594537478662026</v>
      </c>
      <c r="R114" s="10" t="n">
        <v>-0.0879068463000498</v>
      </c>
      <c r="S114" s="13" t="n">
        <v>11.5922</v>
      </c>
      <c r="T114" s="13" t="n">
        <v>6.5362</v>
      </c>
      <c r="U114" s="13" t="n">
        <v>13.6471</v>
      </c>
      <c r="V114" s="8" t="inlineStr">
        <is>
          <t>short-term + long-term</t>
        </is>
      </c>
      <c r="W114" s="13" t="n">
        <v>3.8721</v>
      </c>
      <c r="X114" s="11" t="n">
        <v>1.836445339738127</v>
      </c>
      <c r="Y114" s="11" t="n"/>
      <c r="Z114" s="13" t="n">
        <v>-0.0801</v>
      </c>
      <c r="AA114" s="8" t="inlineStr">
        <is>
          <t>net income + D&amp;A - capex - change in operating working capital (cash and short-term debt excluded)</t>
        </is>
      </c>
      <c r="AB114" s="10" t="n">
        <v>-0.004010253431995915</v>
      </c>
      <c r="AC114" s="10" t="n">
        <v>0.1153911624227738</v>
      </c>
      <c r="AD114" s="12" t="n">
        <v>1052023000</v>
      </c>
    </row>
    <row r="115">
      <c r="A115" s="8" t="inlineStr">
        <is>
          <t>LLY</t>
        </is>
      </c>
      <c r="B115" s="8" t="inlineStr">
        <is>
          <t>ELI LILLY &amp; Co</t>
        </is>
      </c>
      <c r="C115" s="8" t="inlineStr">
        <is>
          <t>STANDARD</t>
        </is>
      </c>
      <c r="D115" s="8" t="n">
        <v>2018</v>
      </c>
      <c r="E115" s="8" t="inlineStr">
        <is>
          <t>2018-12-31</t>
        </is>
      </c>
      <c r="F115" s="8" t="inlineStr">
        <is>
          <t>0000059478-21-000083</t>
        </is>
      </c>
      <c r="G115" s="13" t="n">
        <v>21.4933</v>
      </c>
      <c r="H115" s="13" t="n">
        <v>3.6801</v>
      </c>
      <c r="I115" s="8" t="inlineStr">
        <is>
          <t>pretax_income only (no interest expense tagged)</t>
        </is>
      </c>
      <c r="J115" s="13" t="n">
        <v>3.232</v>
      </c>
      <c r="K115" s="10" t="n">
        <v>0.1438819597293552</v>
      </c>
      <c r="L115" s="13" t="n">
        <v>3.150599999999999</v>
      </c>
      <c r="M115" s="13" t="n">
        <v>12.8066</v>
      </c>
      <c r="N115" s="13" t="n">
        <v>15.75485</v>
      </c>
      <c r="O115" s="10" t="n">
        <v>0.1999765151683449</v>
      </c>
      <c r="P115" s="8" t="inlineStr">
        <is>
          <t>OK</t>
        </is>
      </c>
      <c r="Q115" s="10" t="n">
        <v>0.3017613639016101</v>
      </c>
      <c r="R115" s="10" t="n">
        <v>0.1017848487332652</v>
      </c>
      <c r="S115" s="13" t="n">
        <v>9.8287</v>
      </c>
      <c r="T115" s="13" t="n">
        <v>7.3207</v>
      </c>
      <c r="U115" s="13" t="n">
        <v>10.2986</v>
      </c>
      <c r="V115" s="8" t="inlineStr">
        <is>
          <t>short-term + long-term</t>
        </is>
      </c>
      <c r="W115" s="13" t="n">
        <v>5.2891</v>
      </c>
      <c r="X115" s="11" t="n">
        <v>0.5630258456070031</v>
      </c>
      <c r="Y115" s="11" t="n"/>
      <c r="Z115" s="13" t="n">
        <v>3.024</v>
      </c>
      <c r="AA115" s="8" t="inlineStr">
        <is>
          <t>net income + D&amp;A - capex - change in operating working capital (cash and short-term debt excluded)</t>
        </is>
      </c>
      <c r="AB115" s="10" t="n">
        <v>0.1406950072813388</v>
      </c>
      <c r="AC115" s="10" t="n">
        <v>0.1712207990397007</v>
      </c>
      <c r="AD115" s="12" t="n">
        <v>1033667000</v>
      </c>
    </row>
    <row r="116">
      <c r="A116" s="8" t="inlineStr">
        <is>
          <t>LLY</t>
        </is>
      </c>
      <c r="B116" s="8" t="inlineStr">
        <is>
          <t>ELI LILLY &amp; Co</t>
        </is>
      </c>
      <c r="C116" s="8" t="inlineStr">
        <is>
          <t>STANDARD</t>
        </is>
      </c>
      <c r="D116" s="8" t="n">
        <v>2019</v>
      </c>
      <c r="E116" s="8" t="inlineStr">
        <is>
          <t>2019-12-31</t>
        </is>
      </c>
      <c r="F116" s="8" t="inlineStr">
        <is>
          <t>0000059478-22-000068</t>
        </is>
      </c>
      <c r="G116" s="13" t="n">
        <v>22.3195</v>
      </c>
      <c r="H116" s="13" t="n">
        <v>5.2659</v>
      </c>
      <c r="I116" s="8" t="inlineStr">
        <is>
          <t>pretax_income only (no interest expense tagged)</t>
        </is>
      </c>
      <c r="J116" s="13" t="n">
        <v>8.3184</v>
      </c>
      <c r="K116" s="10" t="n">
        <v>0.1192578666514746</v>
      </c>
      <c r="L116" s="13" t="n">
        <v>4.6379</v>
      </c>
      <c r="M116" s="13" t="n">
        <v>15.5866</v>
      </c>
      <c r="N116" s="13" t="n">
        <v>14.1966</v>
      </c>
      <c r="O116" s="10" t="n">
        <v>0.326690897820605</v>
      </c>
      <c r="P116" s="8" t="inlineStr">
        <is>
          <t>OK</t>
        </is>
      </c>
      <c r="Q116" s="10" t="n">
        <v>1.337836533822252</v>
      </c>
      <c r="R116" s="10" t="n">
        <v>1.011145636001647</v>
      </c>
      <c r="S116" s="13" t="n">
        <v>2.6069</v>
      </c>
      <c r="T116" s="13" t="n">
        <v>2.3375</v>
      </c>
      <c r="U116" s="13" t="n">
        <v>15.3172</v>
      </c>
      <c r="V116" s="8" t="inlineStr">
        <is>
          <t>short-term + long-term</t>
        </is>
      </c>
      <c r="W116" s="13" t="n">
        <v>6.4985</v>
      </c>
      <c r="X116" s="11" t="n">
        <v>1.997337847195507</v>
      </c>
      <c r="Y116" s="11" t="n"/>
      <c r="Z116" s="13" t="n">
        <v>9.863899999999999</v>
      </c>
      <c r="AA116" s="8" t="inlineStr">
        <is>
          <t>net income + D&amp;A - capex - change in operating working capital (cash and short-term debt excluded)</t>
        </is>
      </c>
      <c r="AB116" s="10" t="n">
        <v>0.4419409036940792</v>
      </c>
      <c r="AC116" s="10" t="n">
        <v>0.2359327045856762</v>
      </c>
      <c r="AD116" s="12" t="n">
        <v>935684000</v>
      </c>
    </row>
    <row r="117">
      <c r="A117" s="8" t="inlineStr">
        <is>
          <t>LLY</t>
        </is>
      </c>
      <c r="B117" s="8" t="inlineStr">
        <is>
          <t>ELI LILLY &amp; Co</t>
        </is>
      </c>
      <c r="C117" s="8" t="inlineStr">
        <is>
          <t>STANDARD</t>
        </is>
      </c>
      <c r="D117" s="8" t="n">
        <v>2020</v>
      </c>
      <c r="E117" s="8" t="inlineStr">
        <is>
          <t>2020-12-31</t>
        </is>
      </c>
      <c r="F117" s="8" t="inlineStr">
        <is>
          <t>0000059478-23-000082</t>
        </is>
      </c>
      <c r="G117" s="13" t="n">
        <v>24.5398</v>
      </c>
      <c r="H117" s="13" t="n">
        <v>7.2299</v>
      </c>
      <c r="I117" s="8" t="inlineStr">
        <is>
          <t>pretax_income only (no interest expense tagged)</t>
        </is>
      </c>
      <c r="J117" s="13" t="n">
        <v>6.1937</v>
      </c>
      <c r="K117" s="10" t="n">
        <v>0.1433214843912087</v>
      </c>
      <c r="L117" s="13" t="n">
        <v>6.1937</v>
      </c>
      <c r="M117" s="13" t="n">
        <v>18.5798</v>
      </c>
      <c r="N117" s="13" t="n">
        <v>17.0832</v>
      </c>
      <c r="O117" s="10" t="n">
        <v>0.3625608785239299</v>
      </c>
      <c r="P117" s="8" t="inlineStr">
        <is>
          <t>OK</t>
        </is>
      </c>
      <c r="Q117" s="10" t="n">
        <v>1.501776080499485</v>
      </c>
      <c r="R117" s="10" t="n">
        <v>1.139215201975555</v>
      </c>
      <c r="S117" s="13" t="n">
        <v>5.6416</v>
      </c>
      <c r="T117" s="13" t="n">
        <v>3.6571</v>
      </c>
      <c r="U117" s="13" t="n">
        <v>16.5953</v>
      </c>
      <c r="V117" s="8" t="inlineStr">
        <is>
          <t>short-term + long-term</t>
        </is>
      </c>
      <c r="W117" s="13" t="n">
        <v>8.553800000000001</v>
      </c>
      <c r="X117" s="11" t="n">
        <v>1.512567513853492</v>
      </c>
      <c r="Y117" s="11" t="n"/>
      <c r="Z117" s="13" t="n">
        <v>5.8938</v>
      </c>
      <c r="AA117" s="8" t="inlineStr">
        <is>
          <t>net income + D&amp;A - capex - change in operating working capital (cash and short-term debt excluded)</t>
        </is>
      </c>
      <c r="AB117" s="10" t="n">
        <v>0.2401731065452856</v>
      </c>
      <c r="AC117" s="10" t="n">
        <v>0.2946193530509621</v>
      </c>
      <c r="AD117" s="12" t="n">
        <v>912505000</v>
      </c>
    </row>
    <row r="118">
      <c r="A118" s="8" t="inlineStr">
        <is>
          <t>LLY</t>
        </is>
      </c>
      <c r="B118" s="8" t="inlineStr">
        <is>
          <t>ELI LILLY &amp; Co</t>
        </is>
      </c>
      <c r="C118" s="8" t="inlineStr">
        <is>
          <t>STANDARD</t>
        </is>
      </c>
      <c r="D118" s="8" t="n">
        <v>2021</v>
      </c>
      <c r="E118" s="8" t="inlineStr">
        <is>
          <t>2021-12-31</t>
        </is>
      </c>
      <c r="F118" s="8" t="inlineStr">
        <is>
          <t>0000059478-24-000065</t>
        </is>
      </c>
      <c r="G118" s="13" t="n">
        <v>28.3184</v>
      </c>
      <c r="H118" s="13" t="n">
        <v>6.1555</v>
      </c>
      <c r="I118" s="8" t="inlineStr">
        <is>
          <t>pretax_income only (no interest expense tagged)</t>
        </is>
      </c>
      <c r="J118" s="13" t="n">
        <v>5.5817</v>
      </c>
      <c r="K118" s="10" t="n">
        <v>0.09321744781090081</v>
      </c>
      <c r="L118" s="13" t="n">
        <v>5.5817</v>
      </c>
      <c r="M118" s="13" t="n">
        <v>22.0454</v>
      </c>
      <c r="N118" s="13" t="n">
        <v>20.3126</v>
      </c>
      <c r="O118" s="10" t="n">
        <v>0.2747900318029203</v>
      </c>
      <c r="P118" s="8" t="inlineStr">
        <is>
          <t>OK</t>
        </is>
      </c>
      <c r="Q118" s="10" t="n">
        <v>0.7635286714817247</v>
      </c>
      <c r="R118" s="10" t="n">
        <v>0.4887386396788043</v>
      </c>
      <c r="S118" s="13" t="n">
        <v>8.979200000000001</v>
      </c>
      <c r="T118" s="13" t="n">
        <v>3.8185</v>
      </c>
      <c r="U118" s="13" t="n">
        <v>16.8847</v>
      </c>
      <c r="V118" s="8" t="inlineStr">
        <is>
          <t>short-term + long-term</t>
        </is>
      </c>
      <c r="W118" s="13" t="n">
        <v>7.7031</v>
      </c>
      <c r="X118" s="11" t="n">
        <v>1.696226194648908</v>
      </c>
      <c r="Y118" s="11" t="n"/>
      <c r="Z118" s="13" t="n">
        <v>6.0321</v>
      </c>
      <c r="AA118" s="8" t="inlineStr">
        <is>
          <t>net income + D&amp;A - capex - change in operating working capital (cash and short-term debt excluded)</t>
        </is>
      </c>
      <c r="AB118" s="10" t="n">
        <v>0.2130099158144528</v>
      </c>
      <c r="AC118" s="10" t="n">
        <v>0.2173675066387931</v>
      </c>
      <c r="AD118" s="12" t="n">
        <v>911681000</v>
      </c>
    </row>
    <row r="119">
      <c r="A119" s="8" t="inlineStr">
        <is>
          <t>LLY</t>
        </is>
      </c>
      <c r="B119" s="8" t="inlineStr">
        <is>
          <t>ELI LILLY &amp; Co</t>
        </is>
      </c>
      <c r="C119" s="8" t="inlineStr">
        <is>
          <t>STANDARD</t>
        </is>
      </c>
      <c r="D119" s="8" t="n">
        <v>2022</v>
      </c>
      <c r="E119" s="8" t="inlineStr">
        <is>
          <t>2022-12-31</t>
        </is>
      </c>
      <c r="F119" s="8" t="inlineStr">
        <is>
          <t>0000059478-25-000067</t>
        </is>
      </c>
      <c r="G119" s="13" t="n">
        <v>28.5414</v>
      </c>
      <c r="H119" s="13" t="n">
        <v>7.138</v>
      </c>
      <c r="I119" s="8" t="inlineStr">
        <is>
          <t>pretax_income + interest_expense</t>
        </is>
      </c>
      <c r="J119" s="13" t="n">
        <v>6.2448</v>
      </c>
      <c r="K119" s="10" t="n">
        <v>0.08251057827926657</v>
      </c>
      <c r="L119" s="13" t="n">
        <v>6.549039492242596</v>
      </c>
      <c r="M119" s="13" t="n">
        <v>24.8214</v>
      </c>
      <c r="N119" s="13" t="n">
        <v>23.4334</v>
      </c>
      <c r="O119" s="10" t="n">
        <v>0.2794745744212362</v>
      </c>
      <c r="P119" s="8" t="inlineStr">
        <is>
          <t>OK</t>
        </is>
      </c>
      <c r="Q119" s="10" t="n">
        <v>0.6362830505884151</v>
      </c>
      <c r="R119" s="10" t="n">
        <v>0.3568084761671789</v>
      </c>
      <c r="S119" s="13" t="n">
        <v>10.6498</v>
      </c>
      <c r="T119" s="13" t="n">
        <v>2.067</v>
      </c>
      <c r="U119" s="13" t="n">
        <v>16.2386</v>
      </c>
      <c r="V119" s="8" t="inlineStr">
        <is>
          <t>short-term + long-term</t>
        </is>
      </c>
      <c r="W119" s="13" t="n">
        <v>8.660500000000001</v>
      </c>
      <c r="X119" s="11" t="n">
        <v>1.636348940592345</v>
      </c>
      <c r="Y119" s="11" t="n">
        <v>21.52593486127865</v>
      </c>
      <c r="Z119" s="13" t="n">
        <v>6.7021</v>
      </c>
      <c r="AA119" s="8" t="inlineStr">
        <is>
          <t>net income + D&amp;A - capex - change in operating working capital (cash and short-term debt excluded)</t>
        </is>
      </c>
      <c r="AB119" s="10" t="n">
        <v>0.2348202961312339</v>
      </c>
      <c r="AC119" s="10" t="n">
        <v>0.2500928475828095</v>
      </c>
      <c r="AD119" s="12" t="n">
        <v>904619000</v>
      </c>
    </row>
    <row r="120">
      <c r="A120" s="8" t="inlineStr">
        <is>
          <t>LLY</t>
        </is>
      </c>
      <c r="B120" s="8" t="inlineStr">
        <is>
          <t>ELI LILLY &amp; Co</t>
        </is>
      </c>
      <c r="C120" s="8" t="inlineStr">
        <is>
          <t>STANDARD</t>
        </is>
      </c>
      <c r="D120" s="8" t="n">
        <v>2023</v>
      </c>
      <c r="E120" s="8" t="inlineStr">
        <is>
          <t>2023-12-31</t>
        </is>
      </c>
      <c r="F120" s="8" t="inlineStr">
        <is>
          <t>0000059478-26-000013</t>
        </is>
      </c>
      <c r="G120" s="13" t="n">
        <v>34.124</v>
      </c>
      <c r="H120" s="13" t="n">
        <v>7.04</v>
      </c>
      <c r="I120" s="8" t="inlineStr">
        <is>
          <t>pretax_income + interest_expense</t>
        </is>
      </c>
      <c r="J120" s="13" t="n">
        <v>5.24</v>
      </c>
      <c r="K120" s="10" t="n">
        <v>0.2004882514494965</v>
      </c>
      <c r="L120" s="13" t="n">
        <v>5.628562709795545</v>
      </c>
      <c r="M120" s="13" t="n">
        <v>33.1786</v>
      </c>
      <c r="N120" s="13" t="n">
        <v>29</v>
      </c>
      <c r="O120" s="10" t="n">
        <v>0.1940883693032946</v>
      </c>
      <c r="P120" s="8" t="inlineStr">
        <is>
          <t>OK</t>
        </is>
      </c>
      <c r="Q120" s="10" t="n">
        <v>0.4892235443498882</v>
      </c>
      <c r="R120" s="10" t="n">
        <v>0.2951351750465935</v>
      </c>
      <c r="S120" s="13" t="n">
        <v>10.7719</v>
      </c>
      <c r="T120" s="13" t="n">
        <v>2.8186</v>
      </c>
      <c r="U120" s="13" t="n">
        <v>25.2253</v>
      </c>
      <c r="V120" s="8" t="inlineStr">
        <is>
          <t>short-term + long-term</t>
        </is>
      </c>
      <c r="W120" s="13" t="n">
        <v>8.567</v>
      </c>
      <c r="X120" s="11" t="n">
        <v>2.615466324267538</v>
      </c>
      <c r="Y120" s="11" t="n">
        <v>14.48559670781893</v>
      </c>
      <c r="Z120" s="13" t="n">
        <v>1.1297</v>
      </c>
      <c r="AA120" s="8" t="inlineStr">
        <is>
          <t>net income + D&amp;A - capex - change in operating working capital (cash and short-term debt excluded)</t>
        </is>
      </c>
      <c r="AB120" s="10" t="n">
        <v>0.03310573203610362</v>
      </c>
      <c r="AC120" s="10" t="n">
        <v>0.2063064119095065</v>
      </c>
      <c r="AD120" s="12" t="n">
        <v>903300000</v>
      </c>
    </row>
    <row r="121">
      <c r="A121" s="8" t="inlineStr">
        <is>
          <t>LLY</t>
        </is>
      </c>
      <c r="B121" s="8" t="inlineStr">
        <is>
          <t>ELI LILLY &amp; Co</t>
        </is>
      </c>
      <c r="C121" s="8" t="inlineStr">
        <is>
          <t>STANDARD</t>
        </is>
      </c>
      <c r="D121" s="8" t="n">
        <v>2024</v>
      </c>
      <c r="E121" s="8" t="inlineStr">
        <is>
          <t>2024-12-31</t>
        </is>
      </c>
      <c r="F121" s="8" t="inlineStr">
        <is>
          <t>0000059478-26-000013</t>
        </is>
      </c>
      <c r="G121" s="13" t="n">
        <v>45.043</v>
      </c>
      <c r="H121" s="13" t="n">
        <v>13.461</v>
      </c>
      <c r="I121" s="8" t="inlineStr">
        <is>
          <t>pretax_income + interest_expense</t>
        </is>
      </c>
      <c r="J121" s="13" t="n">
        <v>10.59</v>
      </c>
      <c r="K121" s="10" t="n">
        <v>0.1648264984227129</v>
      </c>
      <c r="L121" s="13" t="n">
        <v>11.24227050473186</v>
      </c>
      <c r="M121" s="13" t="n">
        <v>44.648</v>
      </c>
      <c r="N121" s="13" t="n">
        <v>38.9133</v>
      </c>
      <c r="O121" s="10" t="n">
        <v>0.2889056056600664</v>
      </c>
      <c r="P121" s="8" t="inlineStr">
        <is>
          <t>OK</t>
        </is>
      </c>
      <c r="Q121" s="10" t="n">
        <v>0.8457149245924157</v>
      </c>
      <c r="R121" s="10" t="n">
        <v>0.5568093189323493</v>
      </c>
      <c r="S121" s="13" t="n">
        <v>14.272</v>
      </c>
      <c r="T121" s="13" t="n">
        <v>3.268</v>
      </c>
      <c r="U121" s="13" t="n">
        <v>33.644</v>
      </c>
      <c r="V121" s="8" t="inlineStr">
        <is>
          <t>short-term + long-term</t>
        </is>
      </c>
      <c r="W121" s="13" t="n">
        <v>15.228</v>
      </c>
      <c r="X121" s="11" t="n">
        <v>1.994746519569215</v>
      </c>
      <c r="Y121" s="11" t="n">
        <v>17.23559539052497</v>
      </c>
      <c r="Z121" s="13" t="n">
        <v>3.6057</v>
      </c>
      <c r="AA121" s="8" t="inlineStr">
        <is>
          <t>net income + D&amp;A - capex - change in operating working capital (cash and short-term debt excluded)</t>
        </is>
      </c>
      <c r="AB121" s="10" t="n">
        <v>0.08005017427791222</v>
      </c>
      <c r="AC121" s="10" t="n">
        <v>0.2988477676886531</v>
      </c>
      <c r="AD121" s="12" t="n">
        <v>904100000</v>
      </c>
    </row>
    <row r="122">
      <c r="A122" s="8" t="inlineStr">
        <is>
          <t>LLY</t>
        </is>
      </c>
      <c r="B122" s="8" t="inlineStr">
        <is>
          <t>ELI LILLY &amp; Co</t>
        </is>
      </c>
      <c r="C122" s="8" t="inlineStr">
        <is>
          <t>STANDARD</t>
        </is>
      </c>
      <c r="D122" s="8" t="n">
        <v>2025</v>
      </c>
      <c r="E122" s="8" t="inlineStr">
        <is>
          <t>2025-12-31</t>
        </is>
      </c>
      <c r="F122" s="8" t="inlineStr">
        <is>
          <t>0000059478-26-000013</t>
        </is>
      </c>
      <c r="G122" s="13" t="n">
        <v>65.179</v>
      </c>
      <c r="H122" s="13" t="n">
        <v>26.626</v>
      </c>
      <c r="I122" s="8" t="inlineStr">
        <is>
          <t>pretax_income + interest_expense</t>
        </is>
      </c>
      <c r="J122" s="13" t="n">
        <v>20.64</v>
      </c>
      <c r="K122" s="10" t="n">
        <v>0.1978547277602891</v>
      </c>
      <c r="L122" s="13" t="n">
        <v>21.35792001865454</v>
      </c>
      <c r="M122" s="13" t="n">
        <v>61.77</v>
      </c>
      <c r="N122" s="13" t="n">
        <v>53.209</v>
      </c>
      <c r="O122" s="10" t="n">
        <v>0.4013967565384529</v>
      </c>
      <c r="P122" s="8" t="inlineStr">
        <is>
          <t>OK</t>
        </is>
      </c>
      <c r="Q122" s="10" t="n">
        <v>1.01159114857745</v>
      </c>
      <c r="R122" s="10" t="n">
        <v>0.6101943920389972</v>
      </c>
      <c r="S122" s="13" t="n">
        <v>26.535</v>
      </c>
      <c r="T122" s="13" t="n">
        <v>7.268</v>
      </c>
      <c r="U122" s="13" t="n">
        <v>42.503</v>
      </c>
      <c r="V122" s="8" t="inlineStr">
        <is>
          <t>short-term + long-term</t>
        </is>
      </c>
      <c r="W122" s="13" t="n">
        <v>28.623</v>
      </c>
      <c r="X122" s="11" t="n">
        <v>1.231003039513678</v>
      </c>
      <c r="Y122" s="11" t="n">
        <v>29.74972067039106</v>
      </c>
      <c r="Z122" s="13" t="n">
        <v>6.241</v>
      </c>
      <c r="AA122" s="8" t="inlineStr">
        <is>
          <t>net income + D&amp;A - capex - change in operating working capital (cash and short-term debt excluded)</t>
        </is>
      </c>
      <c r="AB122" s="10" t="n">
        <v>0.09575169916690959</v>
      </c>
      <c r="AC122" s="10" t="n">
        <v>0.4085058070851041</v>
      </c>
      <c r="AD122" s="12" t="n">
        <v>899300000</v>
      </c>
    </row>
    <row r="123">
      <c r="A123" s="8" t="inlineStr">
        <is>
          <t>MU</t>
        </is>
      </c>
      <c r="B123" s="8" t="inlineStr">
        <is>
          <t>MICRON TECHNOLOGY INC</t>
        </is>
      </c>
      <c r="C123" s="8" t="inlineStr">
        <is>
          <t>STANDARD</t>
        </is>
      </c>
      <c r="D123" s="8" t="n">
        <v>2014</v>
      </c>
      <c r="E123" s="8" t="inlineStr">
        <is>
          <t>2014-08-28</t>
        </is>
      </c>
      <c r="F123" s="8" t="inlineStr">
        <is>
          <t>0000723125-16-000269</t>
        </is>
      </c>
      <c r="G123" s="13" t="n"/>
      <c r="H123" s="13" t="n">
        <v>3.087</v>
      </c>
      <c r="I123" s="8" t="inlineStr">
        <is>
          <t>reported OperatingIncomeLoss (no interest expense tagged)</t>
        </is>
      </c>
      <c r="J123" s="13" t="n">
        <v>3.045</v>
      </c>
      <c r="K123" s="10" t="n">
        <v>0.05</v>
      </c>
      <c r="L123" s="13" t="n">
        <v>2.93265</v>
      </c>
      <c r="M123" s="13" t="n">
        <v>13.121</v>
      </c>
      <c r="N123" s="13" t="n">
        <v>13.121</v>
      </c>
      <c r="O123" s="10" t="n">
        <v>0.2235081167593933</v>
      </c>
      <c r="P123" s="8" t="inlineStr">
        <is>
          <t>OK</t>
        </is>
      </c>
      <c r="Q123" s="10" t="n">
        <v>0.2829925650557621</v>
      </c>
      <c r="R123" s="10" t="n">
        <v>0.05948444829636876</v>
      </c>
      <c r="S123" s="13" t="n">
        <v>10.76</v>
      </c>
      <c r="T123" s="13" t="n">
        <v>4.15</v>
      </c>
      <c r="U123" s="13" t="n">
        <v>6.511</v>
      </c>
      <c r="V123" s="8" t="inlineStr">
        <is>
          <t>short-term + long-term</t>
        </is>
      </c>
      <c r="W123" s="13" t="n">
        <v>5.357</v>
      </c>
      <c r="X123" s="11" t="n">
        <v>0.4407317528467426</v>
      </c>
      <c r="Y123" s="11" t="n"/>
      <c r="Z123" s="13" t="n"/>
      <c r="AA123" s="8" t="inlineStr">
        <is>
          <t>net income + D&amp;A - capex - change in no prior year</t>
        </is>
      </c>
      <c r="AB123" s="10" t="n"/>
      <c r="AC123" s="10" t="n"/>
      <c r="AD123" s="12" t="n">
        <v>1073000000</v>
      </c>
    </row>
    <row r="124">
      <c r="A124" s="8" t="inlineStr">
        <is>
          <t>MU</t>
        </is>
      </c>
      <c r="B124" s="8" t="inlineStr">
        <is>
          <t>MICRON TECHNOLOGY INC</t>
        </is>
      </c>
      <c r="C124" s="8" t="inlineStr">
        <is>
          <t>STANDARD</t>
        </is>
      </c>
      <c r="D124" s="8" t="n">
        <v>2015</v>
      </c>
      <c r="E124" s="8" t="inlineStr">
        <is>
          <t>2015-09-03</t>
        </is>
      </c>
      <c r="F124" s="8" t="inlineStr">
        <is>
          <t>0000723125-17-000131</t>
        </is>
      </c>
      <c r="G124" s="13" t="n"/>
      <c r="H124" s="13" t="n">
        <v>2.998</v>
      </c>
      <c r="I124" s="8" t="inlineStr">
        <is>
          <t>reported OperatingIncomeLoss (no interest expense tagged)</t>
        </is>
      </c>
      <c r="J124" s="13" t="n">
        <v>2.899</v>
      </c>
      <c r="K124" s="10" t="n">
        <v>0.06017631276351092</v>
      </c>
      <c r="L124" s="13" t="n">
        <v>2.817591414334994</v>
      </c>
      <c r="M124" s="13" t="n">
        <v>17.356</v>
      </c>
      <c r="N124" s="13" t="n">
        <v>15.2385</v>
      </c>
      <c r="O124" s="10" t="n">
        <v>0.1848995251720966</v>
      </c>
      <c r="P124" s="8" t="inlineStr">
        <is>
          <t>OK</t>
        </is>
      </c>
      <c r="Q124" s="10" t="n">
        <v>0.2514092446448704</v>
      </c>
      <c r="R124" s="10" t="n">
        <v>0.06650971947277373</v>
      </c>
      <c r="S124" s="13" t="n">
        <v>12.302</v>
      </c>
      <c r="T124" s="13" t="n">
        <v>2.287</v>
      </c>
      <c r="U124" s="13" t="n">
        <v>7.341</v>
      </c>
      <c r="V124" s="8" t="inlineStr">
        <is>
          <t>short-term + long-term</t>
        </is>
      </c>
      <c r="W124" s="13" t="n">
        <v>5.803</v>
      </c>
      <c r="X124" s="11" t="n">
        <v>0.8709288299155609</v>
      </c>
      <c r="Y124" s="11" t="n"/>
      <c r="Z124" s="13" t="n">
        <v>1.112</v>
      </c>
      <c r="AA124" s="8" t="inlineStr">
        <is>
          <t>net income + D&amp;A - capex - change in operating working capital (cash and short-term debt excluded)</t>
        </is>
      </c>
      <c r="AB124" s="10" t="n"/>
      <c r="AC124" s="10" t="n"/>
      <c r="AD124" s="12" t="n">
        <v>1084000000</v>
      </c>
    </row>
    <row r="125">
      <c r="A125" s="8" t="inlineStr">
        <is>
          <t>MU</t>
        </is>
      </c>
      <c r="B125" s="8" t="inlineStr">
        <is>
          <t>MICRON TECHNOLOGY INC</t>
        </is>
      </c>
      <c r="C125" s="8" t="inlineStr">
        <is>
          <t>STANDARD</t>
        </is>
      </c>
      <c r="D125" s="8" t="n">
        <v>2016</v>
      </c>
      <c r="E125" s="8" t="inlineStr">
        <is>
          <t>2016-09-01</t>
        </is>
      </c>
      <c r="F125" s="8" t="inlineStr">
        <is>
          <t>0000723125-18-000092</t>
        </is>
      </c>
      <c r="G125" s="13" t="n"/>
      <c r="H125" s="13" t="n">
        <v>0.168</v>
      </c>
      <c r="I125" s="8" t="inlineStr">
        <is>
          <t>reported OperatingIncomeLoss (no interest expense tagged)</t>
        </is>
      </c>
      <c r="J125" s="13" t="n">
        <v>-0.276</v>
      </c>
      <c r="K125" s="10" t="n">
        <v>0.21</v>
      </c>
      <c r="L125" s="13" t="n">
        <v>0.13272</v>
      </c>
      <c r="M125" s="13" t="n">
        <v>17.85</v>
      </c>
      <c r="N125" s="13" t="n">
        <v>17.603</v>
      </c>
      <c r="O125" s="10" t="n">
        <v>0.00753962392773959</v>
      </c>
      <c r="P125" s="8" t="inlineStr">
        <is>
          <t>OK</t>
        </is>
      </c>
      <c r="Q125" s="10" t="n">
        <v>-0.02263965220244443</v>
      </c>
      <c r="R125" s="10" t="n">
        <v>-0.03017927613018401</v>
      </c>
      <c r="S125" s="13" t="n">
        <v>12.08</v>
      </c>
      <c r="T125" s="13" t="n">
        <v>4.14</v>
      </c>
      <c r="U125" s="13" t="n">
        <v>9.91</v>
      </c>
      <c r="V125" s="8" t="inlineStr">
        <is>
          <t>short-term + long-term</t>
        </is>
      </c>
      <c r="W125" s="13" t="n">
        <v>3.148</v>
      </c>
      <c r="X125" s="11" t="n">
        <v>1.832909783989835</v>
      </c>
      <c r="Y125" s="11" t="n"/>
      <c r="Z125" s="13" t="n">
        <v>-0.896</v>
      </c>
      <c r="AA125" s="8" t="inlineStr">
        <is>
          <t>net income + D&amp;A - capex - change in operating working capital (cash and short-term debt excluded)</t>
        </is>
      </c>
      <c r="AB125" s="10" t="n"/>
      <c r="AC125" s="10" t="n"/>
      <c r="AD125" s="12" t="n">
        <v>1040000000</v>
      </c>
    </row>
    <row r="126">
      <c r="A126" s="8" t="inlineStr">
        <is>
          <t>MU</t>
        </is>
      </c>
      <c r="B126" s="8" t="inlineStr">
        <is>
          <t>MICRON TECHNOLOGY INC</t>
        </is>
      </c>
      <c r="C126" s="8" t="inlineStr">
        <is>
          <t>STANDARD</t>
        </is>
      </c>
      <c r="D126" s="8" t="n">
        <v>2017</v>
      </c>
      <c r="E126" s="8" t="inlineStr">
        <is>
          <t>2017-08-31</t>
        </is>
      </c>
      <c r="F126" s="8" t="inlineStr">
        <is>
          <t>0000723125-19-000094</t>
        </is>
      </c>
      <c r="G126" s="13" t="n">
        <v>20.322</v>
      </c>
      <c r="H126" s="13" t="n">
        <v>5.868</v>
      </c>
      <c r="I126" s="8" t="inlineStr">
        <is>
          <t>reported OperatingIncomeLoss (no interest expense tagged)</t>
        </is>
      </c>
      <c r="J126" s="13" t="n">
        <v>5.089</v>
      </c>
      <c r="K126" s="10" t="n">
        <v>0.05</v>
      </c>
      <c r="L126" s="13" t="n">
        <v>5.5746</v>
      </c>
      <c r="M126" s="13" t="n">
        <v>24.646</v>
      </c>
      <c r="N126" s="13" t="n">
        <v>21.248</v>
      </c>
      <c r="O126" s="10" t="n">
        <v>0.2623588102409639</v>
      </c>
      <c r="P126" s="8" t="inlineStr">
        <is>
          <t>OK</t>
        </is>
      </c>
      <c r="Q126" s="10" t="n">
        <v>0.3315201459235855</v>
      </c>
      <c r="R126" s="10" t="n">
        <v>0.06916133568262167</v>
      </c>
      <c r="S126" s="13" t="n">
        <v>18.621</v>
      </c>
      <c r="T126" s="13" t="n">
        <v>5.109</v>
      </c>
      <c r="U126" s="13" t="n">
        <v>11.134</v>
      </c>
      <c r="V126" s="8" t="inlineStr">
        <is>
          <t>short-term + long-term</t>
        </is>
      </c>
      <c r="W126" s="13" t="n">
        <v>9.728999999999999</v>
      </c>
      <c r="X126" s="11" t="n">
        <v>0.6192825573029088</v>
      </c>
      <c r="Y126" s="11" t="n"/>
      <c r="Z126" s="13" t="n">
        <v>2.216</v>
      </c>
      <c r="AA126" s="8" t="inlineStr">
        <is>
          <t>net income + D&amp;A - capex - change in operating working capital (cash and short-term debt excluded)</t>
        </is>
      </c>
      <c r="AB126" s="10" t="n">
        <v>0.1090443853951383</v>
      </c>
      <c r="AC126" s="10" t="n">
        <v>0.2887511071744907</v>
      </c>
      <c r="AD126" s="12" t="n">
        <v>1112000000</v>
      </c>
    </row>
    <row r="127">
      <c r="A127" s="8" t="inlineStr">
        <is>
          <t>MU</t>
        </is>
      </c>
      <c r="B127" s="8" t="inlineStr">
        <is>
          <t>MICRON TECHNOLOGY INC</t>
        </is>
      </c>
      <c r="C127" s="8" t="inlineStr">
        <is>
          <t>STANDARD</t>
        </is>
      </c>
      <c r="D127" s="8" t="n">
        <v>2018</v>
      </c>
      <c r="E127" s="8" t="inlineStr">
        <is>
          <t>2018-08-30</t>
        </is>
      </c>
      <c r="F127" s="8" t="inlineStr">
        <is>
          <t>0000723125-20-000082</t>
        </is>
      </c>
      <c r="G127" s="13" t="n">
        <v>30.391</v>
      </c>
      <c r="H127" s="13" t="n">
        <v>14.994</v>
      </c>
      <c r="I127" s="8" t="inlineStr">
        <is>
          <t>reported OperatingIncomeLoss (no interest expense tagged)</t>
        </is>
      </c>
      <c r="J127" s="13" t="n">
        <v>14.135</v>
      </c>
      <c r="K127" s="10" t="n">
        <v>0.05</v>
      </c>
      <c r="L127" s="13" t="n">
        <v>14.2443</v>
      </c>
      <c r="M127" s="13" t="n">
        <v>30.424</v>
      </c>
      <c r="N127" s="13" t="n">
        <v>27.535</v>
      </c>
      <c r="O127" s="10" t="n">
        <v>0.5173161430906119</v>
      </c>
      <c r="P127" s="8" t="inlineStr">
        <is>
          <t>OK</t>
        </is>
      </c>
      <c r="Q127" s="10" t="n">
        <v>0.5552391240302464</v>
      </c>
      <c r="R127" s="10" t="n">
        <v>0.03792298093963453</v>
      </c>
      <c r="S127" s="13" t="n">
        <v>32.294</v>
      </c>
      <c r="T127" s="13" t="n">
        <v>6.506</v>
      </c>
      <c r="U127" s="13" t="n">
        <v>4.636</v>
      </c>
      <c r="V127" s="8" t="inlineStr">
        <is>
          <t>short-term + long-term</t>
        </is>
      </c>
      <c r="W127" s="13" t="n">
        <v>19.753</v>
      </c>
      <c r="X127" s="11" t="n">
        <v>-0.09466916417759327</v>
      </c>
      <c r="Y127" s="11" t="n"/>
      <c r="Z127" s="13" t="n">
        <v>8.653</v>
      </c>
      <c r="AA127" s="8" t="inlineStr">
        <is>
          <t>net income + D&amp;A - capex - change in operating working capital (cash and short-term debt excluded)</t>
        </is>
      </c>
      <c r="AB127" s="10" t="n">
        <v>0.2847224507255438</v>
      </c>
      <c r="AC127" s="10" t="n">
        <v>0.4933697476226515</v>
      </c>
      <c r="AD127" s="12" t="n">
        <v>1161000000</v>
      </c>
    </row>
    <row r="128">
      <c r="A128" s="8" t="inlineStr">
        <is>
          <t>MU</t>
        </is>
      </c>
      <c r="B128" s="8" t="inlineStr">
        <is>
          <t>MICRON TECHNOLOGY INC</t>
        </is>
      </c>
      <c r="C128" s="8" t="inlineStr">
        <is>
          <t>STANDARD</t>
        </is>
      </c>
      <c r="D128" s="8" t="n">
        <v>2019</v>
      </c>
      <c r="E128" s="8" t="inlineStr">
        <is>
          <t>2019-08-29</t>
        </is>
      </c>
      <c r="F128" s="8" t="inlineStr">
        <is>
          <t>0000723125-21-000065</t>
        </is>
      </c>
      <c r="G128" s="13" t="n">
        <v>23.406</v>
      </c>
      <c r="H128" s="13" t="n">
        <v>7.376</v>
      </c>
      <c r="I128" s="8" t="inlineStr">
        <is>
          <t>reported OperatingIncomeLoss (no interest expense tagged)</t>
        </is>
      </c>
      <c r="J128" s="13" t="n">
        <v>6.313</v>
      </c>
      <c r="K128" s="10" t="n">
        <v>0.09832576617480136</v>
      </c>
      <c r="L128" s="13" t="n">
        <v>6.650749148694665</v>
      </c>
      <c r="M128" s="13" t="n">
        <v>34.58</v>
      </c>
      <c r="N128" s="13" t="n">
        <v>32.502</v>
      </c>
      <c r="O128" s="10" t="n">
        <v>0.2046258429848829</v>
      </c>
      <c r="P128" s="8" t="inlineStr">
        <is>
          <t>OK</t>
        </is>
      </c>
      <c r="Q128" s="10" t="n">
        <v>0.1851998533186652</v>
      </c>
      <c r="R128" s="10" t="n">
        <v>-0.01942598966621772</v>
      </c>
      <c r="S128" s="13" t="n">
        <v>35.881</v>
      </c>
      <c r="T128" s="13" t="n">
        <v>7.152</v>
      </c>
      <c r="U128" s="13" t="n">
        <v>5.851</v>
      </c>
      <c r="V128" s="8" t="inlineStr">
        <is>
          <t>short-term + long-term</t>
        </is>
      </c>
      <c r="W128" s="13" t="n">
        <v>12.8</v>
      </c>
      <c r="X128" s="11" t="n">
        <v>-0.101640625</v>
      </c>
      <c r="Y128" s="11" t="n"/>
      <c r="Z128" s="13" t="n">
        <v>2.324</v>
      </c>
      <c r="AA128" s="8" t="inlineStr">
        <is>
          <t>net income + D&amp;A - capex - change in operating working capital (cash and short-term debt excluded)</t>
        </is>
      </c>
      <c r="AB128" s="10" t="n">
        <v>0.09929078014184398</v>
      </c>
      <c r="AC128" s="10" t="n">
        <v>0.3151328719131847</v>
      </c>
      <c r="AD128" s="12" t="n">
        <v>1106000000</v>
      </c>
    </row>
    <row r="129">
      <c r="A129" s="8" t="inlineStr">
        <is>
          <t>MU</t>
        </is>
      </c>
      <c r="B129" s="8" t="inlineStr">
        <is>
          <t>MICRON TECHNOLOGY INC</t>
        </is>
      </c>
      <c r="C129" s="8" t="inlineStr">
        <is>
          <t>STANDARD</t>
        </is>
      </c>
      <c r="D129" s="8" t="n">
        <v>2020</v>
      </c>
      <c r="E129" s="8" t="inlineStr">
        <is>
          <t>2020-09-03</t>
        </is>
      </c>
      <c r="F129" s="8" t="inlineStr">
        <is>
          <t>0000723125-22-000048</t>
        </is>
      </c>
      <c r="G129" s="13" t="n">
        <v>21.435</v>
      </c>
      <c r="H129" s="13" t="n">
        <v>3.003</v>
      </c>
      <c r="I129" s="8" t="inlineStr">
        <is>
          <t>reported OperatingIncomeLoss (no interest expense tagged)</t>
        </is>
      </c>
      <c r="J129" s="13" t="n">
        <v>2.687</v>
      </c>
      <c r="K129" s="10" t="n">
        <v>0.09386523633925578</v>
      </c>
      <c r="L129" s="13" t="n">
        <v>2.721122695273215</v>
      </c>
      <c r="M129" s="13" t="n">
        <v>38.015</v>
      </c>
      <c r="N129" s="13" t="n">
        <v>36.2975</v>
      </c>
      <c r="O129" s="10" t="n">
        <v>0.07496722075275748</v>
      </c>
      <c r="P129" s="8" t="inlineStr">
        <is>
          <t>OK</t>
        </is>
      </c>
      <c r="Q129" s="10" t="n">
        <v>0.07177103783538336</v>
      </c>
      <c r="R129" s="10" t="n">
        <v>-0.003196182917374127</v>
      </c>
      <c r="S129" s="13" t="n">
        <v>38.996</v>
      </c>
      <c r="T129" s="13" t="n">
        <v>7.624</v>
      </c>
      <c r="U129" s="13" t="n">
        <v>6.643</v>
      </c>
      <c r="V129" s="8" t="inlineStr">
        <is>
          <t>short-term + long-term</t>
        </is>
      </c>
      <c r="W129" s="13" t="n">
        <v>8.653</v>
      </c>
      <c r="X129" s="11" t="n">
        <v>-0.1133710851727724</v>
      </c>
      <c r="Y129" s="11" t="n"/>
      <c r="Z129" s="13" t="n">
        <v>0.409</v>
      </c>
      <c r="AA129" s="8" t="inlineStr">
        <is>
          <t>net income + D&amp;A - capex - change in operating working capital (cash and short-term debt excluded)</t>
        </is>
      </c>
      <c r="AB129" s="10" t="n">
        <v>0.01908094238395148</v>
      </c>
      <c r="AC129" s="10" t="n">
        <v>0.1400979706088173</v>
      </c>
      <c r="AD129" s="12" t="n">
        <v>1113000000</v>
      </c>
    </row>
    <row r="130">
      <c r="A130" s="8" t="inlineStr">
        <is>
          <t>MU</t>
        </is>
      </c>
      <c r="B130" s="8" t="inlineStr">
        <is>
          <t>MICRON TECHNOLOGY INC</t>
        </is>
      </c>
      <c r="C130" s="8" t="inlineStr">
        <is>
          <t>STANDARD</t>
        </is>
      </c>
      <c r="D130" s="8" t="n">
        <v>2021</v>
      </c>
      <c r="E130" s="8" t="inlineStr">
        <is>
          <t>2021-09-02</t>
        </is>
      </c>
      <c r="F130" s="8" t="inlineStr">
        <is>
          <t>0000723125-23-000054</t>
        </is>
      </c>
      <c r="G130" s="13" t="n">
        <v>27.705</v>
      </c>
      <c r="H130" s="13" t="n">
        <v>6.283</v>
      </c>
      <c r="I130" s="8" t="inlineStr">
        <is>
          <t>reported OperatingIncomeLoss (no interest expense tagged)</t>
        </is>
      </c>
      <c r="J130" s="13" t="n">
        <v>5.861</v>
      </c>
      <c r="K130" s="10" t="n">
        <v>0.06336442586040528</v>
      </c>
      <c r="L130" s="13" t="n">
        <v>5.884881312319074</v>
      </c>
      <c r="M130" s="13" t="n">
        <v>42.946</v>
      </c>
      <c r="N130" s="13" t="n">
        <v>40.4805</v>
      </c>
      <c r="O130" s="10" t="n">
        <v>0.1453757071261243</v>
      </c>
      <c r="P130" s="8" t="inlineStr">
        <is>
          <t>OK</t>
        </is>
      </c>
      <c r="Q130" s="10" t="n">
        <v>0.1413498293721135</v>
      </c>
      <c r="R130" s="10" t="n">
        <v>-0.004025877754010782</v>
      </c>
      <c r="S130" s="13" t="n">
        <v>43.933</v>
      </c>
      <c r="T130" s="13" t="n">
        <v>7.763</v>
      </c>
      <c r="U130" s="13" t="n">
        <v>6.776</v>
      </c>
      <c r="V130" s="8" t="inlineStr">
        <is>
          <t>short-term + long-term</t>
        </is>
      </c>
      <c r="W130" s="13" t="n">
        <v>12.497</v>
      </c>
      <c r="X130" s="11" t="n">
        <v>-0.0789789549491878</v>
      </c>
      <c r="Y130" s="11" t="n"/>
      <c r="Z130" s="13" t="n">
        <v>0.146</v>
      </c>
      <c r="AA130" s="8" t="inlineStr">
        <is>
          <t>net income + D&amp;A - capex - change in operating working capital (cash and short-term debt excluded)</t>
        </is>
      </c>
      <c r="AB130" s="10" t="n">
        <v>0.005269806894062444</v>
      </c>
      <c r="AC130" s="10" t="n">
        <v>0.2267821692835228</v>
      </c>
      <c r="AD130" s="12" t="n">
        <v>1119000000</v>
      </c>
    </row>
    <row r="131">
      <c r="A131" s="8" t="inlineStr">
        <is>
          <t>MU</t>
        </is>
      </c>
      <c r="B131" s="8" t="inlineStr">
        <is>
          <t>MICRON TECHNOLOGY INC</t>
        </is>
      </c>
      <c r="C131" s="8" t="inlineStr">
        <is>
          <t>STANDARD</t>
        </is>
      </c>
      <c r="D131" s="8" t="n">
        <v>2022</v>
      </c>
      <c r="E131" s="8" t="inlineStr">
        <is>
          <t>2022-09-01</t>
        </is>
      </c>
      <c r="F131" s="8" t="inlineStr">
        <is>
          <t>0000723125-24-000027</t>
        </is>
      </c>
      <c r="G131" s="13" t="n">
        <v>30.758</v>
      </c>
      <c r="H131" s="13" t="n">
        <v>9.76</v>
      </c>
      <c r="I131" s="8" t="inlineStr">
        <is>
          <t>pretax_income + interest_expense</t>
        </is>
      </c>
      <c r="J131" s="13" t="n">
        <v>8.686999999999999</v>
      </c>
      <c r="K131" s="10" t="n">
        <v>0.09278027374360046</v>
      </c>
      <c r="L131" s="13" t="n">
        <v>8.854464528262461</v>
      </c>
      <c r="M131" s="13" t="n">
        <v>48.551</v>
      </c>
      <c r="N131" s="13" t="n">
        <v>45.7485</v>
      </c>
      <c r="O131" s="10" t="n">
        <v>0.1935465540566895</v>
      </c>
      <c r="P131" s="8" t="inlineStr">
        <is>
          <t>OK</t>
        </is>
      </c>
      <c r="Q131" s="10" t="n">
        <v>0.1851449275362319</v>
      </c>
      <c r="R131" s="10" t="n">
        <v>-0.008401626520457645</v>
      </c>
      <c r="S131" s="13" t="n">
        <v>49.907</v>
      </c>
      <c r="T131" s="13" t="n">
        <v>8.262</v>
      </c>
      <c r="U131" s="13" t="n">
        <v>6.906</v>
      </c>
      <c r="V131" s="8" t="inlineStr">
        <is>
          <t>short-term + long-term</t>
        </is>
      </c>
      <c r="W131" s="13" t="n">
        <v>16.876</v>
      </c>
      <c r="X131" s="11" t="n">
        <v>-0.08035079402702063</v>
      </c>
      <c r="Y131" s="11" t="n">
        <v>51.64021164021164</v>
      </c>
      <c r="Z131" s="13" t="n">
        <v>3.528</v>
      </c>
      <c r="AA131" s="8" t="inlineStr">
        <is>
          <t>net income + D&amp;A - capex - change in operating working capital (cash and short-term debt excluded)</t>
        </is>
      </c>
      <c r="AB131" s="10" t="n">
        <v>0.1147018661811561</v>
      </c>
      <c r="AC131" s="10" t="n">
        <v>0.3173158202744001</v>
      </c>
      <c r="AD131" s="12" t="n">
        <v>1094000000</v>
      </c>
    </row>
    <row r="132">
      <c r="A132" s="8" t="inlineStr">
        <is>
          <t>MU</t>
        </is>
      </c>
      <c r="B132" s="8" t="inlineStr">
        <is>
          <t>MICRON TECHNOLOGY INC</t>
        </is>
      </c>
      <c r="C132" s="8" t="inlineStr">
        <is>
          <t>STANDARD</t>
        </is>
      </c>
      <c r="D132" s="8" t="n">
        <v>2023</v>
      </c>
      <c r="E132" s="8" t="inlineStr">
        <is>
          <t>2023-08-31</t>
        </is>
      </c>
      <c r="F132" s="8" t="inlineStr">
        <is>
          <t>0000723125-25-000028</t>
        </is>
      </c>
      <c r="G132" s="13" t="n">
        <v>15.54</v>
      </c>
      <c r="H132" s="13" t="n">
        <v>-5.27</v>
      </c>
      <c r="I132" s="8" t="inlineStr">
        <is>
          <t>pretax_income + interest_expense</t>
        </is>
      </c>
      <c r="J132" s="13" t="n">
        <v>-5.833</v>
      </c>
      <c r="K132" s="10" t="n">
        <v>0.21</v>
      </c>
      <c r="L132" s="13" t="n">
        <v>-4.1633</v>
      </c>
      <c r="M132" s="13" t="n">
        <v>48.873</v>
      </c>
      <c r="N132" s="13" t="n">
        <v>48.712</v>
      </c>
      <c r="O132" s="10" t="n">
        <v>-0.08546764657579241</v>
      </c>
      <c r="P132" s="8" t="inlineStr">
        <is>
          <t>OK</t>
        </is>
      </c>
      <c r="Q132" s="10" t="n">
        <v>-0.1240707456368915</v>
      </c>
      <c r="R132" s="10" t="n">
        <v>-0.03860309906109913</v>
      </c>
      <c r="S132" s="13" t="n">
        <v>44.12</v>
      </c>
      <c r="T132" s="13" t="n">
        <v>8.577</v>
      </c>
      <c r="U132" s="13" t="n">
        <v>13.33</v>
      </c>
      <c r="V132" s="8" t="inlineStr">
        <is>
          <t>short-term + long-term</t>
        </is>
      </c>
      <c r="W132" s="13" t="n">
        <v>2.486</v>
      </c>
      <c r="X132" s="11" t="n">
        <v>1.911906677393403</v>
      </c>
      <c r="Y132" s="11" t="n">
        <v>-13.58247422680412</v>
      </c>
      <c r="Z132" s="13" t="n">
        <v>-7.85</v>
      </c>
      <c r="AA132" s="8" t="inlineStr">
        <is>
          <t>net income + D&amp;A - capex - change in operating working capital (cash and short-term debt excluded)</t>
        </is>
      </c>
      <c r="AB132" s="10" t="n">
        <v>-0.5051480051480052</v>
      </c>
      <c r="AC132" s="10" t="n">
        <v>-0.3391248391248392</v>
      </c>
      <c r="AD132" s="12" t="n">
        <v>1098000000</v>
      </c>
    </row>
    <row r="133">
      <c r="A133" s="8" t="inlineStr">
        <is>
          <t>MU</t>
        </is>
      </c>
      <c r="B133" s="8" t="inlineStr">
        <is>
          <t>MICRON TECHNOLOGY INC</t>
        </is>
      </c>
      <c r="C133" s="8" t="inlineStr">
        <is>
          <t>STANDARD</t>
        </is>
      </c>
      <c r="D133" s="8" t="n">
        <v>2024</v>
      </c>
      <c r="E133" s="8" t="inlineStr">
        <is>
          <t>2024-08-29</t>
        </is>
      </c>
      <c r="F133" s="8" t="inlineStr">
        <is>
          <t>0000723125-25-000028</t>
        </is>
      </c>
      <c r="G133" s="13" t="n">
        <v>25.111</v>
      </c>
      <c r="H133" s="13" t="n">
        <v>1.802</v>
      </c>
      <c r="I133" s="8" t="inlineStr">
        <is>
          <t>pretax_income + interest_expense</t>
        </is>
      </c>
      <c r="J133" s="13" t="n">
        <v>0.778</v>
      </c>
      <c r="K133" s="10" t="n">
        <v>0.3637096774193548</v>
      </c>
      <c r="L133" s="13" t="n">
        <v>1.146595161290322</v>
      </c>
      <c r="M133" s="13" t="n">
        <v>51.487</v>
      </c>
      <c r="N133" s="13" t="n">
        <v>50.18</v>
      </c>
      <c r="O133" s="10" t="n">
        <v>0.02284964450558634</v>
      </c>
      <c r="P133" s="8" t="inlineStr">
        <is>
          <t>OK</t>
        </is>
      </c>
      <c r="Q133" s="10" t="n">
        <v>0.017433978330775</v>
      </c>
      <c r="R133" s="10" t="n">
        <v>-0.005415666174811335</v>
      </c>
      <c r="S133" s="13" t="n">
        <v>45.131</v>
      </c>
      <c r="T133" s="13" t="n">
        <v>7.041</v>
      </c>
      <c r="U133" s="13" t="n">
        <v>13.397</v>
      </c>
      <c r="V133" s="8" t="inlineStr">
        <is>
          <t>short-term + long-term</t>
        </is>
      </c>
      <c r="W133" s="13" t="n">
        <v>9.582000000000001</v>
      </c>
      <c r="X133" s="11" t="n">
        <v>0.6633270715925694</v>
      </c>
      <c r="Y133" s="11" t="n">
        <v>3.206405693950178</v>
      </c>
      <c r="Z133" s="13" t="n">
        <v>-0.162</v>
      </c>
      <c r="AA133" s="8" t="inlineStr">
        <is>
          <t>net income + D&amp;A - capex - change in operating working capital (cash and short-term debt excluded)</t>
        </is>
      </c>
      <c r="AB133" s="10" t="n">
        <v>-0.006451355979451237</v>
      </c>
      <c r="AC133" s="10" t="n">
        <v>0.07176137947513042</v>
      </c>
      <c r="AD133" s="12" t="n">
        <v>1109000000</v>
      </c>
    </row>
    <row r="134">
      <c r="A134" s="8" t="inlineStr">
        <is>
          <t>MU</t>
        </is>
      </c>
      <c r="B134" s="8" t="inlineStr">
        <is>
          <t>MICRON TECHNOLOGY INC</t>
        </is>
      </c>
      <c r="C134" s="8" t="inlineStr">
        <is>
          <t>STANDARD</t>
        </is>
      </c>
      <c r="D134" s="8" t="n">
        <v>2025</v>
      </c>
      <c r="E134" s="8" t="inlineStr">
        <is>
          <t>2025-08-28</t>
        </is>
      </c>
      <c r="F134" s="8" t="inlineStr">
        <is>
          <t>0000723125-25-000028</t>
        </is>
      </c>
      <c r="G134" s="13" t="n">
        <v>37.378</v>
      </c>
      <c r="H134" s="13" t="n">
        <v>10.131</v>
      </c>
      <c r="I134" s="8" t="inlineStr">
        <is>
          <t>pretax_income + interest_expense</t>
        </is>
      </c>
      <c r="J134" s="13" t="n">
        <v>8.539</v>
      </c>
      <c r="K134" s="10" t="n">
        <v>0.1164284234514191</v>
      </c>
      <c r="L134" s="13" t="n">
        <v>8.951463642013671</v>
      </c>
      <c r="M134" s="13" t="n">
        <v>59.1</v>
      </c>
      <c r="N134" s="13" t="n">
        <v>55.2935</v>
      </c>
      <c r="O134" s="10" t="n">
        <v>0.1618899805947114</v>
      </c>
      <c r="P134" s="8" t="inlineStr">
        <is>
          <t>OK</t>
        </is>
      </c>
      <c r="Q134" s="10" t="n">
        <v>0.1719908153399936</v>
      </c>
      <c r="R134" s="10" t="n">
        <v>0.0101008347452822</v>
      </c>
      <c r="S134" s="13" t="n">
        <v>54.165</v>
      </c>
      <c r="T134" s="13" t="n">
        <v>9.641999999999999</v>
      </c>
      <c r="U134" s="13" t="n">
        <v>14.577</v>
      </c>
      <c r="V134" s="8" t="inlineStr">
        <is>
          <t>short-term + long-term</t>
        </is>
      </c>
      <c r="W134" s="13" t="n">
        <v>18.483</v>
      </c>
      <c r="X134" s="11" t="n">
        <v>0.2670021100470703</v>
      </c>
      <c r="Y134" s="11" t="n">
        <v>21.23899371069182</v>
      </c>
      <c r="Z134" s="13" t="n">
        <v>1.243</v>
      </c>
      <c r="AA134" s="8" t="inlineStr">
        <is>
          <t>net income + D&amp;A - capex - change in operating working capital (cash and short-term debt excluded)</t>
        </is>
      </c>
      <c r="AB134" s="10" t="n">
        <v>0.03325485579752796</v>
      </c>
      <c r="AC134" s="10" t="n">
        <v>0.2710417892878164</v>
      </c>
      <c r="AD134" s="12" t="n">
        <v>1122000000</v>
      </c>
    </row>
    <row r="135">
      <c r="A135" s="8" t="inlineStr">
        <is>
          <t>JPM</t>
        </is>
      </c>
      <c r="B135" s="8" t="inlineStr">
        <is>
          <t>JPMORGAN CHASE &amp; CO</t>
        </is>
      </c>
      <c r="C135" s="8" t="inlineStr">
        <is>
          <t>FINANCIAL</t>
        </is>
      </c>
      <c r="D135" s="8" t="n">
        <v>2014</v>
      </c>
      <c r="E135" s="8" t="inlineStr">
        <is>
          <t>2014-12-31</t>
        </is>
      </c>
      <c r="F135" s="8" t="inlineStr">
        <is>
          <t>0000019617-17-000314</t>
        </is>
      </c>
      <c r="G135" s="13" t="n">
        <v>95.11199999999999</v>
      </c>
      <c r="H135" s="13" t="n">
        <v>74.333</v>
      </c>
      <c r="I135" s="8" t="inlineStr">
        <is>
          <t>pretax_income + interest_expense</t>
        </is>
      </c>
      <c r="J135" s="13" t="n">
        <v>21.745</v>
      </c>
      <c r="K135" s="10" t="n">
        <v>0.2916707384605361</v>
      </c>
      <c r="L135" s="13" t="n">
        <v>52.65223899801297</v>
      </c>
      <c r="M135" s="13" t="n"/>
      <c r="N135" s="13" t="n"/>
      <c r="O135" s="10" t="n"/>
      <c r="P135" s="8" t="inlineStr">
        <is>
          <t>FRAMEWORK_NOT_APPLICABLE</t>
        </is>
      </c>
      <c r="Q135" s="10" t="n">
        <v>0.09383887074013818</v>
      </c>
      <c r="R135" s="10" t="n"/>
      <c r="S135" s="13" t="n">
        <v>231.727</v>
      </c>
      <c r="T135" s="13" t="n"/>
      <c r="U135" s="13" t="n"/>
      <c r="V135" s="8" t="inlineStr">
        <is>
          <t>DATA_UNAVAILABLE</t>
        </is>
      </c>
      <c r="W135" s="13" t="n">
        <v>79.092</v>
      </c>
      <c r="X135" s="11" t="n"/>
      <c r="Y135" s="11" t="n">
        <v>1.70355685932988</v>
      </c>
      <c r="Z135" s="13" t="n"/>
      <c r="AA135" s="8" t="inlineStr">
        <is>
          <t>FRAMEWORK_NOT_APPLICABLE (financial sector)</t>
        </is>
      </c>
      <c r="AB135" s="10" t="n"/>
      <c r="AC135" s="10" t="n">
        <v>0.7815312473715199</v>
      </c>
      <c r="AD135" s="12" t="n">
        <v>3714800000</v>
      </c>
    </row>
    <row r="136">
      <c r="A136" s="8" t="inlineStr">
        <is>
          <t>JPM</t>
        </is>
      </c>
      <c r="B136" s="8" t="inlineStr">
        <is>
          <t>JPMORGAN CHASE &amp; CO</t>
        </is>
      </c>
      <c r="C136" s="8" t="inlineStr">
        <is>
          <t>FINANCIAL</t>
        </is>
      </c>
      <c r="D136" s="8" t="n">
        <v>2015</v>
      </c>
      <c r="E136" s="8" t="inlineStr">
        <is>
          <t>2015-12-31</t>
        </is>
      </c>
      <c r="F136" s="8" t="inlineStr">
        <is>
          <t>0000019617-18-000057</t>
        </is>
      </c>
      <c r="G136" s="13" t="n">
        <v>93.54300000000001</v>
      </c>
      <c r="H136" s="13" t="n">
        <v>74.212</v>
      </c>
      <c r="I136" s="8" t="inlineStr">
        <is>
          <t>pretax_income + interest_expense</t>
        </is>
      </c>
      <c r="J136" s="13" t="n">
        <v>24.442</v>
      </c>
      <c r="K136" s="10" t="n">
        <v>0.2038955116930493</v>
      </c>
      <c r="L136" s="13" t="n">
        <v>59.08050628623543</v>
      </c>
      <c r="M136" s="13" t="n"/>
      <c r="N136" s="13" t="n"/>
      <c r="O136" s="10" t="n"/>
      <c r="P136" s="8" t="inlineStr">
        <is>
          <t>FRAMEWORK_NOT_APPLICABLE</t>
        </is>
      </c>
      <c r="Q136" s="10" t="n">
        <v>0.1019904026705612</v>
      </c>
      <c r="R136" s="10" t="n"/>
      <c r="S136" s="13" t="n">
        <v>247.573</v>
      </c>
      <c r="T136" s="13" t="n"/>
      <c r="U136" s="13" t="n"/>
      <c r="V136" s="8" t="inlineStr">
        <is>
          <t>DATA_UNAVAILABLE</t>
        </is>
      </c>
      <c r="W136" s="13" t="n">
        <v>79.152</v>
      </c>
      <c r="X136" s="11" t="n"/>
      <c r="Y136" s="11" t="n">
        <v>1.705630889450701</v>
      </c>
      <c r="Z136" s="13" t="n"/>
      <c r="AA136" s="8" t="inlineStr">
        <is>
          <t>FRAMEWORK_NOT_APPLICABLE (financial sector)</t>
        </is>
      </c>
      <c r="AB136" s="10" t="n"/>
      <c r="AC136" s="10" t="n">
        <v>0.7933463754636905</v>
      </c>
      <c r="AD136" s="12" t="n">
        <v>3663500000</v>
      </c>
    </row>
    <row r="137">
      <c r="A137" s="8" t="inlineStr">
        <is>
          <t>JPM</t>
        </is>
      </c>
      <c r="B137" s="8" t="inlineStr">
        <is>
          <t>JPMORGAN CHASE &amp; CO</t>
        </is>
      </c>
      <c r="C137" s="8" t="inlineStr">
        <is>
          <t>FINANCIAL</t>
        </is>
      </c>
      <c r="D137" s="8" t="n">
        <v>2016</v>
      </c>
      <c r="E137" s="8" t="inlineStr">
        <is>
          <t>2016-12-31</t>
        </is>
      </c>
      <c r="F137" s="8" t="inlineStr">
        <is>
          <t>0000019617-19-000054</t>
        </is>
      </c>
      <c r="G137" s="13" t="n">
        <v>96.569</v>
      </c>
      <c r="H137" s="13" t="n">
        <v>80.619</v>
      </c>
      <c r="I137" s="8" t="inlineStr">
        <is>
          <t>pretax_income + interest_expense</t>
        </is>
      </c>
      <c r="J137" s="13" t="n">
        <v>24.733</v>
      </c>
      <c r="K137" s="10" t="n">
        <v>0.283848737549224</v>
      </c>
      <c r="L137" s="13" t="n">
        <v>57.73539862751911</v>
      </c>
      <c r="M137" s="13" t="n"/>
      <c r="N137" s="13" t="n"/>
      <c r="O137" s="10" t="n"/>
      <c r="P137" s="8" t="inlineStr">
        <is>
          <t>FRAMEWORK_NOT_APPLICABLE</t>
        </is>
      </c>
      <c r="Q137" s="10" t="n">
        <v>0.09858439143579738</v>
      </c>
      <c r="R137" s="10" t="n"/>
      <c r="S137" s="13" t="n">
        <v>254.19</v>
      </c>
      <c r="T137" s="13" t="n">
        <v>391.154</v>
      </c>
      <c r="U137" s="13" t="n">
        <v>34.443</v>
      </c>
      <c r="V137" s="8" t="inlineStr">
        <is>
          <t>short-term only (no long-term debt tagged; read as nil)</t>
        </is>
      </c>
      <c r="W137" s="13" t="n">
        <v>86.09699999999999</v>
      </c>
      <c r="X137" s="11" t="n">
        <v>-4.143129261182155</v>
      </c>
      <c r="Y137" s="11" t="n">
        <v>1.749430375626587</v>
      </c>
      <c r="Z137" s="13" t="n"/>
      <c r="AA137" s="8" t="inlineStr">
        <is>
          <t>FRAMEWORK_NOT_APPLICABLE (financial sector)</t>
        </is>
      </c>
      <c r="AB137" s="10" t="n"/>
      <c r="AC137" s="10" t="n">
        <v>0.8348331245016517</v>
      </c>
      <c r="AD137" s="12" t="n">
        <v>3561200000</v>
      </c>
    </row>
    <row r="138">
      <c r="A138" s="8" t="inlineStr">
        <is>
          <t>JPM</t>
        </is>
      </c>
      <c r="B138" s="8" t="inlineStr">
        <is>
          <t>JPMORGAN CHASE &amp; CO</t>
        </is>
      </c>
      <c r="C138" s="8" t="inlineStr">
        <is>
          <t>FINANCIAL</t>
        </is>
      </c>
      <c r="D138" s="8" t="n">
        <v>2017</v>
      </c>
      <c r="E138" s="8" t="inlineStr">
        <is>
          <t>2017-12-31</t>
        </is>
      </c>
      <c r="F138" s="8" t="inlineStr">
        <is>
          <t>0000019617-20-000257</t>
        </is>
      </c>
      <c r="G138" s="13" t="n">
        <v>100.705</v>
      </c>
      <c r="H138" s="13" t="n">
        <v>85.997</v>
      </c>
      <c r="I138" s="8" t="inlineStr">
        <is>
          <t>pretax_income + interest_expense</t>
        </is>
      </c>
      <c r="J138" s="13" t="n">
        <v>24.441</v>
      </c>
      <c r="K138" s="10" t="n">
        <v>0.3191922005571031</v>
      </c>
      <c r="L138" s="13" t="n">
        <v>58.54742832869081</v>
      </c>
      <c r="M138" s="13" t="n"/>
      <c r="N138" s="13" t="n"/>
      <c r="O138" s="10" t="n"/>
      <c r="P138" s="8" t="inlineStr">
        <is>
          <t>FRAMEWORK_NOT_APPLICABLE</t>
        </is>
      </c>
      <c r="Q138" s="10" t="n">
        <v>0.09586905231200099</v>
      </c>
      <c r="R138" s="10" t="n"/>
      <c r="S138" s="13" t="n">
        <v>255.693</v>
      </c>
      <c r="T138" s="13" t="n">
        <v>431.304</v>
      </c>
      <c r="U138" s="13" t="n">
        <v>51.802</v>
      </c>
      <c r="V138" s="8" t="inlineStr">
        <is>
          <t>short-term only (no long-term debt tagged; read as nil)</t>
        </is>
      </c>
      <c r="W138" s="13" t="n">
        <v>92.176</v>
      </c>
      <c r="X138" s="11" t="n">
        <v>-4.11714546085749</v>
      </c>
      <c r="Y138" s="11" t="n">
        <v>1.716609777032557</v>
      </c>
      <c r="Z138" s="13" t="n"/>
      <c r="AA138" s="8" t="inlineStr">
        <is>
          <t>FRAMEWORK_NOT_APPLICABLE (financial sector)</t>
        </is>
      </c>
      <c r="AB138" s="10" t="n"/>
      <c r="AC138" s="10" t="n">
        <v>0.8539496549327243</v>
      </c>
      <c r="AD138" s="12" t="n">
        <v>3425300000</v>
      </c>
    </row>
    <row r="139">
      <c r="A139" s="8" t="inlineStr">
        <is>
          <t>JPM</t>
        </is>
      </c>
      <c r="B139" s="8" t="inlineStr">
        <is>
          <t>JPMORGAN CHASE &amp; CO</t>
        </is>
      </c>
      <c r="C139" s="8" t="inlineStr">
        <is>
          <t>FINANCIAL</t>
        </is>
      </c>
      <c r="D139" s="8" t="n">
        <v>2018</v>
      </c>
      <c r="E139" s="8" t="inlineStr">
        <is>
          <t>2018-12-31</t>
        </is>
      </c>
      <c r="F139" s="8" t="inlineStr">
        <is>
          <t>0000019617-21-000236</t>
        </is>
      </c>
      <c r="G139" s="13" t="n">
        <v>108.783</v>
      </c>
      <c r="H139" s="13" t="n">
        <v>95.82299999999999</v>
      </c>
      <c r="I139" s="8" t="inlineStr">
        <is>
          <t>pretax_income + interest_expense</t>
        </is>
      </c>
      <c r="J139" s="13" t="n">
        <v>32.474</v>
      </c>
      <c r="K139" s="10" t="n">
        <v>0.2033657148464331</v>
      </c>
      <c r="L139" s="13" t="n">
        <v>76.33588710627023</v>
      </c>
      <c r="M139" s="13" t="n"/>
      <c r="N139" s="13" t="n"/>
      <c r="O139" s="10" t="n"/>
      <c r="P139" s="8" t="inlineStr">
        <is>
          <t>FRAMEWORK_NOT_APPLICABLE</t>
        </is>
      </c>
      <c r="Q139" s="10" t="n">
        <v>0.1268000499796957</v>
      </c>
      <c r="R139" s="10" t="n"/>
      <c r="S139" s="13" t="n">
        <v>256.515</v>
      </c>
      <c r="T139" s="13" t="n">
        <v>278.793</v>
      </c>
      <c r="U139" s="13" t="n">
        <v>69.276</v>
      </c>
      <c r="V139" s="8" t="inlineStr">
        <is>
          <t>short-term only (no long-term debt tagged; read as nil)</t>
        </is>
      </c>
      <c r="W139" s="13" t="n">
        <v>103.614</v>
      </c>
      <c r="X139" s="11" t="n">
        <v>-2.022091609241994</v>
      </c>
      <c r="Y139" s="11" t="n">
        <v>1.740369421892878</v>
      </c>
      <c r="Z139" s="13" t="n"/>
      <c r="AA139" s="8" t="inlineStr">
        <is>
          <t>FRAMEWORK_NOT_APPLICABLE (financial sector)</t>
        </is>
      </c>
      <c r="AB139" s="10" t="n"/>
      <c r="AC139" s="10" t="n">
        <v>0.8808637379002234</v>
      </c>
      <c r="AD139" s="12" t="n">
        <v>3275800000</v>
      </c>
    </row>
    <row r="140">
      <c r="A140" s="8" t="inlineStr">
        <is>
          <t>JPM</t>
        </is>
      </c>
      <c r="B140" s="8" t="inlineStr">
        <is>
          <t>JPMORGAN CHASE &amp; CO</t>
        </is>
      </c>
      <c r="C140" s="8" t="inlineStr">
        <is>
          <t>FINANCIAL</t>
        </is>
      </c>
      <c r="D140" s="8" t="n">
        <v>2019</v>
      </c>
      <c r="E140" s="8" t="inlineStr">
        <is>
          <t>2019-12-31</t>
        </is>
      </c>
      <c r="F140" s="8" t="inlineStr">
        <is>
          <t>0000019617-22-000272</t>
        </is>
      </c>
      <c r="G140" s="13" t="n">
        <v>115.72</v>
      </c>
      <c r="H140" s="13" t="n">
        <v>102.111</v>
      </c>
      <c r="I140" s="8" t="inlineStr">
        <is>
          <t>pretax_income + interest_expense</t>
        </is>
      </c>
      <c r="J140" s="13" t="n">
        <v>36.431</v>
      </c>
      <c r="K140" s="10" t="n">
        <v>0.1880042794097981</v>
      </c>
      <c r="L140" s="13" t="n">
        <v>82.91369502518612</v>
      </c>
      <c r="M140" s="13" t="n"/>
      <c r="N140" s="13" t="n"/>
      <c r="O140" s="10" t="n"/>
      <c r="P140" s="8" t="inlineStr">
        <is>
          <t>FRAMEWORK_NOT_APPLICABLE</t>
        </is>
      </c>
      <c r="Q140" s="10" t="n">
        <v>0.1407023337098939</v>
      </c>
      <c r="R140" s="10" t="n"/>
      <c r="S140" s="13" t="n">
        <v>261.33</v>
      </c>
      <c r="T140" s="13" t="n">
        <v>263.631</v>
      </c>
      <c r="U140" s="13" t="n">
        <v>40.92</v>
      </c>
      <c r="V140" s="8" t="inlineStr">
        <is>
          <t>short-term only (no long-term debt tagged; read as nil)</t>
        </is>
      </c>
      <c r="W140" s="13" t="n">
        <v>110.479</v>
      </c>
      <c r="X140" s="11" t="n">
        <v>-2.015867268892731</v>
      </c>
      <c r="Y140" s="11" t="n">
        <v>1.783754039654118</v>
      </c>
      <c r="Z140" s="13" t="n"/>
      <c r="AA140" s="8" t="inlineStr">
        <is>
          <t>FRAMEWORK_NOT_APPLICABLE (financial sector)</t>
        </is>
      </c>
      <c r="AB140" s="10" t="n"/>
      <c r="AC140" s="10" t="n">
        <v>0.8823971655720705</v>
      </c>
      <c r="AD140" s="12" t="n">
        <v>3084000000</v>
      </c>
    </row>
    <row r="141">
      <c r="A141" s="8" t="inlineStr">
        <is>
          <t>JPM</t>
        </is>
      </c>
      <c r="B141" s="8" t="inlineStr">
        <is>
          <t>JPMORGAN CHASE &amp; CO</t>
        </is>
      </c>
      <c r="C141" s="8" t="inlineStr">
        <is>
          <t>FINANCIAL</t>
        </is>
      </c>
      <c r="D141" s="8" t="n">
        <v>2020</v>
      </c>
      <c r="E141" s="8" t="inlineStr">
        <is>
          <t>2020-12-31</t>
        </is>
      </c>
      <c r="F141" s="8" t="inlineStr">
        <is>
          <t>0000019617-23-000231</t>
        </is>
      </c>
      <c r="G141" s="13" t="n">
        <v>119.951</v>
      </c>
      <c r="H141" s="13" t="n">
        <v>90.378</v>
      </c>
      <c r="I141" s="8" t="inlineStr">
        <is>
          <t>pretax_income + interest_expense</t>
        </is>
      </c>
      <c r="J141" s="13" t="n">
        <v>29.131</v>
      </c>
      <c r="K141" s="10" t="n">
        <v>0.1866257154823398</v>
      </c>
      <c r="L141" s="13" t="n">
        <v>73.51114108613709</v>
      </c>
      <c r="M141" s="13" t="n"/>
      <c r="N141" s="13" t="n"/>
      <c r="O141" s="10" t="n"/>
      <c r="P141" s="8" t="inlineStr">
        <is>
          <t>FRAMEWORK_NOT_APPLICABLE</t>
        </is>
      </c>
      <c r="Q141" s="10" t="n">
        <v>0.1077561015306538</v>
      </c>
      <c r="R141" s="10" t="n"/>
      <c r="S141" s="13" t="n">
        <v>279.354</v>
      </c>
      <c r="T141" s="13" t="n">
        <v>527.609</v>
      </c>
      <c r="U141" s="13" t="n">
        <v>45.208</v>
      </c>
      <c r="V141" s="8" t="inlineStr">
        <is>
          <t>short-term only (no long-term debt tagged; read as nil)</t>
        </is>
      </c>
      <c r="W141" s="13" t="n">
        <v>98.992</v>
      </c>
      <c r="X141" s="11" t="n">
        <v>-4.87313116211411</v>
      </c>
      <c r="Y141" s="11" t="n">
        <v>1.656397192236497</v>
      </c>
      <c r="Z141" s="13" t="n"/>
      <c r="AA141" s="8" t="inlineStr">
        <is>
          <t>FRAMEWORK_NOT_APPLICABLE (financial sector)</t>
        </is>
      </c>
      <c r="AB141" s="10" t="n"/>
      <c r="AC141" s="10" t="n">
        <v>0.7534576618786004</v>
      </c>
      <c r="AD141" s="12" t="n">
        <v>3049400000</v>
      </c>
    </row>
    <row r="142">
      <c r="A142" s="8" t="inlineStr">
        <is>
          <t>JPM</t>
        </is>
      </c>
      <c r="B142" s="8" t="inlineStr">
        <is>
          <t>JPMORGAN CHASE &amp; CO</t>
        </is>
      </c>
      <c r="C142" s="8" t="inlineStr">
        <is>
          <t>FINANCIAL</t>
        </is>
      </c>
      <c r="D142" s="8" t="n">
        <v>2021</v>
      </c>
      <c r="E142" s="8" t="inlineStr">
        <is>
          <t>2021-12-31</t>
        </is>
      </c>
      <c r="F142" s="8" t="inlineStr">
        <is>
          <t>0000019617-24-000225</t>
        </is>
      </c>
      <c r="G142" s="13" t="n">
        <v>121.649</v>
      </c>
      <c r="H142" s="13" t="n">
        <v>111.873</v>
      </c>
      <c r="I142" s="8" t="inlineStr">
        <is>
          <t>pretax_income + interest_expense</t>
        </is>
      </c>
      <c r="J142" s="13" t="n">
        <v>48.334</v>
      </c>
      <c r="K142" s="10" t="n">
        <v>0.1885094523353816</v>
      </c>
      <c r="L142" s="13" t="n">
        <v>90.78388203888385</v>
      </c>
      <c r="M142" s="13" t="n"/>
      <c r="N142" s="13" t="n"/>
      <c r="O142" s="10" t="n"/>
      <c r="P142" s="8" t="inlineStr">
        <is>
          <t>FRAMEWORK_NOT_APPLICABLE</t>
        </is>
      </c>
      <c r="Q142" s="10" t="n">
        <v>0.1685635618268086</v>
      </c>
      <c r="R142" s="10" t="n"/>
      <c r="S142" s="13" t="n">
        <v>294.127</v>
      </c>
      <c r="T142" s="13" t="n">
        <v>740.8339999999999</v>
      </c>
      <c r="U142" s="13" t="n">
        <v>53.594</v>
      </c>
      <c r="V142" s="8" t="inlineStr">
        <is>
          <t>short-term only (no long-term debt tagged; read as nil)</t>
        </is>
      </c>
      <c r="W142" s="13" t="n">
        <v>119.805</v>
      </c>
      <c r="X142" s="11" t="n">
        <v>-5.736321522474021</v>
      </c>
      <c r="Y142" s="11" t="n">
        <v>2.138613293571142</v>
      </c>
      <c r="Z142" s="13" t="n"/>
      <c r="AA142" s="8" t="inlineStr">
        <is>
          <t>FRAMEWORK_NOT_APPLICABLE (financial sector)</t>
        </is>
      </c>
      <c r="AB142" s="10" t="n"/>
      <c r="AC142" s="10" t="n">
        <v>0.9196376460143527</v>
      </c>
      <c r="AD142" s="12" t="n">
        <v>2944100000</v>
      </c>
    </row>
    <row r="143">
      <c r="A143" s="8" t="inlineStr">
        <is>
          <t>JPM</t>
        </is>
      </c>
      <c r="B143" s="8" t="inlineStr">
        <is>
          <t>JPMORGAN CHASE &amp; CO</t>
        </is>
      </c>
      <c r="C143" s="8" t="inlineStr">
        <is>
          <t>FINANCIAL</t>
        </is>
      </c>
      <c r="D143" s="8" t="n">
        <v>2022</v>
      </c>
      <c r="E143" s="8" t="inlineStr">
        <is>
          <t>2022-12-31</t>
        </is>
      </c>
      <c r="F143" s="8" t="inlineStr">
        <is>
          <t>0000019617-25-000270</t>
        </is>
      </c>
      <c r="G143" s="13" t="n">
        <v>128.695</v>
      </c>
      <c r="H143" s="13" t="n">
        <v>112.876</v>
      </c>
      <c r="I143" s="8" t="inlineStr">
        <is>
          <t>pretax_income + interest_expense</t>
        </is>
      </c>
      <c r="J143" s="13" t="n">
        <v>37.676</v>
      </c>
      <c r="K143" s="10" t="n">
        <v>0.1839015725858857</v>
      </c>
      <c r="L143" s="13" t="n">
        <v>92.11792609279556</v>
      </c>
      <c r="M143" s="13" t="n"/>
      <c r="N143" s="13" t="n"/>
      <c r="O143" s="10" t="n"/>
      <c r="P143" s="8" t="inlineStr">
        <is>
          <t>FRAMEWORK_NOT_APPLICABLE</t>
        </is>
      </c>
      <c r="Q143" s="10" t="n">
        <v>0.1284863903529488</v>
      </c>
      <c r="R143" s="10" t="n"/>
      <c r="S143" s="13" t="n">
        <v>292.332</v>
      </c>
      <c r="T143" s="13" t="n">
        <v>567.234</v>
      </c>
      <c r="U143" s="13" t="n">
        <v>44.027</v>
      </c>
      <c r="V143" s="8" t="inlineStr">
        <is>
          <t>short-term only (no long-term debt tagged; read as nil)</t>
        </is>
      </c>
      <c r="W143" s="13" t="n">
        <v>119.927</v>
      </c>
      <c r="X143" s="11" t="n">
        <v>-4.362712316659301</v>
      </c>
      <c r="Y143" s="11" t="n">
        <v>1.692040173886973</v>
      </c>
      <c r="Z143" s="13" t="n"/>
      <c r="AA143" s="8" t="inlineStr">
        <is>
          <t>FRAMEWORK_NOT_APPLICABLE (financial sector)</t>
        </is>
      </c>
      <c r="AB143" s="10" t="n"/>
      <c r="AC143" s="10" t="n">
        <v>0.8770814716966471</v>
      </c>
      <c r="AD143" s="12" t="n">
        <v>2934200000</v>
      </c>
    </row>
    <row r="144">
      <c r="A144" s="8" t="inlineStr">
        <is>
          <t>JPM</t>
        </is>
      </c>
      <c r="B144" s="8" t="inlineStr">
        <is>
          <t>JPMORGAN CHASE &amp; CO</t>
        </is>
      </c>
      <c r="C144" s="8" t="inlineStr">
        <is>
          <t>FINANCIAL</t>
        </is>
      </c>
      <c r="D144" s="8" t="n">
        <v>2023</v>
      </c>
      <c r="E144" s="8" t="inlineStr">
        <is>
          <t>2023-12-31</t>
        </is>
      </c>
      <c r="F144" s="8" t="inlineStr">
        <is>
          <t>0001628280-26-008131</t>
        </is>
      </c>
      <c r="G144" s="13" t="n">
        <v>158.104</v>
      </c>
      <c r="H144" s="13" t="n">
        <v>150.879</v>
      </c>
      <c r="I144" s="8" t="inlineStr">
        <is>
          <t>pretax_income + interest_expense</t>
        </is>
      </c>
      <c r="J144" s="13" t="n">
        <v>49.552</v>
      </c>
      <c r="K144" s="10" t="n">
        <v>0.1957410893981692</v>
      </c>
      <c r="L144" s="13" t="n">
        <v>121.3457801726936</v>
      </c>
      <c r="M144" s="13" t="n"/>
      <c r="N144" s="13" t="n"/>
      <c r="O144" s="10" t="n"/>
      <c r="P144" s="8" t="inlineStr">
        <is>
          <t>FRAMEWORK_NOT_APPLICABLE</t>
        </is>
      </c>
      <c r="Q144" s="10" t="n">
        <v>0.1597910385192112</v>
      </c>
      <c r="R144" s="10" t="n"/>
      <c r="S144" s="13" t="n">
        <v>327.878</v>
      </c>
      <c r="T144" s="13" t="n">
        <v>624.151</v>
      </c>
      <c r="U144" s="13" t="n">
        <v>44.712</v>
      </c>
      <c r="V144" s="8" t="inlineStr">
        <is>
          <t>short-term only (no long-term debt tagged; read as nil)</t>
        </is>
      </c>
      <c r="W144" s="13" t="n">
        <v>158.391</v>
      </c>
      <c r="X144" s="11" t="n">
        <v>-3.658282351901307</v>
      </c>
      <c r="Y144" s="11" t="n">
        <v>1.690199065724176</v>
      </c>
      <c r="Z144" s="13" t="n"/>
      <c r="AA144" s="8" t="inlineStr">
        <is>
          <t>FRAMEWORK_NOT_APPLICABLE (financial sector)</t>
        </is>
      </c>
      <c r="AB144" s="10" t="n"/>
      <c r="AC144" s="10" t="n">
        <v>0.9543022314425947</v>
      </c>
      <c r="AD144" s="12" t="n">
        <v>2876600000</v>
      </c>
    </row>
    <row r="145">
      <c r="A145" s="8" t="inlineStr">
        <is>
          <t>JPM</t>
        </is>
      </c>
      <c r="B145" s="8" t="inlineStr">
        <is>
          <t>JPMORGAN CHASE &amp; CO</t>
        </is>
      </c>
      <c r="C145" s="8" t="inlineStr">
        <is>
          <t>FINANCIAL</t>
        </is>
      </c>
      <c r="D145" s="8" t="n">
        <v>2024</v>
      </c>
      <c r="E145" s="8" t="inlineStr">
        <is>
          <t>2024-12-31</t>
        </is>
      </c>
      <c r="F145" s="8" t="inlineStr">
        <is>
          <t>0001628280-26-008131</t>
        </is>
      </c>
      <c r="G145" s="13" t="n">
        <v>177.556</v>
      </c>
      <c r="H145" s="13" t="n">
        <v>167.664</v>
      </c>
      <c r="I145" s="8" t="inlineStr">
        <is>
          <t>pretax_income + interest_expense</t>
        </is>
      </c>
      <c r="J145" s="13" t="n">
        <v>58.471</v>
      </c>
      <c r="K145" s="10" t="n">
        <v>0.2212277407067034</v>
      </c>
      <c r="L145" s="13" t="n">
        <v>130.5720720821513</v>
      </c>
      <c r="M145" s="13" t="n"/>
      <c r="N145" s="13" t="n"/>
      <c r="O145" s="10" t="n"/>
      <c r="P145" s="8" t="inlineStr">
        <is>
          <t>FRAMEWORK_NOT_APPLICABLE</t>
        </is>
      </c>
      <c r="Q145" s="10" t="n">
        <v>0.1738562907724237</v>
      </c>
      <c r="R145" s="10" t="n"/>
      <c r="S145" s="13" t="n">
        <v>344.758</v>
      </c>
      <c r="T145" s="13" t="n">
        <v>469.317</v>
      </c>
      <c r="U145" s="13" t="n">
        <v>52.893</v>
      </c>
      <c r="V145" s="8" t="inlineStr">
        <is>
          <t>short-term only (no long-term debt tagged; read as nil)</t>
        </is>
      </c>
      <c r="W145" s="13" t="n">
        <v>175.602</v>
      </c>
      <c r="X145" s="11" t="n">
        <v>-2.371408070523115</v>
      </c>
      <c r="Y145" s="11" t="n">
        <v>1.810958815333269</v>
      </c>
      <c r="Z145" s="13" t="n"/>
      <c r="AA145" s="8" t="inlineStr">
        <is>
          <t>FRAMEWORK_NOT_APPLICABLE (financial sector)</t>
        </is>
      </c>
      <c r="AB145" s="10" t="n"/>
      <c r="AC145" s="10" t="n">
        <v>0.9442879992791007</v>
      </c>
      <c r="AD145" s="12" t="n">
        <v>2797600000</v>
      </c>
    </row>
    <row r="146">
      <c r="A146" s="8" t="inlineStr">
        <is>
          <t>JPM</t>
        </is>
      </c>
      <c r="B146" s="8" t="inlineStr">
        <is>
          <t>JPMORGAN CHASE &amp; CO</t>
        </is>
      </c>
      <c r="C146" s="8" t="inlineStr">
        <is>
          <t>FINANCIAL</t>
        </is>
      </c>
      <c r="D146" s="8" t="n">
        <v>2025</v>
      </c>
      <c r="E146" s="8" t="inlineStr">
        <is>
          <t>2025-12-31</t>
        </is>
      </c>
      <c r="F146" s="8" t="inlineStr">
        <is>
          <t>0001628280-26-008131</t>
        </is>
      </c>
      <c r="G146" s="13" t="n">
        <v>182.447</v>
      </c>
      <c r="H146" s="13" t="n">
        <v>168.038</v>
      </c>
      <c r="I146" s="8" t="inlineStr">
        <is>
          <t>pretax_income + interest_expense</t>
        </is>
      </c>
      <c r="J146" s="13" t="n">
        <v>57.048</v>
      </c>
      <c r="K146" s="10" t="n">
        <v>0.2141607548729251</v>
      </c>
      <c r="L146" s="13" t="n">
        <v>132.0508550726634</v>
      </c>
      <c r="M146" s="13" t="n"/>
      <c r="N146" s="13" t="n"/>
      <c r="O146" s="10" t="n"/>
      <c r="P146" s="8" t="inlineStr">
        <is>
          <t>FRAMEWORK_NOT_APPLICABLE</t>
        </is>
      </c>
      <c r="Q146" s="10" t="n">
        <v>0.1613357541615054</v>
      </c>
      <c r="R146" s="10" t="n"/>
      <c r="S146" s="13" t="n">
        <v>362.438</v>
      </c>
      <c r="T146" s="13" t="n">
        <v>343.338</v>
      </c>
      <c r="U146" s="13" t="n">
        <v>64.776</v>
      </c>
      <c r="V146" s="8" t="inlineStr">
        <is>
          <t>short-term only (no long-term debt tagged; read as nil)</t>
        </is>
      </c>
      <c r="W146" s="13" t="n">
        <v>176.859</v>
      </c>
      <c r="X146" s="11" t="n">
        <v>-1.575051312062151</v>
      </c>
      <c r="Y146" s="11" t="n">
        <v>1.76061104533596</v>
      </c>
      <c r="Z146" s="13" t="n"/>
      <c r="AA146" s="8" t="inlineStr">
        <is>
          <t>FRAMEWORK_NOT_APPLICABLE (financial sector)</t>
        </is>
      </c>
      <c r="AB146" s="10" t="n"/>
      <c r="AC146" s="10" t="n">
        <v>0.9210236397419524</v>
      </c>
      <c r="AD146" s="12" t="n">
        <v>2696200000</v>
      </c>
    </row>
    <row r="147">
      <c r="A147" s="8" t="inlineStr">
        <is>
          <t>WMT</t>
        </is>
      </c>
      <c r="B147" s="8" t="inlineStr">
        <is>
          <t>Walmart Inc.</t>
        </is>
      </c>
      <c r="C147" s="8" t="inlineStr">
        <is>
          <t>STANDARD</t>
        </is>
      </c>
      <c r="D147" s="8" t="n">
        <v>2014</v>
      </c>
      <c r="E147" s="8" t="inlineStr">
        <is>
          <t>2015-01-31</t>
        </is>
      </c>
      <c r="F147" s="8" t="inlineStr">
        <is>
          <t>0000104169-17-000021</t>
        </is>
      </c>
      <c r="G147" s="13" t="n"/>
      <c r="H147" s="13" t="n">
        <v>27.147</v>
      </c>
      <c r="I147" s="8" t="inlineStr">
        <is>
          <t>reported OperatingIncomeLoss (no interest expense tagged)</t>
        </is>
      </c>
      <c r="J147" s="13" t="n">
        <v>16.363</v>
      </c>
      <c r="K147" s="10" t="n">
        <v>0.21</v>
      </c>
      <c r="L147" s="13" t="n">
        <v>21.44613</v>
      </c>
      <c r="M147" s="13" t="n">
        <v>114.74</v>
      </c>
      <c r="N147" s="13" t="n">
        <v>114.74</v>
      </c>
      <c r="O147" s="10" t="n">
        <v>0.1869106675963047</v>
      </c>
      <c r="P147" s="8" t="inlineStr">
        <is>
          <t>OK</t>
        </is>
      </c>
      <c r="Q147" s="10" t="n">
        <v>0.2010344742855739</v>
      </c>
      <c r="R147" s="10" t="n">
        <v>0.01412380668926919</v>
      </c>
      <c r="S147" s="13" t="n">
        <v>81.39400000000001</v>
      </c>
      <c r="T147" s="13" t="n">
        <v>9.135</v>
      </c>
      <c r="U147" s="13" t="n">
        <v>42.481</v>
      </c>
      <c r="V147" s="8" t="inlineStr">
        <is>
          <t>short-term + long-term</t>
        </is>
      </c>
      <c r="W147" s="13" t="n"/>
      <c r="X147" s="11" t="n"/>
      <c r="Y147" s="11" t="n">
        <v>12.56223970384081</v>
      </c>
      <c r="Z147" s="13" t="n">
        <v>16.39</v>
      </c>
      <c r="AA147" s="8" t="inlineStr">
        <is>
          <t>operating cash flow - capex (working-capital swing already embedded)</t>
        </is>
      </c>
      <c r="AB147" s="10" t="n"/>
      <c r="AC147" s="10" t="n"/>
      <c r="AD147" s="12" t="n">
        <v>9729000000</v>
      </c>
    </row>
    <row r="148">
      <c r="A148" s="8" t="inlineStr">
        <is>
          <t>WMT</t>
        </is>
      </c>
      <c r="B148" s="8" t="inlineStr">
        <is>
          <t>Walmart Inc.</t>
        </is>
      </c>
      <c r="C148" s="8" t="inlineStr">
        <is>
          <t>STANDARD</t>
        </is>
      </c>
      <c r="D148" s="8" t="n">
        <v>2015</v>
      </c>
      <c r="E148" s="8" t="inlineStr">
        <is>
          <t>2016-01-31</t>
        </is>
      </c>
      <c r="F148" s="8" t="inlineStr">
        <is>
          <t>0000104169-18-000028</t>
        </is>
      </c>
      <c r="G148" s="13" t="n"/>
      <c r="H148" s="13" t="n">
        <v>24.105</v>
      </c>
      <c r="I148" s="8" t="inlineStr">
        <is>
          <t>reported OperatingIncomeLoss (no interest expense tagged)</t>
        </is>
      </c>
      <c r="J148" s="13" t="n">
        <v>14.694</v>
      </c>
      <c r="K148" s="10" t="n">
        <v>0.21</v>
      </c>
      <c r="L148" s="13" t="n">
        <v>19.04295</v>
      </c>
      <c r="M148" s="13" t="n">
        <v>112.763</v>
      </c>
      <c r="N148" s="13" t="n">
        <v>113.7515</v>
      </c>
      <c r="O148" s="10" t="n">
        <v>0.1674083418680193</v>
      </c>
      <c r="P148" s="8" t="inlineStr">
        <is>
          <t>OK</t>
        </is>
      </c>
      <c r="Q148" s="10" t="n">
        <v>0.1814746202297147</v>
      </c>
      <c r="R148" s="10" t="n">
        <v>0.01406627836169541</v>
      </c>
      <c r="S148" s="13" t="n">
        <v>80.54600000000001</v>
      </c>
      <c r="T148" s="13" t="n">
        <v>8.705</v>
      </c>
      <c r="U148" s="13" t="n">
        <v>40.922</v>
      </c>
      <c r="V148" s="8" t="inlineStr">
        <is>
          <t>short-term + long-term</t>
        </is>
      </c>
      <c r="W148" s="13" t="n"/>
      <c r="X148" s="11" t="n"/>
      <c r="Y148" s="11" t="n">
        <v>11.89195855944746</v>
      </c>
      <c r="Z148" s="13" t="n">
        <v>16.075</v>
      </c>
      <c r="AA148" s="8" t="inlineStr">
        <is>
          <t>operating cash flow - capex (working-capital swing already embedded)</t>
        </is>
      </c>
      <c r="AB148" s="10" t="n"/>
      <c r="AC148" s="10" t="n"/>
      <c r="AD148" s="12" t="n">
        <v>9651000000</v>
      </c>
    </row>
    <row r="149">
      <c r="A149" s="8" t="inlineStr">
        <is>
          <t>WMT</t>
        </is>
      </c>
      <c r="B149" s="8" t="inlineStr">
        <is>
          <t>Walmart Inc.</t>
        </is>
      </c>
      <c r="C149" s="8" t="inlineStr">
        <is>
          <t>STANDARD</t>
        </is>
      </c>
      <c r="D149" s="8" t="n">
        <v>2016</v>
      </c>
      <c r="E149" s="8" t="inlineStr">
        <is>
          <t>2017-01-31</t>
        </is>
      </c>
      <c r="F149" s="8" t="inlineStr">
        <is>
          <t>0000104169-19-000016</t>
        </is>
      </c>
      <c r="G149" s="13" t="n">
        <v>481.317</v>
      </c>
      <c r="H149" s="13" t="n">
        <v>22.764</v>
      </c>
      <c r="I149" s="8" t="inlineStr">
        <is>
          <t>reported OperatingIncomeLoss (no interest expense tagged)</t>
        </is>
      </c>
      <c r="J149" s="13" t="n">
        <v>13.643</v>
      </c>
      <c r="K149" s="10" t="n">
        <v>0.21</v>
      </c>
      <c r="L149" s="13" t="n">
        <v>17.98356</v>
      </c>
      <c r="M149" s="13" t="n">
        <v>108.045</v>
      </c>
      <c r="N149" s="13" t="n">
        <v>110.404</v>
      </c>
      <c r="O149" s="10" t="n">
        <v>0.1628886634542227</v>
      </c>
      <c r="P149" s="8" t="inlineStr">
        <is>
          <t>OK</t>
        </is>
      </c>
      <c r="Q149" s="10" t="n">
        <v>0.1723210225837417</v>
      </c>
      <c r="R149" s="10" t="n">
        <v>0.009432359129519063</v>
      </c>
      <c r="S149" s="13" t="n">
        <v>77.798</v>
      </c>
      <c r="T149" s="13" t="n">
        <v>6.867</v>
      </c>
      <c r="U149" s="13" t="n">
        <v>37.114</v>
      </c>
      <c r="V149" s="8" t="inlineStr">
        <is>
          <t>short-term + long-term</t>
        </is>
      </c>
      <c r="W149" s="13" t="n"/>
      <c r="X149" s="11" t="n"/>
      <c r="Y149" s="11" t="n">
        <v>11.13698630136986</v>
      </c>
      <c r="Z149" s="13" t="n">
        <v>21.054</v>
      </c>
      <c r="AA149" s="8" t="inlineStr">
        <is>
          <t>operating cash flow - capex (working-capital swing already embedded)</t>
        </is>
      </c>
      <c r="AB149" s="10" t="n">
        <v>0.04374248156620273</v>
      </c>
      <c r="AC149" s="10" t="n">
        <v>0.04729523370252869</v>
      </c>
      <c r="AD149" s="12" t="n">
        <v>9336000000</v>
      </c>
    </row>
    <row r="150">
      <c r="A150" s="8" t="inlineStr">
        <is>
          <t>WMT</t>
        </is>
      </c>
      <c r="B150" s="8" t="inlineStr">
        <is>
          <t>Walmart Inc.</t>
        </is>
      </c>
      <c r="C150" s="8" t="inlineStr">
        <is>
          <t>STANDARD</t>
        </is>
      </c>
      <c r="D150" s="8" t="n">
        <v>2017</v>
      </c>
      <c r="E150" s="8" t="inlineStr">
        <is>
          <t>2018-01-31</t>
        </is>
      </c>
      <c r="F150" s="8" t="inlineStr">
        <is>
          <t>0000104169-20-000011</t>
        </is>
      </c>
      <c r="G150" s="13" t="n">
        <v>495.761</v>
      </c>
      <c r="H150" s="13" t="n">
        <v>20.437</v>
      </c>
      <c r="I150" s="8" t="inlineStr">
        <is>
          <t>reported OperatingIncomeLoss (no interest expense tagged)</t>
        </is>
      </c>
      <c r="J150" s="13" t="n">
        <v>9.862</v>
      </c>
      <c r="K150" s="10" t="n">
        <v>0.21</v>
      </c>
      <c r="L150" s="13" t="n">
        <v>16.14523</v>
      </c>
      <c r="M150" s="13" t="n">
        <v>106.415</v>
      </c>
      <c r="N150" s="13" t="n">
        <v>107.23</v>
      </c>
      <c r="O150" s="10" t="n">
        <v>0.1505663526998041</v>
      </c>
      <c r="P150" s="8" t="inlineStr">
        <is>
          <t>OK</t>
        </is>
      </c>
      <c r="Q150" s="10" t="n">
        <v>0.1267063667957884</v>
      </c>
      <c r="R150" s="10" t="n">
        <v>-0.0238599859040157</v>
      </c>
      <c r="S150" s="13" t="n">
        <v>77.869</v>
      </c>
      <c r="T150" s="13" t="n">
        <v>6.756</v>
      </c>
      <c r="U150" s="13" t="n">
        <v>35.302</v>
      </c>
      <c r="V150" s="8" t="inlineStr">
        <is>
          <t>short-term + long-term</t>
        </is>
      </c>
      <c r="W150" s="13" t="n">
        <v>30.966</v>
      </c>
      <c r="X150" s="11" t="n">
        <v>0.9218497707162695</v>
      </c>
      <c r="Y150" s="11" t="n">
        <v>10.33215369059656</v>
      </c>
      <c r="Z150" s="13" t="n">
        <v>15.689</v>
      </c>
      <c r="AA150" s="8" t="inlineStr">
        <is>
          <t>net income + D&amp;A - capex - change in operating working capital (cash and short-term debt excluded)</t>
        </is>
      </c>
      <c r="AB150" s="10" t="n">
        <v>0.03164629730858216</v>
      </c>
      <c r="AC150" s="10" t="n">
        <v>0.04122349277171863</v>
      </c>
      <c r="AD150" s="12" t="n">
        <v>9030000000</v>
      </c>
    </row>
    <row r="151">
      <c r="A151" s="8" t="inlineStr">
        <is>
          <t>WMT</t>
        </is>
      </c>
      <c r="B151" s="8" t="inlineStr">
        <is>
          <t>Walmart Inc.</t>
        </is>
      </c>
      <c r="C151" s="8" t="inlineStr">
        <is>
          <t>STANDARD</t>
        </is>
      </c>
      <c r="D151" s="8" t="n">
        <v>2018</v>
      </c>
      <c r="E151" s="8" t="inlineStr">
        <is>
          <t>2019-01-31</t>
        </is>
      </c>
      <c r="F151" s="8" t="inlineStr">
        <is>
          <t>0000104169-21-000033</t>
        </is>
      </c>
      <c r="G151" s="13" t="n">
        <v>510.329</v>
      </c>
      <c r="H151" s="13" t="n">
        <v>21.957</v>
      </c>
      <c r="I151" s="8" t="inlineStr">
        <is>
          <t>reported OperatingIncomeLoss (no interest expense tagged)</t>
        </is>
      </c>
      <c r="J151" s="13" t="n">
        <v>6.67</v>
      </c>
      <c r="K151" s="10" t="n">
        <v>0.21</v>
      </c>
      <c r="L151" s="13" t="n">
        <v>17.34603</v>
      </c>
      <c r="M151" s="13" t="n">
        <v>113.519</v>
      </c>
      <c r="N151" s="13" t="n">
        <v>109.967</v>
      </c>
      <c r="O151" s="10" t="n">
        <v>0.1577385033691926</v>
      </c>
      <c r="P151" s="8" t="inlineStr">
        <is>
          <t>OK</t>
        </is>
      </c>
      <c r="Q151" s="10" t="n">
        <v>0.08871745419479267</v>
      </c>
      <c r="R151" s="10" t="n">
        <v>-0.0690210491743999</v>
      </c>
      <c r="S151" s="13" t="n">
        <v>72.496</v>
      </c>
      <c r="T151" s="13" t="n">
        <v>7.722</v>
      </c>
      <c r="U151" s="13" t="n">
        <v>48.745</v>
      </c>
      <c r="V151" s="8" t="inlineStr">
        <is>
          <t>short-term + long-term</t>
        </is>
      </c>
      <c r="W151" s="13" t="n">
        <v>32.635</v>
      </c>
      <c r="X151" s="11" t="n">
        <v>1.257024666768807</v>
      </c>
      <c r="Y151" s="11" t="n">
        <v>11.11746835443038</v>
      </c>
      <c r="Z151" s="13" t="n">
        <v>4.725</v>
      </c>
      <c r="AA151" s="8" t="inlineStr">
        <is>
          <t>net income + D&amp;A - capex - change in operating working capital (cash and short-term debt excluded)</t>
        </is>
      </c>
      <c r="AB151" s="10" t="n">
        <v>0.009258733091789807</v>
      </c>
      <c r="AC151" s="10" t="n">
        <v>0.0430251857135299</v>
      </c>
      <c r="AD151" s="12" t="n">
        <v>8835000000</v>
      </c>
    </row>
    <row r="152">
      <c r="A152" s="8" t="inlineStr">
        <is>
          <t>WMT</t>
        </is>
      </c>
      <c r="B152" s="8" t="inlineStr">
        <is>
          <t>Walmart Inc.</t>
        </is>
      </c>
      <c r="C152" s="8" t="inlineStr">
        <is>
          <t>STANDARD</t>
        </is>
      </c>
      <c r="D152" s="8" t="n">
        <v>2019</v>
      </c>
      <c r="E152" s="8" t="inlineStr">
        <is>
          <t>2020-01-31</t>
        </is>
      </c>
      <c r="F152" s="8" t="inlineStr">
        <is>
          <t>0000104169-22-000012</t>
        </is>
      </c>
      <c r="G152" s="13" t="n">
        <v>519.926</v>
      </c>
      <c r="H152" s="13" t="n">
        <v>22.378</v>
      </c>
      <c r="I152" s="8" t="inlineStr">
        <is>
          <t>pretax_income + interest_expense</t>
        </is>
      </c>
      <c r="J152" s="13" t="n">
        <v>14.881</v>
      </c>
      <c r="K152" s="10" t="n">
        <v>0.2443328693577252</v>
      </c>
      <c r="L152" s="13" t="n">
        <v>16.91031904951283</v>
      </c>
      <c r="M152" s="13" t="n">
        <v>109.493</v>
      </c>
      <c r="N152" s="13" t="n">
        <v>111.506</v>
      </c>
      <c r="O152" s="10" t="n">
        <v>0.1516538935080877</v>
      </c>
      <c r="P152" s="8" t="inlineStr">
        <is>
          <t>OK</t>
        </is>
      </c>
      <c r="Q152" s="10" t="n">
        <v>0.2022355859069752</v>
      </c>
      <c r="R152" s="10" t="n">
        <v>0.05058169239888746</v>
      </c>
      <c r="S152" s="13" t="n">
        <v>74.669</v>
      </c>
      <c r="T152" s="13" t="n">
        <v>9.465</v>
      </c>
      <c r="U152" s="13" t="n">
        <v>44.289</v>
      </c>
      <c r="V152" s="8" t="inlineStr">
        <is>
          <t>short-term + long-term</t>
        </is>
      </c>
      <c r="W152" s="13" t="n">
        <v>33.365</v>
      </c>
      <c r="X152" s="11" t="n">
        <v>1.043728457964933</v>
      </c>
      <c r="Y152" s="11" t="n">
        <v>9.893015030946065</v>
      </c>
      <c r="Z152" s="13" t="n">
        <v>21.96</v>
      </c>
      <c r="AA152" s="8" t="inlineStr">
        <is>
          <t>net income + D&amp;A - capex - change in operating working capital (cash and short-term debt excluded)</t>
        </is>
      </c>
      <c r="AB152" s="10" t="n">
        <v>0.04223677984944011</v>
      </c>
      <c r="AC152" s="10" t="n">
        <v>0.04304074041305878</v>
      </c>
      <c r="AD152" s="12" t="n">
        <v>8604000000</v>
      </c>
    </row>
    <row r="153">
      <c r="A153" s="8" t="inlineStr">
        <is>
          <t>WMT</t>
        </is>
      </c>
      <c r="B153" s="8" t="inlineStr">
        <is>
          <t>Walmart Inc.</t>
        </is>
      </c>
      <c r="C153" s="8" t="inlineStr">
        <is>
          <t>STANDARD</t>
        </is>
      </c>
      <c r="D153" s="8" t="n">
        <v>2020</v>
      </c>
      <c r="E153" s="8" t="inlineStr">
        <is>
          <t>2021-01-31</t>
        </is>
      </c>
      <c r="F153" s="8" t="inlineStr">
        <is>
          <t>0000104169-23-000020</t>
        </is>
      </c>
      <c r="G153" s="13" t="n">
        <v>555.2329999999999</v>
      </c>
      <c r="H153" s="13" t="n">
        <v>22.54</v>
      </c>
      <c r="I153" s="8" t="inlineStr">
        <is>
          <t>pretax_income + interest_expense</t>
        </is>
      </c>
      <c r="J153" s="13" t="n">
        <v>13.51</v>
      </c>
      <c r="K153" s="10" t="n">
        <v>0.3334954289048823</v>
      </c>
      <c r="L153" s="13" t="n">
        <v>15.02301303248395</v>
      </c>
      <c r="M153" s="13" t="n">
        <v>104.602</v>
      </c>
      <c r="N153" s="13" t="n">
        <v>107.0475</v>
      </c>
      <c r="O153" s="10" t="n">
        <v>0.1403396906278423</v>
      </c>
      <c r="P153" s="8" t="inlineStr">
        <is>
          <t>OK</t>
        </is>
      </c>
      <c r="Q153" s="10" t="n">
        <v>0.173657081892618</v>
      </c>
      <c r="R153" s="10" t="n">
        <v>0.03331739126477565</v>
      </c>
      <c r="S153" s="13" t="n">
        <v>80.925</v>
      </c>
      <c r="T153" s="13" t="n">
        <v>17.741</v>
      </c>
      <c r="U153" s="13" t="n">
        <v>41.418</v>
      </c>
      <c r="V153" s="8" t="inlineStr">
        <is>
          <t>short-term + long-term</t>
        </is>
      </c>
      <c r="W153" s="13" t="n">
        <v>33.692</v>
      </c>
      <c r="X153" s="11" t="n">
        <v>0.7027484269262733</v>
      </c>
      <c r="Y153" s="11" t="n">
        <v>11.40688259109312</v>
      </c>
      <c r="Z153" s="13" t="n">
        <v>9.619</v>
      </c>
      <c r="AA153" s="8" t="inlineStr">
        <is>
          <t>net income + D&amp;A - capex - change in operating working capital (cash and short-term debt excluded)</t>
        </is>
      </c>
      <c r="AB153" s="10" t="n">
        <v>0.01732425846446447</v>
      </c>
      <c r="AC153" s="10" t="n">
        <v>0.04059556978781881</v>
      </c>
      <c r="AD153" s="12" t="n">
        <v>8541000000</v>
      </c>
    </row>
    <row r="154">
      <c r="A154" s="8" t="inlineStr">
        <is>
          <t>WMT</t>
        </is>
      </c>
      <c r="B154" s="8" t="inlineStr">
        <is>
          <t>Walmart Inc.</t>
        </is>
      </c>
      <c r="C154" s="8" t="inlineStr">
        <is>
          <t>STANDARD</t>
        </is>
      </c>
      <c r="D154" s="8" t="n">
        <v>2021</v>
      </c>
      <c r="E154" s="8" t="inlineStr">
        <is>
          <t>2022-01-31</t>
        </is>
      </c>
      <c r="F154" s="8" t="inlineStr">
        <is>
          <t>0000104169-24-000056</t>
        </is>
      </c>
      <c r="G154" s="13" t="n">
        <v>567.7619999999999</v>
      </c>
      <c r="H154" s="13" t="n">
        <v>20.37</v>
      </c>
      <c r="I154" s="8" t="inlineStr">
        <is>
          <t>pretax_income + interest_expense</t>
        </is>
      </c>
      <c r="J154" s="13" t="n">
        <v>13.673</v>
      </c>
      <c r="K154" s="10" t="n">
        <v>0.2543859649122807</v>
      </c>
      <c r="L154" s="13" t="n">
        <v>15.18815789473684</v>
      </c>
      <c r="M154" s="13" t="n">
        <v>103.767</v>
      </c>
      <c r="N154" s="13" t="n">
        <v>104.1845</v>
      </c>
      <c r="O154" s="10" t="n">
        <v>0.1457813580209805</v>
      </c>
      <c r="P154" s="8" t="inlineStr">
        <is>
          <t>OK</t>
        </is>
      </c>
      <c r="Q154" s="10" t="n">
        <v>0.166563120515538</v>
      </c>
      <c r="R154" s="10" t="n">
        <v>0.02078176249455752</v>
      </c>
      <c r="S154" s="13" t="n">
        <v>83.253</v>
      </c>
      <c r="T154" s="13" t="n">
        <v>14.76</v>
      </c>
      <c r="U154" s="13" t="n">
        <v>35.274</v>
      </c>
      <c r="V154" s="8" t="inlineStr">
        <is>
          <t>short-term + long-term</t>
        </is>
      </c>
      <c r="W154" s="13" t="n">
        <v>31.028</v>
      </c>
      <c r="X154" s="11" t="n">
        <v>0.6611447724635813</v>
      </c>
      <c r="Y154" s="11" t="n">
        <v>12.16845878136201</v>
      </c>
      <c r="Z154" s="13" t="n">
        <v>11.789</v>
      </c>
      <c r="AA154" s="8" t="inlineStr">
        <is>
          <t>net income + D&amp;A - capex - change in operating working capital (cash and short-term debt excluded)</t>
        </is>
      </c>
      <c r="AB154" s="10" t="n">
        <v>0.02076398209108746</v>
      </c>
      <c r="AC154" s="10" t="n">
        <v>0.03587770932186374</v>
      </c>
      <c r="AD154" s="12" t="n">
        <v>25245000000</v>
      </c>
    </row>
    <row r="155">
      <c r="A155" s="8" t="inlineStr">
        <is>
          <t>WMT</t>
        </is>
      </c>
      <c r="B155" s="8" t="inlineStr">
        <is>
          <t>Walmart Inc.</t>
        </is>
      </c>
      <c r="C155" s="8" t="inlineStr">
        <is>
          <t>STANDARD</t>
        </is>
      </c>
      <c r="D155" s="8" t="n">
        <v>2022</v>
      </c>
      <c r="E155" s="8" t="inlineStr">
        <is>
          <t>2023-01-31</t>
        </is>
      </c>
      <c r="F155" s="8" t="inlineStr">
        <is>
          <t>0000104169-25-000021</t>
        </is>
      </c>
      <c r="G155" s="13" t="n">
        <v>605.881</v>
      </c>
      <c r="H155" s="13" t="n">
        <v>18.803</v>
      </c>
      <c r="I155" s="8" t="inlineStr">
        <is>
          <t>pretax_income + interest_expense</t>
        </is>
      </c>
      <c r="J155" s="13" t="n">
        <v>11.68</v>
      </c>
      <c r="K155" s="10" t="n">
        <v>0.3363892806770098</v>
      </c>
      <c r="L155" s="13" t="n">
        <v>12.47787235543018</v>
      </c>
      <c r="M155" s="13" t="n">
        <v>103.089</v>
      </c>
      <c r="N155" s="13" t="n">
        <v>103.428</v>
      </c>
      <c r="O155" s="10" t="n">
        <v>0.1206430788126057</v>
      </c>
      <c r="P155" s="8" t="inlineStr">
        <is>
          <t>OK</t>
        </is>
      </c>
      <c r="Q155" s="10" t="n">
        <v>0.1460492916359271</v>
      </c>
      <c r="R155" s="10" t="n">
        <v>0.02540621282332141</v>
      </c>
      <c r="S155" s="13" t="n">
        <v>76.693</v>
      </c>
      <c r="T155" s="13" t="n">
        <v>8.625</v>
      </c>
      <c r="U155" s="13" t="n">
        <v>35.021</v>
      </c>
      <c r="V155" s="8" t="inlineStr">
        <is>
          <t>short-term + long-term</t>
        </is>
      </c>
      <c r="W155" s="13" t="n">
        <v>29.748</v>
      </c>
      <c r="X155" s="11" t="n">
        <v>0.8873201559768724</v>
      </c>
      <c r="Y155" s="11" t="n">
        <v>10.52210408505876</v>
      </c>
      <c r="Z155" s="13" t="n">
        <v>9.904999999999999</v>
      </c>
      <c r="AA155" s="8" t="inlineStr">
        <is>
          <t>net income + D&amp;A - capex - change in operating working capital (cash and short-term debt excluded)</t>
        </is>
      </c>
      <c r="AB155" s="10" t="n">
        <v>0.0163480947578815</v>
      </c>
      <c r="AC155" s="10" t="n">
        <v>0.0310341469694544</v>
      </c>
      <c r="AD155" s="12" t="n">
        <v>24606000000</v>
      </c>
    </row>
    <row r="156">
      <c r="A156" s="8" t="inlineStr">
        <is>
          <t>WMT</t>
        </is>
      </c>
      <c r="B156" s="8" t="inlineStr">
        <is>
          <t>Walmart Inc.</t>
        </is>
      </c>
      <c r="C156" s="8" t="inlineStr">
        <is>
          <t>STANDARD</t>
        </is>
      </c>
      <c r="D156" s="8" t="n">
        <v>2023</v>
      </c>
      <c r="E156" s="8" t="inlineStr">
        <is>
          <t>2024-01-31</t>
        </is>
      </c>
      <c r="F156" s="8" t="inlineStr">
        <is>
          <t>0000104169-26-000055</t>
        </is>
      </c>
      <c r="G156" s="13" t="n">
        <v>642.6369999999999</v>
      </c>
      <c r="H156" s="13" t="n">
        <v>24.107</v>
      </c>
      <c r="I156" s="8" t="inlineStr">
        <is>
          <t>pretax_income + interest_expense</t>
        </is>
      </c>
      <c r="J156" s="13" t="n">
        <v>15.511</v>
      </c>
      <c r="K156" s="10" t="n">
        <v>0.2553094104723544</v>
      </c>
      <c r="L156" s="13" t="n">
        <v>17.95225604174295</v>
      </c>
      <c r="M156" s="13" t="n">
        <v>111.004</v>
      </c>
      <c r="N156" s="13" t="n">
        <v>107.0465</v>
      </c>
      <c r="O156" s="10" t="n">
        <v>0.1677052126108089</v>
      </c>
      <c r="P156" s="8" t="inlineStr">
        <is>
          <t>OK</t>
        </is>
      </c>
      <c r="Q156" s="10" t="n">
        <v>0.1932184810095046</v>
      </c>
      <c r="R156" s="10" t="n">
        <v>0.02551326839869572</v>
      </c>
      <c r="S156" s="13" t="n">
        <v>83.861</v>
      </c>
      <c r="T156" s="13" t="n">
        <v>9.867000000000001</v>
      </c>
      <c r="U156" s="13" t="n">
        <v>37.01</v>
      </c>
      <c r="V156" s="8" t="inlineStr">
        <is>
          <t>short-term + long-term</t>
        </is>
      </c>
      <c r="W156" s="13" t="n">
        <v>35.96</v>
      </c>
      <c r="X156" s="11" t="n">
        <v>0.7548109010011124</v>
      </c>
      <c r="Y156" s="11" t="n">
        <v>10.67153607791058</v>
      </c>
      <c r="Z156" s="13" t="n">
        <v>6.489</v>
      </c>
      <c r="AA156" s="8" t="inlineStr">
        <is>
          <t>net income + D&amp;A - capex - change in operating working capital (cash and short-term debt excluded)</t>
        </is>
      </c>
      <c r="AB156" s="10" t="n">
        <v>0.0100974578183329</v>
      </c>
      <c r="AC156" s="10" t="n">
        <v>0.03751262376738345</v>
      </c>
      <c r="AD156" s="12" t="n">
        <v>24324000000</v>
      </c>
    </row>
    <row r="157">
      <c r="A157" s="8" t="inlineStr">
        <is>
          <t>WMT</t>
        </is>
      </c>
      <c r="B157" s="8" t="inlineStr">
        <is>
          <t>Walmart Inc.</t>
        </is>
      </c>
      <c r="C157" s="8" t="inlineStr">
        <is>
          <t>STANDARD</t>
        </is>
      </c>
      <c r="D157" s="8" t="n">
        <v>2024</v>
      </c>
      <c r="E157" s="8" t="inlineStr">
        <is>
          <t>2025-01-31</t>
        </is>
      </c>
      <c r="F157" s="8" t="inlineStr">
        <is>
          <t>0000104169-26-000055</t>
        </is>
      </c>
      <c r="G157" s="13" t="n">
        <v>674.538</v>
      </c>
      <c r="H157" s="13" t="n">
        <v>28.558</v>
      </c>
      <c r="I157" s="8" t="inlineStr">
        <is>
          <t>pretax_income + interest_expense</t>
        </is>
      </c>
      <c r="J157" s="13" t="n">
        <v>19.436</v>
      </c>
      <c r="K157" s="10" t="n">
        <v>0.2338363297730814</v>
      </c>
      <c r="L157" s="13" t="n">
        <v>21.88010209434034</v>
      </c>
      <c r="M157" s="13" t="n">
        <v>118.445</v>
      </c>
      <c r="N157" s="13" t="n">
        <v>114.7245</v>
      </c>
      <c r="O157" s="10" t="n">
        <v>0.1907186528975096</v>
      </c>
      <c r="P157" s="8" t="inlineStr">
        <is>
          <t>OK</t>
        </is>
      </c>
      <c r="Q157" s="10" t="n">
        <v>0.222285760032938</v>
      </c>
      <c r="R157" s="10" t="n">
        <v>0.03156710713542843</v>
      </c>
      <c r="S157" s="13" t="n">
        <v>91.01300000000001</v>
      </c>
      <c r="T157" s="13" t="n">
        <v>9.037000000000001</v>
      </c>
      <c r="U157" s="13" t="n">
        <v>36.469</v>
      </c>
      <c r="V157" s="8" t="inlineStr">
        <is>
          <t>short-term + long-term</t>
        </is>
      </c>
      <c r="W157" s="13" t="n">
        <v>41.531</v>
      </c>
      <c r="X157" s="11" t="n">
        <v>0.660518648720233</v>
      </c>
      <c r="Y157" s="11" t="n">
        <v>12.6980880391285</v>
      </c>
      <c r="Z157" s="13" t="n">
        <v>7.194</v>
      </c>
      <c r="AA157" s="8" t="inlineStr">
        <is>
          <t>net income + D&amp;A - capex - change in operating working capital (cash and short-term debt excluded)</t>
        </is>
      </c>
      <c r="AB157" s="10" t="n">
        <v>0.01066507743077484</v>
      </c>
      <c r="AC157" s="10" t="n">
        <v>0.04233712555853043</v>
      </c>
      <c r="AD157" s="12" t="n">
        <v>8081000000</v>
      </c>
    </row>
    <row r="158">
      <c r="A158" s="8" t="inlineStr">
        <is>
          <t>WMT</t>
        </is>
      </c>
      <c r="B158" s="8" t="inlineStr">
        <is>
          <t>Walmart Inc.</t>
        </is>
      </c>
      <c r="C158" s="8" t="inlineStr">
        <is>
          <t>STANDARD</t>
        </is>
      </c>
      <c r="D158" s="8" t="n">
        <v>2025</v>
      </c>
      <c r="E158" s="8" t="inlineStr">
        <is>
          <t>2026-01-31</t>
        </is>
      </c>
      <c r="F158" s="8" t="inlineStr">
        <is>
          <t>0000104169-26-000055</t>
        </is>
      </c>
      <c r="G158" s="13" t="n">
        <v>706.413</v>
      </c>
      <c r="H158" s="13" t="n">
        <v>31.787</v>
      </c>
      <c r="I158" s="8" t="inlineStr">
        <is>
          <t>pretax_income + interest_expense</t>
        </is>
      </c>
      <c r="J158" s="13" t="n">
        <v>21.893</v>
      </c>
      <c r="K158" s="10" t="n">
        <v>0.2442906104720214</v>
      </c>
      <c r="L158" s="13" t="n">
        <v>24.02173436492586</v>
      </c>
      <c r="M158" s="13" t="n">
        <v>130.11</v>
      </c>
      <c r="N158" s="13" t="n">
        <v>124.2775</v>
      </c>
      <c r="O158" s="10" t="n">
        <v>0.1932910974627415</v>
      </c>
      <c r="P158" s="8" t="inlineStr">
        <is>
          <t>OK</t>
        </is>
      </c>
      <c r="Q158" s="10" t="n">
        <v>0.2296910244977181</v>
      </c>
      <c r="R158" s="10" t="n">
        <v>0.0363999270349766</v>
      </c>
      <c r="S158" s="13" t="n">
        <v>99.617</v>
      </c>
      <c r="T158" s="13" t="n">
        <v>10.727</v>
      </c>
      <c r="U158" s="13" t="n">
        <v>41.22</v>
      </c>
      <c r="V158" s="8" t="inlineStr">
        <is>
          <t>short-term + long-term</t>
        </is>
      </c>
      <c r="W158" s="13" t="n">
        <v>45.99</v>
      </c>
      <c r="X158" s="11" t="n">
        <v>0.6630354424874972</v>
      </c>
      <c r="Y158" s="11" t="n">
        <v>13.71311475409836</v>
      </c>
      <c r="Z158" s="13" t="n">
        <v>13.085</v>
      </c>
      <c r="AA158" s="8" t="inlineStr">
        <is>
          <t>net income + D&amp;A - capex - change in operating working capital (cash and short-term debt excluded)</t>
        </is>
      </c>
      <c r="AB158" s="10" t="n">
        <v>0.0185231585488942</v>
      </c>
      <c r="AC158" s="10" t="n">
        <v>0.04499775627005732</v>
      </c>
      <c r="AD158" s="12" t="n">
        <v>8022000000</v>
      </c>
    </row>
    <row r="159">
      <c r="A159" s="8" t="inlineStr">
        <is>
          <t>AMD</t>
        </is>
      </c>
      <c r="B159" s="8" t="inlineStr">
        <is>
          <t>ADVANCED MICRO DEVICES INC</t>
        </is>
      </c>
      <c r="C159" s="8" t="inlineStr">
        <is>
          <t>STANDARD</t>
        </is>
      </c>
      <c r="D159" s="8" t="n">
        <v>2014</v>
      </c>
      <c r="E159" s="8" t="inlineStr">
        <is>
          <t>2014-12-27</t>
        </is>
      </c>
      <c r="F159" s="8" t="inlineStr">
        <is>
          <t>0000002488-17-000043</t>
        </is>
      </c>
      <c r="G159" s="13" t="n"/>
      <c r="H159" s="13" t="n">
        <v>-0.221</v>
      </c>
      <c r="I159" s="8" t="inlineStr">
        <is>
          <t>pretax_income + interest_expense</t>
        </is>
      </c>
      <c r="J159" s="13" t="n">
        <v>-0.403</v>
      </c>
      <c r="K159" s="10" t="n">
        <v>0.21</v>
      </c>
      <c r="L159" s="13" t="n">
        <v>-0.17459</v>
      </c>
      <c r="M159" s="13" t="n">
        <v>1.579</v>
      </c>
      <c r="N159" s="13" t="n">
        <v>1.579</v>
      </c>
      <c r="O159" s="10" t="n">
        <v>-0.1105699810006333</v>
      </c>
      <c r="P159" s="8" t="inlineStr">
        <is>
          <t>OK</t>
        </is>
      </c>
      <c r="Q159" s="10" t="n">
        <v>-2.155080213903743</v>
      </c>
      <c r="R159" s="10" t="n">
        <v>-2.04451023290311</v>
      </c>
      <c r="S159" s="13" t="n">
        <v>0.187</v>
      </c>
      <c r="T159" s="13" t="n">
        <v>0.805</v>
      </c>
      <c r="U159" s="13" t="n">
        <v>2.197</v>
      </c>
      <c r="V159" s="8" t="inlineStr">
        <is>
          <t>short-term + long-term</t>
        </is>
      </c>
      <c r="W159" s="13" t="n">
        <v>-0.106</v>
      </c>
      <c r="X159" s="11" t="n">
        <v>-13.13207547169811</v>
      </c>
      <c r="Y159" s="11" t="n">
        <v>-1.248587570621469</v>
      </c>
      <c r="Z159" s="13" t="n">
        <v>-0.193</v>
      </c>
      <c r="AA159" s="8" t="inlineStr">
        <is>
          <t>operating cash flow - capex (working-capital swing already embedded)</t>
        </is>
      </c>
      <c r="AB159" s="10" t="n"/>
      <c r="AC159" s="10" t="n"/>
      <c r="AD159" s="12" t="n">
        <v>776000000</v>
      </c>
    </row>
    <row r="160">
      <c r="A160" s="8" t="inlineStr">
        <is>
          <t>AMD</t>
        </is>
      </c>
      <c r="B160" s="8" t="inlineStr">
        <is>
          <t>ADVANCED MICRO DEVICES INC</t>
        </is>
      </c>
      <c r="C160" s="8" t="inlineStr">
        <is>
          <t>STANDARD</t>
        </is>
      </c>
      <c r="D160" s="8" t="n">
        <v>2015</v>
      </c>
      <c r="E160" s="8" t="inlineStr">
        <is>
          <t>2015-12-26</t>
        </is>
      </c>
      <c r="F160" s="8" t="inlineStr">
        <is>
          <t>0000002488-18-000042</t>
        </is>
      </c>
      <c r="G160" s="13" t="n"/>
      <c r="H160" s="13" t="n">
        <v>-0.486</v>
      </c>
      <c r="I160" s="8" t="inlineStr">
        <is>
          <t>pretax_income + interest_expense</t>
        </is>
      </c>
      <c r="J160" s="13" t="n">
        <v>-0.66</v>
      </c>
      <c r="K160" s="10" t="n">
        <v>0.21</v>
      </c>
      <c r="L160" s="13" t="n">
        <v>-0.38394</v>
      </c>
      <c r="M160" s="13" t="n">
        <v>1.102</v>
      </c>
      <c r="N160" s="13" t="n">
        <v>1.3405</v>
      </c>
      <c r="O160" s="10" t="n">
        <v>-0.2864155165982842</v>
      </c>
      <c r="P160" s="8" t="inlineStr">
        <is>
          <t>OK</t>
        </is>
      </c>
      <c r="Q160" s="10" t="n">
        <v>8.098159509202453</v>
      </c>
      <c r="R160" s="10" t="n">
        <v>8.384575025800737</v>
      </c>
      <c r="S160" s="13" t="n">
        <v>-0.35</v>
      </c>
      <c r="T160" s="13" t="n">
        <v>0.785</v>
      </c>
      <c r="U160" s="13" t="n">
        <v>2.237</v>
      </c>
      <c r="V160" s="8" t="inlineStr">
        <is>
          <t>short-term + long-term</t>
        </is>
      </c>
      <c r="W160" s="13" t="n">
        <v>-0.392</v>
      </c>
      <c r="X160" s="11" t="n">
        <v>-3.704081632653061</v>
      </c>
      <c r="Y160" s="11" t="n">
        <v>-3.0375</v>
      </c>
      <c r="Z160" s="13" t="n">
        <v>-0.361</v>
      </c>
      <c r="AA160" s="8" t="inlineStr">
        <is>
          <t>net income + D&amp;A - capex - change in operating working capital (cash and short-term debt excluded)</t>
        </is>
      </c>
      <c r="AB160" s="10" t="n"/>
      <c r="AC160" s="10" t="n"/>
      <c r="AD160" s="12" t="n">
        <v>792000000</v>
      </c>
    </row>
    <row r="161">
      <c r="A161" s="8" t="inlineStr">
        <is>
          <t>AMD</t>
        </is>
      </c>
      <c r="B161" s="8" t="inlineStr">
        <is>
          <t>ADVANCED MICRO DEVICES INC</t>
        </is>
      </c>
      <c r="C161" s="8" t="inlineStr">
        <is>
          <t>STANDARD</t>
        </is>
      </c>
      <c r="D161" s="8" t="n">
        <v>2016</v>
      </c>
      <c r="E161" s="8" t="inlineStr">
        <is>
          <t>2016-12-31</t>
        </is>
      </c>
      <c r="F161" s="8" t="inlineStr">
        <is>
          <t>0000002488-19-000011</t>
        </is>
      </c>
      <c r="G161" s="13" t="n">
        <v>4.319</v>
      </c>
      <c r="H161" s="13" t="n">
        <v>-0.303</v>
      </c>
      <c r="I161" s="8" t="inlineStr">
        <is>
          <t>pretax_income + interest_expense</t>
        </is>
      </c>
      <c r="J161" s="13" t="n">
        <v>-0.498</v>
      </c>
      <c r="K161" s="10" t="n">
        <v>0.21</v>
      </c>
      <c r="L161" s="13" t="n">
        <v>-0.23937</v>
      </c>
      <c r="M161" s="13" t="n">
        <v>0.648</v>
      </c>
      <c r="N161" s="13" t="n">
        <v>0.875</v>
      </c>
      <c r="O161" s="10" t="n">
        <v>-0.2735657142857143</v>
      </c>
      <c r="P161" s="8" t="inlineStr">
        <is>
          <t>OK</t>
        </is>
      </c>
      <c r="Q161" s="10" t="n">
        <v>-7.84251968503937</v>
      </c>
      <c r="R161" s="10" t="n">
        <v>-7.568953970753656</v>
      </c>
      <c r="S161" s="13" t="n">
        <v>0.477</v>
      </c>
      <c r="T161" s="13" t="n">
        <v>1.264</v>
      </c>
      <c r="U161" s="13" t="n">
        <v>1.435</v>
      </c>
      <c r="V161" s="8" t="inlineStr">
        <is>
          <t>long-term only (no short-term debt tagged; read as nil)</t>
        </is>
      </c>
      <c r="W161" s="13" t="n">
        <v>-0.232</v>
      </c>
      <c r="X161" s="11" t="n">
        <v>-0.7370689655172413</v>
      </c>
      <c r="Y161" s="11" t="n">
        <v>-1.942307692307692</v>
      </c>
      <c r="Z161" s="13" t="n">
        <v>-0.062</v>
      </c>
      <c r="AA161" s="8" t="inlineStr">
        <is>
          <t>net income + D&amp;A - capex - change in operating working capital (cash and short-term debt excluded)</t>
        </is>
      </c>
      <c r="AB161" s="10" t="n">
        <v>-0.01435517480898356</v>
      </c>
      <c r="AC161" s="10" t="n">
        <v>-0.07015512850196805</v>
      </c>
      <c r="AD161" s="12" t="n">
        <v>935000000</v>
      </c>
    </row>
    <row r="162">
      <c r="A162" s="8" t="inlineStr">
        <is>
          <t>AMD</t>
        </is>
      </c>
      <c r="B162" s="8" t="inlineStr">
        <is>
          <t>ADVANCED MICRO DEVICES INC</t>
        </is>
      </c>
      <c r="C162" s="8" t="inlineStr">
        <is>
          <t>STANDARD</t>
        </is>
      </c>
      <c r="D162" s="8" t="n">
        <v>2017</v>
      </c>
      <c r="E162" s="8" t="inlineStr">
        <is>
          <t>2017-12-30</t>
        </is>
      </c>
      <c r="F162" s="8" t="inlineStr">
        <is>
          <t>0000002488-20-000008</t>
        </is>
      </c>
      <c r="G162" s="13" t="n">
        <v>5.253</v>
      </c>
      <c r="H162" s="13" t="n">
        <v>0.111</v>
      </c>
      <c r="I162" s="8" t="inlineStr">
        <is>
          <t>pretax_income + interest_expense</t>
        </is>
      </c>
      <c r="J162" s="13" t="n">
        <v>-0.033</v>
      </c>
      <c r="K162" s="10" t="n">
        <v>0.21</v>
      </c>
      <c r="L162" s="13" t="n">
        <v>0.08769</v>
      </c>
      <c r="M162" s="13" t="n">
        <v>0.736</v>
      </c>
      <c r="N162" s="13" t="n">
        <v>0.6919999999999999</v>
      </c>
      <c r="O162" s="10" t="n">
        <v>0.1267196531791908</v>
      </c>
      <c r="P162" s="8" t="inlineStr">
        <is>
          <t>OK</t>
        </is>
      </c>
      <c r="Q162" s="10" t="n">
        <v>-0.06150978564771668</v>
      </c>
      <c r="R162" s="10" t="n">
        <v>-0.1882294388269075</v>
      </c>
      <c r="S162" s="13" t="n">
        <v>0.596</v>
      </c>
      <c r="T162" s="13" t="n">
        <v>1.185</v>
      </c>
      <c r="U162" s="13" t="n">
        <v>1.325</v>
      </c>
      <c r="V162" s="8" t="inlineStr">
        <is>
          <t>long-term only (no short-term debt tagged; read as nil)</t>
        </is>
      </c>
      <c r="W162" s="13" t="n">
        <v>0.188</v>
      </c>
      <c r="X162" s="11" t="n">
        <v>0.7446808510638298</v>
      </c>
      <c r="Y162" s="11" t="n">
        <v>0.8809523809523809</v>
      </c>
      <c r="Z162" s="13" t="n">
        <v>-0.08500000000000001</v>
      </c>
      <c r="AA162" s="8" t="inlineStr">
        <is>
          <t>net income + D&amp;A - capex - change in operating working capital (cash and short-term debt excluded)</t>
        </is>
      </c>
      <c r="AB162" s="10" t="n">
        <v>-0.01618122977346278</v>
      </c>
      <c r="AC162" s="10" t="n">
        <v>0.0211307824100514</v>
      </c>
      <c r="AD162" s="12" t="n">
        <v>967000000</v>
      </c>
    </row>
    <row r="163">
      <c r="A163" s="8" t="inlineStr">
        <is>
          <t>AMD</t>
        </is>
      </c>
      <c r="B163" s="8" t="inlineStr">
        <is>
          <t>ADVANCED MICRO DEVICES INC</t>
        </is>
      </c>
      <c r="C163" s="8" t="inlineStr">
        <is>
          <t>STANDARD</t>
        </is>
      </c>
      <c r="D163" s="8" t="n">
        <v>2018</v>
      </c>
      <c r="E163" s="8" t="inlineStr">
        <is>
          <t>2018-12-29</t>
        </is>
      </c>
      <c r="F163" s="8" t="inlineStr">
        <is>
          <t>0001628280-21-001185</t>
        </is>
      </c>
      <c r="G163" s="13" t="n">
        <v>6.475</v>
      </c>
      <c r="H163" s="13" t="n">
        <v>0.449</v>
      </c>
      <c r="I163" s="8" t="inlineStr">
        <is>
          <t>pretax_income + interest_expense</t>
        </is>
      </c>
      <c r="J163" s="13" t="n">
        <v>0.337</v>
      </c>
      <c r="K163" s="10" t="n">
        <v>0.05</v>
      </c>
      <c r="L163" s="13" t="n">
        <v>0.42655</v>
      </c>
      <c r="M163" s="13" t="n">
        <v>1.302</v>
      </c>
      <c r="N163" s="13" t="n">
        <v>1.019</v>
      </c>
      <c r="O163" s="10" t="n">
        <v>0.4185966633954858</v>
      </c>
      <c r="P163" s="8" t="inlineStr">
        <is>
          <t>OK</t>
        </is>
      </c>
      <c r="Q163" s="10" t="n">
        <v>0.3619763694951665</v>
      </c>
      <c r="R163" s="10" t="n">
        <v>-0.05662029390031931</v>
      </c>
      <c r="S163" s="13" t="n">
        <v>1.266</v>
      </c>
      <c r="T163" s="13" t="n">
        <v>1.078</v>
      </c>
      <c r="U163" s="13" t="n">
        <v>1.114</v>
      </c>
      <c r="V163" s="8" t="inlineStr">
        <is>
          <t>long-term only (no short-term debt tagged; read as nil)</t>
        </is>
      </c>
      <c r="W163" s="13" t="n">
        <v>0.543</v>
      </c>
      <c r="X163" s="11" t="n">
        <v>0.06629834254143646</v>
      </c>
      <c r="Y163" s="11" t="n">
        <v>3.710743801652892</v>
      </c>
      <c r="Z163" s="13" t="n">
        <v>-0.274</v>
      </c>
      <c r="AA163" s="8" t="inlineStr">
        <is>
          <t>net income + D&amp;A - capex - change in operating working capital (cash and short-term debt excluded)</t>
        </is>
      </c>
      <c r="AB163" s="10" t="n">
        <v>-0.04231660231660232</v>
      </c>
      <c r="AC163" s="10" t="n">
        <v>0.06934362934362934</v>
      </c>
      <c r="AD163" s="12" t="n">
        <v>1005000000</v>
      </c>
    </row>
    <row r="164">
      <c r="A164" s="8" t="inlineStr">
        <is>
          <t>AMD</t>
        </is>
      </c>
      <c r="B164" s="8" t="inlineStr">
        <is>
          <t>ADVANCED MICRO DEVICES INC</t>
        </is>
      </c>
      <c r="C164" s="8" t="inlineStr">
        <is>
          <t>STANDARD</t>
        </is>
      </c>
      <c r="D164" s="8" t="n">
        <v>2019</v>
      </c>
      <c r="E164" s="8" t="inlineStr">
        <is>
          <t>2019-12-28</t>
        </is>
      </c>
      <c r="F164" s="8" t="inlineStr">
        <is>
          <t>0000002488-22-000016</t>
        </is>
      </c>
      <c r="G164" s="13" t="n">
        <v>6.731</v>
      </c>
      <c r="H164" s="13" t="n">
        <v>0.466</v>
      </c>
      <c r="I164" s="8" t="inlineStr">
        <is>
          <t>pretax_income + interest_expense</t>
        </is>
      </c>
      <c r="J164" s="13" t="n">
        <v>0.341</v>
      </c>
      <c r="K164" s="10" t="n">
        <v>0.08333333333333333</v>
      </c>
      <c r="L164" s="13" t="n">
        <v>0.4271666666666666</v>
      </c>
      <c r="M164" s="13" t="n">
        <v>1.847</v>
      </c>
      <c r="N164" s="13" t="n">
        <v>1.5745</v>
      </c>
      <c r="O164" s="10" t="n">
        <v>0.271303059172224</v>
      </c>
      <c r="P164" s="8" t="inlineStr">
        <is>
          <t>OK</t>
        </is>
      </c>
      <c r="Q164" s="10" t="n">
        <v>0.1666259467383338</v>
      </c>
      <c r="R164" s="10" t="n">
        <v>-0.1046771124338902</v>
      </c>
      <c r="S164" s="13" t="n">
        <v>2.827</v>
      </c>
      <c r="T164" s="13" t="n">
        <v>1.466</v>
      </c>
      <c r="U164" s="13" t="n">
        <v>0.486</v>
      </c>
      <c r="V164" s="8" t="inlineStr">
        <is>
          <t>long-term only (no short-term debt tagged; read as nil)</t>
        </is>
      </c>
      <c r="W164" s="13" t="n">
        <v>0.608</v>
      </c>
      <c r="X164" s="11" t="n">
        <v>-1.611842105263158</v>
      </c>
      <c r="Y164" s="11" t="n">
        <v>4.957446808510638</v>
      </c>
      <c r="Z164" s="13" t="n">
        <v>-0.028</v>
      </c>
      <c r="AA164" s="8" t="inlineStr">
        <is>
          <t>net income + D&amp;A - capex - change in operating working capital (cash and short-term debt excluded)</t>
        </is>
      </c>
      <c r="AB164" s="10" t="n">
        <v>-0.004159857376318526</v>
      </c>
      <c r="AC164" s="10" t="n">
        <v>0.06923191204872976</v>
      </c>
      <c r="AD164" s="12" t="n">
        <v>1170000000</v>
      </c>
    </row>
    <row r="165">
      <c r="A165" s="8" t="inlineStr">
        <is>
          <t>AMD</t>
        </is>
      </c>
      <c r="B165" s="8" t="inlineStr">
        <is>
          <t>ADVANCED MICRO DEVICES INC</t>
        </is>
      </c>
      <c r="C165" s="8" t="inlineStr">
        <is>
          <t>STANDARD</t>
        </is>
      </c>
      <c r="D165" s="8" t="n">
        <v>2020</v>
      </c>
      <c r="E165" s="8" t="inlineStr">
        <is>
          <t>2020-12-26</t>
        </is>
      </c>
      <c r="F165" s="8" t="inlineStr">
        <is>
          <t>0000002488-23-000047</t>
        </is>
      </c>
      <c r="G165" s="13" t="n">
        <v>9.763</v>
      </c>
      <c r="H165" s="13" t="n">
        <v>1.327</v>
      </c>
      <c r="I165" s="8" t="inlineStr">
        <is>
          <t>pretax_income + interest_expense</t>
        </is>
      </c>
      <c r="J165" s="13" t="n">
        <v>2.49</v>
      </c>
      <c r="K165" s="10" t="n">
        <v>0.05</v>
      </c>
      <c r="L165" s="13" t="n">
        <v>1.26065</v>
      </c>
      <c r="M165" s="13" t="n">
        <v>4.572</v>
      </c>
      <c r="N165" s="13" t="n">
        <v>3.2095</v>
      </c>
      <c r="O165" s="10" t="n">
        <v>0.392787038479514</v>
      </c>
      <c r="P165" s="8" t="inlineStr">
        <is>
          <t>OK</t>
        </is>
      </c>
      <c r="Q165" s="10" t="n">
        <v>0.574792243767313</v>
      </c>
      <c r="R165" s="10" t="n">
        <v>0.182005205287799</v>
      </c>
      <c r="S165" s="13" t="n">
        <v>5.837</v>
      </c>
      <c r="T165" s="13" t="n">
        <v>1.595</v>
      </c>
      <c r="U165" s="13" t="n">
        <v>0.33</v>
      </c>
      <c r="V165" s="8" t="inlineStr">
        <is>
          <t>short-term + long-term</t>
        </is>
      </c>
      <c r="W165" s="13" t="n">
        <v>1.544</v>
      </c>
      <c r="X165" s="11" t="n">
        <v>-0.8193005181347151</v>
      </c>
      <c r="Y165" s="11" t="n">
        <v>28.23404255319149</v>
      </c>
      <c r="Z165" s="13" t="n">
        <v>1.054</v>
      </c>
      <c r="AA165" s="8" t="inlineStr">
        <is>
          <t>net income + D&amp;A - capex - change in operating working capital (cash and short-term debt excluded)</t>
        </is>
      </c>
      <c r="AB165" s="10" t="n">
        <v>0.1079586192768616</v>
      </c>
      <c r="AC165" s="10" t="n">
        <v>0.1359213356550241</v>
      </c>
      <c r="AD165" s="12" t="n">
        <v>1211000000</v>
      </c>
    </row>
    <row r="166">
      <c r="A166" s="8" t="inlineStr">
        <is>
          <t>AMD</t>
        </is>
      </c>
      <c r="B166" s="8" t="inlineStr">
        <is>
          <t>ADVANCED MICRO DEVICES INC</t>
        </is>
      </c>
      <c r="C166" s="8" t="inlineStr">
        <is>
          <t>STANDARD</t>
        </is>
      </c>
      <c r="D166" s="8" t="n">
        <v>2021</v>
      </c>
      <c r="E166" s="8" t="inlineStr">
        <is>
          <t>2021-12-25</t>
        </is>
      </c>
      <c r="F166" s="8" t="inlineStr">
        <is>
          <t>0000002488-24-000012</t>
        </is>
      </c>
      <c r="G166" s="13" t="n">
        <v>16.434</v>
      </c>
      <c r="H166" s="13" t="n">
        <v>3.709</v>
      </c>
      <c r="I166" s="8" t="inlineStr">
        <is>
          <t>pretax_income + interest_expense</t>
        </is>
      </c>
      <c r="J166" s="13" t="n">
        <v>3.162</v>
      </c>
      <c r="K166" s="10" t="n">
        <v>0.1395918367346939</v>
      </c>
      <c r="L166" s="13" t="n">
        <v>3.19125387755102</v>
      </c>
      <c r="M166" s="13" t="n">
        <v>5.275</v>
      </c>
      <c r="N166" s="13" t="n">
        <v>4.9235</v>
      </c>
      <c r="O166" s="10" t="n">
        <v>0.648167741962226</v>
      </c>
      <c r="P166" s="8" t="inlineStr">
        <is>
          <t>OK</t>
        </is>
      </c>
      <c r="Q166" s="10" t="n">
        <v>0.4742762861856907</v>
      </c>
      <c r="R166" s="10" t="n">
        <v>-0.1738914557765353</v>
      </c>
      <c r="S166" s="13" t="n">
        <v>7.497</v>
      </c>
      <c r="T166" s="13" t="n">
        <v>2.535</v>
      </c>
      <c r="U166" s="13" t="n">
        <v>0.313</v>
      </c>
      <c r="V166" s="8" t="inlineStr">
        <is>
          <t>short-term + long-term</t>
        </is>
      </c>
      <c r="W166" s="13" t="n">
        <v>4.005</v>
      </c>
      <c r="X166" s="11" t="n">
        <v>-0.5548064918851435</v>
      </c>
      <c r="Y166" s="11" t="n">
        <v>109.0882352941177</v>
      </c>
      <c r="Z166" s="13" t="n">
        <v>3.168</v>
      </c>
      <c r="AA166" s="8" t="inlineStr">
        <is>
          <t>net income + D&amp;A - capex - change in operating working capital (cash and short-term debt excluded)</t>
        </is>
      </c>
      <c r="AB166" s="10" t="n">
        <v>0.1927710843373494</v>
      </c>
      <c r="AC166" s="10" t="n">
        <v>0.2256906413532919</v>
      </c>
      <c r="AD166" s="12" t="n">
        <v>1207000000</v>
      </c>
    </row>
    <row r="167">
      <c r="A167" s="8" t="inlineStr">
        <is>
          <t>AMD</t>
        </is>
      </c>
      <c r="B167" s="8" t="inlineStr">
        <is>
          <t>ADVANCED MICRO DEVICES INC</t>
        </is>
      </c>
      <c r="C167" s="8" t="inlineStr">
        <is>
          <t>STANDARD</t>
        </is>
      </c>
      <c r="D167" s="8" t="n">
        <v>2022</v>
      </c>
      <c r="E167" s="8" t="inlineStr">
        <is>
          <t>2022-12-31</t>
        </is>
      </c>
      <c r="F167" s="8" t="inlineStr">
        <is>
          <t>0000002488-25-000012</t>
        </is>
      </c>
      <c r="G167" s="13" t="n">
        <v>23.601</v>
      </c>
      <c r="H167" s="13" t="n">
        <v>1.286</v>
      </c>
      <c r="I167" s="8" t="inlineStr">
        <is>
          <t>pretax_income + interest_expense</t>
        </is>
      </c>
      <c r="J167" s="13" t="n">
        <v>1.32</v>
      </c>
      <c r="K167" s="10" t="n">
        <v>0.05</v>
      </c>
      <c r="L167" s="13" t="n">
        <v>1.2217</v>
      </c>
      <c r="M167" s="13" t="n">
        <v>52.382</v>
      </c>
      <c r="N167" s="13" t="n">
        <v>28.8285</v>
      </c>
      <c r="O167" s="10" t="n">
        <v>0.042378202126368</v>
      </c>
      <c r="P167" s="8" t="inlineStr">
        <is>
          <t>OK</t>
        </is>
      </c>
      <c r="Q167" s="10" t="n">
        <v>0.04241168249072244</v>
      </c>
      <c r="R167" s="10" t="n">
        <v>3.348036435443791e-05</v>
      </c>
      <c r="S167" s="13" t="n">
        <v>54.75</v>
      </c>
      <c r="T167" s="13" t="n">
        <v>4.835</v>
      </c>
      <c r="U167" s="13" t="n">
        <v>2.467</v>
      </c>
      <c r="V167" s="8" t="inlineStr">
        <is>
          <t>short-term + long-term</t>
        </is>
      </c>
      <c r="W167" s="13" t="n">
        <v>1.725</v>
      </c>
      <c r="X167" s="11" t="n">
        <v>-1.372753623188406</v>
      </c>
      <c r="Y167" s="11" t="n">
        <v>14.61363636363636</v>
      </c>
      <c r="Z167" s="13" t="n">
        <v>-0.386</v>
      </c>
      <c r="AA167" s="8" t="inlineStr">
        <is>
          <t>net income + D&amp;A - capex - change in operating working capital (cash and short-term debt excluded)</t>
        </is>
      </c>
      <c r="AB167" s="10" t="n">
        <v>-0.01635523918478031</v>
      </c>
      <c r="AC167" s="10" t="n">
        <v>0.0544892165586204</v>
      </c>
      <c r="AD167" s="12" t="n">
        <v>1612000000</v>
      </c>
    </row>
    <row r="168">
      <c r="A168" s="8" t="inlineStr">
        <is>
          <t>AMD</t>
        </is>
      </c>
      <c r="B168" s="8" t="inlineStr">
        <is>
          <t>ADVANCED MICRO DEVICES INC</t>
        </is>
      </c>
      <c r="C168" s="8" t="inlineStr">
        <is>
          <t>STANDARD</t>
        </is>
      </c>
      <c r="D168" s="8" t="n">
        <v>2023</v>
      </c>
      <c r="E168" s="8" t="inlineStr">
        <is>
          <t>2023-12-30</t>
        </is>
      </c>
      <c r="F168" s="8" t="inlineStr">
        <is>
          <t>0000002488-26-000018</t>
        </is>
      </c>
      <c r="G168" s="13" t="n">
        <v>22.68</v>
      </c>
      <c r="H168" s="13" t="n">
        <v>0.614</v>
      </c>
      <c r="I168" s="8" t="inlineStr">
        <is>
          <t>pretax_income + interest_expense</t>
        </is>
      </c>
      <c r="J168" s="13" t="n">
        <v>0.854</v>
      </c>
      <c r="K168" s="10" t="n">
        <v>0.05</v>
      </c>
      <c r="L168" s="13" t="n">
        <v>0.5833</v>
      </c>
      <c r="M168" s="13" t="n">
        <v>54.427</v>
      </c>
      <c r="N168" s="13" t="n">
        <v>53.4045</v>
      </c>
      <c r="O168" s="10" t="n">
        <v>0.01092230055519666</v>
      </c>
      <c r="P168" s="8" t="inlineStr">
        <is>
          <t>OK</t>
        </is>
      </c>
      <c r="Q168" s="10" t="n">
        <v>0.01543717575604201</v>
      </c>
      <c r="R168" s="10" t="n">
        <v>0.004514875200845351</v>
      </c>
      <c r="S168" s="13" t="n">
        <v>55.892</v>
      </c>
      <c r="T168" s="13" t="n">
        <v>3.933</v>
      </c>
      <c r="U168" s="13" t="n">
        <v>2.468</v>
      </c>
      <c r="V168" s="8" t="inlineStr">
        <is>
          <t>short-term + long-term</t>
        </is>
      </c>
      <c r="W168" s="13" t="n">
        <v>1.055</v>
      </c>
      <c r="X168" s="11" t="n">
        <v>-1.388625592417062</v>
      </c>
      <c r="Y168" s="11" t="n">
        <v>5.79245283018868</v>
      </c>
      <c r="Z168" s="13" t="n">
        <v>-2.333</v>
      </c>
      <c r="AA168" s="8" t="inlineStr">
        <is>
          <t>net income + D&amp;A - capex - change in operating working capital (cash and short-term debt excluded)</t>
        </is>
      </c>
      <c r="AB168" s="10" t="n">
        <v>-0.1028659611992945</v>
      </c>
      <c r="AC168" s="10" t="n">
        <v>0.02707231040564374</v>
      </c>
      <c r="AD168" s="12" t="n">
        <v>1616000000</v>
      </c>
    </row>
    <row r="169">
      <c r="A169" s="8" t="inlineStr">
        <is>
          <t>AMD</t>
        </is>
      </c>
      <c r="B169" s="8" t="inlineStr">
        <is>
          <t>ADVANCED MICRO DEVICES INC</t>
        </is>
      </c>
      <c r="C169" s="8" t="inlineStr">
        <is>
          <t>STANDARD</t>
        </is>
      </c>
      <c r="D169" s="8" t="n">
        <v>2024</v>
      </c>
      <c r="E169" s="8" t="inlineStr">
        <is>
          <t>2024-12-28</t>
        </is>
      </c>
      <c r="F169" s="8" t="inlineStr">
        <is>
          <t>0000002488-26-000018</t>
        </is>
      </c>
      <c r="G169" s="13" t="n">
        <v>25.785</v>
      </c>
      <c r="H169" s="13" t="n">
        <v>2.114</v>
      </c>
      <c r="I169" s="8" t="inlineStr">
        <is>
          <t>pretax_income + interest_expense</t>
        </is>
      </c>
      <c r="J169" s="13" t="n">
        <v>1.641</v>
      </c>
      <c r="K169" s="10" t="n">
        <v>0.1884272997032641</v>
      </c>
      <c r="L169" s="13" t="n">
        <v>1.7156646884273</v>
      </c>
      <c r="M169" s="13" t="n">
        <v>55.502</v>
      </c>
      <c r="N169" s="13" t="n">
        <v>54.9645</v>
      </c>
      <c r="O169" s="10" t="n">
        <v>0.03121405067684232</v>
      </c>
      <c r="P169" s="8" t="inlineStr">
        <is>
          <t>OK</t>
        </is>
      </c>
      <c r="Q169" s="10" t="n">
        <v>0.02892649391856161</v>
      </c>
      <c r="R169" s="10" t="n">
        <v>-0.002287556758280716</v>
      </c>
      <c r="S169" s="13" t="n">
        <v>57.568</v>
      </c>
      <c r="T169" s="13" t="n">
        <v>3.787</v>
      </c>
      <c r="U169" s="13" t="n">
        <v>1.721</v>
      </c>
      <c r="V169" s="8" t="inlineStr">
        <is>
          <t>short-term + long-term</t>
        </is>
      </c>
      <c r="W169" s="13" t="n">
        <v>2.568</v>
      </c>
      <c r="X169" s="11" t="n">
        <v>-0.8045171339563862</v>
      </c>
      <c r="Y169" s="11" t="n">
        <v>22.97826086956522</v>
      </c>
      <c r="Z169" s="13" t="n">
        <v>0.375</v>
      </c>
      <c r="AA169" s="8" t="inlineStr">
        <is>
          <t>net income + D&amp;A - capex - change in operating working capital (cash and short-term debt excluded)</t>
        </is>
      </c>
      <c r="AB169" s="10" t="n">
        <v>0.01454333915066899</v>
      </c>
      <c r="AC169" s="10" t="n">
        <v>0.08198565057203801</v>
      </c>
      <c r="AD169" s="12" t="n">
        <v>1622000000</v>
      </c>
    </row>
    <row r="170">
      <c r="A170" s="8" t="inlineStr">
        <is>
          <t>AMD</t>
        </is>
      </c>
      <c r="B170" s="8" t="inlineStr">
        <is>
          <t>ADVANCED MICRO DEVICES INC</t>
        </is>
      </c>
      <c r="C170" s="8" t="inlineStr">
        <is>
          <t>STANDARD</t>
        </is>
      </c>
      <c r="D170" s="8" t="n">
        <v>2025</v>
      </c>
      <c r="E170" s="8" t="inlineStr">
        <is>
          <t>2025-12-27</t>
        </is>
      </c>
      <c r="F170" s="8" t="inlineStr">
        <is>
          <t>0000002488-26-000018</t>
        </is>
      </c>
      <c r="G170" s="13" t="n">
        <v>34.639</v>
      </c>
      <c r="H170" s="13" t="n">
        <v>4.297</v>
      </c>
      <c r="I170" s="8" t="inlineStr">
        <is>
          <t>pretax_income + interest_expense</t>
        </is>
      </c>
      <c r="J170" s="13" t="n">
        <v>4.335</v>
      </c>
      <c r="K170" s="10" t="n">
        <v>0.05</v>
      </c>
      <c r="L170" s="13" t="n">
        <v>4.08215</v>
      </c>
      <c r="M170" s="13" t="n">
        <v>60.682</v>
      </c>
      <c r="N170" s="13" t="n">
        <v>58.092</v>
      </c>
      <c r="O170" s="10" t="n">
        <v>0.07027043310610756</v>
      </c>
      <c r="P170" s="8" t="inlineStr">
        <is>
          <t>OK</t>
        </is>
      </c>
      <c r="Q170" s="10" t="n">
        <v>0.07191022419069895</v>
      </c>
      <c r="R170" s="10" t="n">
        <v>0.001639791084591391</v>
      </c>
      <c r="S170" s="13" t="n">
        <v>62.999</v>
      </c>
      <c r="T170" s="13" t="n">
        <v>5.539</v>
      </c>
      <c r="U170" s="13" t="n">
        <v>3.222</v>
      </c>
      <c r="V170" s="8" t="inlineStr">
        <is>
          <t>short-term + long-term</t>
        </is>
      </c>
      <c r="W170" s="13" t="n">
        <v>4.818</v>
      </c>
      <c r="X170" s="11" t="n">
        <v>-0.4809049398090494</v>
      </c>
      <c r="Y170" s="11" t="n">
        <v>32.80152671755725</v>
      </c>
      <c r="Z170" s="13" t="n">
        <v>-0.964</v>
      </c>
      <c r="AA170" s="8" t="inlineStr">
        <is>
          <t>net income + D&amp;A - capex - change in operating working capital (cash and short-term debt excluded)</t>
        </is>
      </c>
      <c r="AB170" s="10" t="n">
        <v>-0.02782990271081729</v>
      </c>
      <c r="AC170" s="10" t="n">
        <v>0.1240509252576576</v>
      </c>
      <c r="AD170" s="12" t="n">
        <v>1630000000</v>
      </c>
    </row>
    <row r="171">
      <c r="A171" s="8" t="inlineStr">
        <is>
          <t>V</t>
        </is>
      </c>
      <c r="B171" s="8" t="inlineStr">
        <is>
          <t>VISA INC.</t>
        </is>
      </c>
      <c r="C171" s="8" t="inlineStr">
        <is>
          <t>STANDARD</t>
        </is>
      </c>
      <c r="D171" s="8" t="n">
        <v>2014</v>
      </c>
      <c r="E171" s="8" t="inlineStr">
        <is>
          <t>2014-09-30</t>
        </is>
      </c>
      <c r="F171" s="8" t="inlineStr">
        <is>
          <t>0001403161-16-000058</t>
        </is>
      </c>
      <c r="G171" s="13" t="n"/>
      <c r="H171" s="13" t="n">
        <v>7.697</v>
      </c>
      <c r="I171" s="8" t="inlineStr">
        <is>
          <t>reported OperatingIncomeLoss (no interest expense tagged)</t>
        </is>
      </c>
      <c r="J171" s="13" t="n">
        <v>5.438</v>
      </c>
      <c r="K171" s="10" t="n">
        <v>0.21</v>
      </c>
      <c r="L171" s="13" t="n">
        <v>6.08063</v>
      </c>
      <c r="M171" s="13" t="n"/>
      <c r="N171" s="13" t="n"/>
      <c r="O171" s="10" t="n"/>
      <c r="P171" s="8" t="inlineStr">
        <is>
          <t>DATA_UNAVAILABLE</t>
        </is>
      </c>
      <c r="Q171" s="10" t="n">
        <v>0.1983730346915697</v>
      </c>
      <c r="R171" s="10" t="n"/>
      <c r="S171" s="13" t="n">
        <v>27.413</v>
      </c>
      <c r="T171" s="13" t="n">
        <v>1.971</v>
      </c>
      <c r="U171" s="13" t="n"/>
      <c r="V171" s="8" t="inlineStr">
        <is>
          <t>DATA_UNAVAILABLE</t>
        </is>
      </c>
      <c r="W171" s="13" t="n">
        <v>8.132</v>
      </c>
      <c r="X171" s="11" t="n"/>
      <c r="Y171" s="11" t="n"/>
      <c r="Z171" s="13" t="n">
        <v>6.652</v>
      </c>
      <c r="AA171" s="8" t="inlineStr">
        <is>
          <t>operating cash flow - capex (working-capital swing already embedded)</t>
        </is>
      </c>
      <c r="AB171" s="10" t="n"/>
      <c r="AC171" s="10" t="n"/>
      <c r="AD171" s="12" t="n"/>
    </row>
    <row r="172">
      <c r="A172" s="8" t="inlineStr">
        <is>
          <t>V</t>
        </is>
      </c>
      <c r="B172" s="8" t="inlineStr">
        <is>
          <t>VISA INC.</t>
        </is>
      </c>
      <c r="C172" s="8" t="inlineStr">
        <is>
          <t>STANDARD</t>
        </is>
      </c>
      <c r="D172" s="8" t="n">
        <v>2015</v>
      </c>
      <c r="E172" s="8" t="inlineStr">
        <is>
          <t>2015-09-30</t>
        </is>
      </c>
      <c r="F172" s="8" t="inlineStr">
        <is>
          <t>0001403161-17-000044</t>
        </is>
      </c>
      <c r="G172" s="13" t="n"/>
      <c r="H172" s="13" t="n">
        <v>9.064</v>
      </c>
      <c r="I172" s="8" t="inlineStr">
        <is>
          <t>reported OperatingIncomeLoss (no interest expense tagged)</t>
        </is>
      </c>
      <c r="J172" s="13" t="n">
        <v>6.328</v>
      </c>
      <c r="K172" s="10" t="n">
        <v>0.2964980544747082</v>
      </c>
      <c r="L172" s="13" t="n">
        <v>6.376541634241244</v>
      </c>
      <c r="M172" s="13" t="n"/>
      <c r="N172" s="13" t="n"/>
      <c r="O172" s="10" t="n"/>
      <c r="P172" s="8" t="inlineStr">
        <is>
          <t>DATA_UNAVAILABLE</t>
        </is>
      </c>
      <c r="Q172" s="10" t="n">
        <v>0.2210461968387041</v>
      </c>
      <c r="R172" s="10" t="n"/>
      <c r="S172" s="13" t="n">
        <v>29.842</v>
      </c>
      <c r="T172" s="13" t="n">
        <v>3.518</v>
      </c>
      <c r="U172" s="13" t="n"/>
      <c r="V172" s="8" t="inlineStr">
        <is>
          <t>DATA_UNAVAILABLE</t>
        </is>
      </c>
      <c r="W172" s="13" t="n">
        <v>9.558</v>
      </c>
      <c r="X172" s="11" t="n"/>
      <c r="Y172" s="11" t="n"/>
      <c r="Z172" s="13" t="n">
        <v>6.845</v>
      </c>
      <c r="AA172" s="8" t="inlineStr">
        <is>
          <t>net income + D&amp;A - capex - change in operating working capital (cash and short-term debt excluded)</t>
        </is>
      </c>
      <c r="AB172" s="10" t="n"/>
      <c r="AC172" s="10" t="n"/>
      <c r="AD172" s="12" t="n"/>
    </row>
    <row r="173">
      <c r="A173" s="8" t="inlineStr">
        <is>
          <t>V</t>
        </is>
      </c>
      <c r="B173" s="8" t="inlineStr">
        <is>
          <t>VISA INC.</t>
        </is>
      </c>
      <c r="C173" s="8" t="inlineStr">
        <is>
          <t>STANDARD</t>
        </is>
      </c>
      <c r="D173" s="8" t="n">
        <v>2016</v>
      </c>
      <c r="E173" s="8" t="inlineStr">
        <is>
          <t>2016-09-30</t>
        </is>
      </c>
      <c r="F173" s="8" t="inlineStr">
        <is>
          <t>0001403161-18-000055</t>
        </is>
      </c>
      <c r="G173" s="13" t="n"/>
      <c r="H173" s="13" t="n">
        <v>7.883</v>
      </c>
      <c r="I173" s="8" t="inlineStr">
        <is>
          <t>reported OperatingIncomeLoss (no interest expense tagged)</t>
        </is>
      </c>
      <c r="J173" s="13" t="n">
        <v>5.991</v>
      </c>
      <c r="K173" s="10" t="n">
        <v>0.2522466300549176</v>
      </c>
      <c r="L173" s="13" t="n">
        <v>5.894539815277085</v>
      </c>
      <c r="M173" s="13" t="n">
        <v>27.293</v>
      </c>
      <c r="N173" s="13" t="n">
        <v>27.293</v>
      </c>
      <c r="O173" s="10" t="n">
        <v>0.2159725869372031</v>
      </c>
      <c r="P173" s="8" t="inlineStr">
        <is>
          <t>OK</t>
        </is>
      </c>
      <c r="Q173" s="10" t="n">
        <v>0.1909360359498996</v>
      </c>
      <c r="R173" s="10" t="n">
        <v>-0.02503655098730354</v>
      </c>
      <c r="S173" s="13" t="n">
        <v>32.912</v>
      </c>
      <c r="T173" s="13" t="n">
        <v>5.619</v>
      </c>
      <c r="U173" s="13" t="n">
        <v>0</v>
      </c>
      <c r="V173" s="8" t="inlineStr">
        <is>
          <t>short-term only (no long-term debt tagged; read as nil)</t>
        </is>
      </c>
      <c r="W173" s="13" t="n">
        <v>8.385</v>
      </c>
      <c r="X173" s="11" t="n">
        <v>-0.6701252236135957</v>
      </c>
      <c r="Y173" s="11" t="n"/>
      <c r="Z173" s="13" t="n">
        <v>6.47</v>
      </c>
      <c r="AA173" s="8" t="inlineStr">
        <is>
          <t>net income + D&amp;A - capex - change in operating working capital (cash and short-term debt excluded)</t>
        </is>
      </c>
      <c r="AB173" s="10" t="n"/>
      <c r="AC173" s="10" t="n"/>
      <c r="AD173" s="12" t="n"/>
    </row>
    <row r="174">
      <c r="A174" s="8" t="inlineStr">
        <is>
          <t>V</t>
        </is>
      </c>
      <c r="B174" s="8" t="inlineStr">
        <is>
          <t>VISA INC.</t>
        </is>
      </c>
      <c r="C174" s="8" t="inlineStr">
        <is>
          <t>STANDARD</t>
        </is>
      </c>
      <c r="D174" s="8" t="n">
        <v>2017</v>
      </c>
      <c r="E174" s="8" t="inlineStr">
        <is>
          <t>2017-09-30</t>
        </is>
      </c>
      <c r="F174" s="8" t="inlineStr">
        <is>
          <t>0001403161-19-000050</t>
        </is>
      </c>
      <c r="G174" s="13" t="n"/>
      <c r="H174" s="13" t="n">
        <v>12.144</v>
      </c>
      <c r="I174" s="8" t="inlineStr">
        <is>
          <t>reported OperatingIncomeLoss (no interest expense tagged)</t>
        </is>
      </c>
      <c r="J174" s="13" t="n">
        <v>6.699</v>
      </c>
      <c r="K174" s="10" t="n">
        <v>0.4</v>
      </c>
      <c r="L174" s="13" t="n">
        <v>7.2864</v>
      </c>
      <c r="M174" s="13" t="n">
        <v>24.635</v>
      </c>
      <c r="N174" s="13" t="n">
        <v>25.964</v>
      </c>
      <c r="O174" s="10" t="n">
        <v>0.2806347250038515</v>
      </c>
      <c r="P174" s="8" t="inlineStr">
        <is>
          <t>OK</t>
        </is>
      </c>
      <c r="Q174" s="10" t="n">
        <v>0.2040138871969789</v>
      </c>
      <c r="R174" s="10" t="n">
        <v>-0.07662083780687257</v>
      </c>
      <c r="S174" s="13" t="n">
        <v>32.76</v>
      </c>
      <c r="T174" s="13" t="n">
        <v>9.874000000000001</v>
      </c>
      <c r="U174" s="13" t="n">
        <v>1.749</v>
      </c>
      <c r="V174" s="8" t="inlineStr">
        <is>
          <t>short-term only (no long-term debt tagged; read as nil)</t>
        </is>
      </c>
      <c r="W174" s="13" t="n">
        <v>12.7</v>
      </c>
      <c r="X174" s="11" t="n">
        <v>-0.639763779527559</v>
      </c>
      <c r="Y174" s="11" t="n"/>
      <c r="Z174" s="13" t="n">
        <v>6.292</v>
      </c>
      <c r="AA174" s="8" t="inlineStr">
        <is>
          <t>net income + D&amp;A - capex - change in operating working capital (cash and short-term debt excluded)</t>
        </is>
      </c>
      <c r="AB174" s="10" t="n"/>
      <c r="AC174" s="10" t="n"/>
      <c r="AD174" s="12" t="n"/>
    </row>
    <row r="175">
      <c r="A175" s="8" t="inlineStr">
        <is>
          <t>V</t>
        </is>
      </c>
      <c r="B175" s="8" t="inlineStr">
        <is>
          <t>VISA INC.</t>
        </is>
      </c>
      <c r="C175" s="8" t="inlineStr">
        <is>
          <t>STANDARD</t>
        </is>
      </c>
      <c r="D175" s="8" t="n">
        <v>2018</v>
      </c>
      <c r="E175" s="8" t="inlineStr">
        <is>
          <t>2018-09-30</t>
        </is>
      </c>
      <c r="F175" s="8" t="inlineStr">
        <is>
          <t>0001403161-20-000070</t>
        </is>
      </c>
      <c r="G175" s="13" t="n"/>
      <c r="H175" s="13" t="n">
        <v>12.954</v>
      </c>
      <c r="I175" s="8" t="inlineStr">
        <is>
          <t>reported OperatingIncomeLoss (no interest expense tagged)</t>
        </is>
      </c>
      <c r="J175" s="13" t="n">
        <v>10.301</v>
      </c>
      <c r="K175" s="10" t="n">
        <v>0.1956114321411838</v>
      </c>
      <c r="L175" s="13" t="n">
        <v>10.42004950804311</v>
      </c>
      <c r="M175" s="13" t="n">
        <v>25.844</v>
      </c>
      <c r="N175" s="13" t="n">
        <v>25.2395</v>
      </c>
      <c r="O175" s="10" t="n">
        <v>0.4128469069531133</v>
      </c>
      <c r="P175" s="8" t="inlineStr">
        <is>
          <t>OK</t>
        </is>
      </c>
      <c r="Q175" s="10" t="n">
        <v>0.3085702303567684</v>
      </c>
      <c r="R175" s="10" t="n">
        <v>-0.1042766765963449</v>
      </c>
      <c r="S175" s="13" t="n">
        <v>34.006</v>
      </c>
      <c r="T175" s="13" t="n">
        <v>8.162000000000001</v>
      </c>
      <c r="U175" s="13" t="n">
        <v>0</v>
      </c>
      <c r="V175" s="8" t="inlineStr">
        <is>
          <t>short-term only (no long-term debt tagged; read as nil)</t>
        </is>
      </c>
      <c r="W175" s="13" t="n">
        <v>13.567</v>
      </c>
      <c r="X175" s="11" t="n">
        <v>-0.6016068401267782</v>
      </c>
      <c r="Y175" s="11" t="n"/>
      <c r="Z175" s="13" t="n">
        <v>12.351</v>
      </c>
      <c r="AA175" s="8" t="inlineStr">
        <is>
          <t>net income + D&amp;A - capex - change in operating working capital (cash and short-term debt excluded)</t>
        </is>
      </c>
      <c r="AB175" s="10" t="n"/>
      <c r="AC175" s="10" t="n"/>
      <c r="AD175" s="12" t="n"/>
    </row>
    <row r="176">
      <c r="A176" s="8" t="inlineStr">
        <is>
          <t>V</t>
        </is>
      </c>
      <c r="B176" s="8" t="inlineStr">
        <is>
          <t>VISA INC.</t>
        </is>
      </c>
      <c r="C176" s="8" t="inlineStr">
        <is>
          <t>STANDARD</t>
        </is>
      </c>
      <c r="D176" s="8" t="n">
        <v>2019</v>
      </c>
      <c r="E176" s="8" t="inlineStr">
        <is>
          <t>2019-09-30</t>
        </is>
      </c>
      <c r="F176" s="8" t="inlineStr">
        <is>
          <t>0001403161-21-000060</t>
        </is>
      </c>
      <c r="G176" s="13" t="n">
        <v>22.977</v>
      </c>
      <c r="H176" s="13" t="n">
        <v>15.001</v>
      </c>
      <c r="I176" s="8" t="inlineStr">
        <is>
          <t>reported OperatingIncomeLoss (no interest expense tagged)</t>
        </is>
      </c>
      <c r="J176" s="13" t="n">
        <v>12.08</v>
      </c>
      <c r="K176" s="10" t="n">
        <v>0.1883902176834184</v>
      </c>
      <c r="L176" s="13" t="n">
        <v>12.17495834453104</v>
      </c>
      <c r="M176" s="13" t="n">
        <v>43.575</v>
      </c>
      <c r="N176" s="13" t="n">
        <v>34.7095</v>
      </c>
      <c r="O176" s="10" t="n">
        <v>0.3507673214690802</v>
      </c>
      <c r="P176" s="8" t="inlineStr">
        <is>
          <t>OK</t>
        </is>
      </c>
      <c r="Q176" s="10" t="n">
        <v>0.3517251419420585</v>
      </c>
      <c r="R176" s="10" t="n">
        <v>0.0009578204729782658</v>
      </c>
      <c r="S176" s="13" t="n">
        <v>34.684</v>
      </c>
      <c r="T176" s="13" t="n">
        <v>7.838</v>
      </c>
      <c r="U176" s="13" t="n">
        <v>16.729</v>
      </c>
      <c r="V176" s="8" t="inlineStr">
        <is>
          <t>short-term + long-term</t>
        </is>
      </c>
      <c r="W176" s="13" t="n">
        <v>15.657</v>
      </c>
      <c r="X176" s="11" t="n">
        <v>0.5678610206297503</v>
      </c>
      <c r="Y176" s="11" t="n"/>
      <c r="Z176" s="13" t="n">
        <v>11.012</v>
      </c>
      <c r="AA176" s="8" t="inlineStr">
        <is>
          <t>net income + D&amp;A - capex - change in operating working capital (cash and short-term debt excluded)</t>
        </is>
      </c>
      <c r="AB176" s="10" t="n">
        <v>0.4792618705662184</v>
      </c>
      <c r="AC176" s="10" t="n">
        <v>0.6528702615659138</v>
      </c>
      <c r="AD176" s="12" t="n"/>
    </row>
    <row r="177">
      <c r="A177" s="8" t="inlineStr">
        <is>
          <t>V</t>
        </is>
      </c>
      <c r="B177" s="8" t="inlineStr">
        <is>
          <t>VISA INC.</t>
        </is>
      </c>
      <c r="C177" s="8" t="inlineStr">
        <is>
          <t>STANDARD</t>
        </is>
      </c>
      <c r="D177" s="8" t="n">
        <v>2020</v>
      </c>
      <c r="E177" s="8" t="inlineStr">
        <is>
          <t>2020-09-30</t>
        </is>
      </c>
      <c r="F177" s="8" t="inlineStr">
        <is>
          <t>0001403161-22-000081</t>
        </is>
      </c>
      <c r="G177" s="13" t="n">
        <v>21.846</v>
      </c>
      <c r="H177" s="13" t="n">
        <v>14.081</v>
      </c>
      <c r="I177" s="8" t="inlineStr">
        <is>
          <t>reported OperatingIncomeLoss (no interest expense tagged)</t>
        </is>
      </c>
      <c r="J177" s="13" t="n">
        <v>10.866</v>
      </c>
      <c r="K177" s="10" t="n">
        <v>0.212037708484409</v>
      </c>
      <c r="L177" s="13" t="n">
        <v>11.09529702683104</v>
      </c>
      <c r="M177" s="13" t="n">
        <v>43.991</v>
      </c>
      <c r="N177" s="13" t="n">
        <v>43.783</v>
      </c>
      <c r="O177" s="10" t="n">
        <v>0.2534156413866349</v>
      </c>
      <c r="P177" s="8" t="inlineStr">
        <is>
          <t>OK</t>
        </is>
      </c>
      <c r="Q177" s="10" t="n">
        <v>0.3065421615369425</v>
      </c>
      <c r="R177" s="10" t="n">
        <v>0.05312652015030755</v>
      </c>
      <c r="S177" s="13" t="n">
        <v>36.21</v>
      </c>
      <c r="T177" s="13" t="n">
        <v>16.289</v>
      </c>
      <c r="U177" s="13" t="n">
        <v>24.07</v>
      </c>
      <c r="V177" s="8" t="inlineStr">
        <is>
          <t>short-term + long-term</t>
        </is>
      </c>
      <c r="W177" s="13" t="n">
        <v>14.848</v>
      </c>
      <c r="X177" s="11" t="n">
        <v>0.5240436422413793</v>
      </c>
      <c r="Y177" s="11" t="n"/>
      <c r="Z177" s="13" t="n">
        <v>10.769</v>
      </c>
      <c r="AA177" s="8" t="inlineStr">
        <is>
          <t>net income + D&amp;A - capex - change in operating working capital (cash and short-term debt excluded)</t>
        </is>
      </c>
      <c r="AB177" s="10" t="n">
        <v>0.4929506545820745</v>
      </c>
      <c r="AC177" s="10" t="n">
        <v>0.6445573560377186</v>
      </c>
      <c r="AD177" s="12" t="n"/>
    </row>
    <row r="178">
      <c r="A178" s="8" t="inlineStr">
        <is>
          <t>V</t>
        </is>
      </c>
      <c r="B178" s="8" t="inlineStr">
        <is>
          <t>VISA INC.</t>
        </is>
      </c>
      <c r="C178" s="8" t="inlineStr">
        <is>
          <t>STANDARD</t>
        </is>
      </c>
      <c r="D178" s="8" t="n">
        <v>2021</v>
      </c>
      <c r="E178" s="8" t="inlineStr">
        <is>
          <t>2021-09-30</t>
        </is>
      </c>
      <c r="F178" s="8" t="inlineStr">
        <is>
          <t>0001403161-23-000099</t>
        </is>
      </c>
      <c r="G178" s="13" t="n">
        <v>24.105</v>
      </c>
      <c r="H178" s="13" t="n">
        <v>15.804</v>
      </c>
      <c r="I178" s="8" t="inlineStr">
        <is>
          <t>reported OperatingIncomeLoss (no interest expense tagged)</t>
        </is>
      </c>
      <c r="J178" s="13" t="n">
        <v>12.311</v>
      </c>
      <c r="K178" s="10" t="n">
        <v>0.2335802776567266</v>
      </c>
      <c r="L178" s="13" t="n">
        <v>12.11249729191309</v>
      </c>
      <c r="M178" s="13" t="n">
        <v>42.079</v>
      </c>
      <c r="N178" s="13" t="n">
        <v>43.035</v>
      </c>
      <c r="O178" s="10" t="n">
        <v>0.2814568907148389</v>
      </c>
      <c r="P178" s="8" t="inlineStr">
        <is>
          <t>OK</t>
        </is>
      </c>
      <c r="Q178" s="10" t="n">
        <v>0.3336359571267903</v>
      </c>
      <c r="R178" s="10" t="n">
        <v>0.05217906641195147</v>
      </c>
      <c r="S178" s="13" t="n">
        <v>37.589</v>
      </c>
      <c r="T178" s="13" t="n">
        <v>16.487</v>
      </c>
      <c r="U178" s="13" t="n">
        <v>20.977</v>
      </c>
      <c r="V178" s="8" t="inlineStr">
        <is>
          <t>short-term + long-term</t>
        </is>
      </c>
      <c r="W178" s="13" t="n">
        <v>16.608</v>
      </c>
      <c r="X178" s="11" t="n">
        <v>0.2703516377649325</v>
      </c>
      <c r="Y178" s="11" t="n"/>
      <c r="Z178" s="13" t="n">
        <v>15.875</v>
      </c>
      <c r="AA178" s="8" t="inlineStr">
        <is>
          <t>net income + D&amp;A - capex - change in operating working capital (cash and short-term debt excluded)</t>
        </is>
      </c>
      <c r="AB178" s="10" t="n">
        <v>0.6585770587015142</v>
      </c>
      <c r="AC178" s="10" t="n">
        <v>0.6556316116988177</v>
      </c>
      <c r="AD178" s="12" t="n"/>
    </row>
    <row r="179">
      <c r="A179" s="8" t="inlineStr">
        <is>
          <t>V</t>
        </is>
      </c>
      <c r="B179" s="8" t="inlineStr">
        <is>
          <t>VISA INC.</t>
        </is>
      </c>
      <c r="C179" s="8" t="inlineStr">
        <is>
          <t>STANDARD</t>
        </is>
      </c>
      <c r="D179" s="8" t="n">
        <v>2022</v>
      </c>
      <c r="E179" s="8" t="inlineStr">
        <is>
          <t>2022-09-30</t>
        </is>
      </c>
      <c r="F179" s="8" t="inlineStr">
        <is>
          <t>0001403161-24-000058</t>
        </is>
      </c>
      <c r="G179" s="13" t="n">
        <v>29.31</v>
      </c>
      <c r="H179" s="13" t="n">
        <v>18.674</v>
      </c>
      <c r="I179" s="8" t="inlineStr">
        <is>
          <t>pretax_income + interest_expense</t>
        </is>
      </c>
      <c r="J179" s="13" t="n">
        <v>14.957</v>
      </c>
      <c r="K179" s="10" t="n">
        <v>0.1752867225408028</v>
      </c>
      <c r="L179" s="13" t="n">
        <v>15.40069574327305</v>
      </c>
      <c r="M179" s="13" t="n">
        <v>42.342</v>
      </c>
      <c r="N179" s="13" t="n">
        <v>42.2105</v>
      </c>
      <c r="O179" s="10" t="n">
        <v>0.3648546153983736</v>
      </c>
      <c r="P179" s="8" t="inlineStr">
        <is>
          <t>OK</t>
        </is>
      </c>
      <c r="Q179" s="10" t="n">
        <v>0.4088287549542162</v>
      </c>
      <c r="R179" s="10" t="n">
        <v>0.04397413955584262</v>
      </c>
      <c r="S179" s="13" t="n">
        <v>35.581</v>
      </c>
      <c r="T179" s="13" t="n">
        <v>15.689</v>
      </c>
      <c r="U179" s="13" t="n">
        <v>22.45</v>
      </c>
      <c r="V179" s="8" t="inlineStr">
        <is>
          <t>short-term + long-term</t>
        </is>
      </c>
      <c r="W179" s="13" t="n">
        <v>19.535</v>
      </c>
      <c r="X179" s="11" t="n">
        <v>0.3460967494241106</v>
      </c>
      <c r="Y179" s="11" t="n">
        <v>34.71003717472119</v>
      </c>
      <c r="Z179" s="13" t="n">
        <v>15.315</v>
      </c>
      <c r="AA179" s="8" t="inlineStr">
        <is>
          <t>net income + D&amp;A - capex - change in operating working capital (cash and short-term debt excluded)</t>
        </is>
      </c>
      <c r="AB179" s="10" t="n">
        <v>0.522517911975435</v>
      </c>
      <c r="AC179" s="10" t="n">
        <v>0.6371204367110201</v>
      </c>
      <c r="AD179" s="12" t="n"/>
    </row>
    <row r="180">
      <c r="A180" s="8" t="inlineStr">
        <is>
          <t>V</t>
        </is>
      </c>
      <c r="B180" s="8" t="inlineStr">
        <is>
          <t>VISA INC.</t>
        </is>
      </c>
      <c r="C180" s="8" t="inlineStr">
        <is>
          <t>STANDARD</t>
        </is>
      </c>
      <c r="D180" s="8" t="n">
        <v>2023</v>
      </c>
      <c r="E180" s="8" t="inlineStr">
        <is>
          <t>2023-09-30</t>
        </is>
      </c>
      <c r="F180" s="8" t="inlineStr">
        <is>
          <t>0001403161-25-000089</t>
        </is>
      </c>
      <c r="G180" s="13" t="n">
        <v>32.653</v>
      </c>
      <c r="H180" s="13" t="n">
        <v>21.681</v>
      </c>
      <c r="I180" s="8" t="inlineStr">
        <is>
          <t>pretax_income + interest_expense</t>
        </is>
      </c>
      <c r="J180" s="13" t="n">
        <v>17.273</v>
      </c>
      <c r="K180" s="10" t="n">
        <v>0.1789228502162856</v>
      </c>
      <c r="L180" s="13" t="n">
        <v>17.80177368446071</v>
      </c>
      <c r="M180" s="13" t="n">
        <v>42.91</v>
      </c>
      <c r="N180" s="13" t="n">
        <v>42.626</v>
      </c>
      <c r="O180" s="10" t="n">
        <v>0.4176271215798037</v>
      </c>
      <c r="P180" s="8" t="inlineStr">
        <is>
          <t>OK</t>
        </is>
      </c>
      <c r="Q180" s="10" t="n">
        <v>0.4648653012891245</v>
      </c>
      <c r="R180" s="10" t="n">
        <v>0.04723817970932082</v>
      </c>
      <c r="S180" s="13" t="n">
        <v>38.733</v>
      </c>
      <c r="T180" s="13" t="n">
        <v>16.286</v>
      </c>
      <c r="U180" s="13" t="n">
        <v>20.463</v>
      </c>
      <c r="V180" s="8" t="inlineStr">
        <is>
          <t>short-term + long-term</t>
        </is>
      </c>
      <c r="W180" s="13" t="n">
        <v>22.624</v>
      </c>
      <c r="X180" s="11" t="n">
        <v>0.1846269448373409</v>
      </c>
      <c r="Y180" s="11" t="n">
        <v>33.66614906832298</v>
      </c>
      <c r="Z180" s="13" t="n">
        <v>18.922</v>
      </c>
      <c r="AA180" s="8" t="inlineStr">
        <is>
          <t>net income + D&amp;A - capex - change in operating working capital (cash and short-term debt excluded)</t>
        </is>
      </c>
      <c r="AB180" s="10" t="n">
        <v>0.5794873365387561</v>
      </c>
      <c r="AC180" s="10" t="n">
        <v>0.6639818699660062</v>
      </c>
      <c r="AD180" s="12" t="n"/>
    </row>
    <row r="181">
      <c r="A181" s="8" t="inlineStr">
        <is>
          <t>V</t>
        </is>
      </c>
      <c r="B181" s="8" t="inlineStr">
        <is>
          <t>VISA INC.</t>
        </is>
      </c>
      <c r="C181" s="8" t="inlineStr">
        <is>
          <t>STANDARD</t>
        </is>
      </c>
      <c r="D181" s="8" t="n">
        <v>2024</v>
      </c>
      <c r="E181" s="8" t="inlineStr">
        <is>
          <t>2024-09-30</t>
        </is>
      </c>
      <c r="F181" s="8" t="inlineStr">
        <is>
          <t>0001403161-25-000089</t>
        </is>
      </c>
      <c r="G181" s="13" t="n">
        <v>35.926</v>
      </c>
      <c r="H181" s="13" t="n">
        <v>24.557</v>
      </c>
      <c r="I181" s="8" t="inlineStr">
        <is>
          <t>pretax_income + interest_expense</t>
        </is>
      </c>
      <c r="J181" s="13" t="n">
        <v>19.743</v>
      </c>
      <c r="K181" s="10" t="n">
        <v>0.1744856999498244</v>
      </c>
      <c r="L181" s="13" t="n">
        <v>20.27215466633216</v>
      </c>
      <c r="M181" s="13" t="n">
        <v>47.998</v>
      </c>
      <c r="N181" s="13" t="n">
        <v>45.454</v>
      </c>
      <c r="O181" s="10" t="n">
        <v>0.4459927545723625</v>
      </c>
      <c r="P181" s="8" t="inlineStr">
        <is>
          <t>OK</t>
        </is>
      </c>
      <c r="Q181" s="10" t="n">
        <v>0.507075895723642</v>
      </c>
      <c r="R181" s="10" t="n">
        <v>0.0610831411512795</v>
      </c>
      <c r="S181" s="13" t="n">
        <v>39.137</v>
      </c>
      <c r="T181" s="13" t="n">
        <v>11.975</v>
      </c>
      <c r="U181" s="13" t="n">
        <v>20.836</v>
      </c>
      <c r="V181" s="8" t="inlineStr">
        <is>
          <t>short-term + long-term</t>
        </is>
      </c>
      <c r="W181" s="13" t="n">
        <v>25.591</v>
      </c>
      <c r="X181" s="11" t="n">
        <v>0.3462545426126373</v>
      </c>
      <c r="Y181" s="11" t="n">
        <v>38.31045241809672</v>
      </c>
      <c r="Z181" s="13" t="n">
        <v>18.127</v>
      </c>
      <c r="AA181" s="8" t="inlineStr">
        <is>
          <t>net income + D&amp;A - capex - change in operating working capital (cash and short-term debt excluded)</t>
        </is>
      </c>
      <c r="AB181" s="10" t="n">
        <v>0.5045649390413628</v>
      </c>
      <c r="AC181" s="10" t="n">
        <v>0.6835439514557702</v>
      </c>
      <c r="AD181" s="12" t="n"/>
    </row>
    <row r="182">
      <c r="A182" s="8" t="inlineStr">
        <is>
          <t>V</t>
        </is>
      </c>
      <c r="B182" s="8" t="inlineStr">
        <is>
          <t>VISA INC.</t>
        </is>
      </c>
      <c r="C182" s="8" t="inlineStr">
        <is>
          <t>STANDARD</t>
        </is>
      </c>
      <c r="D182" s="8" t="n">
        <v>2025</v>
      </c>
      <c r="E182" s="8" t="inlineStr">
        <is>
          <t>2025-09-30</t>
        </is>
      </c>
      <c r="F182" s="8" t="inlineStr">
        <is>
          <t>0001403161-25-000089</t>
        </is>
      </c>
      <c r="G182" s="13" t="n">
        <v>40</v>
      </c>
      <c r="H182" s="13" t="n">
        <v>24.783</v>
      </c>
      <c r="I182" s="8" t="inlineStr">
        <is>
          <t>pretax_income + interest_expense</t>
        </is>
      </c>
      <c r="J182" s="13" t="n">
        <v>20.058</v>
      </c>
      <c r="K182" s="10" t="n">
        <v>0.170951475572456</v>
      </c>
      <c r="L182" s="13" t="n">
        <v>20.54630958088783</v>
      </c>
      <c r="M182" s="13" t="n">
        <v>45.916</v>
      </c>
      <c r="N182" s="13" t="n">
        <v>46.957</v>
      </c>
      <c r="O182" s="10" t="n">
        <v>0.4375558400427588</v>
      </c>
      <c r="P182" s="8" t="inlineStr">
        <is>
          <t>OK</t>
        </is>
      </c>
      <c r="Q182" s="10" t="n">
        <v>0.5206759598162137</v>
      </c>
      <c r="R182" s="10" t="n">
        <v>0.0831201197734549</v>
      </c>
      <c r="S182" s="13" t="n">
        <v>37.909</v>
      </c>
      <c r="T182" s="13" t="n">
        <v>17.164</v>
      </c>
      <c r="U182" s="13" t="n">
        <v>25.171</v>
      </c>
      <c r="V182" s="8" t="inlineStr">
        <is>
          <t>short-term + long-term</t>
        </is>
      </c>
      <c r="W182" s="13" t="n">
        <v>26.003</v>
      </c>
      <c r="X182" s="11" t="n">
        <v>0.3079260085374764</v>
      </c>
      <c r="Y182" s="11" t="n">
        <v>42.07640067911715</v>
      </c>
      <c r="Z182" s="13" t="n">
        <v>24.214</v>
      </c>
      <c r="AA182" s="8" t="inlineStr">
        <is>
          <t>net income + D&amp;A - capex - change in operating working capital (cash and short-term debt excluded)</t>
        </is>
      </c>
      <c r="AB182" s="10" t="n">
        <v>0.6053500000000001</v>
      </c>
      <c r="AC182" s="10" t="n">
        <v>0.619575</v>
      </c>
      <c r="AD182" s="12" t="n"/>
    </row>
    <row r="183">
      <c r="A183" s="8" t="inlineStr">
        <is>
          <t>XOM</t>
        </is>
      </c>
      <c r="B183" s="8" t="inlineStr">
        <is>
          <t>EXXON MOBIL CORP</t>
        </is>
      </c>
      <c r="C183" s="8" t="inlineStr">
        <is>
          <t>STANDARD</t>
        </is>
      </c>
      <c r="D183" s="8" t="n">
        <v>2014</v>
      </c>
      <c r="E183" s="8" t="inlineStr">
        <is>
          <t>2014-12-31</t>
        </is>
      </c>
      <c r="F183" s="8" t="inlineStr">
        <is>
          <t>0000034088-17-000017</t>
        </is>
      </c>
      <c r="G183" s="13" t="n">
        <v>394.105</v>
      </c>
      <c r="H183" s="13" t="n">
        <v>51.916</v>
      </c>
      <c r="I183" s="8" t="inlineStr">
        <is>
          <t>pretax_income + interest_expense</t>
        </is>
      </c>
      <c r="J183" s="13" t="n">
        <v>32.52</v>
      </c>
      <c r="K183" s="10" t="n">
        <v>0.3489250435793144</v>
      </c>
      <c r="L183" s="13" t="n">
        <v>33.80120743753632</v>
      </c>
      <c r="M183" s="13" t="n">
        <v>198.904</v>
      </c>
      <c r="N183" s="13" t="n">
        <v>198.904</v>
      </c>
      <c r="O183" s="10" t="n">
        <v>0.1699372935563705</v>
      </c>
      <c r="P183" s="8" t="inlineStr">
        <is>
          <t>OK</t>
        </is>
      </c>
      <c r="Q183" s="10" t="n">
        <v>0.1864689591110041</v>
      </c>
      <c r="R183" s="10" t="n">
        <v>0.01653166555463356</v>
      </c>
      <c r="S183" s="13" t="n">
        <v>174.399</v>
      </c>
      <c r="T183" s="13" t="n">
        <v>4.616</v>
      </c>
      <c r="U183" s="13" t="n">
        <v>29.121</v>
      </c>
      <c r="V183" s="8" t="inlineStr">
        <is>
          <t>short-term + long-term</t>
        </is>
      </c>
      <c r="W183" s="13" t="n">
        <v>69.21299999999999</v>
      </c>
      <c r="X183" s="11" t="n">
        <v>0.3540519844537876</v>
      </c>
      <c r="Y183" s="11" t="n">
        <v>181.5244755244755</v>
      </c>
      <c r="Z183" s="13" t="n"/>
      <c r="AA183" s="8" t="inlineStr">
        <is>
          <t>net income + D&amp;A - capex - change in no prior year</t>
        </is>
      </c>
      <c r="AB183" s="10" t="n"/>
      <c r="AC183" s="10" t="n">
        <v>0.1317313913804697</v>
      </c>
      <c r="AD183" s="12" t="n">
        <v>4201000000</v>
      </c>
    </row>
    <row r="184">
      <c r="A184" s="8" t="inlineStr">
        <is>
          <t>XOM</t>
        </is>
      </c>
      <c r="B184" s="8" t="inlineStr">
        <is>
          <t>EXXON MOBIL CORP</t>
        </is>
      </c>
      <c r="C184" s="8" t="inlineStr">
        <is>
          <t>STANDARD</t>
        </is>
      </c>
      <c r="D184" s="8" t="n">
        <v>2015</v>
      </c>
      <c r="E184" s="8" t="inlineStr">
        <is>
          <t>2015-12-31</t>
        </is>
      </c>
      <c r="F184" s="8" t="inlineStr">
        <is>
          <t>0000034088-18-000015</t>
        </is>
      </c>
      <c r="G184" s="13" t="n">
        <v>239.854</v>
      </c>
      <c r="H184" s="13" t="n">
        <v>22.277</v>
      </c>
      <c r="I184" s="8" t="inlineStr">
        <is>
          <t>pretax_income + interest_expense</t>
        </is>
      </c>
      <c r="J184" s="13" t="n">
        <v>16.15</v>
      </c>
      <c r="K184" s="10" t="n">
        <v>0.2465173449877083</v>
      </c>
      <c r="L184" s="13" t="n">
        <v>16.78533310570882</v>
      </c>
      <c r="M184" s="13" t="n">
        <v>205.793</v>
      </c>
      <c r="N184" s="13" t="n">
        <v>202.3485</v>
      </c>
      <c r="O184" s="10" t="n">
        <v>0.08295259468545021</v>
      </c>
      <c r="P184" s="8" t="inlineStr">
        <is>
          <t>OK</t>
        </is>
      </c>
      <c r="Q184" s="10" t="n">
        <v>0.09356623504533472</v>
      </c>
      <c r="R184" s="10" t="n">
        <v>0.0106136403598845</v>
      </c>
      <c r="S184" s="13" t="n">
        <v>170.811</v>
      </c>
      <c r="T184" s="13" t="n">
        <v>3.705</v>
      </c>
      <c r="U184" s="13" t="n">
        <v>38.687</v>
      </c>
      <c r="V184" s="8" t="inlineStr">
        <is>
          <t>short-term + long-term</t>
        </is>
      </c>
      <c r="W184" s="13" t="n">
        <v>40.325</v>
      </c>
      <c r="X184" s="11" t="n">
        <v>0.8675015499070056</v>
      </c>
      <c r="Y184" s="11" t="n">
        <v>71.63022508038586</v>
      </c>
      <c r="Z184" s="13" t="n">
        <v>5.133</v>
      </c>
      <c r="AA184" s="8" t="inlineStr">
        <is>
          <t>net income + D&amp;A - capex - change in operating working capital (cash and short-term debt excluded)</t>
        </is>
      </c>
      <c r="AB184" s="10" t="n">
        <v>0.02140051864884471</v>
      </c>
      <c r="AC184" s="10" t="n">
        <v>0.09287733371134106</v>
      </c>
      <c r="AD184" s="12" t="n">
        <v>4156000000</v>
      </c>
    </row>
    <row r="185">
      <c r="A185" s="8" t="inlineStr">
        <is>
          <t>XOM</t>
        </is>
      </c>
      <c r="B185" s="8" t="inlineStr">
        <is>
          <t>EXXON MOBIL CORP</t>
        </is>
      </c>
      <c r="C185" s="8" t="inlineStr">
        <is>
          <t>STANDARD</t>
        </is>
      </c>
      <c r="D185" s="8" t="n">
        <v>2016</v>
      </c>
      <c r="E185" s="8" t="inlineStr">
        <is>
          <t>2016-12-31</t>
        </is>
      </c>
      <c r="F185" s="8" t="inlineStr">
        <is>
          <t>0000034088-19-000010</t>
        </is>
      </c>
      <c r="G185" s="13" t="n">
        <v>200.628</v>
      </c>
      <c r="H185" s="13" t="n">
        <v>8.422000000000001</v>
      </c>
      <c r="I185" s="8" t="inlineStr">
        <is>
          <t>pretax_income + interest_expense</t>
        </is>
      </c>
      <c r="J185" s="13" t="n">
        <v>7.84</v>
      </c>
      <c r="K185" s="10" t="n">
        <v>0.05</v>
      </c>
      <c r="L185" s="13" t="n">
        <v>8.0009</v>
      </c>
      <c r="M185" s="13" t="n">
        <v>206.43</v>
      </c>
      <c r="N185" s="13" t="n">
        <v>206.1115</v>
      </c>
      <c r="O185" s="10" t="n">
        <v>0.03881830950723274</v>
      </c>
      <c r="P185" s="8" t="inlineStr">
        <is>
          <t>OK</t>
        </is>
      </c>
      <c r="Q185" s="10" t="n">
        <v>0.04637187403884827</v>
      </c>
      <c r="R185" s="10" t="n">
        <v>0.007553564531615535</v>
      </c>
      <c r="S185" s="13" t="n">
        <v>167.325</v>
      </c>
      <c r="T185" s="13" t="n">
        <v>3.657</v>
      </c>
      <c r="U185" s="13" t="n">
        <v>42.762</v>
      </c>
      <c r="V185" s="8" t="inlineStr">
        <is>
          <t>short-term + long-term</t>
        </is>
      </c>
      <c r="W185" s="13" t="n">
        <v>30.73</v>
      </c>
      <c r="X185" s="11" t="n">
        <v>1.27253498210218</v>
      </c>
      <c r="Y185" s="11" t="n">
        <v>18.5916114790287</v>
      </c>
      <c r="Z185" s="13" t="n">
        <v>13.738</v>
      </c>
      <c r="AA185" s="8" t="inlineStr">
        <is>
          <t>net income + D&amp;A - capex - change in operating working capital (cash and short-term debt excluded)</t>
        </is>
      </c>
      <c r="AB185" s="10" t="n">
        <v>0.06847498853599697</v>
      </c>
      <c r="AC185" s="10" t="n">
        <v>0.04197818848814722</v>
      </c>
      <c r="AD185" s="12" t="n">
        <v>4148000000</v>
      </c>
    </row>
    <row r="186">
      <c r="A186" s="8" t="inlineStr">
        <is>
          <t>XOM</t>
        </is>
      </c>
      <c r="B186" s="8" t="inlineStr">
        <is>
          <t>EXXON MOBIL CORP</t>
        </is>
      </c>
      <c r="C186" s="8" t="inlineStr">
        <is>
          <t>STANDARD</t>
        </is>
      </c>
      <c r="D186" s="8" t="n">
        <v>2017</v>
      </c>
      <c r="E186" s="8" t="inlineStr">
        <is>
          <t>2017-12-31</t>
        </is>
      </c>
      <c r="F186" s="8" t="inlineStr">
        <is>
          <t>0000034088-20-000016</t>
        </is>
      </c>
      <c r="G186" s="13" t="n">
        <v>244.363</v>
      </c>
      <c r="H186" s="13" t="n">
        <v>19.275</v>
      </c>
      <c r="I186" s="8" t="inlineStr">
        <is>
          <t>pretax_income + interest_expense</t>
        </is>
      </c>
      <c r="J186" s="13" t="n">
        <v>19.71</v>
      </c>
      <c r="K186" s="10" t="n">
        <v>0.05</v>
      </c>
      <c r="L186" s="13" t="n">
        <v>18.31125</v>
      </c>
      <c r="M186" s="13" t="n">
        <v>226.847</v>
      </c>
      <c r="N186" s="13" t="n">
        <v>216.6385</v>
      </c>
      <c r="O186" s="10" t="n">
        <v>0.08452444971692474</v>
      </c>
      <c r="P186" s="8" t="inlineStr">
        <is>
          <t>OK</t>
        </is>
      </c>
      <c r="Q186" s="10" t="n">
        <v>0.1110381873339849</v>
      </c>
      <c r="R186" s="10" t="n">
        <v>0.0265137376170602</v>
      </c>
      <c r="S186" s="13" t="n">
        <v>187.688</v>
      </c>
      <c r="T186" s="13" t="n">
        <v>3.177</v>
      </c>
      <c r="U186" s="13" t="n">
        <v>42.336</v>
      </c>
      <c r="V186" s="8" t="inlineStr">
        <is>
          <t>short-term + long-term</t>
        </is>
      </c>
      <c r="W186" s="13" t="n">
        <v>39.168</v>
      </c>
      <c r="X186" s="11" t="n">
        <v>0.9997702205882353</v>
      </c>
      <c r="Y186" s="11" t="n">
        <v>32.07154742096506</v>
      </c>
      <c r="Z186" s="13" t="n">
        <v>24.036</v>
      </c>
      <c r="AA186" s="8" t="inlineStr">
        <is>
          <t>net income + D&amp;A - capex - change in operating working capital (cash and short-term debt excluded)</t>
        </is>
      </c>
      <c r="AB186" s="10" t="n">
        <v>0.09836186329354281</v>
      </c>
      <c r="AC186" s="10" t="n">
        <v>0.07887855362718578</v>
      </c>
      <c r="AD186" s="12" t="n">
        <v>4239000000</v>
      </c>
    </row>
    <row r="187">
      <c r="A187" s="8" t="inlineStr">
        <is>
          <t>XOM</t>
        </is>
      </c>
      <c r="B187" s="8" t="inlineStr">
        <is>
          <t>EXXON MOBIL CORP</t>
        </is>
      </c>
      <c r="C187" s="8" t="inlineStr">
        <is>
          <t>STANDARD</t>
        </is>
      </c>
      <c r="D187" s="8" t="n">
        <v>2018</v>
      </c>
      <c r="E187" s="8" t="inlineStr">
        <is>
          <t>2018-12-31</t>
        </is>
      </c>
      <c r="F187" s="8" t="inlineStr">
        <is>
          <t>0000034088-21-000012</t>
        </is>
      </c>
      <c r="G187" s="13" t="n">
        <v>290.212</v>
      </c>
      <c r="H187" s="13" t="n">
        <v>31.719</v>
      </c>
      <c r="I187" s="8" t="inlineStr">
        <is>
          <t>pretax_income + interest_expense</t>
        </is>
      </c>
      <c r="J187" s="13" t="n">
        <v>20.84</v>
      </c>
      <c r="K187" s="10" t="n">
        <v>0.3079507640616418</v>
      </c>
      <c r="L187" s="13" t="n">
        <v>21.95110971472878</v>
      </c>
      <c r="M187" s="13" t="n">
        <v>226.548</v>
      </c>
      <c r="N187" s="13" t="n">
        <v>226.6975</v>
      </c>
      <c r="O187" s="10" t="n">
        <v>0.0968299593719771</v>
      </c>
      <c r="P187" s="8" t="inlineStr">
        <is>
          <t>OK</t>
        </is>
      </c>
      <c r="Q187" s="10" t="n">
        <v>0.1098339315171734</v>
      </c>
      <c r="R187" s="10" t="n">
        <v>0.01300397214519632</v>
      </c>
      <c r="S187" s="13" t="n">
        <v>191.794</v>
      </c>
      <c r="T187" s="13" t="n">
        <v>3.042</v>
      </c>
      <c r="U187" s="13" t="n">
        <v>37.796</v>
      </c>
      <c r="V187" s="8" t="inlineStr">
        <is>
          <t>short-term + long-term</t>
        </is>
      </c>
      <c r="W187" s="13" t="n">
        <v>50.464</v>
      </c>
      <c r="X187" s="11" t="n">
        <v>0.6886889663918834</v>
      </c>
      <c r="Y187" s="11" t="n">
        <v>41.40861618798956</v>
      </c>
      <c r="Z187" s="13" t="n">
        <v>19.076</v>
      </c>
      <c r="AA187" s="8" t="inlineStr">
        <is>
          <t>net income + D&amp;A - capex - change in operating working capital (cash and short-term debt excluded)</t>
        </is>
      </c>
      <c r="AB187" s="10" t="n">
        <v>0.06573125852824832</v>
      </c>
      <c r="AC187" s="10" t="n">
        <v>0.1092959629512219</v>
      </c>
      <c r="AD187" s="12" t="n">
        <v>4237000000</v>
      </c>
    </row>
    <row r="188">
      <c r="A188" s="8" t="inlineStr">
        <is>
          <t>XOM</t>
        </is>
      </c>
      <c r="B188" s="8" t="inlineStr">
        <is>
          <t>EXXON MOBIL CORP</t>
        </is>
      </c>
      <c r="C188" s="8" t="inlineStr">
        <is>
          <t>STANDARD</t>
        </is>
      </c>
      <c r="D188" s="8" t="n">
        <v>2019</v>
      </c>
      <c r="E188" s="8" t="inlineStr">
        <is>
          <t>2019-12-31</t>
        </is>
      </c>
      <c r="F188" s="8" t="inlineStr">
        <is>
          <t>0000034088-22-000011</t>
        </is>
      </c>
      <c r="G188" s="13" t="n">
        <v>264.938</v>
      </c>
      <c r="H188" s="13" t="n">
        <v>20.886</v>
      </c>
      <c r="I188" s="8" t="inlineStr">
        <is>
          <t>pretax_income + interest_expense</t>
        </is>
      </c>
      <c r="J188" s="13" t="n">
        <v>14.34</v>
      </c>
      <c r="K188" s="10" t="n">
        <v>0.2633625847626646</v>
      </c>
      <c r="L188" s="13" t="n">
        <v>15.38540905464699</v>
      </c>
      <c r="M188" s="13" t="n">
        <v>235.481</v>
      </c>
      <c r="N188" s="13" t="n">
        <v>231.0145</v>
      </c>
      <c r="O188" s="10" t="n">
        <v>0.0665993219241519</v>
      </c>
      <c r="P188" s="8" t="inlineStr">
        <is>
          <t>OK</t>
        </is>
      </c>
      <c r="Q188" s="10" t="n">
        <v>0.07479579808264049</v>
      </c>
      <c r="R188" s="10" t="n">
        <v>0.008196476158488591</v>
      </c>
      <c r="S188" s="13" t="n">
        <v>191.65</v>
      </c>
      <c r="T188" s="13" t="n">
        <v>3.089</v>
      </c>
      <c r="U188" s="13" t="n">
        <v>46.92</v>
      </c>
      <c r="V188" s="8" t="inlineStr">
        <is>
          <t>short-term + long-term</t>
        </is>
      </c>
      <c r="W188" s="13" t="n">
        <v>39.884</v>
      </c>
      <c r="X188" s="11" t="n">
        <v>1.098961989770334</v>
      </c>
      <c r="Y188" s="11" t="n">
        <v>25.16385542168675</v>
      </c>
      <c r="Z188" s="13" t="n">
        <v>10.476</v>
      </c>
      <c r="AA188" s="8" t="inlineStr">
        <is>
          <t>net income + D&amp;A - capex - change in operating working capital (cash and short-term debt excluded)</t>
        </is>
      </c>
      <c r="AB188" s="10" t="n">
        <v>0.03954132665000868</v>
      </c>
      <c r="AC188" s="10" t="n">
        <v>0.07883353841276072</v>
      </c>
      <c r="AD188" s="12" t="n">
        <v>4234000000</v>
      </c>
    </row>
    <row r="189">
      <c r="A189" s="8" t="inlineStr">
        <is>
          <t>XOM</t>
        </is>
      </c>
      <c r="B189" s="8" t="inlineStr">
        <is>
          <t>EXXON MOBIL CORP</t>
        </is>
      </c>
      <c r="C189" s="8" t="inlineStr">
        <is>
          <t>STANDARD</t>
        </is>
      </c>
      <c r="D189" s="8" t="n">
        <v>2020</v>
      </c>
      <c r="E189" s="8" t="inlineStr">
        <is>
          <t>2020-12-31</t>
        </is>
      </c>
      <c r="F189" s="8" t="inlineStr">
        <is>
          <t>0000034088-23-000020</t>
        </is>
      </c>
      <c r="G189" s="13" t="n">
        <v>181.502</v>
      </c>
      <c r="H189" s="13" t="n">
        <v>-27.725</v>
      </c>
      <c r="I189" s="8" t="inlineStr">
        <is>
          <t>pretax_income + interest_expense</t>
        </is>
      </c>
      <c r="J189" s="13" t="n">
        <v>-22.44</v>
      </c>
      <c r="K189" s="10" t="n">
        <v>0.21</v>
      </c>
      <c r="L189" s="13" t="n">
        <v>-21.90275</v>
      </c>
      <c r="M189" s="13" t="n">
        <v>220.426</v>
      </c>
      <c r="N189" s="13" t="n">
        <v>227.9535</v>
      </c>
      <c r="O189" s="10" t="n">
        <v>-0.09608428912036884</v>
      </c>
      <c r="P189" s="8" t="inlineStr">
        <is>
          <t>OK</t>
        </is>
      </c>
      <c r="Q189" s="10" t="n">
        <v>-0.1286697247706422</v>
      </c>
      <c r="R189" s="10" t="n">
        <v>-0.03258543565027336</v>
      </c>
      <c r="S189" s="13" t="n">
        <v>157.15</v>
      </c>
      <c r="T189" s="13" t="n">
        <v>4.364</v>
      </c>
      <c r="U189" s="13" t="n">
        <v>67.64</v>
      </c>
      <c r="V189" s="8" t="inlineStr">
        <is>
          <t>short-term + long-term</t>
        </is>
      </c>
      <c r="W189" s="13" t="n">
        <v>18.284</v>
      </c>
      <c r="X189" s="11" t="n">
        <v>3.460730693502516</v>
      </c>
      <c r="Y189" s="11" t="n">
        <v>-23.94214162348877</v>
      </c>
      <c r="Z189" s="13" t="n">
        <v>5.215</v>
      </c>
      <c r="AA189" s="8" t="inlineStr">
        <is>
          <t>net income + D&amp;A - capex - change in operating working capital (cash and short-term debt excluded)</t>
        </is>
      </c>
      <c r="AB189" s="10" t="n">
        <v>0.02873246575795308</v>
      </c>
      <c r="AC189" s="10" t="n">
        <v>-0.1527531377064716</v>
      </c>
      <c r="AD189" s="12" t="n">
        <v>4233000000</v>
      </c>
    </row>
    <row r="190">
      <c r="A190" s="8" t="inlineStr">
        <is>
          <t>XOM</t>
        </is>
      </c>
      <c r="B190" s="8" t="inlineStr">
        <is>
          <t>EXXON MOBIL CORP</t>
        </is>
      </c>
      <c r="C190" s="8" t="inlineStr">
        <is>
          <t>STANDARD</t>
        </is>
      </c>
      <c r="D190" s="8" t="n">
        <v>2021</v>
      </c>
      <c r="E190" s="8" t="inlineStr">
        <is>
          <t>2021-12-31</t>
        </is>
      </c>
      <c r="F190" s="8" t="inlineStr">
        <is>
          <t>0000034088-24-000018</t>
        </is>
      </c>
      <c r="G190" s="13" t="n">
        <v>285.64</v>
      </c>
      <c r="H190" s="13" t="n">
        <v>32.181</v>
      </c>
      <c r="I190" s="8" t="inlineStr">
        <is>
          <t>pretax_income + interest_expense</t>
        </is>
      </c>
      <c r="J190" s="13" t="n">
        <v>23.04</v>
      </c>
      <c r="K190" s="10" t="n">
        <v>0.2444771723122239</v>
      </c>
      <c r="L190" s="13" t="n">
        <v>24.31348011782032</v>
      </c>
      <c r="M190" s="13" t="n">
        <v>209.479</v>
      </c>
      <c r="N190" s="13" t="n">
        <v>214.9525</v>
      </c>
      <c r="O190" s="10" t="n">
        <v>0.113110943663462</v>
      </c>
      <c r="P190" s="8" t="inlineStr">
        <is>
          <t>OK</t>
        </is>
      </c>
      <c r="Q190" s="10" t="n">
        <v>0.1414681619884136</v>
      </c>
      <c r="R190" s="10" t="n">
        <v>0.02835721832495157</v>
      </c>
      <c r="S190" s="13" t="n">
        <v>168.577</v>
      </c>
      <c r="T190" s="13" t="n">
        <v>6.802</v>
      </c>
      <c r="U190" s="13" t="n">
        <v>47.704</v>
      </c>
      <c r="V190" s="8" t="inlineStr">
        <is>
          <t>short-term + long-term</t>
        </is>
      </c>
      <c r="W190" s="13" t="n">
        <v>52.788</v>
      </c>
      <c r="X190" s="11" t="n">
        <v>0.7748351898158673</v>
      </c>
      <c r="Y190" s="11" t="n">
        <v>33.98204857444562</v>
      </c>
      <c r="Z190" s="13" t="n">
        <v>36.21</v>
      </c>
      <c r="AA190" s="8" t="inlineStr">
        <is>
          <t>net income + D&amp;A - capex - change in operating working capital (cash and short-term debt excluded)</t>
        </is>
      </c>
      <c r="AB190" s="10" t="n">
        <v>0.1267679596695141</v>
      </c>
      <c r="AC190" s="10" t="n">
        <v>0.1126627923260048</v>
      </c>
      <c r="AD190" s="12" t="n">
        <v>4239000000</v>
      </c>
    </row>
    <row r="191">
      <c r="A191" s="8" t="inlineStr">
        <is>
          <t>XOM</t>
        </is>
      </c>
      <c r="B191" s="8" t="inlineStr">
        <is>
          <t>EXXON MOBIL CORP</t>
        </is>
      </c>
      <c r="C191" s="8" t="inlineStr">
        <is>
          <t>STANDARD</t>
        </is>
      </c>
      <c r="D191" s="8" t="n">
        <v>2022</v>
      </c>
      <c r="E191" s="8" t="inlineStr">
        <is>
          <t>2022-12-31</t>
        </is>
      </c>
      <c r="F191" s="8" t="inlineStr">
        <is>
          <t>0000034088-25-000010</t>
        </is>
      </c>
      <c r="G191" s="13" t="n">
        <v>413.68</v>
      </c>
      <c r="H191" s="13" t="n">
        <v>78.551</v>
      </c>
      <c r="I191" s="8" t="inlineStr">
        <is>
          <t>pretax_income + interest_expense</t>
        </is>
      </c>
      <c r="J191" s="13" t="n">
        <v>55.74</v>
      </c>
      <c r="K191" s="10" t="n">
        <v>0.259488379869587</v>
      </c>
      <c r="L191" s="13" t="n">
        <v>58.16792827286407</v>
      </c>
      <c r="M191" s="13" t="n">
        <v>206.602</v>
      </c>
      <c r="N191" s="13" t="n">
        <v>208.0405</v>
      </c>
      <c r="O191" s="10" t="n">
        <v>0.2795990601486925</v>
      </c>
      <c r="P191" s="8" t="inlineStr">
        <is>
          <t>OK</t>
        </is>
      </c>
      <c r="Q191" s="10" t="n">
        <v>0.3065787374940186</v>
      </c>
      <c r="R191" s="10" t="n">
        <v>0.02697967734532608</v>
      </c>
      <c r="S191" s="13" t="n">
        <v>195.049</v>
      </c>
      <c r="T191" s="13" t="n">
        <v>29.64</v>
      </c>
      <c r="U191" s="13" t="n">
        <v>41.193</v>
      </c>
      <c r="V191" s="8" t="inlineStr">
        <is>
          <t>short-term + long-term</t>
        </is>
      </c>
      <c r="W191" s="13" t="n">
        <v>102.591</v>
      </c>
      <c r="X191" s="11" t="n">
        <v>0.1126122174459748</v>
      </c>
      <c r="Y191" s="11" t="n">
        <v>98.43483709273183</v>
      </c>
      <c r="Z191" s="13" t="n">
        <v>61.778</v>
      </c>
      <c r="AA191" s="8" t="inlineStr">
        <is>
          <t>net income + D&amp;A - capex - change in operating working capital (cash and short-term debt excluded)</t>
        </is>
      </c>
      <c r="AB191" s="10" t="n">
        <v>0.1493376522916264</v>
      </c>
      <c r="AC191" s="10" t="n">
        <v>0.1898834848191839</v>
      </c>
      <c r="AD191" s="12" t="n">
        <v>4082000000</v>
      </c>
    </row>
    <row r="192">
      <c r="A192" s="8" t="inlineStr">
        <is>
          <t>XOM</t>
        </is>
      </c>
      <c r="B192" s="8" t="inlineStr">
        <is>
          <t>EXXON MOBIL CORP</t>
        </is>
      </c>
      <c r="C192" s="8" t="inlineStr">
        <is>
          <t>STANDARD</t>
        </is>
      </c>
      <c r="D192" s="8" t="n">
        <v>2023</v>
      </c>
      <c r="E192" s="8" t="inlineStr">
        <is>
          <t>2023-12-31</t>
        </is>
      </c>
      <c r="F192" s="8" t="inlineStr">
        <is>
          <t>0000034088-26-000045</t>
        </is>
      </c>
      <c r="G192" s="13" t="n">
        <v>344.582</v>
      </c>
      <c r="H192" s="13" t="n">
        <v>53.632</v>
      </c>
      <c r="I192" s="8" t="inlineStr">
        <is>
          <t>pretax_income + interest_expense</t>
        </is>
      </c>
      <c r="J192" s="13" t="n">
        <v>36.01</v>
      </c>
      <c r="K192" s="10" t="n">
        <v>0.2923100240607772</v>
      </c>
      <c r="L192" s="13" t="n">
        <v>37.9548287895724</v>
      </c>
      <c r="M192" s="13" t="n">
        <v>214.836</v>
      </c>
      <c r="N192" s="13" t="n">
        <v>210.719</v>
      </c>
      <c r="O192" s="10" t="n">
        <v>0.1801205813883532</v>
      </c>
      <c r="P192" s="8" t="inlineStr">
        <is>
          <t>OK</t>
        </is>
      </c>
      <c r="Q192" s="10" t="n">
        <v>0.1801170936173725</v>
      </c>
      <c r="R192" s="10" t="n">
        <v>-3.487770980720173e-06</v>
      </c>
      <c r="S192" s="13" t="n">
        <v>204.802</v>
      </c>
      <c r="T192" s="13" t="n">
        <v>31.539</v>
      </c>
      <c r="U192" s="13" t="n">
        <v>41.573</v>
      </c>
      <c r="V192" s="8" t="inlineStr">
        <is>
          <t>short-term + long-term</t>
        </is>
      </c>
      <c r="W192" s="13" t="n">
        <v>74.273</v>
      </c>
      <c r="X192" s="11" t="n">
        <v>0.1350961991571634</v>
      </c>
      <c r="Y192" s="11" t="n">
        <v>63.17078916372203</v>
      </c>
      <c r="Z192" s="13" t="n">
        <v>30.468</v>
      </c>
      <c r="AA192" s="8" t="inlineStr">
        <is>
          <t>net income + D&amp;A - capex - change in operating working capital (cash and short-term debt excluded)</t>
        </is>
      </c>
      <c r="AB192" s="10" t="n">
        <v>0.0884201728471017</v>
      </c>
      <c r="AC192" s="10" t="n">
        <v>0.1556436494071077</v>
      </c>
      <c r="AD192" s="12" t="n">
        <v>3971000000</v>
      </c>
    </row>
    <row r="193">
      <c r="A193" s="8" t="inlineStr">
        <is>
          <t>XOM</t>
        </is>
      </c>
      <c r="B193" s="8" t="inlineStr">
        <is>
          <t>EXXON MOBIL CORP</t>
        </is>
      </c>
      <c r="C193" s="8" t="inlineStr">
        <is>
          <t>STANDARD</t>
        </is>
      </c>
      <c r="D193" s="8" t="n">
        <v>2024</v>
      </c>
      <c r="E193" s="8" t="inlineStr">
        <is>
          <t>2024-12-31</t>
        </is>
      </c>
      <c r="F193" s="8" t="inlineStr">
        <is>
          <t>0000034088-26-000045</t>
        </is>
      </c>
      <c r="G193" s="13" t="n">
        <v>349.585</v>
      </c>
      <c r="H193" s="13" t="n">
        <v>49.869</v>
      </c>
      <c r="I193" s="8" t="inlineStr">
        <is>
          <t>pretax_income + interest_expense</t>
        </is>
      </c>
      <c r="J193" s="13" t="n">
        <v>33.68</v>
      </c>
      <c r="K193" s="10" t="n">
        <v>0.2825691076872711</v>
      </c>
      <c r="L193" s="13" t="n">
        <v>35.77756116874347</v>
      </c>
      <c r="M193" s="13" t="n">
        <v>282.386</v>
      </c>
      <c r="N193" s="13" t="n">
        <v>248.611</v>
      </c>
      <c r="O193" s="10" t="n">
        <v>0.1439098075658095</v>
      </c>
      <c r="P193" s="8" t="inlineStr">
        <is>
          <t>OK</t>
        </is>
      </c>
      <c r="Q193" s="10" t="n">
        <v>0.1437758667426527</v>
      </c>
      <c r="R193" s="10" t="n">
        <v>-0.0001339408231568195</v>
      </c>
      <c r="S193" s="13" t="n">
        <v>263.705</v>
      </c>
      <c r="T193" s="13" t="n">
        <v>23.029</v>
      </c>
      <c r="U193" s="13" t="n">
        <v>41.71</v>
      </c>
      <c r="V193" s="8" t="inlineStr">
        <is>
          <t>short-term + long-term</t>
        </is>
      </c>
      <c r="W193" s="13" t="n">
        <v>73.31100000000001</v>
      </c>
      <c r="X193" s="11" t="n">
        <v>0.2548185129107501</v>
      </c>
      <c r="Y193" s="11" t="n">
        <v>50.06927710843374</v>
      </c>
      <c r="Z193" s="13" t="n">
        <v>33.051</v>
      </c>
      <c r="AA193" s="8" t="inlineStr">
        <is>
          <t>net income + D&amp;A - capex - change in operating working capital (cash and short-term debt excluded)</t>
        </is>
      </c>
      <c r="AB193" s="10" t="n">
        <v>0.09454353018579173</v>
      </c>
      <c r="AC193" s="10" t="n">
        <v>0.1426520016591101</v>
      </c>
      <c r="AD193" s="12" t="n">
        <v>4353000000</v>
      </c>
    </row>
    <row r="194">
      <c r="A194" s="8" t="inlineStr">
        <is>
          <t>XOM</t>
        </is>
      </c>
      <c r="B194" s="8" t="inlineStr">
        <is>
          <t>EXXON MOBIL CORP</t>
        </is>
      </c>
      <c r="C194" s="8" t="inlineStr">
        <is>
          <t>STANDARD</t>
        </is>
      </c>
      <c r="D194" s="8" t="n">
        <v>2025</v>
      </c>
      <c r="E194" s="8" t="inlineStr">
        <is>
          <t>2025-12-31</t>
        </is>
      </c>
      <c r="F194" s="8" t="inlineStr">
        <is>
          <t>0000034088-26-000045</t>
        </is>
      </c>
      <c r="G194" s="13" t="n">
        <v>332.238</v>
      </c>
      <c r="H194" s="13" t="n">
        <v>41.871</v>
      </c>
      <c r="I194" s="8" t="inlineStr">
        <is>
          <t>pretax_income + interest_expense</t>
        </is>
      </c>
      <c r="J194" s="13" t="n">
        <v>28.844</v>
      </c>
      <c r="K194" s="10" t="n">
        <v>0.2787632063584375</v>
      </c>
      <c r="L194" s="13" t="n">
        <v>30.19890578656586</v>
      </c>
      <c r="M194" s="13" t="n">
        <v>292.242</v>
      </c>
      <c r="N194" s="13" t="n">
        <v>287.314</v>
      </c>
      <c r="O194" s="10" t="n">
        <v>0.1051076723952396</v>
      </c>
      <c r="P194" s="8" t="inlineStr">
        <is>
          <t>OK</t>
        </is>
      </c>
      <c r="Q194" s="10" t="n">
        <v>0.1102829144450966</v>
      </c>
      <c r="R194" s="10" t="n">
        <v>0.00517524204985699</v>
      </c>
      <c r="S194" s="13" t="n">
        <v>259.386</v>
      </c>
      <c r="T194" s="13" t="n">
        <v>10.681</v>
      </c>
      <c r="U194" s="13" t="n">
        <v>43.537</v>
      </c>
      <c r="V194" s="8" t="inlineStr">
        <is>
          <t>short-term + long-term</t>
        </is>
      </c>
      <c r="W194" s="13" t="n">
        <v>67.864</v>
      </c>
      <c r="X194" s="11" t="n">
        <v>0.4841447601084522</v>
      </c>
      <c r="Y194" s="11" t="n">
        <v>69.43781094527363</v>
      </c>
      <c r="Z194" s="13" t="n">
        <v>20.421</v>
      </c>
      <c r="AA194" s="8" t="inlineStr">
        <is>
          <t>net income + D&amp;A - capex - change in operating working capital (cash and short-term debt excluded)</t>
        </is>
      </c>
      <c r="AB194" s="10" t="n">
        <v>0.06146497390424936</v>
      </c>
      <c r="AC194" s="10" t="n">
        <v>0.1260271251331876</v>
      </c>
      <c r="AD194" s="12" t="n">
        <v>4179000000</v>
      </c>
    </row>
    <row r="195">
      <c r="A195" s="8" t="inlineStr">
        <is>
          <t>JNJ</t>
        </is>
      </c>
      <c r="B195" s="8" t="inlineStr">
        <is>
          <t>JOHNSON &amp; JOHNSON</t>
        </is>
      </c>
      <c r="C195" s="8" t="inlineStr">
        <is>
          <t>STANDARD</t>
        </is>
      </c>
      <c r="D195" s="8" t="n">
        <v>2014</v>
      </c>
      <c r="E195" s="8" t="inlineStr">
        <is>
          <t>2014-12-28</t>
        </is>
      </c>
      <c r="F195" s="8" t="inlineStr">
        <is>
          <t>0000200406-17-000006</t>
        </is>
      </c>
      <c r="G195" s="13" t="n"/>
      <c r="H195" s="13" t="n">
        <v>21.59</v>
      </c>
      <c r="I195" s="8" t="inlineStr">
        <is>
          <t>reported OperatingIncomeLoss (no interest expense tagged)</t>
        </is>
      </c>
      <c r="J195" s="13" t="n">
        <v>16.323</v>
      </c>
      <c r="K195" s="10" t="n">
        <v>0.21</v>
      </c>
      <c r="L195" s="13" t="n">
        <v>17.0561</v>
      </c>
      <c r="M195" s="13" t="n">
        <v>73.95099999999999</v>
      </c>
      <c r="N195" s="13" t="n">
        <v>73.95099999999999</v>
      </c>
      <c r="O195" s="10" t="n">
        <v>0.2306405592892591</v>
      </c>
      <c r="P195" s="8" t="inlineStr">
        <is>
          <t>OK</t>
        </is>
      </c>
      <c r="Q195" s="10" t="n">
        <v>0.2340147952746875</v>
      </c>
      <c r="R195" s="10" t="n">
        <v>0.003374235985428353</v>
      </c>
      <c r="S195" s="13" t="n">
        <v>69.752</v>
      </c>
      <c r="T195" s="13" t="n">
        <v>14.523</v>
      </c>
      <c r="U195" s="13" t="n">
        <v>18.722</v>
      </c>
      <c r="V195" s="8" t="inlineStr">
        <is>
          <t>short-term + long-term</t>
        </is>
      </c>
      <c r="W195" s="13" t="n">
        <v>25.485</v>
      </c>
      <c r="X195" s="11" t="n">
        <v>0.1647635864233863</v>
      </c>
      <c r="Y195" s="11" t="n"/>
      <c r="Z195" s="13" t="n">
        <v>14.996</v>
      </c>
      <c r="AA195" s="8" t="inlineStr">
        <is>
          <t>operating cash flow - capex (working-capital swing already embedded)</t>
        </is>
      </c>
      <c r="AB195" s="10" t="n"/>
      <c r="AC195" s="10" t="n"/>
      <c r="AD195" s="12" t="n">
        <v>2863900000</v>
      </c>
    </row>
    <row r="196">
      <c r="A196" s="8" t="inlineStr">
        <is>
          <t>JNJ</t>
        </is>
      </c>
      <c r="B196" s="8" t="inlineStr">
        <is>
          <t>JOHNSON &amp; JOHNSON</t>
        </is>
      </c>
      <c r="C196" s="8" t="inlineStr">
        <is>
          <t>STANDARD</t>
        </is>
      </c>
      <c r="D196" s="8" t="n">
        <v>2015</v>
      </c>
      <c r="E196" s="8" t="inlineStr">
        <is>
          <t>2016-01-03</t>
        </is>
      </c>
      <c r="F196" s="8" t="inlineStr">
        <is>
          <t>0000200406-18-000005</t>
        </is>
      </c>
      <c r="G196" s="13" t="n"/>
      <c r="H196" s="13" t="n"/>
      <c r="I196" s="8" t="inlineStr">
        <is>
          <t>DATA_UNAVAILABLE</t>
        </is>
      </c>
      <c r="J196" s="13" t="n">
        <v>15.409</v>
      </c>
      <c r="K196" s="10" t="n">
        <v>0.21</v>
      </c>
      <c r="L196" s="13" t="n"/>
      <c r="M196" s="13" t="n">
        <v>77.27500000000001</v>
      </c>
      <c r="N196" s="13" t="n">
        <v>75.613</v>
      </c>
      <c r="O196" s="10" t="n"/>
      <c r="P196" s="8" t="inlineStr">
        <is>
          <t>OK</t>
        </is>
      </c>
      <c r="Q196" s="10" t="n">
        <v>0.2187193936210984</v>
      </c>
      <c r="R196" s="10" t="n"/>
      <c r="S196" s="13" t="n">
        <v>71.15000000000001</v>
      </c>
      <c r="T196" s="13" t="n">
        <v>13.732</v>
      </c>
      <c r="U196" s="13" t="n">
        <v>19.857</v>
      </c>
      <c r="V196" s="8" t="inlineStr">
        <is>
          <t>short-term + long-term</t>
        </is>
      </c>
      <c r="W196" s="13" t="n"/>
      <c r="X196" s="11" t="n"/>
      <c r="Y196" s="11" t="n"/>
      <c r="Z196" s="13" t="n">
        <v>9.750999999999999</v>
      </c>
      <c r="AA196" s="8" t="inlineStr">
        <is>
          <t>net income + D&amp;A - capex - change in operating working capital (cash and short-term debt excluded)</t>
        </is>
      </c>
      <c r="AB196" s="10" t="n"/>
      <c r="AC196" s="10" t="n"/>
      <c r="AD196" s="12" t="n">
        <v>2812900000</v>
      </c>
    </row>
    <row r="197">
      <c r="A197" s="8" t="inlineStr">
        <is>
          <t>JNJ</t>
        </is>
      </c>
      <c r="B197" s="8" t="inlineStr">
        <is>
          <t>JOHNSON &amp; JOHNSON</t>
        </is>
      </c>
      <c r="C197" s="8" t="inlineStr">
        <is>
          <t>STANDARD</t>
        </is>
      </c>
      <c r="D197" s="8" t="n">
        <v>2016</v>
      </c>
      <c r="E197" s="8" t="inlineStr">
        <is>
          <t>2017-01-01</t>
        </is>
      </c>
      <c r="F197" s="8" t="inlineStr">
        <is>
          <t>0000200406-19-000009</t>
        </is>
      </c>
      <c r="G197" s="13" t="n">
        <v>71.89</v>
      </c>
      <c r="H197" s="13" t="n"/>
      <c r="I197" s="8" t="inlineStr">
        <is>
          <t>DATA_UNAVAILABLE</t>
        </is>
      </c>
      <c r="J197" s="13" t="n">
        <v>16.54</v>
      </c>
      <c r="K197" s="10" t="n">
        <v>0.21</v>
      </c>
      <c r="L197" s="13" t="n"/>
      <c r="M197" s="13" t="n">
        <v>78.58799999999999</v>
      </c>
      <c r="N197" s="13" t="n">
        <v>77.9315</v>
      </c>
      <c r="O197" s="10" t="n"/>
      <c r="P197" s="8" t="inlineStr">
        <is>
          <t>OK</t>
        </is>
      </c>
      <c r="Q197" s="10" t="n">
        <v>0.2336686256781194</v>
      </c>
      <c r="R197" s="10" t="n"/>
      <c r="S197" s="13" t="n">
        <v>70.41800000000001</v>
      </c>
      <c r="T197" s="13" t="n">
        <v>18.972</v>
      </c>
      <c r="U197" s="13" t="n">
        <v>27.142</v>
      </c>
      <c r="V197" s="8" t="inlineStr">
        <is>
          <t>short-term + long-term</t>
        </is>
      </c>
      <c r="W197" s="13" t="n"/>
      <c r="X197" s="11" t="n"/>
      <c r="Y197" s="11" t="n"/>
      <c r="Z197" s="13" t="n">
        <v>18.326</v>
      </c>
      <c r="AA197" s="8" t="inlineStr">
        <is>
          <t>net income + D&amp;A - capex - change in operating working capital (cash and short-term debt excluded)</t>
        </is>
      </c>
      <c r="AB197" s="10" t="n">
        <v>0.2549172346640701</v>
      </c>
      <c r="AC197" s="10" t="n"/>
      <c r="AD197" s="12" t="n">
        <v>2788900000</v>
      </c>
    </row>
    <row r="198">
      <c r="A198" s="8" t="inlineStr">
        <is>
          <t>JNJ</t>
        </is>
      </c>
      <c r="B198" s="8" t="inlineStr">
        <is>
          <t>JOHNSON &amp; JOHNSON</t>
        </is>
      </c>
      <c r="C198" s="8" t="inlineStr">
        <is>
          <t>STANDARD</t>
        </is>
      </c>
      <c r="D198" s="8" t="n">
        <v>2017</v>
      </c>
      <c r="E198" s="8" t="inlineStr">
        <is>
          <t>2017-12-31</t>
        </is>
      </c>
      <c r="F198" s="8" t="inlineStr">
        <is>
          <t>0000200406-20-000010</t>
        </is>
      </c>
      <c r="G198" s="13" t="n">
        <v>76.45</v>
      </c>
      <c r="H198" s="13" t="n"/>
      <c r="I198" s="8" t="inlineStr">
        <is>
          <t>DATA_UNAVAILABLE</t>
        </is>
      </c>
      <c r="J198" s="13" t="n">
        <v>1.3</v>
      </c>
      <c r="K198" s="10" t="n">
        <v>0.21</v>
      </c>
      <c r="L198" s="13" t="n"/>
      <c r="M198" s="13" t="n">
        <v>76.911</v>
      </c>
      <c r="N198" s="13" t="n">
        <v>77.7495</v>
      </c>
      <c r="O198" s="10" t="n"/>
      <c r="P198" s="8" t="inlineStr">
        <is>
          <t>OK</t>
        </is>
      </c>
      <c r="Q198" s="10" t="n">
        <v>0.01991147053868186</v>
      </c>
      <c r="R198" s="10" t="n"/>
      <c r="S198" s="13" t="n">
        <v>60.16</v>
      </c>
      <c r="T198" s="13" t="n">
        <v>17.824</v>
      </c>
      <c r="U198" s="13" t="n">
        <v>34.575</v>
      </c>
      <c r="V198" s="8" t="inlineStr">
        <is>
          <t>short-term + long-term</t>
        </is>
      </c>
      <c r="W198" s="13" t="n"/>
      <c r="X198" s="11" t="n"/>
      <c r="Y198" s="11" t="n"/>
      <c r="Z198" s="13" t="n">
        <v>29.509</v>
      </c>
      <c r="AA198" s="8" t="inlineStr">
        <is>
          <t>net income + D&amp;A - capex - change in operating working capital (cash and short-term debt excluded)</t>
        </is>
      </c>
      <c r="AB198" s="10" t="n">
        <v>0.3859908436886854</v>
      </c>
      <c r="AC198" s="10" t="n"/>
      <c r="AD198" s="12" t="n">
        <v>2745300000</v>
      </c>
    </row>
    <row r="199">
      <c r="A199" s="8" t="inlineStr">
        <is>
          <t>JNJ</t>
        </is>
      </c>
      <c r="B199" s="8" t="inlineStr">
        <is>
          <t>JOHNSON &amp; JOHNSON</t>
        </is>
      </c>
      <c r="C199" s="8" t="inlineStr">
        <is>
          <t>STANDARD</t>
        </is>
      </c>
      <c r="D199" s="8" t="n">
        <v>2018</v>
      </c>
      <c r="E199" s="8" t="inlineStr">
        <is>
          <t>2018-12-30</t>
        </is>
      </c>
      <c r="F199" s="8" t="inlineStr">
        <is>
          <t>0000200406-21-000008</t>
        </is>
      </c>
      <c r="G199" s="13" t="n">
        <v>81.581</v>
      </c>
      <c r="H199" s="13" t="n"/>
      <c r="I199" s="8" t="inlineStr">
        <is>
          <t>DATA_UNAVAILABLE</t>
        </is>
      </c>
      <c r="J199" s="13" t="n">
        <v>15.297</v>
      </c>
      <c r="K199" s="10" t="n">
        <v>0.21</v>
      </c>
      <c r="L199" s="13" t="n"/>
      <c r="M199" s="13" t="n">
        <v>72.129</v>
      </c>
      <c r="N199" s="13" t="n">
        <v>74.52</v>
      </c>
      <c r="O199" s="10" t="n"/>
      <c r="P199" s="8" t="inlineStr">
        <is>
          <t>OK</t>
        </is>
      </c>
      <c r="Q199" s="10" t="n">
        <v>0.2551371005403963</v>
      </c>
      <c r="R199" s="10" t="n"/>
      <c r="S199" s="13" t="n">
        <v>59.752</v>
      </c>
      <c r="T199" s="13" t="n">
        <v>18.107</v>
      </c>
      <c r="U199" s="13" t="n">
        <v>30.484</v>
      </c>
      <c r="V199" s="8" t="inlineStr">
        <is>
          <t>short-term + long-term</t>
        </is>
      </c>
      <c r="W199" s="13" t="n"/>
      <c r="X199" s="11" t="n"/>
      <c r="Y199" s="11" t="n"/>
      <c r="Z199" s="13" t="n">
        <v>17.687</v>
      </c>
      <c r="AA199" s="8" t="inlineStr">
        <is>
          <t>net income + D&amp;A - capex - change in operating working capital (cash and short-term debt excluded)</t>
        </is>
      </c>
      <c r="AB199" s="10" t="n">
        <v>0.216802932055258</v>
      </c>
      <c r="AC199" s="10" t="n"/>
      <c r="AD199" s="12" t="n">
        <v>2728700000</v>
      </c>
    </row>
    <row r="200">
      <c r="A200" s="8" t="inlineStr">
        <is>
          <t>JNJ</t>
        </is>
      </c>
      <c r="B200" s="8" t="inlineStr">
        <is>
          <t>JOHNSON &amp; JOHNSON</t>
        </is>
      </c>
      <c r="C200" s="8" t="inlineStr">
        <is>
          <t>STANDARD</t>
        </is>
      </c>
      <c r="D200" s="8" t="n">
        <v>2019</v>
      </c>
      <c r="E200" s="8" t="inlineStr">
        <is>
          <t>2019-12-29</t>
        </is>
      </c>
      <c r="F200" s="8" t="inlineStr">
        <is>
          <t>0000200406-22-000022</t>
        </is>
      </c>
      <c r="G200" s="13" t="n">
        <v>82.059</v>
      </c>
      <c r="H200" s="13" t="n">
        <v>17.328</v>
      </c>
      <c r="I200" s="8" t="inlineStr">
        <is>
          <t>pretax_income only (no interest expense tagged)</t>
        </is>
      </c>
      <c r="J200" s="13" t="n">
        <v>15.119</v>
      </c>
      <c r="K200" s="10" t="n">
        <v>0.1274815327793167</v>
      </c>
      <c r="L200" s="13" t="n">
        <v>15.119</v>
      </c>
      <c r="M200" s="13" t="n">
        <v>69.86</v>
      </c>
      <c r="N200" s="13" t="n">
        <v>70.9945</v>
      </c>
      <c r="O200" s="10" t="n">
        <v>0.2129601588855475</v>
      </c>
      <c r="P200" s="8" t="inlineStr">
        <is>
          <t>OK</t>
        </is>
      </c>
      <c r="Q200" s="10" t="n">
        <v>0.2536255588267364</v>
      </c>
      <c r="R200" s="10" t="n">
        <v>0.04066539994118895</v>
      </c>
      <c r="S200" s="13" t="n">
        <v>59.471</v>
      </c>
      <c r="T200" s="13" t="n">
        <v>17.305</v>
      </c>
      <c r="U200" s="13" t="n">
        <v>27.694</v>
      </c>
      <c r="V200" s="8" t="inlineStr">
        <is>
          <t>short-term + long-term</t>
        </is>
      </c>
      <c r="W200" s="13" t="n">
        <v>24.337</v>
      </c>
      <c r="X200" s="11" t="n">
        <v>0.4268808809631425</v>
      </c>
      <c r="Y200" s="11" t="n"/>
      <c r="Z200" s="13" t="n">
        <v>24.921</v>
      </c>
      <c r="AA200" s="8" t="inlineStr">
        <is>
          <t>net income + D&amp;A - capex - change in operating working capital (cash and short-term debt excluded)</t>
        </is>
      </c>
      <c r="AB200" s="10" t="n">
        <v>0.3036961210836105</v>
      </c>
      <c r="AC200" s="10" t="n">
        <v>0.2111651372792747</v>
      </c>
      <c r="AD200" s="12" t="n">
        <v>2684300000</v>
      </c>
    </row>
    <row r="201">
      <c r="A201" s="8" t="inlineStr">
        <is>
          <t>JNJ</t>
        </is>
      </c>
      <c r="B201" s="8" t="inlineStr">
        <is>
          <t>JOHNSON &amp; JOHNSON</t>
        </is>
      </c>
      <c r="C201" s="8" t="inlineStr">
        <is>
          <t>STANDARD</t>
        </is>
      </c>
      <c r="D201" s="8" t="n">
        <v>2020</v>
      </c>
      <c r="E201" s="8" t="inlineStr">
        <is>
          <t>2021-01-03</t>
        </is>
      </c>
      <c r="F201" s="8" t="inlineStr">
        <is>
          <t>0000200406-23-000016</t>
        </is>
      </c>
      <c r="G201" s="13" t="n">
        <v>82.584</v>
      </c>
      <c r="H201" s="13" t="n">
        <v>16.497</v>
      </c>
      <c r="I201" s="8" t="inlineStr">
        <is>
          <t>pretax_income only (no interest expense tagged)</t>
        </is>
      </c>
      <c r="J201" s="13" t="n">
        <v>14.714</v>
      </c>
      <c r="K201" s="10" t="n">
        <v>0.1080802570164272</v>
      </c>
      <c r="L201" s="13" t="n">
        <v>14.714</v>
      </c>
      <c r="M201" s="13" t="n">
        <v>84.52800000000001</v>
      </c>
      <c r="N201" s="13" t="n">
        <v>77.194</v>
      </c>
      <c r="O201" s="10" t="n">
        <v>0.1906106692229966</v>
      </c>
      <c r="P201" s="8" t="inlineStr">
        <is>
          <t>OK</t>
        </is>
      </c>
      <c r="Q201" s="10" t="n">
        <v>0.2397412606212678</v>
      </c>
      <c r="R201" s="10" t="n">
        <v>0.0491305913982712</v>
      </c>
      <c r="S201" s="13" t="n">
        <v>63.278</v>
      </c>
      <c r="T201" s="13" t="n">
        <v>13.985</v>
      </c>
      <c r="U201" s="13" t="n">
        <v>35.235</v>
      </c>
      <c r="V201" s="8" t="inlineStr">
        <is>
          <t>short-term + long-term</t>
        </is>
      </c>
      <c r="W201" s="13" t="n">
        <v>23.728</v>
      </c>
      <c r="X201" s="11" t="n">
        <v>0.8955664194200944</v>
      </c>
      <c r="Y201" s="11" t="n"/>
      <c r="Z201" s="13" t="n">
        <v>14.444</v>
      </c>
      <c r="AA201" s="8" t="inlineStr">
        <is>
          <t>net income + D&amp;A - capex - change in operating working capital (cash and short-term debt excluded)</t>
        </is>
      </c>
      <c r="AB201" s="10" t="n">
        <v>0.1749007071587717</v>
      </c>
      <c r="AC201" s="10" t="n">
        <v>0.1997602441150828</v>
      </c>
      <c r="AD201" s="12" t="n">
        <v>2670700000</v>
      </c>
    </row>
    <row r="202">
      <c r="A202" s="8" t="inlineStr">
        <is>
          <t>JNJ</t>
        </is>
      </c>
      <c r="B202" s="8" t="inlineStr">
        <is>
          <t>JOHNSON &amp; JOHNSON</t>
        </is>
      </c>
      <c r="C202" s="8" t="inlineStr">
        <is>
          <t>STANDARD</t>
        </is>
      </c>
      <c r="D202" s="8" t="n">
        <v>2021</v>
      </c>
      <c r="E202" s="8" t="inlineStr">
        <is>
          <t>2022-01-02</t>
        </is>
      </c>
      <c r="F202" s="8" t="inlineStr">
        <is>
          <t>0000200406-24-000013</t>
        </is>
      </c>
      <c r="G202" s="13" t="n">
        <v>78.73999999999999</v>
      </c>
      <c r="H202" s="13" t="n">
        <v>19.178</v>
      </c>
      <c r="I202" s="8" t="inlineStr">
        <is>
          <t>pretax_income only (no interest expense tagged)</t>
        </is>
      </c>
      <c r="J202" s="13" t="n">
        <v>20.878</v>
      </c>
      <c r="K202" s="10" t="n">
        <v>0.07180102200438002</v>
      </c>
      <c r="L202" s="13" t="n">
        <v>17.801</v>
      </c>
      <c r="M202" s="13" t="n">
        <v>93.321</v>
      </c>
      <c r="N202" s="13" t="n">
        <v>88.92449999999999</v>
      </c>
      <c r="O202" s="10" t="n">
        <v>0.2001810524658559</v>
      </c>
      <c r="P202" s="8" t="inlineStr">
        <is>
          <t>OK</t>
        </is>
      </c>
      <c r="Q202" s="10" t="n">
        <v>0.3041201447913708</v>
      </c>
      <c r="R202" s="10" t="n">
        <v>0.1039390923255149</v>
      </c>
      <c r="S202" s="13" t="n">
        <v>74.023</v>
      </c>
      <c r="T202" s="13" t="n">
        <v>14.487</v>
      </c>
      <c r="U202" s="13" t="n">
        <v>33.785</v>
      </c>
      <c r="V202" s="8" t="inlineStr">
        <is>
          <t>short-term + long-term</t>
        </is>
      </c>
      <c r="W202" s="13" t="n">
        <v>26.568</v>
      </c>
      <c r="X202" s="11" t="n">
        <v>0.7263625414031918</v>
      </c>
      <c r="Y202" s="11" t="n"/>
      <c r="Z202" s="13" t="n">
        <v>16.909</v>
      </c>
      <c r="AA202" s="8" t="inlineStr">
        <is>
          <t>net income + D&amp;A - capex - change in operating working capital (cash and short-term debt excluded)</t>
        </is>
      </c>
      <c r="AB202" s="10" t="n">
        <v>0.214744729489459</v>
      </c>
      <c r="AC202" s="10" t="n">
        <v>0.2435610871221743</v>
      </c>
      <c r="AD202" s="12" t="n">
        <v>2674000000</v>
      </c>
    </row>
    <row r="203">
      <c r="A203" s="8" t="inlineStr">
        <is>
          <t>JNJ</t>
        </is>
      </c>
      <c r="B203" s="8" t="inlineStr">
        <is>
          <t>JOHNSON &amp; JOHNSON</t>
        </is>
      </c>
      <c r="C203" s="8" t="inlineStr">
        <is>
          <t>STANDARD</t>
        </is>
      </c>
      <c r="D203" s="8" t="n">
        <v>2022</v>
      </c>
      <c r="E203" s="8" t="inlineStr">
        <is>
          <t>2023-01-01</t>
        </is>
      </c>
      <c r="F203" s="8" t="inlineStr">
        <is>
          <t>0000200406-25-000038</t>
        </is>
      </c>
      <c r="G203" s="13" t="n">
        <v>79.98999999999999</v>
      </c>
      <c r="H203" s="13" t="n">
        <v>19.635</v>
      </c>
      <c r="I203" s="8" t="inlineStr">
        <is>
          <t>pretax_income + interest_expense</t>
        </is>
      </c>
      <c r="J203" s="13" t="n">
        <v>17.941</v>
      </c>
      <c r="K203" s="10" t="n">
        <v>0.1543984709954027</v>
      </c>
      <c r="L203" s="13" t="n">
        <v>16.60338602200527</v>
      </c>
      <c r="M203" s="13" t="n">
        <v>103.601</v>
      </c>
      <c r="N203" s="13" t="n">
        <v>98.461</v>
      </c>
      <c r="O203" s="10" t="n">
        <v>0.168629061476171</v>
      </c>
      <c r="P203" s="8" t="inlineStr">
        <is>
          <t>OK</t>
        </is>
      </c>
      <c r="Q203" s="10" t="n">
        <v>0.2379017019499161</v>
      </c>
      <c r="R203" s="10" t="n">
        <v>0.06927264047374518</v>
      </c>
      <c r="S203" s="13" t="n">
        <v>76.804</v>
      </c>
      <c r="T203" s="13" t="n">
        <v>12.889</v>
      </c>
      <c r="U203" s="13" t="n">
        <v>39.686</v>
      </c>
      <c r="V203" s="8" t="inlineStr">
        <is>
          <t>short-term + long-term</t>
        </is>
      </c>
      <c r="W203" s="13" t="n">
        <v>26.605</v>
      </c>
      <c r="X203" s="11" t="n">
        <v>1.00721668859237</v>
      </c>
      <c r="Y203" s="11" t="n">
        <v>71.14130434782609</v>
      </c>
      <c r="Z203" s="13" t="n">
        <v>26.565</v>
      </c>
      <c r="AA203" s="8" t="inlineStr">
        <is>
          <t>net income + D&amp;A - capex - change in operating working capital (cash and short-term debt excluded)</t>
        </is>
      </c>
      <c r="AB203" s="10" t="n">
        <v>0.3321040130016252</v>
      </c>
      <c r="AC203" s="10" t="n">
        <v>0.2454681835229404</v>
      </c>
      <c r="AD203" s="12" t="n">
        <v>2663900000</v>
      </c>
    </row>
    <row r="204">
      <c r="A204" s="8" t="inlineStr">
        <is>
          <t>JNJ</t>
        </is>
      </c>
      <c r="B204" s="8" t="inlineStr">
        <is>
          <t>JOHNSON &amp; JOHNSON</t>
        </is>
      </c>
      <c r="C204" s="8" t="inlineStr">
        <is>
          <t>STANDARD</t>
        </is>
      </c>
      <c r="D204" s="8" t="n">
        <v>2023</v>
      </c>
      <c r="E204" s="8" t="inlineStr">
        <is>
          <t>2023-12-31</t>
        </is>
      </c>
      <c r="F204" s="8" t="inlineStr">
        <is>
          <t>0000200406-26-000016</t>
        </is>
      </c>
      <c r="G204" s="13" t="n">
        <v>85.15900000000001</v>
      </c>
      <c r="H204" s="13" t="n">
        <v>15.834</v>
      </c>
      <c r="I204" s="8" t="inlineStr">
        <is>
          <t>pretax_income + interest_expense</t>
        </is>
      </c>
      <c r="J204" s="13" t="n">
        <v>35.153</v>
      </c>
      <c r="K204" s="10" t="n">
        <v>0.1152569379896428</v>
      </c>
      <c r="L204" s="13" t="n">
        <v>14.00902164387199</v>
      </c>
      <c r="M204" s="13" t="n">
        <v>76.29600000000001</v>
      </c>
      <c r="N204" s="13" t="n">
        <v>89.9485</v>
      </c>
      <c r="O204" s="10" t="n">
        <v>0.155744916745382</v>
      </c>
      <c r="P204" s="8" t="inlineStr">
        <is>
          <t>OK</t>
        </is>
      </c>
      <c r="Q204" s="10" t="n">
        <v>0.4829438514061191</v>
      </c>
      <c r="R204" s="10" t="n">
        <v>0.327198934660737</v>
      </c>
      <c r="S204" s="13" t="n">
        <v>68.774</v>
      </c>
      <c r="T204" s="13" t="n">
        <v>21.859</v>
      </c>
      <c r="U204" s="13" t="n">
        <v>29.381</v>
      </c>
      <c r="V204" s="8" t="inlineStr">
        <is>
          <t>short-term + long-term</t>
        </is>
      </c>
      <c r="W204" s="13" t="n">
        <v>23.32</v>
      </c>
      <c r="X204" s="11" t="n">
        <v>0.3225557461406518</v>
      </c>
      <c r="Y204" s="11" t="n">
        <v>20.51036269430052</v>
      </c>
      <c r="Z204" s="13" t="n">
        <v>48.645</v>
      </c>
      <c r="AA204" s="8" t="inlineStr">
        <is>
          <t>net income + D&amp;A - capex - change in operating working capital (cash and short-term debt excluded)</t>
        </is>
      </c>
      <c r="AB204" s="10" t="n">
        <v>0.5712255897791191</v>
      </c>
      <c r="AC204" s="10" t="n">
        <v>0.1859345459669559</v>
      </c>
      <c r="AD204" s="12" t="n">
        <v>2560400000</v>
      </c>
    </row>
    <row r="205">
      <c r="A205" s="8" t="inlineStr">
        <is>
          <t>JNJ</t>
        </is>
      </c>
      <c r="B205" s="8" t="inlineStr">
        <is>
          <t>JOHNSON &amp; JOHNSON</t>
        </is>
      </c>
      <c r="C205" s="8" t="inlineStr">
        <is>
          <t>STANDARD</t>
        </is>
      </c>
      <c r="D205" s="8" t="n">
        <v>2024</v>
      </c>
      <c r="E205" s="8" t="inlineStr">
        <is>
          <t>2024-12-29</t>
        </is>
      </c>
      <c r="F205" s="8" t="inlineStr">
        <is>
          <t>0000200406-26-000016</t>
        </is>
      </c>
      <c r="G205" s="13" t="n">
        <v>88.821</v>
      </c>
      <c r="H205" s="13" t="n">
        <v>17.442</v>
      </c>
      <c r="I205" s="8" t="inlineStr">
        <is>
          <t>pretax_income + interest_expense</t>
        </is>
      </c>
      <c r="J205" s="13" t="n">
        <v>14.066</v>
      </c>
      <c r="K205" s="10" t="n">
        <v>0.1570683765805717</v>
      </c>
      <c r="L205" s="13" t="n">
        <v>14.70241337568167</v>
      </c>
      <c r="M205" s="13" t="n">
        <v>84.036</v>
      </c>
      <c r="N205" s="13" t="n">
        <v>80.166</v>
      </c>
      <c r="O205" s="10" t="n">
        <v>0.1833996129990478</v>
      </c>
      <c r="P205" s="8" t="inlineStr">
        <is>
          <t>OK</t>
        </is>
      </c>
      <c r="Q205" s="10" t="n">
        <v>0.2005646495180517</v>
      </c>
      <c r="R205" s="10" t="n">
        <v>0.01716503651900386</v>
      </c>
      <c r="S205" s="13" t="n">
        <v>71.48999999999999</v>
      </c>
      <c r="T205" s="13" t="n">
        <v>24.105</v>
      </c>
      <c r="U205" s="13" t="n">
        <v>36.651</v>
      </c>
      <c r="V205" s="8" t="inlineStr">
        <is>
          <t>short-term + long-term</t>
        </is>
      </c>
      <c r="W205" s="13" t="n">
        <v>24.781</v>
      </c>
      <c r="X205" s="11" t="n">
        <v>0.5062749687260402</v>
      </c>
      <c r="Y205" s="11" t="n">
        <v>23.10198675496689</v>
      </c>
      <c r="Z205" s="13" t="n">
        <v>18.368</v>
      </c>
      <c r="AA205" s="8" t="inlineStr">
        <is>
          <t>net income + D&amp;A - capex - change in operating working capital (cash and short-term debt excluded)</t>
        </is>
      </c>
      <c r="AB205" s="10" t="n">
        <v>0.2067979419281476</v>
      </c>
      <c r="AC205" s="10" t="n">
        <v>0.1963724794812038</v>
      </c>
      <c r="AD205" s="12" t="n">
        <v>2429400000</v>
      </c>
    </row>
    <row r="206">
      <c r="A206" s="8" t="inlineStr">
        <is>
          <t>JNJ</t>
        </is>
      </c>
      <c r="B206" s="8" t="inlineStr">
        <is>
          <t>JOHNSON &amp; JOHNSON</t>
        </is>
      </c>
      <c r="C206" s="8" t="inlineStr">
        <is>
          <t>STANDARD</t>
        </is>
      </c>
      <c r="D206" s="8" t="n">
        <v>2025</v>
      </c>
      <c r="E206" s="8" t="inlineStr">
        <is>
          <t>2025-12-28</t>
        </is>
      </c>
      <c r="F206" s="8" t="inlineStr">
        <is>
          <t>0000200406-26-000016</t>
        </is>
      </c>
      <c r="G206" s="13" t="n">
        <v>94.193</v>
      </c>
      <c r="H206" s="13" t="n">
        <v>33.552</v>
      </c>
      <c r="I206" s="8" t="inlineStr">
        <is>
          <t>pretax_income + interest_expense</t>
        </is>
      </c>
      <c r="J206" s="13" t="n">
        <v>26.804</v>
      </c>
      <c r="K206" s="10" t="n">
        <v>0.177311930266106</v>
      </c>
      <c r="L206" s="13" t="n">
        <v>27.60283011571161</v>
      </c>
      <c r="M206" s="13" t="n">
        <v>109.773</v>
      </c>
      <c r="N206" s="13" t="n">
        <v>96.9045</v>
      </c>
      <c r="O206" s="10" t="n">
        <v>0.284845699794247</v>
      </c>
      <c r="P206" s="8" t="inlineStr">
        <is>
          <t>OK</t>
        </is>
      </c>
      <c r="Q206" s="10" t="n">
        <v>0.3503012402472653</v>
      </c>
      <c r="R206" s="10" t="n">
        <v>0.06545554045301832</v>
      </c>
      <c r="S206" s="13" t="n">
        <v>81.544</v>
      </c>
      <c r="T206" s="13" t="n">
        <v>19.709</v>
      </c>
      <c r="U206" s="13" t="n">
        <v>47.938</v>
      </c>
      <c r="V206" s="8" t="inlineStr">
        <is>
          <t>short-term + long-term</t>
        </is>
      </c>
      <c r="W206" s="13" t="n">
        <v>41.055</v>
      </c>
      <c r="X206" s="11" t="n">
        <v>0.6875898185361101</v>
      </c>
      <c r="Y206" s="11" t="n">
        <v>34.55406797116375</v>
      </c>
      <c r="Z206" s="13" t="n">
        <v>26.653</v>
      </c>
      <c r="AA206" s="8" t="inlineStr">
        <is>
          <t>net income + D&amp;A - capex - change in operating working capital (cash and short-term debt excluded)</t>
        </is>
      </c>
      <c r="AB206" s="10" t="n">
        <v>0.2829615788859045</v>
      </c>
      <c r="AC206" s="10" t="n">
        <v>0.3562048135211746</v>
      </c>
      <c r="AD206" s="12" t="n">
        <v>2429400000</v>
      </c>
    </row>
    <row r="207">
      <c r="A207" s="8" t="inlineStr">
        <is>
          <t>INTC</t>
        </is>
      </c>
      <c r="B207" s="8" t="inlineStr">
        <is>
          <t>INTEL CORP</t>
        </is>
      </c>
      <c r="C207" s="8" t="inlineStr">
        <is>
          <t>STANDARD</t>
        </is>
      </c>
      <c r="D207" s="8" t="n">
        <v>2014</v>
      </c>
      <c r="E207" s="8" t="inlineStr">
        <is>
          <t>2014-12-27</t>
        </is>
      </c>
      <c r="F207" s="8" t="inlineStr">
        <is>
          <t>0000050863-17-000012</t>
        </is>
      </c>
      <c r="G207" s="13" t="n"/>
      <c r="H207" s="13" t="n">
        <v>15.347</v>
      </c>
      <c r="I207" s="8" t="inlineStr">
        <is>
          <t>reported OperatingIncomeLoss (no interest expense tagged)</t>
        </is>
      </c>
      <c r="J207" s="13" t="n">
        <v>11.704</v>
      </c>
      <c r="K207" s="10" t="n">
        <v>0.2592873868742485</v>
      </c>
      <c r="L207" s="13" t="n">
        <v>11.36771647364091</v>
      </c>
      <c r="M207" s="13" t="n"/>
      <c r="N207" s="13" t="n"/>
      <c r="O207" s="10" t="n"/>
      <c r="P207" s="8" t="inlineStr">
        <is>
          <t>DATA_UNAVAILABLE</t>
        </is>
      </c>
      <c r="Q207" s="10" t="n">
        <v>0.2095050568334378</v>
      </c>
      <c r="R207" s="10" t="n"/>
      <c r="S207" s="13" t="n">
        <v>55.865</v>
      </c>
      <c r="T207" s="13" t="n"/>
      <c r="U207" s="13" t="n">
        <v>13.655</v>
      </c>
      <c r="V207" s="8" t="inlineStr">
        <is>
          <t>short-term + long-term</t>
        </is>
      </c>
      <c r="W207" s="13" t="n">
        <v>22.727</v>
      </c>
      <c r="X207" s="11" t="n"/>
      <c r="Y207" s="11" t="n"/>
      <c r="Z207" s="13" t="n"/>
      <c r="AA207" s="8" t="inlineStr">
        <is>
          <t>net income + D&amp;A - capex - change in no prior year</t>
        </is>
      </c>
      <c r="AB207" s="10" t="n"/>
      <c r="AC207" s="10" t="n"/>
      <c r="AD207" s="12" t="n">
        <v>4748000000</v>
      </c>
    </row>
    <row r="208">
      <c r="A208" s="8" t="inlineStr">
        <is>
          <t>INTC</t>
        </is>
      </c>
      <c r="B208" s="8" t="inlineStr">
        <is>
          <t>INTEL CORP</t>
        </is>
      </c>
      <c r="C208" s="8" t="inlineStr">
        <is>
          <t>STANDARD</t>
        </is>
      </c>
      <c r="D208" s="8" t="n">
        <v>2015</v>
      </c>
      <c r="E208" s="8" t="inlineStr">
        <is>
          <t>2015-12-26</t>
        </is>
      </c>
      <c r="F208" s="8" t="inlineStr">
        <is>
          <t>0000050863-18-000007</t>
        </is>
      </c>
      <c r="G208" s="13" t="n"/>
      <c r="H208" s="13" t="n">
        <v>14.002</v>
      </c>
      <c r="I208" s="8" t="inlineStr">
        <is>
          <t>reported OperatingIncomeLoss (no interest expense tagged)</t>
        </is>
      </c>
      <c r="J208" s="13" t="n">
        <v>11.42</v>
      </c>
      <c r="K208" s="10" t="n">
        <v>0.1964537010976639</v>
      </c>
      <c r="L208" s="13" t="n">
        <v>11.25125527723051</v>
      </c>
      <c r="M208" s="13" t="n"/>
      <c r="N208" s="13" t="n"/>
      <c r="O208" s="10" t="n"/>
      <c r="P208" s="8" t="inlineStr">
        <is>
          <t>DATA_UNAVAILABLE</t>
        </is>
      </c>
      <c r="Q208" s="10" t="n">
        <v>0.1952971355280034</v>
      </c>
      <c r="R208" s="10" t="n"/>
      <c r="S208" s="13" t="n">
        <v>61.085</v>
      </c>
      <c r="T208" s="13" t="n"/>
      <c r="U208" s="13" t="n">
        <v>22.67</v>
      </c>
      <c r="V208" s="8" t="inlineStr">
        <is>
          <t>short-term + long-term</t>
        </is>
      </c>
      <c r="W208" s="13" t="n">
        <v>21.823</v>
      </c>
      <c r="X208" s="11" t="n"/>
      <c r="Y208" s="11" t="n"/>
      <c r="Z208" s="13" t="n">
        <v>-0.078</v>
      </c>
      <c r="AA208" s="8" t="inlineStr">
        <is>
          <t>net income + D&amp;A - capex - change in current assets less current liabilities; cash not tagged for both years, so the swing may still carry a cash movement</t>
        </is>
      </c>
      <c r="AB208" s="10" t="n"/>
      <c r="AC208" s="10" t="n"/>
      <c r="AD208" s="12" t="n">
        <v>4725000000</v>
      </c>
    </row>
    <row r="209">
      <c r="A209" s="8" t="inlineStr">
        <is>
          <t>INTC</t>
        </is>
      </c>
      <c r="B209" s="8" t="inlineStr">
        <is>
          <t>INTEL CORP</t>
        </is>
      </c>
      <c r="C209" s="8" t="inlineStr">
        <is>
          <t>STANDARD</t>
        </is>
      </c>
      <c r="D209" s="8" t="n">
        <v>2016</v>
      </c>
      <c r="E209" s="8" t="inlineStr">
        <is>
          <t>2016-12-31</t>
        </is>
      </c>
      <c r="F209" s="8" t="inlineStr">
        <is>
          <t>0000050863-19-000007</t>
        </is>
      </c>
      <c r="G209" s="13" t="n">
        <v>59.387</v>
      </c>
      <c r="H209" s="13" t="n">
        <v>13.133</v>
      </c>
      <c r="I209" s="8" t="inlineStr">
        <is>
          <t>reported OperatingIncomeLoss (no interest expense tagged)</t>
        </is>
      </c>
      <c r="J209" s="13" t="n">
        <v>10.316</v>
      </c>
      <c r="K209" s="10" t="n">
        <v>0.2025355596784168</v>
      </c>
      <c r="L209" s="13" t="n">
        <v>10.47310049474335</v>
      </c>
      <c r="M209" s="13" t="n">
        <v>85.949</v>
      </c>
      <c r="N209" s="13" t="n">
        <v>85.949</v>
      </c>
      <c r="O209" s="10" t="n">
        <v>0.1218524996770568</v>
      </c>
      <c r="P209" s="8" t="inlineStr">
        <is>
          <t>OK</t>
        </is>
      </c>
      <c r="Q209" s="10" t="n">
        <v>0.1620598377202284</v>
      </c>
      <c r="R209" s="10" t="n">
        <v>0.04020733804317166</v>
      </c>
      <c r="S209" s="13" t="n">
        <v>66.226</v>
      </c>
      <c r="T209" s="13" t="n">
        <v>5.56</v>
      </c>
      <c r="U209" s="13" t="n">
        <v>25.283</v>
      </c>
      <c r="V209" s="8" t="inlineStr">
        <is>
          <t>short-term + long-term</t>
        </is>
      </c>
      <c r="W209" s="13" t="n">
        <v>19.399</v>
      </c>
      <c r="X209" s="11" t="n">
        <v>1.016701891850095</v>
      </c>
      <c r="Y209" s="11" t="n"/>
      <c r="Z209" s="13" t="n">
        <v>17.985</v>
      </c>
      <c r="AA209" s="8" t="inlineStr">
        <is>
          <t>net income + D&amp;A - capex - change in current assets less current liabilities; cash not tagged for both years, so the swing may still carry a cash movement</t>
        </is>
      </c>
      <c r="AB209" s="10" t="n">
        <v>0.3028440567801034</v>
      </c>
      <c r="AC209" s="10" t="n">
        <v>0.2211426743226632</v>
      </c>
      <c r="AD209" s="12" t="n">
        <v>4730000000</v>
      </c>
    </row>
    <row r="210">
      <c r="A210" s="8" t="inlineStr">
        <is>
          <t>INTC</t>
        </is>
      </c>
      <c r="B210" s="8" t="inlineStr">
        <is>
          <t>INTEL CORP</t>
        </is>
      </c>
      <c r="C210" s="8" t="inlineStr">
        <is>
          <t>STANDARD</t>
        </is>
      </c>
      <c r="D210" s="8" t="n">
        <v>2017</v>
      </c>
      <c r="E210" s="8" t="inlineStr">
        <is>
          <t>2017-12-30</t>
        </is>
      </c>
      <c r="F210" s="8" t="inlineStr">
        <is>
          <t>0000050863-20-000011</t>
        </is>
      </c>
      <c r="G210" s="13" t="n">
        <v>62.761</v>
      </c>
      <c r="H210" s="13" t="n">
        <v>18.05</v>
      </c>
      <c r="I210" s="8" t="inlineStr">
        <is>
          <t>reported OperatingIncomeLoss (no interest expense tagged)</t>
        </is>
      </c>
      <c r="J210" s="13" t="n">
        <v>9.601000000000001</v>
      </c>
      <c r="K210" s="10" t="n">
        <v>0.4</v>
      </c>
      <c r="L210" s="13" t="n">
        <v>10.83</v>
      </c>
      <c r="M210" s="13" t="n">
        <v>93.033</v>
      </c>
      <c r="N210" s="13" t="n">
        <v>89.491</v>
      </c>
      <c r="O210" s="10" t="n">
        <v>0.1210177559754612</v>
      </c>
      <c r="P210" s="8" t="inlineStr">
        <is>
          <t>OK</t>
        </is>
      </c>
      <c r="Q210" s="10" t="n">
        <v>0.1413169069539811</v>
      </c>
      <c r="R210" s="10" t="n">
        <v>0.02029915097851989</v>
      </c>
      <c r="S210" s="13" t="n">
        <v>69.65300000000001</v>
      </c>
      <c r="T210" s="13" t="n">
        <v>3.433</v>
      </c>
      <c r="U210" s="13" t="n">
        <v>26.813</v>
      </c>
      <c r="V210" s="8" t="inlineStr">
        <is>
          <t>short-term + long-term</t>
        </is>
      </c>
      <c r="W210" s="13" t="n">
        <v>24.802</v>
      </c>
      <c r="X210" s="11" t="n">
        <v>0.9426659140391904</v>
      </c>
      <c r="Y210" s="11" t="n"/>
      <c r="Z210" s="13" t="n">
        <v>8.433</v>
      </c>
      <c r="AA210" s="8" t="inlineStr">
        <is>
          <t>net income + D&amp;A - capex - change in operating working capital (cash and short-term debt excluded)</t>
        </is>
      </c>
      <c r="AB210" s="10" t="n">
        <v>0.1343668838928634</v>
      </c>
      <c r="AC210" s="10" t="n">
        <v>0.2875989866318255</v>
      </c>
      <c r="AD210" s="12" t="n">
        <v>4687000000</v>
      </c>
    </row>
    <row r="211">
      <c r="A211" s="8" t="inlineStr">
        <is>
          <t>INTC</t>
        </is>
      </c>
      <c r="B211" s="8" t="inlineStr">
        <is>
          <t>INTEL CORP</t>
        </is>
      </c>
      <c r="C211" s="8" t="inlineStr">
        <is>
          <t>STANDARD</t>
        </is>
      </c>
      <c r="D211" s="8" t="n">
        <v>2018</v>
      </c>
      <c r="E211" s="8" t="inlineStr">
        <is>
          <t>2018-12-29</t>
        </is>
      </c>
      <c r="F211" s="8" t="inlineStr">
        <is>
          <t>0000050863-21-000010</t>
        </is>
      </c>
      <c r="G211" s="13" t="n">
        <v>70.848</v>
      </c>
      <c r="H211" s="13" t="n">
        <v>23.316</v>
      </c>
      <c r="I211" s="8" t="inlineStr">
        <is>
          <t>reported OperatingIncomeLoss (no interest expense tagged)</t>
        </is>
      </c>
      <c r="J211" s="13" t="n">
        <v>21.053</v>
      </c>
      <c r="K211" s="10" t="n">
        <v>0.09709653900587555</v>
      </c>
      <c r="L211" s="13" t="n">
        <v>21.052097096539</v>
      </c>
      <c r="M211" s="13" t="n">
        <v>97.90300000000001</v>
      </c>
      <c r="N211" s="13" t="n">
        <v>95.468</v>
      </c>
      <c r="O211" s="10" t="n">
        <v>0.220514697035017</v>
      </c>
      <c r="P211" s="8" t="inlineStr">
        <is>
          <t>OK</t>
        </is>
      </c>
      <c r="Q211" s="10" t="n">
        <v>0.2919648305319798</v>
      </c>
      <c r="R211" s="10" t="n">
        <v>0.07145013349696278</v>
      </c>
      <c r="S211" s="13" t="n">
        <v>74.563</v>
      </c>
      <c r="T211" s="13" t="n">
        <v>3.019</v>
      </c>
      <c r="U211" s="13" t="n">
        <v>26.359</v>
      </c>
      <c r="V211" s="8" t="inlineStr">
        <is>
          <t>short-term + long-term</t>
        </is>
      </c>
      <c r="W211" s="13" t="n">
        <v>30.836</v>
      </c>
      <c r="X211" s="11" t="n">
        <v>0.7569075107017772</v>
      </c>
      <c r="Y211" s="11" t="n"/>
      <c r="Z211" s="13" t="n">
        <v>13.411</v>
      </c>
      <c r="AA211" s="8" t="inlineStr">
        <is>
          <t>net income + D&amp;A - capex - change in operating working capital (cash and short-term debt excluded)</t>
        </is>
      </c>
      <c r="AB211" s="10" t="n">
        <v>0.1892925700090334</v>
      </c>
      <c r="AC211" s="10" t="n">
        <v>0.3290989159891599</v>
      </c>
      <c r="AD211" s="12" t="n">
        <v>4516000000</v>
      </c>
    </row>
    <row r="212">
      <c r="A212" s="8" t="inlineStr">
        <is>
          <t>INTC</t>
        </is>
      </c>
      <c r="B212" s="8" t="inlineStr">
        <is>
          <t>INTEL CORP</t>
        </is>
      </c>
      <c r="C212" s="8" t="inlineStr">
        <is>
          <t>STANDARD</t>
        </is>
      </c>
      <c r="D212" s="8" t="n">
        <v>2019</v>
      </c>
      <c r="E212" s="8" t="inlineStr">
        <is>
          <t>2019-12-28</t>
        </is>
      </c>
      <c r="F212" s="8" t="inlineStr">
        <is>
          <t>0000050863-22-000007</t>
        </is>
      </c>
      <c r="G212" s="13" t="n">
        <v>71.965</v>
      </c>
      <c r="H212" s="13" t="n">
        <v>22.035</v>
      </c>
      <c r="I212" s="8" t="inlineStr">
        <is>
          <t>reported OperatingIncomeLoss (no interest expense tagged)</t>
        </is>
      </c>
      <c r="J212" s="13" t="n">
        <v>21.048</v>
      </c>
      <c r="K212" s="10" t="n">
        <v>0.1251143070911963</v>
      </c>
      <c r="L212" s="13" t="n">
        <v>19.27810624324549</v>
      </c>
      <c r="M212" s="13" t="n">
        <v>102.311</v>
      </c>
      <c r="N212" s="13" t="n">
        <v>100.107</v>
      </c>
      <c r="O212" s="10" t="n">
        <v>0.1925750071747779</v>
      </c>
      <c r="P212" s="8" t="inlineStr">
        <is>
          <t>OK</t>
        </is>
      </c>
      <c r="Q212" s="10" t="n">
        <v>0.2768253467221685</v>
      </c>
      <c r="R212" s="10" t="n">
        <v>0.08425033954739061</v>
      </c>
      <c r="S212" s="13" t="n">
        <v>77.504</v>
      </c>
      <c r="T212" s="13" t="n">
        <v>4.194</v>
      </c>
      <c r="U212" s="13" t="n">
        <v>29.001</v>
      </c>
      <c r="V212" s="8" t="inlineStr">
        <is>
          <t>short-term + long-term</t>
        </is>
      </c>
      <c r="W212" s="13" t="n">
        <v>31.239</v>
      </c>
      <c r="X212" s="11" t="n">
        <v>0.7941035244406031</v>
      </c>
      <c r="Y212" s="11" t="n"/>
      <c r="Z212" s="13" t="n">
        <v>16.014</v>
      </c>
      <c r="AA212" s="8" t="inlineStr">
        <is>
          <t>net income + D&amp;A - capex - change in operating working capital (cash and short-term debt excluded)</t>
        </is>
      </c>
      <c r="AB212" s="10" t="n">
        <v>0.2225248384631418</v>
      </c>
      <c r="AC212" s="10" t="n">
        <v>0.3061905092753422</v>
      </c>
      <c r="AD212" s="12" t="n">
        <v>4290000000</v>
      </c>
    </row>
    <row r="213">
      <c r="A213" s="8" t="inlineStr">
        <is>
          <t>INTC</t>
        </is>
      </c>
      <c r="B213" s="8" t="inlineStr">
        <is>
          <t>INTEL CORP</t>
        </is>
      </c>
      <c r="C213" s="8" t="inlineStr">
        <is>
          <t>STANDARD</t>
        </is>
      </c>
      <c r="D213" s="8" t="n">
        <v>2020</v>
      </c>
      <c r="E213" s="8" t="inlineStr">
        <is>
          <t>2020-12-26</t>
        </is>
      </c>
      <c r="F213" s="8" t="inlineStr">
        <is>
          <t>0000050863-23-000006</t>
        </is>
      </c>
      <c r="G213" s="13" t="n">
        <v>77.867</v>
      </c>
      <c r="H213" s="13" t="n">
        <v>23.678</v>
      </c>
      <c r="I213" s="8" t="inlineStr">
        <is>
          <t>reported OperatingIncomeLoss (no interest expense tagged)</t>
        </is>
      </c>
      <c r="J213" s="13" t="n">
        <v>20.899</v>
      </c>
      <c r="K213" s="10" t="n">
        <v>0.1666400829412234</v>
      </c>
      <c r="L213" s="13" t="n">
        <v>19.73229611611771</v>
      </c>
      <c r="M213" s="13" t="n">
        <v>111.574</v>
      </c>
      <c r="N213" s="13" t="n">
        <v>106.9425</v>
      </c>
      <c r="O213" s="10" t="n">
        <v>0.1845131366492995</v>
      </c>
      <c r="P213" s="8" t="inlineStr">
        <is>
          <t>OK</t>
        </is>
      </c>
      <c r="Q213" s="10" t="n">
        <v>0.2636399187596977</v>
      </c>
      <c r="R213" s="10" t="n">
        <v>0.0791267821103982</v>
      </c>
      <c r="S213" s="13" t="n">
        <v>81.038</v>
      </c>
      <c r="T213" s="13" t="n">
        <v>5.865</v>
      </c>
      <c r="U213" s="13" t="n">
        <v>36.401</v>
      </c>
      <c r="V213" s="8" t="inlineStr">
        <is>
          <t>short-term + long-term</t>
        </is>
      </c>
      <c r="W213" s="13" t="n">
        <v>34.16</v>
      </c>
      <c r="X213" s="11" t="n">
        <v>0.8939110070257611</v>
      </c>
      <c r="Y213" s="11" t="n"/>
      <c r="Z213" s="13" t="n">
        <v>6.416</v>
      </c>
      <c r="AA213" s="8" t="inlineStr">
        <is>
          <t>net income + D&amp;A - capex - change in operating working capital (cash and short-term debt excluded)</t>
        </is>
      </c>
      <c r="AB213" s="10" t="n">
        <v>0.08239690754748481</v>
      </c>
      <c r="AC213" s="10" t="n">
        <v>0.3040826023861199</v>
      </c>
      <c r="AD213" s="12" t="n">
        <v>4062000000</v>
      </c>
    </row>
    <row r="214">
      <c r="A214" s="8" t="inlineStr">
        <is>
          <t>INTC</t>
        </is>
      </c>
      <c r="B214" s="8" t="inlineStr">
        <is>
          <t>INTEL CORP</t>
        </is>
      </c>
      <c r="C214" s="8" t="inlineStr">
        <is>
          <t>STANDARD</t>
        </is>
      </c>
      <c r="D214" s="8" t="n">
        <v>2021</v>
      </c>
      <c r="E214" s="8" t="inlineStr">
        <is>
          <t>2021-12-25</t>
        </is>
      </c>
      <c r="F214" s="8" t="inlineStr">
        <is>
          <t>0000050863-24-000010</t>
        </is>
      </c>
      <c r="G214" s="13" t="n">
        <v>79.024</v>
      </c>
      <c r="H214" s="13" t="n">
        <v>19.456</v>
      </c>
      <c r="I214" s="8" t="inlineStr">
        <is>
          <t>reported OperatingIncomeLoss (no interest expense tagged)</t>
        </is>
      </c>
      <c r="J214" s="13" t="n">
        <v>19.868</v>
      </c>
      <c r="K214" s="10" t="n">
        <v>0.08455052296917477</v>
      </c>
      <c r="L214" s="13" t="n">
        <v>17.81098502511174</v>
      </c>
      <c r="M214" s="13" t="n">
        <v>128.665</v>
      </c>
      <c r="N214" s="13" t="n">
        <v>120.1195</v>
      </c>
      <c r="O214" s="10" t="n">
        <v>0.1482772158151819</v>
      </c>
      <c r="P214" s="8" t="inlineStr">
        <is>
          <t>OK</t>
        </is>
      </c>
      <c r="Q214" s="10" t="n">
        <v>0.2252237443957626</v>
      </c>
      <c r="R214" s="10" t="n">
        <v>0.07694652858058074</v>
      </c>
      <c r="S214" s="13" t="n">
        <v>95.39100000000001</v>
      </c>
      <c r="T214" s="13" t="n">
        <v>4.827</v>
      </c>
      <c r="U214" s="13" t="n">
        <v>38.101</v>
      </c>
      <c r="V214" s="8" t="inlineStr">
        <is>
          <t>short-term + long-term</t>
        </is>
      </c>
      <c r="W214" s="13" t="n">
        <v>29.409</v>
      </c>
      <c r="X214" s="11" t="n">
        <v>1.131422353701248</v>
      </c>
      <c r="Y214" s="11" t="n"/>
      <c r="Z214" s="13" t="n">
        <v>-0.638</v>
      </c>
      <c r="AA214" s="8" t="inlineStr">
        <is>
          <t>net income + D&amp;A - capex - change in operating working capital (cash and short-term debt excluded)</t>
        </is>
      </c>
      <c r="AB214" s="10" t="n">
        <v>-0.008073496659242762</v>
      </c>
      <c r="AC214" s="10" t="n">
        <v>0.2462036849564689</v>
      </c>
      <c r="AD214" s="12" t="n">
        <v>4070000000</v>
      </c>
    </row>
    <row r="215">
      <c r="A215" s="8" t="inlineStr">
        <is>
          <t>INTC</t>
        </is>
      </c>
      <c r="B215" s="8" t="inlineStr">
        <is>
          <t>INTEL CORP</t>
        </is>
      </c>
      <c r="C215" s="8" t="inlineStr">
        <is>
          <t>STANDARD</t>
        </is>
      </c>
      <c r="D215" s="8" t="n">
        <v>2022</v>
      </c>
      <c r="E215" s="8" t="inlineStr">
        <is>
          <t>2022-12-31</t>
        </is>
      </c>
      <c r="F215" s="8" t="inlineStr">
        <is>
          <t>0000050863-25-000009</t>
        </is>
      </c>
      <c r="G215" s="13" t="n">
        <v>63.054</v>
      </c>
      <c r="H215" s="13" t="n">
        <v>8.263999999999999</v>
      </c>
      <c r="I215" s="8" t="inlineStr">
        <is>
          <t>pretax_income + interest_expense</t>
        </is>
      </c>
      <c r="J215" s="13" t="n">
        <v>8.013999999999999</v>
      </c>
      <c r="K215" s="10" t="n">
        <v>0.05</v>
      </c>
      <c r="L215" s="13" t="n">
        <v>7.8508</v>
      </c>
      <c r="M215" s="13" t="n">
        <v>132.33</v>
      </c>
      <c r="N215" s="13" t="n">
        <v>130.4975</v>
      </c>
      <c r="O215" s="10" t="n">
        <v>0.06016053947393629</v>
      </c>
      <c r="P215" s="8" t="inlineStr">
        <is>
          <t>OK</t>
        </is>
      </c>
      <c r="Q215" s="10" t="n">
        <v>0.08143729612730802</v>
      </c>
      <c r="R215" s="10" t="n">
        <v>0.02127675665337173</v>
      </c>
      <c r="S215" s="13" t="n">
        <v>101.423</v>
      </c>
      <c r="T215" s="13" t="n">
        <v>11.144</v>
      </c>
      <c r="U215" s="13" t="n">
        <v>42.051</v>
      </c>
      <c r="V215" s="8" t="inlineStr">
        <is>
          <t>short-term + long-term</t>
        </is>
      </c>
      <c r="W215" s="13" t="n">
        <v>19.392</v>
      </c>
      <c r="X215" s="11" t="n">
        <v>1.593801567656766</v>
      </c>
      <c r="Y215" s="11" t="n">
        <v>16.66129032258064</v>
      </c>
      <c r="Z215" s="13" t="n">
        <v>13.683</v>
      </c>
      <c r="AA215" s="8" t="inlineStr">
        <is>
          <t>net income + D&amp;A - capex - change in operating working capital (cash and short-term debt excluded)</t>
        </is>
      </c>
      <c r="AB215" s="10" t="n">
        <v>0.2170044723570273</v>
      </c>
      <c r="AC215" s="10" t="n">
        <v>0.1310622640910965</v>
      </c>
      <c r="AD215" s="12" t="n">
        <v>4137000000</v>
      </c>
    </row>
    <row r="216">
      <c r="A216" s="8" t="inlineStr">
        <is>
          <t>INTC</t>
        </is>
      </c>
      <c r="B216" s="8" t="inlineStr">
        <is>
          <t>INTEL CORP</t>
        </is>
      </c>
      <c r="C216" s="8" t="inlineStr">
        <is>
          <t>STANDARD</t>
        </is>
      </c>
      <c r="D216" s="8" t="n">
        <v>2023</v>
      </c>
      <c r="E216" s="8" t="inlineStr">
        <is>
          <t>2023-12-30</t>
        </is>
      </c>
      <c r="F216" s="8" t="inlineStr">
        <is>
          <t>0000050863-26-000011</t>
        </is>
      </c>
      <c r="G216" s="13" t="n">
        <v>54.228</v>
      </c>
      <c r="H216" s="13" t="n">
        <v>1.64</v>
      </c>
      <c r="I216" s="8" t="inlineStr">
        <is>
          <t>pretax_income + interest_expense</t>
        </is>
      </c>
      <c r="J216" s="13" t="n">
        <v>1.689</v>
      </c>
      <c r="K216" s="10" t="n">
        <v>0.05</v>
      </c>
      <c r="L216" s="13" t="n">
        <v>1.558</v>
      </c>
      <c r="M216" s="13" t="n">
        <v>147.777</v>
      </c>
      <c r="N216" s="13" t="n">
        <v>140.0535</v>
      </c>
      <c r="O216" s="10" t="n">
        <v>0.01112432034900949</v>
      </c>
      <c r="P216" s="8" t="inlineStr">
        <is>
          <t>OK</t>
        </is>
      </c>
      <c r="Q216" s="10" t="n">
        <v>0.01631781578934656</v>
      </c>
      <c r="R216" s="10" t="n">
        <v>0.005193495440337077</v>
      </c>
      <c r="S216" s="13" t="n">
        <v>105.59</v>
      </c>
      <c r="T216" s="13" t="n">
        <v>7.079</v>
      </c>
      <c r="U216" s="13" t="n">
        <v>49.266</v>
      </c>
      <c r="V216" s="8" t="inlineStr">
        <is>
          <t>short-term + long-term</t>
        </is>
      </c>
      <c r="W216" s="13" t="n">
        <v>9.487</v>
      </c>
      <c r="X216" s="11" t="n">
        <v>4.446821966902077</v>
      </c>
      <c r="Y216" s="11" t="n">
        <v>1.867881548974943</v>
      </c>
      <c r="Z216" s="13" t="n">
        <v>-15.164</v>
      </c>
      <c r="AA216" s="8" t="inlineStr">
        <is>
          <t>net income + D&amp;A - capex - change in operating working capital (cash and short-term debt excluded)</t>
        </is>
      </c>
      <c r="AB216" s="10" t="n">
        <v>-0.2796341373460205</v>
      </c>
      <c r="AC216" s="10" t="n">
        <v>0.03024267905878882</v>
      </c>
      <c r="AD216" s="12" t="n">
        <v>4228000000</v>
      </c>
    </row>
    <row r="217">
      <c r="A217" s="8" t="inlineStr">
        <is>
          <t>INTC</t>
        </is>
      </c>
      <c r="B217" s="8" t="inlineStr">
        <is>
          <t>INTEL CORP</t>
        </is>
      </c>
      <c r="C217" s="8" t="inlineStr">
        <is>
          <t>STANDARD</t>
        </is>
      </c>
      <c r="D217" s="8" t="n">
        <v>2024</v>
      </c>
      <c r="E217" s="8" t="inlineStr">
        <is>
          <t>2024-12-28</t>
        </is>
      </c>
      <c r="F217" s="8" t="inlineStr">
        <is>
          <t>0000050863-26-000011</t>
        </is>
      </c>
      <c r="G217" s="13" t="n">
        <v>53.101</v>
      </c>
      <c r="H217" s="13" t="n">
        <v>-10.176</v>
      </c>
      <c r="I217" s="8" t="inlineStr">
        <is>
          <t>pretax_income + interest_expense</t>
        </is>
      </c>
      <c r="J217" s="13" t="n">
        <v>-18.756</v>
      </c>
      <c r="K217" s="10" t="n">
        <v>0.21</v>
      </c>
      <c r="L217" s="13" t="n">
        <v>-8.03904</v>
      </c>
      <c r="M217" s="13" t="n">
        <v>141.032</v>
      </c>
      <c r="N217" s="13" t="n">
        <v>144.4045</v>
      </c>
      <c r="O217" s="10" t="n">
        <v>-0.05567028728329104</v>
      </c>
      <c r="P217" s="8" t="inlineStr">
        <is>
          <t>OK</t>
        </is>
      </c>
      <c r="Q217" s="10" t="n">
        <v>-0.1831104168700576</v>
      </c>
      <c r="R217" s="10" t="n">
        <v>-0.1274401295867666</v>
      </c>
      <c r="S217" s="13" t="n">
        <v>99.27</v>
      </c>
      <c r="T217" s="13" t="n">
        <v>8.249000000000001</v>
      </c>
      <c r="U217" s="13" t="n">
        <v>50.011</v>
      </c>
      <c r="V217" s="8" t="inlineStr">
        <is>
          <t>short-term + long-term</t>
        </is>
      </c>
      <c r="W217" s="13" t="n">
        <v>-0.225</v>
      </c>
      <c r="X217" s="11" t="n">
        <v>-185.6088888888889</v>
      </c>
      <c r="Y217" s="11" t="n">
        <v>-9.841392649903288</v>
      </c>
      <c r="Z217" s="13" t="n">
        <v>-29.462</v>
      </c>
      <c r="AA217" s="8" t="inlineStr">
        <is>
          <t>net income + D&amp;A - capex - change in operating working capital (cash and short-term debt excluded)</t>
        </is>
      </c>
      <c r="AB217" s="10" t="n">
        <v>-0.5548294759044086</v>
      </c>
      <c r="AC217" s="10" t="n">
        <v>-0.1916348091373044</v>
      </c>
      <c r="AD217" s="12" t="n">
        <v>4330000000</v>
      </c>
    </row>
    <row r="218">
      <c r="A218" s="8" t="inlineStr">
        <is>
          <t>INTC</t>
        </is>
      </c>
      <c r="B218" s="8" t="inlineStr">
        <is>
          <t>INTEL CORP</t>
        </is>
      </c>
      <c r="C218" s="8" t="inlineStr">
        <is>
          <t>STANDARD</t>
        </is>
      </c>
      <c r="D218" s="8" t="n">
        <v>2025</v>
      </c>
      <c r="E218" s="8" t="inlineStr">
        <is>
          <t>2025-12-27</t>
        </is>
      </c>
      <c r="F218" s="8" t="inlineStr">
        <is>
          <t>0000050863-26-000011</t>
        </is>
      </c>
      <c r="G218" s="13" t="n">
        <v>52.853</v>
      </c>
      <c r="H218" s="13" t="n">
        <v>2.648</v>
      </c>
      <c r="I218" s="8" t="inlineStr">
        <is>
          <t>pretax_income + interest_expense</t>
        </is>
      </c>
      <c r="J218" s="13" t="n">
        <v>-0.267</v>
      </c>
      <c r="K218" s="10" t="n">
        <v>0.4</v>
      </c>
      <c r="L218" s="13" t="n">
        <v>1.5888</v>
      </c>
      <c r="M218" s="13" t="n">
        <v>146.154</v>
      </c>
      <c r="N218" s="13" t="n">
        <v>143.593</v>
      </c>
      <c r="O218" s="10" t="n">
        <v>0.0110646062133948</v>
      </c>
      <c r="P218" s="8" t="inlineStr">
        <is>
          <t>OK</t>
        </is>
      </c>
      <c r="Q218" s="10" t="n">
        <v>-0.002500573633464606</v>
      </c>
      <c r="R218" s="10" t="n">
        <v>-0.01356517984685941</v>
      </c>
      <c r="S218" s="13" t="n">
        <v>114.281</v>
      </c>
      <c r="T218" s="13" t="n">
        <v>14.712</v>
      </c>
      <c r="U218" s="13" t="n">
        <v>46.585</v>
      </c>
      <c r="V218" s="8" t="inlineStr">
        <is>
          <t>short-term + long-term</t>
        </is>
      </c>
      <c r="W218" s="13" t="n">
        <v>13.405</v>
      </c>
      <c r="X218" s="11" t="n">
        <v>2.37769488996643</v>
      </c>
      <c r="Y218" s="11" t="n">
        <v>2.427131072410632</v>
      </c>
      <c r="Z218" s="13" t="n">
        <v>-16.918</v>
      </c>
      <c r="AA218" s="8" t="inlineStr">
        <is>
          <t>net income + D&amp;A - capex - change in operating working capital (cash and short-term debt excluded)</t>
        </is>
      </c>
      <c r="AB218" s="10" t="n">
        <v>-0.3200953588254214</v>
      </c>
      <c r="AC218" s="10" t="n">
        <v>0.05010122415000095</v>
      </c>
      <c r="AD218" s="12" t="n">
        <v>4994000000</v>
      </c>
    </row>
    <row r="219">
      <c r="A219" s="8" t="inlineStr">
        <is>
          <t>MA</t>
        </is>
      </c>
      <c r="B219" s="8" t="inlineStr">
        <is>
          <t>Mastercard Inc</t>
        </is>
      </c>
      <c r="C219" s="8" t="inlineStr">
        <is>
          <t>STANDARD</t>
        </is>
      </c>
      <c r="D219" s="8" t="n">
        <v>2014</v>
      </c>
      <c r="E219" s="8" t="inlineStr">
        <is>
          <t>2014-12-31</t>
        </is>
      </c>
      <c r="F219" s="8" t="inlineStr">
        <is>
          <t>0001141391-17-000014</t>
        </is>
      </c>
      <c r="G219" s="13" t="n">
        <v>9.473000000000001</v>
      </c>
      <c r="H219" s="13" t="n">
        <v>5.106</v>
      </c>
      <c r="I219" s="8" t="inlineStr">
        <is>
          <t>reported OperatingIncomeLoss (no interest expense tagged)</t>
        </is>
      </c>
      <c r="J219" s="13" t="n">
        <v>3.617</v>
      </c>
      <c r="K219" s="10" t="n">
        <v>0.21</v>
      </c>
      <c r="L219" s="13" t="n">
        <v>4.03374</v>
      </c>
      <c r="M219" s="13" t="n">
        <v>3.147</v>
      </c>
      <c r="N219" s="13" t="n">
        <v>3.147</v>
      </c>
      <c r="O219" s="10" t="n">
        <v>1.281773117254528</v>
      </c>
      <c r="P219" s="8" t="inlineStr">
        <is>
          <t>OK</t>
        </is>
      </c>
      <c r="Q219" s="10" t="n">
        <v>0.5326951399116348</v>
      </c>
      <c r="R219" s="10" t="n">
        <v>-0.7490779773428934</v>
      </c>
      <c r="S219" s="13" t="n">
        <v>6.79</v>
      </c>
      <c r="T219" s="13" t="n">
        <v>5.137</v>
      </c>
      <c r="U219" s="13" t="n">
        <v>1.494</v>
      </c>
      <c r="V219" s="8" t="inlineStr">
        <is>
          <t>long-term only (no short-term debt tagged; read as nil)</t>
        </is>
      </c>
      <c r="W219" s="13" t="n"/>
      <c r="X219" s="11" t="n"/>
      <c r="Y219" s="11" t="n"/>
      <c r="Z219" s="13" t="n">
        <v>3.232</v>
      </c>
      <c r="AA219" s="8" t="inlineStr">
        <is>
          <t>operating cash flow - capex (working-capital swing already embedded)</t>
        </is>
      </c>
      <c r="AB219" s="10" t="n">
        <v>0.341180196347514</v>
      </c>
      <c r="AC219" s="10" t="n">
        <v>0.5390055948485168</v>
      </c>
      <c r="AD219" s="12" t="n">
        <v>1152000000</v>
      </c>
    </row>
    <row r="220">
      <c r="A220" s="8" t="inlineStr">
        <is>
          <t>MA</t>
        </is>
      </c>
      <c r="B220" s="8" t="inlineStr">
        <is>
          <t>Mastercard Inc</t>
        </is>
      </c>
      <c r="C220" s="8" t="inlineStr">
        <is>
          <t>STANDARD</t>
        </is>
      </c>
      <c r="D220" s="8" t="n">
        <v>2015</v>
      </c>
      <c r="E220" s="8" t="inlineStr">
        <is>
          <t>2015-12-31</t>
        </is>
      </c>
      <c r="F220" s="8" t="inlineStr">
        <is>
          <t>0001141391-18-000009</t>
        </is>
      </c>
      <c r="G220" s="13" t="n"/>
      <c r="H220" s="13" t="n">
        <v>5.078</v>
      </c>
      <c r="I220" s="8" t="inlineStr">
        <is>
          <t>reported OperatingIncomeLoss (no interest expense tagged)</t>
        </is>
      </c>
      <c r="J220" s="13" t="n">
        <v>3.808</v>
      </c>
      <c r="K220" s="10" t="n">
        <v>0.21</v>
      </c>
      <c r="L220" s="13" t="n">
        <v>4.01162</v>
      </c>
      <c r="M220" s="13" t="n">
        <v>3.549</v>
      </c>
      <c r="N220" s="13" t="n">
        <v>3.348</v>
      </c>
      <c r="O220" s="10" t="n">
        <v>1.198213859020311</v>
      </c>
      <c r="P220" s="8" t="inlineStr">
        <is>
          <t>OK</t>
        </is>
      </c>
      <c r="Q220" s="10" t="n">
        <v>0.5941644562334217</v>
      </c>
      <c r="R220" s="10" t="n">
        <v>-0.6040494027868889</v>
      </c>
      <c r="S220" s="13" t="n">
        <v>6.028</v>
      </c>
      <c r="T220" s="13" t="n">
        <v>5.747</v>
      </c>
      <c r="U220" s="13" t="n">
        <v>3.268</v>
      </c>
      <c r="V220" s="8" t="inlineStr">
        <is>
          <t>long-term only (no short-term debt tagged; read as nil)</t>
        </is>
      </c>
      <c r="W220" s="13" t="n">
        <v>5.444</v>
      </c>
      <c r="X220" s="11" t="n">
        <v>-0.4553637031594416</v>
      </c>
      <c r="Y220" s="11" t="n"/>
      <c r="Z220" s="13" t="n">
        <v>4.667</v>
      </c>
      <c r="AA220" s="8" t="inlineStr">
        <is>
          <t>net income + D&amp;A - capex - change in operating working capital (cash and short-term debt excluded)</t>
        </is>
      </c>
      <c r="AB220" s="10" t="n"/>
      <c r="AC220" s="10" t="n"/>
      <c r="AD220" s="12" t="n">
        <v>1112000000</v>
      </c>
    </row>
    <row r="221">
      <c r="A221" s="8" t="inlineStr">
        <is>
          <t>MA</t>
        </is>
      </c>
      <c r="B221" s="8" t="inlineStr">
        <is>
          <t>Mastercard Inc</t>
        </is>
      </c>
      <c r="C221" s="8" t="inlineStr">
        <is>
          <t>STANDARD</t>
        </is>
      </c>
      <c r="D221" s="8" t="n">
        <v>2016</v>
      </c>
      <c r="E221" s="8" t="inlineStr">
        <is>
          <t>2016-12-31</t>
        </is>
      </c>
      <c r="F221" s="8" t="inlineStr">
        <is>
          <t>0001141391-19-000013</t>
        </is>
      </c>
      <c r="G221" s="13" t="n">
        <v>10.776</v>
      </c>
      <c r="H221" s="13" t="n">
        <v>5.761</v>
      </c>
      <c r="I221" s="8" t="inlineStr">
        <is>
          <t>reported OperatingIncomeLoss (no interest expense tagged)</t>
        </is>
      </c>
      <c r="J221" s="13" t="n">
        <v>4.059</v>
      </c>
      <c r="K221" s="10" t="n">
        <v>0.21</v>
      </c>
      <c r="L221" s="13" t="n">
        <v>4.55119</v>
      </c>
      <c r="M221" s="13" t="n">
        <v>4.115</v>
      </c>
      <c r="N221" s="13" t="n">
        <v>3.832</v>
      </c>
      <c r="O221" s="10" t="n">
        <v>1.18768006263048</v>
      </c>
      <c r="P221" s="8" t="inlineStr">
        <is>
          <t>OK</t>
        </is>
      </c>
      <c r="Q221" s="10" t="n">
        <v>0.6947963026360835</v>
      </c>
      <c r="R221" s="10" t="n">
        <v>-0.4928837599943967</v>
      </c>
      <c r="S221" s="13" t="n">
        <v>5.656</v>
      </c>
      <c r="T221" s="13" t="n">
        <v>6.721</v>
      </c>
      <c r="U221" s="13" t="n">
        <v>5.18</v>
      </c>
      <c r="V221" s="8" t="inlineStr">
        <is>
          <t>long-term only (no short-term debt tagged; read as nil)</t>
        </is>
      </c>
      <c r="W221" s="13" t="n">
        <v>6.134</v>
      </c>
      <c r="X221" s="11" t="n">
        <v>-0.2512226931855233</v>
      </c>
      <c r="Y221" s="11" t="n"/>
      <c r="Z221" s="13" t="n">
        <v>3.884</v>
      </c>
      <c r="AA221" s="8" t="inlineStr">
        <is>
          <t>net income + D&amp;A - capex - change in operating working capital (cash and short-term debt excluded)</t>
        </is>
      </c>
      <c r="AB221" s="10" t="n">
        <v>0.360430586488493</v>
      </c>
      <c r="AC221" s="10" t="n">
        <v>0.5346139569413512</v>
      </c>
      <c r="AD221" s="12" t="n">
        <v>1082000000</v>
      </c>
    </row>
    <row r="222">
      <c r="A222" s="8" t="inlineStr">
        <is>
          <t>MA</t>
        </is>
      </c>
      <c r="B222" s="8" t="inlineStr">
        <is>
          <t>Mastercard Inc</t>
        </is>
      </c>
      <c r="C222" s="8" t="inlineStr">
        <is>
          <t>STANDARD</t>
        </is>
      </c>
      <c r="D222" s="8" t="n">
        <v>2017</v>
      </c>
      <c r="E222" s="8" t="inlineStr">
        <is>
          <t>2017-12-31</t>
        </is>
      </c>
      <c r="F222" s="8" t="inlineStr">
        <is>
          <t>0001141391-20-000032</t>
        </is>
      </c>
      <c r="G222" s="13" t="n">
        <v>12.497</v>
      </c>
      <c r="H222" s="13" t="n">
        <v>6.622</v>
      </c>
      <c r="I222" s="8" t="inlineStr">
        <is>
          <t>reported OperatingIncomeLoss (no interest expense tagged)</t>
        </is>
      </c>
      <c r="J222" s="13" t="n">
        <v>3.915</v>
      </c>
      <c r="K222" s="10" t="n">
        <v>0.21</v>
      </c>
      <c r="L222" s="13" t="n">
        <v>5.23138</v>
      </c>
      <c r="M222" s="13" t="n">
        <v>4.959</v>
      </c>
      <c r="N222" s="13" t="n">
        <v>4.537</v>
      </c>
      <c r="O222" s="10" t="n">
        <v>1.153048269781794</v>
      </c>
      <c r="P222" s="8" t="inlineStr">
        <is>
          <t>OK</t>
        </is>
      </c>
      <c r="Q222" s="10" t="n">
        <v>0.7038834951456311</v>
      </c>
      <c r="R222" s="10" t="n">
        <v>-0.449164774636163</v>
      </c>
      <c r="S222" s="13" t="n">
        <v>5.468</v>
      </c>
      <c r="T222" s="13" t="n">
        <v>5.933</v>
      </c>
      <c r="U222" s="13" t="n">
        <v>5.424</v>
      </c>
      <c r="V222" s="8" t="inlineStr">
        <is>
          <t>short-term + long-term</t>
        </is>
      </c>
      <c r="W222" s="13" t="n">
        <v>7.059</v>
      </c>
      <c r="X222" s="11" t="n">
        <v>-0.07210653067006659</v>
      </c>
      <c r="Y222" s="11" t="n"/>
      <c r="Z222" s="13" t="n">
        <v>4.282</v>
      </c>
      <c r="AA222" s="8" t="inlineStr">
        <is>
          <t>net income + D&amp;A - capex - change in operating working capital (cash and short-term debt excluded)</t>
        </is>
      </c>
      <c r="AB222" s="10" t="n">
        <v>0.3426422341361927</v>
      </c>
      <c r="AC222" s="10" t="n">
        <v>0.5298871729215011</v>
      </c>
      <c r="AD222" s="12" t="n">
        <v>1057000000</v>
      </c>
    </row>
    <row r="223">
      <c r="A223" s="8" t="inlineStr">
        <is>
          <t>MA</t>
        </is>
      </c>
      <c r="B223" s="8" t="inlineStr">
        <is>
          <t>Mastercard Inc</t>
        </is>
      </c>
      <c r="C223" s="8" t="inlineStr">
        <is>
          <t>STANDARD</t>
        </is>
      </c>
      <c r="D223" s="8" t="n">
        <v>2018</v>
      </c>
      <c r="E223" s="8" t="inlineStr">
        <is>
          <t>2018-12-31</t>
        </is>
      </c>
      <c r="F223" s="8" t="inlineStr">
        <is>
          <t>0001141391-21-000018</t>
        </is>
      </c>
      <c r="G223" s="13" t="n">
        <v>14.95</v>
      </c>
      <c r="H223" s="13" t="n">
        <v>7.282</v>
      </c>
      <c r="I223" s="8" t="inlineStr">
        <is>
          <t>reported OperatingIncomeLoss (no interest expense tagged)</t>
        </is>
      </c>
      <c r="J223" s="13" t="n">
        <v>5.859</v>
      </c>
      <c r="K223" s="10" t="n">
        <v>0.21</v>
      </c>
      <c r="L223" s="13" t="n">
        <v>5.75278</v>
      </c>
      <c r="M223" s="13" t="n">
        <v>5.047</v>
      </c>
      <c r="N223" s="13" t="n">
        <v>5.003</v>
      </c>
      <c r="O223" s="10" t="n">
        <v>1.149866080351789</v>
      </c>
      <c r="P223" s="8" t="inlineStr">
        <is>
          <t>OK</t>
        </is>
      </c>
      <c r="Q223" s="10" t="n">
        <v>1.07870753935377</v>
      </c>
      <c r="R223" s="10" t="n">
        <v>-0.0711585409980191</v>
      </c>
      <c r="S223" s="13" t="n">
        <v>5.395</v>
      </c>
      <c r="T223" s="13" t="n">
        <v>6.682</v>
      </c>
      <c r="U223" s="13" t="n">
        <v>6.334</v>
      </c>
      <c r="V223" s="8" t="inlineStr">
        <is>
          <t>short-term + long-term</t>
        </is>
      </c>
      <c r="W223" s="13" t="n">
        <v>7.741</v>
      </c>
      <c r="X223" s="11" t="n">
        <v>-0.04495543211471386</v>
      </c>
      <c r="Y223" s="11" t="n"/>
      <c r="Z223" s="13" t="n">
        <v>6.663</v>
      </c>
      <c r="AA223" s="8" t="inlineStr">
        <is>
          <t>net income + D&amp;A - capex - change in operating working capital (cash and short-term debt excluded)</t>
        </is>
      </c>
      <c r="AB223" s="10" t="n">
        <v>0.445685618729097</v>
      </c>
      <c r="AC223" s="10" t="n">
        <v>0.4870903010033445</v>
      </c>
      <c r="AD223" s="12" t="n">
        <v>1032000000</v>
      </c>
    </row>
    <row r="224">
      <c r="A224" s="8" t="inlineStr">
        <is>
          <t>MA</t>
        </is>
      </c>
      <c r="B224" s="8" t="inlineStr">
        <is>
          <t>Mastercard Inc</t>
        </is>
      </c>
      <c r="C224" s="8" t="inlineStr">
        <is>
          <t>STANDARD</t>
        </is>
      </c>
      <c r="D224" s="8" t="n">
        <v>2019</v>
      </c>
      <c r="E224" s="8" t="inlineStr">
        <is>
          <t>2019-12-31</t>
        </is>
      </c>
      <c r="F224" s="8" t="inlineStr">
        <is>
          <t>0001141391-22-000023</t>
        </is>
      </c>
      <c r="G224" s="13" t="n">
        <v>16.883</v>
      </c>
      <c r="H224" s="13" t="n">
        <v>9.664</v>
      </c>
      <c r="I224" s="8" t="inlineStr">
        <is>
          <t>reported OperatingIncomeLoss (no interest expense tagged)</t>
        </is>
      </c>
      <c r="J224" s="13" t="n">
        <v>8.118</v>
      </c>
      <c r="K224" s="10" t="n">
        <v>0.21</v>
      </c>
      <c r="L224" s="13" t="n">
        <v>7.63456</v>
      </c>
      <c r="M224" s="13" t="n">
        <v>7.432</v>
      </c>
      <c r="N224" s="13" t="n">
        <v>6.2395</v>
      </c>
      <c r="O224" s="10" t="n">
        <v>1.223585223174934</v>
      </c>
      <c r="P224" s="8" t="inlineStr">
        <is>
          <t>OK</t>
        </is>
      </c>
      <c r="Q224" s="10" t="n">
        <v>1.438341601700921</v>
      </c>
      <c r="R224" s="10" t="n">
        <v>0.2147563785259876</v>
      </c>
      <c r="S224" s="13" t="n">
        <v>5.893</v>
      </c>
      <c r="T224" s="13" t="n">
        <v>6.988</v>
      </c>
      <c r="U224" s="13" t="n">
        <v>8.526999999999999</v>
      </c>
      <c r="V224" s="8" t="inlineStr">
        <is>
          <t>short-term + long-term</t>
        </is>
      </c>
      <c r="W224" s="13" t="n">
        <v>10.186</v>
      </c>
      <c r="X224" s="11" t="n">
        <v>0.1510897310033379</v>
      </c>
      <c r="Y224" s="11" t="n"/>
      <c r="Z224" s="13" t="n">
        <v>8.603999999999999</v>
      </c>
      <c r="AA224" s="8" t="inlineStr">
        <is>
          <t>net income + D&amp;A - capex - change in operating working capital (cash and short-term debt excluded)</t>
        </is>
      </c>
      <c r="AB224" s="10" t="n">
        <v>0.5096250666350767</v>
      </c>
      <c r="AC224" s="10" t="n">
        <v>0.5724101166854232</v>
      </c>
      <c r="AD224" s="12" t="n">
        <v>1022000000</v>
      </c>
    </row>
    <row r="225">
      <c r="A225" s="8" t="inlineStr">
        <is>
          <t>MA</t>
        </is>
      </c>
      <c r="B225" s="8" t="inlineStr">
        <is>
          <t>Mastercard Inc</t>
        </is>
      </c>
      <c r="C225" s="8" t="inlineStr">
        <is>
          <t>STANDARD</t>
        </is>
      </c>
      <c r="D225" s="8" t="n">
        <v>2020</v>
      </c>
      <c r="E225" s="8" t="inlineStr">
        <is>
          <t>2020-12-31</t>
        </is>
      </c>
      <c r="F225" s="8" t="inlineStr">
        <is>
          <t>0001141391-23-000020</t>
        </is>
      </c>
      <c r="G225" s="13" t="n">
        <v>15.301</v>
      </c>
      <c r="H225" s="13" t="n">
        <v>8.081</v>
      </c>
      <c r="I225" s="8" t="inlineStr">
        <is>
          <t>reported OperatingIncomeLoss (no interest expense tagged)</t>
        </is>
      </c>
      <c r="J225" s="13" t="n">
        <v>6.411</v>
      </c>
      <c r="K225" s="10" t="n">
        <v>0.21</v>
      </c>
      <c r="L225" s="13" t="n">
        <v>6.38399</v>
      </c>
      <c r="M225" s="13" t="n">
        <v>8.949999999999999</v>
      </c>
      <c r="N225" s="13" t="n">
        <v>8.191000000000001</v>
      </c>
      <c r="O225" s="10" t="n">
        <v>0.7793907947747528</v>
      </c>
      <c r="P225" s="8" t="inlineStr">
        <is>
          <t>OK</t>
        </is>
      </c>
      <c r="Q225" s="10" t="n">
        <v>1.04379680885705</v>
      </c>
      <c r="R225" s="10" t="n">
        <v>0.2644060140822969</v>
      </c>
      <c r="S225" s="13" t="n">
        <v>6.391</v>
      </c>
      <c r="T225" s="13" t="n">
        <v>10.113</v>
      </c>
      <c r="U225" s="13" t="n">
        <v>12.672</v>
      </c>
      <c r="V225" s="8" t="inlineStr">
        <is>
          <t>short-term + long-term</t>
        </is>
      </c>
      <c r="W225" s="13" t="n">
        <v>8.661</v>
      </c>
      <c r="X225" s="11" t="n">
        <v>0.2954624177346727</v>
      </c>
      <c r="Y225" s="11" t="n"/>
      <c r="Z225" s="13" t="n">
        <v>6.86</v>
      </c>
      <c r="AA225" s="8" t="inlineStr">
        <is>
          <t>net income + D&amp;A - capex - change in operating working capital (cash and short-term debt excluded)</t>
        </is>
      </c>
      <c r="AB225" s="10" t="n">
        <v>0.448336710018953</v>
      </c>
      <c r="AC225" s="10" t="n">
        <v>0.5281354159858833</v>
      </c>
      <c r="AD225" s="12" t="n">
        <v>1006000000</v>
      </c>
    </row>
    <row r="226">
      <c r="A226" s="8" t="inlineStr">
        <is>
          <t>MA</t>
        </is>
      </c>
      <c r="B226" s="8" t="inlineStr">
        <is>
          <t>Mastercard Inc</t>
        </is>
      </c>
      <c r="C226" s="8" t="inlineStr">
        <is>
          <t>STANDARD</t>
        </is>
      </c>
      <c r="D226" s="8" t="n">
        <v>2021</v>
      </c>
      <c r="E226" s="8" t="inlineStr">
        <is>
          <t>2021-12-31</t>
        </is>
      </c>
      <c r="F226" s="8" t="inlineStr">
        <is>
          <t>0001141391-24-000022</t>
        </is>
      </c>
      <c r="G226" s="13" t="n">
        <v>18.884</v>
      </c>
      <c r="H226" s="13" t="n">
        <v>10.082</v>
      </c>
      <c r="I226" s="8" t="inlineStr">
        <is>
          <t>reported OperatingIncomeLoss (no interest expense tagged)</t>
        </is>
      </c>
      <c r="J226" s="13" t="n">
        <v>8.686999999999999</v>
      </c>
      <c r="K226" s="10" t="n">
        <v>0.21</v>
      </c>
      <c r="L226" s="13" t="n">
        <v>7.96478</v>
      </c>
      <c r="M226" s="13" t="n">
        <v>13.792</v>
      </c>
      <c r="N226" s="13" t="n">
        <v>11.371</v>
      </c>
      <c r="O226" s="10" t="n">
        <v>0.7004467505056723</v>
      </c>
      <c r="P226" s="8" t="inlineStr">
        <is>
          <t>OK</t>
        </is>
      </c>
      <c r="Q226" s="10" t="n">
        <v>1.267897540684522</v>
      </c>
      <c r="R226" s="10" t="n">
        <v>0.5674507901788494</v>
      </c>
      <c r="S226" s="13" t="n">
        <v>7.312</v>
      </c>
      <c r="T226" s="13" t="n">
        <v>7.421</v>
      </c>
      <c r="U226" s="13" t="n">
        <v>13.901</v>
      </c>
      <c r="V226" s="8" t="inlineStr">
        <is>
          <t>short-term + long-term</t>
        </is>
      </c>
      <c r="W226" s="13" t="n">
        <v>10.808</v>
      </c>
      <c r="X226" s="11" t="n">
        <v>0.5995558845299778</v>
      </c>
      <c r="Y226" s="11" t="n"/>
      <c r="Z226" s="13" t="n">
        <v>9.65</v>
      </c>
      <c r="AA226" s="8" t="inlineStr">
        <is>
          <t>net income + D&amp;A - capex - change in operating working capital (cash and short-term debt excluded)</t>
        </is>
      </c>
      <c r="AB226" s="10" t="n">
        <v>0.5110146155475535</v>
      </c>
      <c r="AC226" s="10" t="n">
        <v>0.5338911247617031</v>
      </c>
      <c r="AD226" s="12" t="n">
        <v>992000000</v>
      </c>
    </row>
    <row r="227">
      <c r="A227" s="8" t="inlineStr">
        <is>
          <t>MA</t>
        </is>
      </c>
      <c r="B227" s="8" t="inlineStr">
        <is>
          <t>Mastercard Inc</t>
        </is>
      </c>
      <c r="C227" s="8" t="inlineStr">
        <is>
          <t>STANDARD</t>
        </is>
      </c>
      <c r="D227" s="8" t="n">
        <v>2022</v>
      </c>
      <c r="E227" s="8" t="inlineStr">
        <is>
          <t>2022-12-31</t>
        </is>
      </c>
      <c r="F227" s="8" t="inlineStr">
        <is>
          <t>0001141391-25-000011</t>
        </is>
      </c>
      <c r="G227" s="13" t="n">
        <v>22.237</v>
      </c>
      <c r="H227" s="13" t="n">
        <v>12.203</v>
      </c>
      <c r="I227" s="8" t="inlineStr">
        <is>
          <t>pretax_income + interest_expense</t>
        </is>
      </c>
      <c r="J227" s="13" t="n">
        <v>9.93</v>
      </c>
      <c r="K227" s="10" t="n">
        <v>0.1535969996590522</v>
      </c>
      <c r="L227" s="13" t="n">
        <v>10.32865581316059</v>
      </c>
      <c r="M227" s="13" t="n">
        <v>13.313</v>
      </c>
      <c r="N227" s="13" t="n">
        <v>13.5525</v>
      </c>
      <c r="O227" s="10" t="n">
        <v>0.7621218087556235</v>
      </c>
      <c r="P227" s="8" t="inlineStr">
        <is>
          <t>OK</t>
        </is>
      </c>
      <c r="Q227" s="10" t="n">
        <v>1.459221160911095</v>
      </c>
      <c r="R227" s="10" t="n">
        <v>0.6970993521554713</v>
      </c>
      <c r="S227" s="13" t="n">
        <v>6.298</v>
      </c>
      <c r="T227" s="13" t="n">
        <v>7.008</v>
      </c>
      <c r="U227" s="13" t="n">
        <v>14.023</v>
      </c>
      <c r="V227" s="8" t="inlineStr">
        <is>
          <t>short-term + long-term</t>
        </is>
      </c>
      <c r="W227" s="13" t="n">
        <v>12.953</v>
      </c>
      <c r="X227" s="11" t="n">
        <v>0.5415733806840114</v>
      </c>
      <c r="Y227" s="11" t="n">
        <v>25.90870488322718</v>
      </c>
      <c r="Z227" s="13" t="n">
        <v>11.695</v>
      </c>
      <c r="AA227" s="8" t="inlineStr">
        <is>
          <t>net income + D&amp;A - capex - change in operating working capital (cash and short-term debt excluded)</t>
        </is>
      </c>
      <c r="AB227" s="10" t="n">
        <v>0.525925259702298</v>
      </c>
      <c r="AC227" s="10" t="n">
        <v>0.5487700679048433</v>
      </c>
      <c r="AD227" s="12" t="n">
        <v>971000000</v>
      </c>
    </row>
    <row r="228">
      <c r="A228" s="8" t="inlineStr">
        <is>
          <t>MA</t>
        </is>
      </c>
      <c r="B228" s="8" t="inlineStr">
        <is>
          <t>Mastercard Inc</t>
        </is>
      </c>
      <c r="C228" s="8" t="inlineStr">
        <is>
          <t>STANDARD</t>
        </is>
      </c>
      <c r="D228" s="8" t="n">
        <v>2023</v>
      </c>
      <c r="E228" s="8" t="inlineStr">
        <is>
          <t>2023-12-31</t>
        </is>
      </c>
      <c r="F228" s="8" t="inlineStr">
        <is>
          <t>0001141391-26-000013</t>
        </is>
      </c>
      <c r="G228" s="13" t="n">
        <v>25.098</v>
      </c>
      <c r="H228" s="13" t="n">
        <v>14.214</v>
      </c>
      <c r="I228" s="8" t="inlineStr">
        <is>
          <t>pretax_income + interest_expense</t>
        </is>
      </c>
      <c r="J228" s="13" t="n">
        <v>11.195</v>
      </c>
      <c r="K228" s="10" t="n">
        <v>0.1791920228755774</v>
      </c>
      <c r="L228" s="13" t="n">
        <v>11.66696458684654</v>
      </c>
      <c r="M228" s="13" t="n">
        <v>14.022</v>
      </c>
      <c r="N228" s="13" t="n">
        <v>13.6675</v>
      </c>
      <c r="O228" s="10" t="n">
        <v>0.8536282851177276</v>
      </c>
      <c r="P228" s="8" t="inlineStr">
        <is>
          <t>OK</t>
        </is>
      </c>
      <c r="Q228" s="10" t="n">
        <v>1.692749678687533</v>
      </c>
      <c r="R228" s="10" t="n">
        <v>0.8391213935698055</v>
      </c>
      <c r="S228" s="13" t="n">
        <v>6.929</v>
      </c>
      <c r="T228" s="13" t="n">
        <v>8.587999999999999</v>
      </c>
      <c r="U228" s="13" t="n">
        <v>15.681</v>
      </c>
      <c r="V228" s="8" t="inlineStr">
        <is>
          <t>short-term + long-term</t>
        </is>
      </c>
      <c r="W228" s="13" t="n">
        <v>15.013</v>
      </c>
      <c r="X228" s="11" t="n">
        <v>0.4724572037567442</v>
      </c>
      <c r="Y228" s="11" t="n">
        <v>24.72</v>
      </c>
      <c r="Z228" s="13" t="n">
        <v>11.878</v>
      </c>
      <c r="AA228" s="8" t="inlineStr">
        <is>
          <t>net income + D&amp;A - capex - change in operating working capital (cash and short-term debt excluded)</t>
        </is>
      </c>
      <c r="AB228" s="10" t="n">
        <v>0.4732648019762531</v>
      </c>
      <c r="AC228" s="10" t="n">
        <v>0.5663399474061678</v>
      </c>
      <c r="AD228" s="12" t="n">
        <v>946000000</v>
      </c>
    </row>
    <row r="229">
      <c r="A229" s="8" t="inlineStr">
        <is>
          <t>MA</t>
        </is>
      </c>
      <c r="B229" s="8" t="inlineStr">
        <is>
          <t>Mastercard Inc</t>
        </is>
      </c>
      <c r="C229" s="8" t="inlineStr">
        <is>
          <t>STANDARD</t>
        </is>
      </c>
      <c r="D229" s="8" t="n">
        <v>2024</v>
      </c>
      <c r="E229" s="8" t="inlineStr">
        <is>
          <t>2024-12-31</t>
        </is>
      </c>
      <c r="F229" s="8" t="inlineStr">
        <is>
          <t>0001141391-26-000013</t>
        </is>
      </c>
      <c r="G229" s="13" t="n">
        <v>28.167</v>
      </c>
      <c r="H229" s="13" t="n">
        <v>15.9</v>
      </c>
      <c r="I229" s="8" t="inlineStr">
        <is>
          <t>pretax_income + interest_expense</t>
        </is>
      </c>
      <c r="J229" s="13" t="n">
        <v>12.874</v>
      </c>
      <c r="K229" s="10" t="n">
        <v>0.156024649272322</v>
      </c>
      <c r="L229" s="13" t="n">
        <v>13.41920807657008</v>
      </c>
      <c r="M229" s="13" t="n">
        <v>16.269</v>
      </c>
      <c r="N229" s="13" t="n">
        <v>15.1455</v>
      </c>
      <c r="O229" s="10" t="n">
        <v>0.8860194827882922</v>
      </c>
      <c r="P229" s="8" t="inlineStr">
        <is>
          <t>OK</t>
        </is>
      </c>
      <c r="Q229" s="10" t="n">
        <v>1.919487103026688</v>
      </c>
      <c r="R229" s="10" t="n">
        <v>1.033467620238396</v>
      </c>
      <c r="S229" s="13" t="n">
        <v>6.485</v>
      </c>
      <c r="T229" s="13" t="n">
        <v>8.442</v>
      </c>
      <c r="U229" s="13" t="n">
        <v>18.226</v>
      </c>
      <c r="V229" s="8" t="inlineStr">
        <is>
          <t>short-term + long-term</t>
        </is>
      </c>
      <c r="W229" s="13" t="n">
        <v>16.797</v>
      </c>
      <c r="X229" s="11" t="n">
        <v>0.5824849675537298</v>
      </c>
      <c r="Y229" s="11" t="n">
        <v>24.61300309597523</v>
      </c>
      <c r="Z229" s="13" t="n">
        <v>15.931</v>
      </c>
      <c r="AA229" s="8" t="inlineStr">
        <is>
          <t>net income + D&amp;A - capex - change in operating working capital (cash and short-term debt excluded)</t>
        </is>
      </c>
      <c r="AB229" s="10" t="n">
        <v>0.5655909397521923</v>
      </c>
      <c r="AC229" s="10" t="n">
        <v>0.5644903610608158</v>
      </c>
      <c r="AD229" s="12" t="n">
        <v>927000000</v>
      </c>
    </row>
    <row r="230">
      <c r="A230" s="8" t="inlineStr">
        <is>
          <t>MA</t>
        </is>
      </c>
      <c r="B230" s="8" t="inlineStr">
        <is>
          <t>Mastercard Inc</t>
        </is>
      </c>
      <c r="C230" s="8" t="inlineStr">
        <is>
          <t>STANDARD</t>
        </is>
      </c>
      <c r="D230" s="8" t="n">
        <v>2025</v>
      </c>
      <c r="E230" s="8" t="inlineStr">
        <is>
          <t>2025-12-31</t>
        </is>
      </c>
      <c r="F230" s="8" t="inlineStr">
        <is>
          <t>0001141391-26-000013</t>
        </is>
      </c>
      <c r="G230" s="13" t="n">
        <v>32.791</v>
      </c>
      <c r="H230" s="13" t="n">
        <v>19.3</v>
      </c>
      <c r="I230" s="8" t="inlineStr">
        <is>
          <t>pretax_income + interest_expense</t>
        </is>
      </c>
      <c r="J230" s="13" t="n">
        <v>14.968</v>
      </c>
      <c r="K230" s="10" t="n">
        <v>0.1943158574658198</v>
      </c>
      <c r="L230" s="13" t="n">
        <v>15.54970395090968</v>
      </c>
      <c r="M230" s="13" t="n">
        <v>16.171</v>
      </c>
      <c r="N230" s="13" t="n">
        <v>16.22</v>
      </c>
      <c r="O230" s="10" t="n">
        <v>0.9586747195382045</v>
      </c>
      <c r="P230" s="8" t="inlineStr">
        <is>
          <t>OK</t>
        </is>
      </c>
      <c r="Q230" s="10" t="n">
        <v>2.104907889185768</v>
      </c>
      <c r="R230" s="10" t="n">
        <v>1.146233169647564</v>
      </c>
      <c r="S230" s="13" t="n">
        <v>7.737</v>
      </c>
      <c r="T230" s="13" t="n">
        <v>10.566</v>
      </c>
      <c r="U230" s="13" t="n">
        <v>19</v>
      </c>
      <c r="V230" s="8" t="inlineStr">
        <is>
          <t>short-term + long-term</t>
        </is>
      </c>
      <c r="W230" s="13" t="n">
        <v>20.443</v>
      </c>
      <c r="X230" s="11" t="n">
        <v>0.4125617570806633</v>
      </c>
      <c r="Y230" s="11" t="n">
        <v>26.73130193905817</v>
      </c>
      <c r="Z230" s="13" t="n">
        <v>17.455</v>
      </c>
      <c r="AA230" s="8" t="inlineStr">
        <is>
          <t>net income + D&amp;A - capex - change in operating working capital (cash and short-term debt excluded)</t>
        </is>
      </c>
      <c r="AB230" s="10" t="n">
        <v>0.5323106950077765</v>
      </c>
      <c r="AC230" s="10" t="n">
        <v>0.5885761336952212</v>
      </c>
      <c r="AD230" s="12" t="n">
        <v>906000000</v>
      </c>
    </row>
    <row r="231">
      <c r="A231" s="8" t="inlineStr">
        <is>
          <t>CSCO</t>
        </is>
      </c>
      <c r="B231" s="8" t="inlineStr">
        <is>
          <t>CISCO SYSTEMS, INC.</t>
        </is>
      </c>
      <c r="C231" s="8" t="inlineStr">
        <is>
          <t>STANDARD</t>
        </is>
      </c>
      <c r="D231" s="8" t="n">
        <v>2014</v>
      </c>
      <c r="E231" s="8" t="inlineStr">
        <is>
          <t>2014-07-26</t>
        </is>
      </c>
      <c r="F231" s="8" t="inlineStr">
        <is>
          <t>0000858877-16-000117</t>
        </is>
      </c>
      <c r="G231" s="13" t="n"/>
      <c r="H231" s="13" t="n">
        <v>9.345000000000001</v>
      </c>
      <c r="I231" s="8" t="inlineStr">
        <is>
          <t>reported OperatingIncomeLoss (no interest expense tagged)</t>
        </is>
      </c>
      <c r="J231" s="13" t="n">
        <v>7.853</v>
      </c>
      <c r="K231" s="10" t="n">
        <v>0.1916623777663407</v>
      </c>
      <c r="L231" s="13" t="n">
        <v>7.553915079773546</v>
      </c>
      <c r="M231" s="13" t="n">
        <v>70.773</v>
      </c>
      <c r="N231" s="13" t="n">
        <v>70.773</v>
      </c>
      <c r="O231" s="10" t="n">
        <v>0.106734419620103</v>
      </c>
      <c r="P231" s="8" t="inlineStr">
        <is>
          <t>OK</t>
        </is>
      </c>
      <c r="Q231" s="10" t="n">
        <v>0.1386133370988809</v>
      </c>
      <c r="R231" s="10" t="n">
        <v>0.03187891747877798</v>
      </c>
      <c r="S231" s="13" t="n">
        <v>56.654</v>
      </c>
      <c r="T231" s="13" t="n">
        <v>6.726</v>
      </c>
      <c r="U231" s="13" t="n">
        <v>20.845</v>
      </c>
      <c r="V231" s="8" t="inlineStr">
        <is>
          <t>short-term + long-term</t>
        </is>
      </c>
      <c r="W231" s="13" t="n">
        <v>10.545</v>
      </c>
      <c r="X231" s="11" t="n">
        <v>1.338928402086297</v>
      </c>
      <c r="Y231" s="11" t="n"/>
      <c r="Z231" s="13" t="n"/>
      <c r="AA231" s="8" t="inlineStr">
        <is>
          <t>net income + D&amp;A - capex - change in no prior year</t>
        </is>
      </c>
      <c r="AB231" s="10" t="n"/>
      <c r="AC231" s="10" t="n"/>
      <c r="AD231" s="12" t="n">
        <v>5107000000</v>
      </c>
    </row>
    <row r="232">
      <c r="A232" s="8" t="inlineStr">
        <is>
          <t>CSCO</t>
        </is>
      </c>
      <c r="B232" s="8" t="inlineStr">
        <is>
          <t>CISCO SYSTEMS, INC.</t>
        </is>
      </c>
      <c r="C232" s="8" t="inlineStr">
        <is>
          <t>STANDARD</t>
        </is>
      </c>
      <c r="D232" s="8" t="n">
        <v>2015</v>
      </c>
      <c r="E232" s="8" t="inlineStr">
        <is>
          <t>2015-07-25</t>
        </is>
      </c>
      <c r="F232" s="8" t="inlineStr">
        <is>
          <t>0000858877-17-000016</t>
        </is>
      </c>
      <c r="G232" s="13" t="n"/>
      <c r="H232" s="13" t="n">
        <v>10.77</v>
      </c>
      <c r="I232" s="8" t="inlineStr">
        <is>
          <t>reported OperatingIncomeLoss (no interest expense tagged)</t>
        </is>
      </c>
      <c r="J232" s="13" t="n">
        <v>8.981</v>
      </c>
      <c r="K232" s="10" t="n">
        <v>0.1981965895902152</v>
      </c>
      <c r="L232" s="13" t="n">
        <v>8.635422730113381</v>
      </c>
      <c r="M232" s="13" t="n">
        <v>78.175</v>
      </c>
      <c r="N232" s="13" t="n">
        <v>74.474</v>
      </c>
      <c r="O232" s="10" t="n">
        <v>0.1159521810311435</v>
      </c>
      <c r="P232" s="8" t="inlineStr">
        <is>
          <t>OK</t>
        </is>
      </c>
      <c r="Q232" s="10" t="n">
        <v>0.1543763751375138</v>
      </c>
      <c r="R232" s="10" t="n">
        <v>0.03842419410637024</v>
      </c>
      <c r="S232" s="13" t="n">
        <v>59.698</v>
      </c>
      <c r="T232" s="13" t="n">
        <v>6.877</v>
      </c>
      <c r="U232" s="13" t="n">
        <v>25.354</v>
      </c>
      <c r="V232" s="8" t="inlineStr">
        <is>
          <t>short-term + long-term</t>
        </is>
      </c>
      <c r="W232" s="13" t="n">
        <v>11.87</v>
      </c>
      <c r="X232" s="11" t="n">
        <v>1.556613310867734</v>
      </c>
      <c r="Y232" s="11" t="n"/>
      <c r="Z232" s="13" t="n">
        <v>2.965</v>
      </c>
      <c r="AA232" s="8" t="inlineStr">
        <is>
          <t>net income + D&amp;A - capex - change in operating working capital (cash and short-term debt excluded)</t>
        </is>
      </c>
      <c r="AB232" s="10" t="n"/>
      <c r="AC232" s="10" t="n"/>
      <c r="AD232" s="12" t="n">
        <v>5085000000</v>
      </c>
    </row>
    <row r="233">
      <c r="A233" s="8" t="inlineStr">
        <is>
          <t>CSCO</t>
        </is>
      </c>
      <c r="B233" s="8" t="inlineStr">
        <is>
          <t>CISCO SYSTEMS, INC.</t>
        </is>
      </c>
      <c r="C233" s="8" t="inlineStr">
        <is>
          <t>STANDARD</t>
        </is>
      </c>
      <c r="D233" s="8" t="n">
        <v>2016</v>
      </c>
      <c r="E233" s="8" t="inlineStr">
        <is>
          <t>2016-07-30</t>
        </is>
      </c>
      <c r="F233" s="8" t="inlineStr">
        <is>
          <t>0000858877-18-000011</t>
        </is>
      </c>
      <c r="G233" s="13" t="n"/>
      <c r="H233" s="13" t="n">
        <v>12.66</v>
      </c>
      <c r="I233" s="8" t="inlineStr">
        <is>
          <t>reported OperatingIncomeLoss (no interest expense tagged)</t>
        </is>
      </c>
      <c r="J233" s="13" t="n">
        <v>10.739</v>
      </c>
      <c r="K233" s="10" t="n">
        <v>0.1688080495356037</v>
      </c>
      <c r="L233" s="13" t="n">
        <v>10.52289009287926</v>
      </c>
      <c r="M233" s="13" t="n">
        <v>84.598</v>
      </c>
      <c r="N233" s="13" t="n">
        <v>81.3865</v>
      </c>
      <c r="O233" s="10" t="n">
        <v>0.1292952773848151</v>
      </c>
      <c r="P233" s="8" t="inlineStr">
        <is>
          <t>OK</t>
        </is>
      </c>
      <c r="Q233" s="10" t="n">
        <v>0.1742156321988255</v>
      </c>
      <c r="R233" s="10" t="n">
        <v>0.04492035481401033</v>
      </c>
      <c r="S233" s="13" t="n">
        <v>63.586</v>
      </c>
      <c r="T233" s="13" t="n">
        <v>7.631</v>
      </c>
      <c r="U233" s="13" t="n">
        <v>28.643</v>
      </c>
      <c r="V233" s="8" t="inlineStr">
        <is>
          <t>short-term + long-term</t>
        </is>
      </c>
      <c r="W233" s="13" t="n">
        <v>13.66</v>
      </c>
      <c r="X233" s="11" t="n">
        <v>1.538213762811127</v>
      </c>
      <c r="Y233" s="11" t="n"/>
      <c r="Z233" s="13" t="n">
        <v>7.232</v>
      </c>
      <c r="AA233" s="8" t="inlineStr">
        <is>
          <t>net income + D&amp;A - capex - change in operating working capital (cash and short-term debt excluded)</t>
        </is>
      </c>
      <c r="AB233" s="10" t="n"/>
      <c r="AC233" s="10" t="n"/>
      <c r="AD233" s="12" t="n">
        <v>5029000000</v>
      </c>
    </row>
    <row r="234">
      <c r="A234" s="8" t="inlineStr">
        <is>
          <t>CSCO</t>
        </is>
      </c>
      <c r="B234" s="8" t="inlineStr">
        <is>
          <t>CISCO SYSTEMS, INC.</t>
        </is>
      </c>
      <c r="C234" s="8" t="inlineStr">
        <is>
          <t>STANDARD</t>
        </is>
      </c>
      <c r="D234" s="8" t="n">
        <v>2017</v>
      </c>
      <c r="E234" s="8" t="inlineStr">
        <is>
          <t>2017-07-29</t>
        </is>
      </c>
      <c r="F234" s="8" t="inlineStr">
        <is>
          <t>0000858877-19-000012</t>
        </is>
      </c>
      <c r="G234" s="13" t="n">
        <v>48.005</v>
      </c>
      <c r="H234" s="13" t="n">
        <v>11.973</v>
      </c>
      <c r="I234" s="8" t="inlineStr">
        <is>
          <t>reported OperatingIncomeLoss (no interest expense tagged)</t>
        </is>
      </c>
      <c r="J234" s="13" t="n">
        <v>9.609</v>
      </c>
      <c r="K234" s="10" t="n">
        <v>0.2179539350533084</v>
      </c>
      <c r="L234" s="13" t="n">
        <v>9.363437535606739</v>
      </c>
      <c r="M234" s="13" t="n">
        <v>88.146</v>
      </c>
      <c r="N234" s="13" t="n">
        <v>86.372</v>
      </c>
      <c r="O234" s="10" t="n">
        <v>0.1084082519289439</v>
      </c>
      <c r="P234" s="8" t="inlineStr">
        <is>
          <t>OK</t>
        </is>
      </c>
      <c r="Q234" s="10" t="n">
        <v>0.1481464350963206</v>
      </c>
      <c r="R234" s="10" t="n">
        <v>0.03973818316737675</v>
      </c>
      <c r="S234" s="13" t="n">
        <v>66.137</v>
      </c>
      <c r="T234" s="13" t="n">
        <v>11.708</v>
      </c>
      <c r="U234" s="13" t="n">
        <v>33.717</v>
      </c>
      <c r="V234" s="8" t="inlineStr">
        <is>
          <t>short-term + long-term</t>
        </is>
      </c>
      <c r="W234" s="13" t="n">
        <v>13.073</v>
      </c>
      <c r="X234" s="11" t="n">
        <v>1.683546240342691</v>
      </c>
      <c r="Y234" s="11" t="n"/>
      <c r="Z234" s="13" t="n">
        <v>7.678</v>
      </c>
      <c r="AA234" s="8" t="inlineStr">
        <is>
          <t>net income + D&amp;A - capex - change in operating working capital (cash and short-term debt excluded)</t>
        </is>
      </c>
      <c r="AB234" s="10" t="n">
        <v>0.1599416727424227</v>
      </c>
      <c r="AC234" s="10" t="n">
        <v>0.2494115196333715</v>
      </c>
      <c r="AD234" s="12" t="n">
        <v>4983000000</v>
      </c>
    </row>
    <row r="235">
      <c r="A235" s="8" t="inlineStr">
        <is>
          <t>CSCO</t>
        </is>
      </c>
      <c r="B235" s="8" t="inlineStr">
        <is>
          <t>CISCO SYSTEMS, INC.</t>
        </is>
      </c>
      <c r="C235" s="8" t="inlineStr">
        <is>
          <t>STANDARD</t>
        </is>
      </c>
      <c r="D235" s="8" t="n">
        <v>2018</v>
      </c>
      <c r="E235" s="8" t="inlineStr">
        <is>
          <t>2018-07-28</t>
        </is>
      </c>
      <c r="F235" s="8" t="inlineStr">
        <is>
          <t>0000858877-20-000010</t>
        </is>
      </c>
      <c r="G235" s="13" t="n">
        <v>49.33</v>
      </c>
      <c r="H235" s="13" t="n">
        <v>12.309</v>
      </c>
      <c r="I235" s="8" t="inlineStr">
        <is>
          <t>reported OperatingIncomeLoss (no interest expense tagged)</t>
        </is>
      </c>
      <c r="J235" s="13" t="n">
        <v>0.11</v>
      </c>
      <c r="K235" s="10" t="n">
        <v>0.4</v>
      </c>
      <c r="L235" s="13" t="n">
        <v>7.3854</v>
      </c>
      <c r="M235" s="13" t="n">
        <v>59.839</v>
      </c>
      <c r="N235" s="13" t="n">
        <v>73.99250000000001</v>
      </c>
      <c r="O235" s="10" t="n">
        <v>0.09981281886677704</v>
      </c>
      <c r="P235" s="8" t="inlineStr">
        <is>
          <t>OK</t>
        </is>
      </c>
      <c r="Q235" s="10" t="n">
        <v>0.002012054032796481</v>
      </c>
      <c r="R235" s="10" t="n">
        <v>-0.09780076483398055</v>
      </c>
      <c r="S235" s="13" t="n">
        <v>43.204</v>
      </c>
      <c r="T235" s="13" t="n">
        <v>8.933999999999999</v>
      </c>
      <c r="U235" s="13" t="n">
        <v>25.569</v>
      </c>
      <c r="V235" s="8" t="inlineStr">
        <is>
          <t>short-term + long-term</t>
        </is>
      </c>
      <c r="W235" s="13" t="n">
        <v>13.409</v>
      </c>
      <c r="X235" s="11" t="n">
        <v>1.240584681930047</v>
      </c>
      <c r="Y235" s="11" t="n"/>
      <c r="Z235" s="13" t="n">
        <v>21.674</v>
      </c>
      <c r="AA235" s="8" t="inlineStr">
        <is>
          <t>net income + D&amp;A - capex - change in operating working capital (cash and short-term debt excluded)</t>
        </is>
      </c>
      <c r="AB235" s="10" t="n">
        <v>0.439367524832759</v>
      </c>
      <c r="AC235" s="10" t="n">
        <v>0.2495236164605717</v>
      </c>
      <c r="AD235" s="12" t="n">
        <v>4614000000</v>
      </c>
    </row>
    <row r="236">
      <c r="A236" s="8" t="inlineStr">
        <is>
          <t>CSCO</t>
        </is>
      </c>
      <c r="B236" s="8" t="inlineStr">
        <is>
          <t>CISCO SYSTEMS, INC.</t>
        </is>
      </c>
      <c r="C236" s="8" t="inlineStr">
        <is>
          <t>STANDARD</t>
        </is>
      </c>
      <c r="D236" s="8" t="n">
        <v>2019</v>
      </c>
      <c r="E236" s="8" t="inlineStr">
        <is>
          <t>2019-07-27</t>
        </is>
      </c>
      <c r="F236" s="8" t="inlineStr">
        <is>
          <t>0000858877-21-000013</t>
        </is>
      </c>
      <c r="G236" s="13" t="n">
        <v>51.904</v>
      </c>
      <c r="H236" s="13" t="n">
        <v>14.219</v>
      </c>
      <c r="I236" s="8" t="inlineStr">
        <is>
          <t>reported OperatingIncomeLoss (no interest expense tagged)</t>
        </is>
      </c>
      <c r="J236" s="13" t="n">
        <v>11.621</v>
      </c>
      <c r="K236" s="10" t="n">
        <v>0.2024569350078924</v>
      </c>
      <c r="L236" s="13" t="n">
        <v>11.34026484112278</v>
      </c>
      <c r="M236" s="13" t="n">
        <v>46.487</v>
      </c>
      <c r="N236" s="13" t="n">
        <v>53.163</v>
      </c>
      <c r="O236" s="10" t="n">
        <v>0.2133112285070966</v>
      </c>
      <c r="P236" s="8" t="inlineStr">
        <is>
          <t>OK</t>
        </is>
      </c>
      <c r="Q236" s="10" t="n">
        <v>0.3027287528492348</v>
      </c>
      <c r="R236" s="10" t="n">
        <v>0.08941752434213815</v>
      </c>
      <c r="S236" s="13" t="n">
        <v>33.571</v>
      </c>
      <c r="T236" s="13" t="n">
        <v>11.75</v>
      </c>
      <c r="U236" s="13" t="n">
        <v>24.666</v>
      </c>
      <c r="V236" s="8" t="inlineStr">
        <is>
          <t>short-term + long-term</t>
        </is>
      </c>
      <c r="W236" s="13" t="n">
        <v>15.219</v>
      </c>
      <c r="X236" s="11" t="n">
        <v>0.8486759971088771</v>
      </c>
      <c r="Y236" s="11" t="n"/>
      <c r="Z236" s="13" t="n">
        <v>28.334</v>
      </c>
      <c r="AA236" s="8" t="inlineStr">
        <is>
          <t>net income + D&amp;A - capex - change in operating working capital (cash and short-term debt excluded)</t>
        </is>
      </c>
      <c r="AB236" s="10" t="n">
        <v>0.5458924167694205</v>
      </c>
      <c r="AC236" s="10" t="n">
        <v>0.2739480579531443</v>
      </c>
      <c r="AD236" s="12" t="n">
        <v>4250000000</v>
      </c>
    </row>
    <row r="237">
      <c r="A237" s="8" t="inlineStr">
        <is>
          <t>CSCO</t>
        </is>
      </c>
      <c r="B237" s="8" t="inlineStr">
        <is>
          <t>CISCO SYSTEMS, INC.</t>
        </is>
      </c>
      <c r="C237" s="8" t="inlineStr">
        <is>
          <t>STANDARD</t>
        </is>
      </c>
      <c r="D237" s="8" t="n">
        <v>2020</v>
      </c>
      <c r="E237" s="8" t="inlineStr">
        <is>
          <t>2020-07-25</t>
        </is>
      </c>
      <c r="F237" s="8" t="inlineStr">
        <is>
          <t>0000858877-22-000013</t>
        </is>
      </c>
      <c r="G237" s="13" t="n">
        <v>49.301</v>
      </c>
      <c r="H237" s="13" t="n">
        <v>13.62</v>
      </c>
      <c r="I237" s="8" t="inlineStr">
        <is>
          <t>reported OperatingIncomeLoss (no interest expense tagged)</t>
        </is>
      </c>
      <c r="J237" s="13" t="n">
        <v>11.214</v>
      </c>
      <c r="K237" s="10" t="n">
        <v>0.1972798854688619</v>
      </c>
      <c r="L237" s="13" t="n">
        <v>10.9330479599141</v>
      </c>
      <c r="M237" s="13" t="n">
        <v>40.694</v>
      </c>
      <c r="N237" s="13" t="n">
        <v>43.5905</v>
      </c>
      <c r="O237" s="10" t="n">
        <v>0.2508126302729746</v>
      </c>
      <c r="P237" s="8" t="inlineStr">
        <is>
          <t>OK</t>
        </is>
      </c>
      <c r="Q237" s="10" t="n">
        <v>0.3137178106335063</v>
      </c>
      <c r="R237" s="10" t="n">
        <v>0.06290518036053167</v>
      </c>
      <c r="S237" s="13" t="n">
        <v>37.92</v>
      </c>
      <c r="T237" s="13" t="n">
        <v>11.809</v>
      </c>
      <c r="U237" s="13" t="n">
        <v>14.583</v>
      </c>
      <c r="V237" s="8" t="inlineStr">
        <is>
          <t>short-term + long-term</t>
        </is>
      </c>
      <c r="W237" s="13" t="n">
        <v>14.52</v>
      </c>
      <c r="X237" s="11" t="n">
        <v>0.1910468319559229</v>
      </c>
      <c r="Y237" s="11" t="n"/>
      <c r="Z237" s="13" t="n">
        <v>16.39</v>
      </c>
      <c r="AA237" s="8" t="inlineStr">
        <is>
          <t>net income + D&amp;A - capex - change in operating working capital (cash and short-term debt excluded)</t>
        </is>
      </c>
      <c r="AB237" s="10" t="n">
        <v>0.3324476176953814</v>
      </c>
      <c r="AC237" s="10" t="n">
        <v>0.2762621447840815</v>
      </c>
      <c r="AD237" s="12" t="n">
        <v>4237000000</v>
      </c>
    </row>
    <row r="238">
      <c r="A238" s="8" t="inlineStr">
        <is>
          <t>CSCO</t>
        </is>
      </c>
      <c r="B238" s="8" t="inlineStr">
        <is>
          <t>CISCO SYSTEMS, INC.</t>
        </is>
      </c>
      <c r="C238" s="8" t="inlineStr">
        <is>
          <t>STANDARD</t>
        </is>
      </c>
      <c r="D238" s="8" t="n">
        <v>2021</v>
      </c>
      <c r="E238" s="8" t="inlineStr">
        <is>
          <t>2021-07-31</t>
        </is>
      </c>
      <c r="F238" s="8" t="inlineStr">
        <is>
          <t>0000858877-23-000023</t>
        </is>
      </c>
      <c r="G238" s="13" t="n">
        <v>49.818</v>
      </c>
      <c r="H238" s="13" t="n">
        <v>12.833</v>
      </c>
      <c r="I238" s="8" t="inlineStr">
        <is>
          <t>reported OperatingIncomeLoss (no interest expense tagged)</t>
        </is>
      </c>
      <c r="J238" s="13" t="n">
        <v>10.591</v>
      </c>
      <c r="K238" s="10" t="n">
        <v>0.2014025033931534</v>
      </c>
      <c r="L238" s="13" t="n">
        <v>10.24840167395566</v>
      </c>
      <c r="M238" s="13" t="n">
        <v>43.626</v>
      </c>
      <c r="N238" s="13" t="n">
        <v>42.16</v>
      </c>
      <c r="O238" s="10" t="n">
        <v>0.2430835311659313</v>
      </c>
      <c r="P238" s="8" t="inlineStr">
        <is>
          <t>OK</t>
        </is>
      </c>
      <c r="Q238" s="10" t="n">
        <v>0.2674663804533114</v>
      </c>
      <c r="R238" s="10" t="n">
        <v>0.02438284928738016</v>
      </c>
      <c r="S238" s="13" t="n">
        <v>41.275</v>
      </c>
      <c r="T238" s="13" t="n">
        <v>9.175000000000001</v>
      </c>
      <c r="U238" s="13" t="n">
        <v>11.526</v>
      </c>
      <c r="V238" s="8" t="inlineStr">
        <is>
          <t>short-term + long-term</t>
        </is>
      </c>
      <c r="W238" s="13" t="n">
        <v>13.633</v>
      </c>
      <c r="X238" s="11" t="n">
        <v>0.1724492041370205</v>
      </c>
      <c r="Y238" s="11" t="n"/>
      <c r="Z238" s="13" t="n">
        <v>13.949</v>
      </c>
      <c r="AA238" s="8" t="inlineStr">
        <is>
          <t>net income + D&amp;A - capex - change in operating working capital (cash and short-term debt excluded)</t>
        </is>
      </c>
      <c r="AB238" s="10" t="n">
        <v>0.2799991970773616</v>
      </c>
      <c r="AC238" s="10" t="n">
        <v>0.2575976554658959</v>
      </c>
      <c r="AD238" s="12" t="n">
        <v>4217000000</v>
      </c>
    </row>
    <row r="239">
      <c r="A239" s="8" t="inlineStr">
        <is>
          <t>CSCO</t>
        </is>
      </c>
      <c r="B239" s="8" t="inlineStr">
        <is>
          <t>CISCO SYSTEMS, INC.</t>
        </is>
      </c>
      <c r="C239" s="8" t="inlineStr">
        <is>
          <t>STANDARD</t>
        </is>
      </c>
      <c r="D239" s="8" t="n">
        <v>2022</v>
      </c>
      <c r="E239" s="8" t="inlineStr">
        <is>
          <t>2022-07-30</t>
        </is>
      </c>
      <c r="F239" s="8" t="inlineStr">
        <is>
          <t>0000858877-24-000017</t>
        </is>
      </c>
      <c r="G239" s="13" t="n">
        <v>51.557</v>
      </c>
      <c r="H239" s="13" t="n">
        <v>14.837</v>
      </c>
      <c r="I239" s="8" t="inlineStr">
        <is>
          <t>pretax_income + interest_expense</t>
        </is>
      </c>
      <c r="J239" s="13" t="n">
        <v>11.812</v>
      </c>
      <c r="K239" s="10" t="n">
        <v>0.1840851005042481</v>
      </c>
      <c r="L239" s="13" t="n">
        <v>12.10572936381847</v>
      </c>
      <c r="M239" s="13" t="n">
        <v>42.209</v>
      </c>
      <c r="N239" s="13" t="n">
        <v>42.9175</v>
      </c>
      <c r="O239" s="10" t="n">
        <v>0.282069770229358</v>
      </c>
      <c r="P239" s="8" t="inlineStr">
        <is>
          <t>OK</t>
        </is>
      </c>
      <c r="Q239" s="10" t="n">
        <v>0.2914815911558583</v>
      </c>
      <c r="R239" s="10" t="n">
        <v>0.009411820926500281</v>
      </c>
      <c r="S239" s="13" t="n">
        <v>39.773</v>
      </c>
      <c r="T239" s="13" t="n">
        <v>7.079</v>
      </c>
      <c r="U239" s="13" t="n">
        <v>9.515000000000001</v>
      </c>
      <c r="V239" s="8" t="inlineStr">
        <is>
          <t>short-term + long-term</t>
        </is>
      </c>
      <c r="W239" s="13" t="n">
        <v>15.637</v>
      </c>
      <c r="X239" s="11" t="n">
        <v>0.1557843576133529</v>
      </c>
      <c r="Y239" s="11" t="n">
        <v>41.21388888888889</v>
      </c>
      <c r="Z239" s="13" t="n">
        <v>13.226</v>
      </c>
      <c r="AA239" s="8" t="inlineStr">
        <is>
          <t>net income + D&amp;A - capex - change in operating working capital (cash and short-term debt excluded)</t>
        </is>
      </c>
      <c r="AB239" s="10" t="n">
        <v>0.2565316057955273</v>
      </c>
      <c r="AC239" s="10" t="n">
        <v>0.2877785751692302</v>
      </c>
      <c r="AD239" s="12" t="n">
        <v>4110000000</v>
      </c>
    </row>
    <row r="240">
      <c r="A240" s="8" t="inlineStr">
        <is>
          <t>CSCO</t>
        </is>
      </c>
      <c r="B240" s="8" t="inlineStr">
        <is>
          <t>CISCO SYSTEMS, INC.</t>
        </is>
      </c>
      <c r="C240" s="8" t="inlineStr">
        <is>
          <t>STANDARD</t>
        </is>
      </c>
      <c r="D240" s="8" t="n">
        <v>2023</v>
      </c>
      <c r="E240" s="8" t="inlineStr">
        <is>
          <t>2023-07-29</t>
        </is>
      </c>
      <c r="F240" s="8" t="inlineStr">
        <is>
          <t>0000858877-25-000111</t>
        </is>
      </c>
      <c r="G240" s="13" t="n">
        <v>56.998</v>
      </c>
      <c r="H240" s="13" t="n">
        <v>15.745</v>
      </c>
      <c r="I240" s="8" t="inlineStr">
        <is>
          <t>pretax_income + interest_expense</t>
        </is>
      </c>
      <c r="J240" s="13" t="n">
        <v>12.613</v>
      </c>
      <c r="K240" s="10" t="n">
        <v>0.1765896331113722</v>
      </c>
      <c r="L240" s="13" t="n">
        <v>12.96459622666144</v>
      </c>
      <c r="M240" s="13" t="n">
        <v>42.621</v>
      </c>
      <c r="N240" s="13" t="n">
        <v>42.415</v>
      </c>
      <c r="O240" s="10" t="n">
        <v>0.3056606442688069</v>
      </c>
      <c r="P240" s="8" t="inlineStr">
        <is>
          <t>OK</t>
        </is>
      </c>
      <c r="Q240" s="10" t="n">
        <v>0.2998597342082115</v>
      </c>
      <c r="R240" s="10" t="n">
        <v>-0.00580091006059541</v>
      </c>
      <c r="S240" s="13" t="n">
        <v>44.353</v>
      </c>
      <c r="T240" s="13" t="n">
        <v>10.123</v>
      </c>
      <c r="U240" s="13" t="n">
        <v>8.391</v>
      </c>
      <c r="V240" s="8" t="inlineStr">
        <is>
          <t>short-term + long-term</t>
        </is>
      </c>
      <c r="W240" s="13" t="n">
        <v>16.445</v>
      </c>
      <c r="X240" s="11" t="n">
        <v>-0.1053207661903314</v>
      </c>
      <c r="Y240" s="11" t="n">
        <v>36.87353629976581</v>
      </c>
      <c r="Z240" s="13" t="n">
        <v>13.912</v>
      </c>
      <c r="AA240" s="8" t="inlineStr">
        <is>
          <t>net income + D&amp;A - capex - change in operating working capital (cash and short-term debt excluded)</t>
        </is>
      </c>
      <c r="AB240" s="10" t="n">
        <v>0.2440787396048984</v>
      </c>
      <c r="AC240" s="10" t="n">
        <v>0.2762377627285168</v>
      </c>
      <c r="AD240" s="12" t="n">
        <v>4066000000</v>
      </c>
    </row>
    <row r="241">
      <c r="A241" s="8" t="inlineStr">
        <is>
          <t>CSCO</t>
        </is>
      </c>
      <c r="B241" s="8" t="inlineStr">
        <is>
          <t>CISCO SYSTEMS, INC.</t>
        </is>
      </c>
      <c r="C241" s="8" t="inlineStr">
        <is>
          <t>STANDARD</t>
        </is>
      </c>
      <c r="D241" s="8" t="n">
        <v>2024</v>
      </c>
      <c r="E241" s="8" t="inlineStr">
        <is>
          <t>2024-07-27</t>
        </is>
      </c>
      <c r="F241" s="8" t="inlineStr">
        <is>
          <t>0000858877-25-000111</t>
        </is>
      </c>
      <c r="G241" s="13" t="n">
        <v>53.803</v>
      </c>
      <c r="H241" s="13" t="n">
        <v>13.24</v>
      </c>
      <c r="I241" s="8" t="inlineStr">
        <is>
          <t>pretax_income + interest_expense</t>
        </is>
      </c>
      <c r="J241" s="13" t="n">
        <v>10.32</v>
      </c>
      <c r="K241" s="10" t="n">
        <v>0.1564492398234429</v>
      </c>
      <c r="L241" s="13" t="n">
        <v>11.16861206473762</v>
      </c>
      <c r="M241" s="13" t="n">
        <v>68.911</v>
      </c>
      <c r="N241" s="13" t="n">
        <v>55.766</v>
      </c>
      <c r="O241" s="10" t="n">
        <v>0.2002763702746767</v>
      </c>
      <c r="P241" s="8" t="inlineStr">
        <is>
          <t>OK</t>
        </is>
      </c>
      <c r="Q241" s="10" t="n">
        <v>0.229818505734328</v>
      </c>
      <c r="R241" s="10" t="n">
        <v>0.02954213545965137</v>
      </c>
      <c r="S241" s="13" t="n">
        <v>45.457</v>
      </c>
      <c r="T241" s="13" t="n">
        <v>7.508</v>
      </c>
      <c r="U241" s="13" t="n">
        <v>30.962</v>
      </c>
      <c r="V241" s="8" t="inlineStr">
        <is>
          <t>short-term + long-term</t>
        </is>
      </c>
      <c r="W241" s="13" t="n">
        <v>13.94</v>
      </c>
      <c r="X241" s="11" t="n">
        <v>1.682496413199426</v>
      </c>
      <c r="Y241" s="11" t="n">
        <v>13.1610337972167</v>
      </c>
      <c r="Z241" s="13" t="n">
        <v>13.888</v>
      </c>
      <c r="AA241" s="8" t="inlineStr">
        <is>
          <t>net income + D&amp;A - capex - change in operating working capital (cash and short-term debt excluded)</t>
        </is>
      </c>
      <c r="AB241" s="10" t="n">
        <v>0.2581268702488709</v>
      </c>
      <c r="AC241" s="10" t="n">
        <v>0.246082932178503</v>
      </c>
      <c r="AD241" s="12" t="n">
        <v>4007000000</v>
      </c>
    </row>
    <row r="242">
      <c r="A242" s="8" t="inlineStr">
        <is>
          <t>CSCO</t>
        </is>
      </c>
      <c r="B242" s="8" t="inlineStr">
        <is>
          <t>CISCO SYSTEMS, INC.</t>
        </is>
      </c>
      <c r="C242" s="8" t="inlineStr">
        <is>
          <t>STANDARD</t>
        </is>
      </c>
      <c r="D242" s="8" t="n">
        <v>2025</v>
      </c>
      <c r="E242" s="8" t="inlineStr">
        <is>
          <t>2025-07-26</t>
        </is>
      </c>
      <c r="F242" s="8" t="inlineStr">
        <is>
          <t>0000858877-25-000111</t>
        </is>
      </c>
      <c r="G242" s="13" t="n">
        <v>56.654</v>
      </c>
      <c r="H242" s="13" t="n">
        <v>12.693</v>
      </c>
      <c r="I242" s="8" t="inlineStr">
        <is>
          <t>pretax_income + interest_expense</t>
        </is>
      </c>
      <c r="J242" s="13" t="n">
        <v>10.18</v>
      </c>
      <c r="K242" s="10" t="n">
        <v>0.08288288288288288</v>
      </c>
      <c r="L242" s="13" t="n">
        <v>11.64096756756757</v>
      </c>
      <c r="M242" s="13" t="n">
        <v>66.59</v>
      </c>
      <c r="N242" s="13" t="n">
        <v>67.7505</v>
      </c>
      <c r="O242" s="10" t="n">
        <v>0.1718211314686617</v>
      </c>
      <c r="P242" s="8" t="inlineStr">
        <is>
          <t>OK</t>
        </is>
      </c>
      <c r="Q242" s="10" t="n">
        <v>0.2205850487540628</v>
      </c>
      <c r="R242" s="10" t="n">
        <v>0.04876391728540111</v>
      </c>
      <c r="S242" s="13" t="n">
        <v>46.843</v>
      </c>
      <c r="T242" s="13" t="n">
        <v>8.346</v>
      </c>
      <c r="U242" s="13" t="n">
        <v>28.093</v>
      </c>
      <c r="V242" s="8" t="inlineStr">
        <is>
          <t>short-term + long-term</t>
        </is>
      </c>
      <c r="W242" s="13" t="n">
        <v>13.393</v>
      </c>
      <c r="X242" s="11" t="n">
        <v>1.474426939445979</v>
      </c>
      <c r="Y242" s="11" t="n">
        <v>7.967984934086629</v>
      </c>
      <c r="Z242" s="13" t="n">
        <v>13.278</v>
      </c>
      <c r="AA242" s="8" t="inlineStr">
        <is>
          <t>net income + D&amp;A - capex - change in operating working capital (cash and short-term debt excluded)</t>
        </is>
      </c>
      <c r="AB242" s="10" t="n">
        <v>0.2343700356550288</v>
      </c>
      <c r="AC242" s="10" t="n">
        <v>0.2240441981148727</v>
      </c>
      <c r="AD242" s="12" t="n">
        <v>3960000000</v>
      </c>
    </row>
    <row r="243">
      <c r="A243" s="8" t="inlineStr">
        <is>
          <t>BAC</t>
        </is>
      </c>
      <c r="B243" s="8" t="inlineStr">
        <is>
          <t>BANK OF AMERICA CORP /DE/</t>
        </is>
      </c>
      <c r="C243" s="8" t="inlineStr">
        <is>
          <t>FINANCIAL</t>
        </is>
      </c>
      <c r="D243" s="8" t="n">
        <v>2014</v>
      </c>
      <c r="E243" s="8" t="inlineStr">
        <is>
          <t>2014-12-31</t>
        </is>
      </c>
      <c r="F243" s="8" t="inlineStr">
        <is>
          <t>0000070858-17-000013</t>
        </is>
      </c>
      <c r="G243" s="13" t="n">
        <v>85.89400000000001</v>
      </c>
      <c r="H243" s="13" t="n">
        <v>48.742</v>
      </c>
      <c r="I243" s="8" t="inlineStr">
        <is>
          <t>pretax_income + interest_expense</t>
        </is>
      </c>
      <c r="J243" s="13" t="n">
        <v>5.52</v>
      </c>
      <c r="K243" s="10" t="n">
        <v>0.3067939218887354</v>
      </c>
      <c r="L243" s="13" t="n">
        <v>33.78825065929926</v>
      </c>
      <c r="M243" s="13" t="n"/>
      <c r="N243" s="13" t="n"/>
      <c r="O243" s="10" t="n"/>
      <c r="P243" s="8" t="inlineStr">
        <is>
          <t>FRAMEWORK_NOT_APPLICABLE</t>
        </is>
      </c>
      <c r="Q243" s="10" t="n">
        <v>0.02267163909379159</v>
      </c>
      <c r="R243" s="10" t="n"/>
      <c r="S243" s="13" t="n">
        <v>243.476</v>
      </c>
      <c r="T243" s="13" t="n"/>
      <c r="U243" s="13" t="n">
        <v>274.311</v>
      </c>
      <c r="V243" s="8" t="inlineStr">
        <is>
          <t>short-term + long-term</t>
        </is>
      </c>
      <c r="W243" s="13" t="n"/>
      <c r="X243" s="11" t="n"/>
      <c r="Y243" s="11" t="n">
        <v>1.195272076313789</v>
      </c>
      <c r="Z243" s="13" t="n"/>
      <c r="AA243" s="8" t="inlineStr">
        <is>
          <t>FRAMEWORK_NOT_APPLICABLE (financial sector)</t>
        </is>
      </c>
      <c r="AB243" s="10" t="n"/>
      <c r="AC243" s="10" t="n">
        <v>0.5674668777795888</v>
      </c>
      <c r="AD243" s="12" t="n">
        <v>10516542476</v>
      </c>
    </row>
    <row r="244">
      <c r="A244" s="8" t="inlineStr">
        <is>
          <t>BAC</t>
        </is>
      </c>
      <c r="B244" s="8" t="inlineStr">
        <is>
          <t>BANK OF AMERICA CORP /DE/</t>
        </is>
      </c>
      <c r="C244" s="8" t="inlineStr">
        <is>
          <t>FINANCIAL</t>
        </is>
      </c>
      <c r="D244" s="8" t="n">
        <v>2015</v>
      </c>
      <c r="E244" s="8" t="inlineStr">
        <is>
          <t>2015-12-31</t>
        </is>
      </c>
      <c r="F244" s="8" t="inlineStr">
        <is>
          <t>0000070858-18-000009</t>
        </is>
      </c>
      <c r="G244" s="13" t="n">
        <v>82.965</v>
      </c>
      <c r="H244" s="13" t="n">
        <v>61.145</v>
      </c>
      <c r="I244" s="8" t="inlineStr">
        <is>
          <t>pretax_income + interest_expense</t>
        </is>
      </c>
      <c r="J244" s="13" t="n">
        <v>15.91</v>
      </c>
      <c r="K244" s="10" t="n">
        <v>0.2829134177671609</v>
      </c>
      <c r="L244" s="13" t="n">
        <v>43.84625907062694</v>
      </c>
      <c r="M244" s="13" t="n"/>
      <c r="N244" s="13" t="n"/>
      <c r="O244" s="10" t="n"/>
      <c r="P244" s="8" t="inlineStr">
        <is>
          <t>FRAMEWORK_NOT_APPLICABLE</t>
        </is>
      </c>
      <c r="Q244" s="10" t="n">
        <v>0.06375590824118246</v>
      </c>
      <c r="R244" s="10" t="n"/>
      <c r="S244" s="13" t="n">
        <v>255.615</v>
      </c>
      <c r="T244" s="13" t="n"/>
      <c r="U244" s="13" t="n">
        <v>264.862</v>
      </c>
      <c r="V244" s="8" t="inlineStr">
        <is>
          <t>short-term + long-term</t>
        </is>
      </c>
      <c r="W244" s="13" t="n"/>
      <c r="X244" s="11" t="n"/>
      <c r="Y244" s="11" t="n">
        <v>1.569510755172237</v>
      </c>
      <c r="Z244" s="13" t="n"/>
      <c r="AA244" s="8" t="inlineStr">
        <is>
          <t>FRAMEWORK_NOT_APPLICABLE (financial sector)</t>
        </is>
      </c>
      <c r="AB244" s="10" t="n"/>
      <c r="AC244" s="10" t="n">
        <v>0.7369975290785271</v>
      </c>
      <c r="AD244" s="12" t="n">
        <v>10380265063</v>
      </c>
    </row>
    <row r="245">
      <c r="A245" s="8" t="inlineStr">
        <is>
          <t>BAC</t>
        </is>
      </c>
      <c r="B245" s="8" t="inlineStr">
        <is>
          <t>BANK OF AMERICA CORP /DE/</t>
        </is>
      </c>
      <c r="C245" s="8" t="inlineStr">
        <is>
          <t>FINANCIAL</t>
        </is>
      </c>
      <c r="D245" s="8" t="n">
        <v>2016</v>
      </c>
      <c r="E245" s="8" t="inlineStr">
        <is>
          <t>2016-12-31</t>
        </is>
      </c>
      <c r="F245" s="8" t="inlineStr">
        <is>
          <t>0000070858-19-000012</t>
        </is>
      </c>
      <c r="G245" s="13" t="n">
        <v>83.70099999999999</v>
      </c>
      <c r="H245" s="13" t="n">
        <v>66.117</v>
      </c>
      <c r="I245" s="8" t="inlineStr">
        <is>
          <t>pretax_income + interest_expense</t>
        </is>
      </c>
      <c r="J245" s="13" t="n">
        <v>17.822</v>
      </c>
      <c r="K245" s="10" t="n">
        <v>0.2877183166140442</v>
      </c>
      <c r="L245" s="13" t="n">
        <v>47.09392806042923</v>
      </c>
      <c r="M245" s="13" t="n"/>
      <c r="N245" s="13" t="n"/>
      <c r="O245" s="10" t="n"/>
      <c r="P245" s="8" t="inlineStr">
        <is>
          <t>FRAMEWORK_NOT_APPLICABLE</t>
        </is>
      </c>
      <c r="Q245" s="10" t="n">
        <v>0.06830838811061497</v>
      </c>
      <c r="R245" s="10" t="n"/>
      <c r="S245" s="13" t="n">
        <v>266.195</v>
      </c>
      <c r="T245" s="13" t="n">
        <v>147.738</v>
      </c>
      <c r="U245" s="13" t="n">
        <v>240.767</v>
      </c>
      <c r="V245" s="8" t="inlineStr">
        <is>
          <t>short-term + long-term</t>
        </is>
      </c>
      <c r="W245" s="13" t="n"/>
      <c r="X245" s="11" t="n"/>
      <c r="Y245" s="11" t="n">
        <v>1.608842709752774</v>
      </c>
      <c r="Z245" s="13" t="n"/>
      <c r="AA245" s="8" t="inlineStr">
        <is>
          <t>FRAMEWORK_NOT_APPLICABLE (financial sector)</t>
        </is>
      </c>
      <c r="AB245" s="10" t="n"/>
      <c r="AC245" s="10" t="n">
        <v>0.7899188779106582</v>
      </c>
      <c r="AD245" s="12" t="n">
        <v>10052625604</v>
      </c>
    </row>
    <row r="246">
      <c r="A246" s="8" t="inlineStr">
        <is>
          <t>BAC</t>
        </is>
      </c>
      <c r="B246" s="8" t="inlineStr">
        <is>
          <t>BANK OF AMERICA CORP /DE/</t>
        </is>
      </c>
      <c r="C246" s="8" t="inlineStr">
        <is>
          <t>FINANCIAL</t>
        </is>
      </c>
      <c r="D246" s="8" t="n">
        <v>2017</v>
      </c>
      <c r="E246" s="8" t="inlineStr">
        <is>
          <t>2017-12-31</t>
        </is>
      </c>
      <c r="F246" s="8" t="inlineStr">
        <is>
          <t>0000070858-20-000011</t>
        </is>
      </c>
      <c r="G246" s="13" t="n">
        <v>87.126</v>
      </c>
      <c r="H246" s="13" t="n">
        <v>74.452</v>
      </c>
      <c r="I246" s="8" t="inlineStr">
        <is>
          <t>pretax_income + interest_expense</t>
        </is>
      </c>
      <c r="J246" s="13" t="n">
        <v>18.232</v>
      </c>
      <c r="K246" s="10" t="n">
        <v>0.3758942936363948</v>
      </c>
      <c r="L246" s="13" t="n">
        <v>46.46591805018314</v>
      </c>
      <c r="M246" s="13" t="n"/>
      <c r="N246" s="13" t="n"/>
      <c r="O246" s="10" t="n"/>
      <c r="P246" s="8" t="inlineStr">
        <is>
          <t>FRAMEWORK_NOT_APPLICABLE</t>
        </is>
      </c>
      <c r="Q246" s="10" t="n">
        <v>0.06836901719537782</v>
      </c>
      <c r="R246" s="10" t="n"/>
      <c r="S246" s="13" t="n">
        <v>267.146</v>
      </c>
      <c r="T246" s="13" t="n">
        <v>157.434</v>
      </c>
      <c r="U246" s="13" t="n">
        <v>260.068</v>
      </c>
      <c r="V246" s="8" t="inlineStr">
        <is>
          <t>short-term + long-term</t>
        </is>
      </c>
      <c r="W246" s="13" t="n">
        <v>76.55500000000001</v>
      </c>
      <c r="X246" s="11" t="n">
        <v>1.340657043955326</v>
      </c>
      <c r="Y246" s="11" t="n">
        <v>1.645748137668826</v>
      </c>
      <c r="Z246" s="13" t="n"/>
      <c r="AA246" s="8" t="inlineStr">
        <is>
          <t>FRAMEWORK_NOT_APPLICABLE (financial sector)</t>
        </is>
      </c>
      <c r="AB246" s="10" t="n"/>
      <c r="AC246" s="10" t="n">
        <v>0.8545325161260703</v>
      </c>
      <c r="AD246" s="12" t="n">
        <v>10287302431</v>
      </c>
    </row>
    <row r="247">
      <c r="A247" s="8" t="inlineStr">
        <is>
          <t>BAC</t>
        </is>
      </c>
      <c r="B247" s="8" t="inlineStr">
        <is>
          <t>BANK OF AMERICA CORP /DE/</t>
        </is>
      </c>
      <c r="C247" s="8" t="inlineStr">
        <is>
          <t>FINANCIAL</t>
        </is>
      </c>
      <c r="D247" s="8" t="n">
        <v>2018</v>
      </c>
      <c r="E247" s="8" t="inlineStr">
        <is>
          <t>2018-12-31</t>
        </is>
      </c>
      <c r="F247" s="8" t="inlineStr">
        <is>
          <t>0000070858-21-000023</t>
        </is>
      </c>
      <c r="G247" s="13" t="n">
        <v>91.02</v>
      </c>
      <c r="H247" s="13" t="n">
        <v>82.746</v>
      </c>
      <c r="I247" s="8" t="inlineStr">
        <is>
          <t>pretax_income + interest_expense</t>
        </is>
      </c>
      <c r="J247" s="13" t="n">
        <v>28.147</v>
      </c>
      <c r="K247" s="10" t="n">
        <v>0.1861265325005783</v>
      </c>
      <c r="L247" s="13" t="n">
        <v>67.34477394170715</v>
      </c>
      <c r="M247" s="13" t="n"/>
      <c r="N247" s="13" t="n"/>
      <c r="O247" s="10" t="n"/>
      <c r="P247" s="8" t="inlineStr">
        <is>
          <t>FRAMEWORK_NOT_APPLICABLE</t>
        </is>
      </c>
      <c r="Q247" s="10" t="n">
        <v>0.1057221895652533</v>
      </c>
      <c r="R247" s="10" t="n"/>
      <c r="S247" s="13" t="n">
        <v>265.325</v>
      </c>
      <c r="T247" s="13" t="n">
        <v>177.404</v>
      </c>
      <c r="U247" s="13" t="n">
        <v>249.581</v>
      </c>
      <c r="V247" s="8" t="inlineStr">
        <is>
          <t>short-term + long-term</t>
        </is>
      </c>
      <c r="W247" s="13" t="n">
        <v>84.809</v>
      </c>
      <c r="X247" s="11" t="n">
        <v>0.8510535438455824</v>
      </c>
      <c r="Y247" s="11" t="n">
        <v>1.71807649184004</v>
      </c>
      <c r="Z247" s="13" t="n"/>
      <c r="AA247" s="8" t="inlineStr">
        <is>
          <t>FRAMEWORK_NOT_APPLICABLE (financial sector)</t>
        </is>
      </c>
      <c r="AB247" s="10" t="n"/>
      <c r="AC247" s="10" t="n">
        <v>0.9090969017798286</v>
      </c>
      <c r="AD247" s="12" t="n">
        <v>9669286370</v>
      </c>
    </row>
    <row r="248">
      <c r="A248" s="8" t="inlineStr">
        <is>
          <t>BAC</t>
        </is>
      </c>
      <c r="B248" s="8" t="inlineStr">
        <is>
          <t>BANK OF AMERICA CORP /DE/</t>
        </is>
      </c>
      <c r="C248" s="8" t="inlineStr">
        <is>
          <t>FINANCIAL</t>
        </is>
      </c>
      <c r="D248" s="8" t="n">
        <v>2019</v>
      </c>
      <c r="E248" s="8" t="inlineStr">
        <is>
          <t>2019-12-31</t>
        </is>
      </c>
      <c r="F248" s="8" t="inlineStr">
        <is>
          <t>0000070858-22-000062</t>
        </is>
      </c>
      <c r="G248" s="13" t="n">
        <v>91.244</v>
      </c>
      <c r="H248" s="13" t="n">
        <v>81.645</v>
      </c>
      <c r="I248" s="8" t="inlineStr">
        <is>
          <t>pretax_income + interest_expense</t>
        </is>
      </c>
      <c r="J248" s="13" t="n">
        <v>27.43</v>
      </c>
      <c r="K248" s="10" t="n">
        <v>0.1625450326677658</v>
      </c>
      <c r="L248" s="13" t="n">
        <v>68.37401080784026</v>
      </c>
      <c r="M248" s="13" t="n"/>
      <c r="N248" s="13" t="n"/>
      <c r="O248" s="10" t="n"/>
      <c r="P248" s="8" t="inlineStr">
        <is>
          <t>FRAMEWORK_NOT_APPLICABLE</t>
        </is>
      </c>
      <c r="Q248" s="10" t="n">
        <v>0.1034830750657851</v>
      </c>
      <c r="R248" s="10" t="n"/>
      <c r="S248" s="13" t="n">
        <v>264.81</v>
      </c>
      <c r="T248" s="13" t="n">
        <v>161.56</v>
      </c>
      <c r="U248" s="13" t="n">
        <v>265.06</v>
      </c>
      <c r="V248" s="8" t="inlineStr">
        <is>
          <t>short-term + long-term</t>
        </is>
      </c>
      <c r="W248" s="13" t="n">
        <v>83.374</v>
      </c>
      <c r="X248" s="11" t="n">
        <v>1.24139419963058</v>
      </c>
      <c r="Y248" s="11" t="n">
        <v>1.669939252623182</v>
      </c>
      <c r="Z248" s="13" t="n"/>
      <c r="AA248" s="8" t="inlineStr">
        <is>
          <t>FRAMEWORK_NOT_APPLICABLE (financial sector)</t>
        </is>
      </c>
      <c r="AB248" s="10" t="n"/>
      <c r="AC248" s="10" t="n">
        <v>0.8947985620972337</v>
      </c>
      <c r="AD248" s="12" t="n">
        <v>8836148954</v>
      </c>
    </row>
    <row r="249">
      <c r="A249" s="8" t="inlineStr">
        <is>
          <t>BAC</t>
        </is>
      </c>
      <c r="B249" s="8" t="inlineStr">
        <is>
          <t>BANK OF AMERICA CORP /DE/</t>
        </is>
      </c>
      <c r="C249" s="8" t="inlineStr">
        <is>
          <t>FINANCIAL</t>
        </is>
      </c>
      <c r="D249" s="8" t="n">
        <v>2020</v>
      </c>
      <c r="E249" s="8" t="inlineStr">
        <is>
          <t>2020-12-31</t>
        </is>
      </c>
      <c r="F249" s="8" t="inlineStr">
        <is>
          <t>0000070858-23-000092</t>
        </is>
      </c>
      <c r="G249" s="13" t="n">
        <v>85.52800000000001</v>
      </c>
      <c r="H249" s="13" t="n">
        <v>62.355</v>
      </c>
      <c r="I249" s="8" t="inlineStr">
        <is>
          <t>pretax_income + interest_expense</t>
        </is>
      </c>
      <c r="J249" s="13" t="n">
        <v>17.894</v>
      </c>
      <c r="K249" s="10" t="n">
        <v>0.05796262174256384</v>
      </c>
      <c r="L249" s="13" t="n">
        <v>58.74074072124243</v>
      </c>
      <c r="M249" s="13" t="n"/>
      <c r="N249" s="13" t="n"/>
      <c r="O249" s="10" t="n"/>
      <c r="P249" s="8" t="inlineStr">
        <is>
          <t>FRAMEWORK_NOT_APPLICABLE</t>
        </is>
      </c>
      <c r="Q249" s="10" t="n">
        <v>0.06655335165713903</v>
      </c>
      <c r="R249" s="10" t="n"/>
      <c r="S249" s="13" t="n">
        <v>272.924</v>
      </c>
      <c r="T249" s="13" t="n">
        <v>380.463</v>
      </c>
      <c r="U249" s="13" t="n">
        <v>282.255</v>
      </c>
      <c r="V249" s="8" t="inlineStr">
        <is>
          <t>short-term + long-term</t>
        </is>
      </c>
      <c r="W249" s="13" t="n">
        <v>64.19799999999999</v>
      </c>
      <c r="X249" s="11" t="n">
        <v>-1.529767282469859</v>
      </c>
      <c r="Y249" s="11" t="n">
        <v>1.438076568265683</v>
      </c>
      <c r="Z249" s="13" t="n"/>
      <c r="AA249" s="8" t="inlineStr">
        <is>
          <t>FRAMEWORK_NOT_APPLICABLE (financial sector)</t>
        </is>
      </c>
      <c r="AB249" s="10" t="n"/>
      <c r="AC249" s="10" t="n">
        <v>0.729059489290057</v>
      </c>
      <c r="AD249" s="12" t="n">
        <v>8650814105</v>
      </c>
    </row>
    <row r="250">
      <c r="A250" s="8" t="inlineStr">
        <is>
          <t>BAC</t>
        </is>
      </c>
      <c r="B250" s="8" t="inlineStr">
        <is>
          <t>BANK OF AMERICA CORP /DE/</t>
        </is>
      </c>
      <c r="C250" s="8" t="inlineStr">
        <is>
          <t>FINANCIAL</t>
        </is>
      </c>
      <c r="D250" s="8" t="n">
        <v>2021</v>
      </c>
      <c r="E250" s="8" t="inlineStr">
        <is>
          <t>2021-12-31</t>
        </is>
      </c>
      <c r="F250" s="8" t="inlineStr">
        <is>
          <t>0000070858-24-000122</t>
        </is>
      </c>
      <c r="G250" s="13" t="n">
        <v>89.113</v>
      </c>
      <c r="H250" s="13" t="n">
        <v>76.91</v>
      </c>
      <c r="I250" s="8" t="inlineStr">
        <is>
          <t>pretax_income + interest_expense</t>
        </is>
      </c>
      <c r="J250" s="13" t="n">
        <v>31.978</v>
      </c>
      <c r="K250" s="10" t="n">
        <v>0.05880621615257829</v>
      </c>
      <c r="L250" s="13" t="n">
        <v>72.3872139157052</v>
      </c>
      <c r="M250" s="13" t="n"/>
      <c r="N250" s="13" t="n"/>
      <c r="O250" s="10" t="n"/>
      <c r="P250" s="8" t="inlineStr">
        <is>
          <t>FRAMEWORK_NOT_APPLICABLE</t>
        </is>
      </c>
      <c r="Q250" s="10" t="n">
        <v>0.1177848579163521</v>
      </c>
      <c r="R250" s="10" t="n"/>
      <c r="S250" s="13" t="n">
        <v>270.066</v>
      </c>
      <c r="T250" s="13" t="n">
        <v>348.221</v>
      </c>
      <c r="U250" s="13" t="n">
        <v>303.87</v>
      </c>
      <c r="V250" s="8" t="inlineStr">
        <is>
          <t>short-term + long-term</t>
        </is>
      </c>
      <c r="W250" s="13" t="n">
        <v>78.80800000000001</v>
      </c>
      <c r="X250" s="11" t="n">
        <v>-0.5627728149426454</v>
      </c>
      <c r="Y250" s="11" t="n">
        <v>1.791354171519076</v>
      </c>
      <c r="Z250" s="13" t="n"/>
      <c r="AA250" s="8" t="inlineStr">
        <is>
          <t>FRAMEWORK_NOT_APPLICABLE (financial sector)</t>
        </is>
      </c>
      <c r="AB250" s="10" t="n"/>
      <c r="AC250" s="10" t="n">
        <v>0.8630615061775498</v>
      </c>
      <c r="AD250" s="12" t="n">
        <v>8077831463</v>
      </c>
    </row>
    <row r="251">
      <c r="A251" s="8" t="inlineStr">
        <is>
          <t>BAC</t>
        </is>
      </c>
      <c r="B251" s="8" t="inlineStr">
        <is>
          <t>BANK OF AMERICA CORP /DE/</t>
        </is>
      </c>
      <c r="C251" s="8" t="inlineStr">
        <is>
          <t>FINANCIAL</t>
        </is>
      </c>
      <c r="D251" s="8" t="n">
        <v>2022</v>
      </c>
      <c r="E251" s="8" t="inlineStr">
        <is>
          <t>2022-12-31</t>
        </is>
      </c>
      <c r="F251" s="8" t="inlineStr">
        <is>
          <t>0000070858-25-000139</t>
        </is>
      </c>
      <c r="G251" s="13" t="n">
        <v>94.95</v>
      </c>
      <c r="H251" s="13" t="n">
        <v>83.431</v>
      </c>
      <c r="I251" s="8" t="inlineStr">
        <is>
          <t>pretax_income + interest_expense</t>
        </is>
      </c>
      <c r="J251" s="13" t="n">
        <v>27.528</v>
      </c>
      <c r="K251" s="10" t="n">
        <v>0.1111111111111111</v>
      </c>
      <c r="L251" s="13" t="n">
        <v>74.16088888888889</v>
      </c>
      <c r="M251" s="13" t="n"/>
      <c r="N251" s="13" t="n"/>
      <c r="O251" s="10" t="n"/>
      <c r="P251" s="8" t="inlineStr">
        <is>
          <t>FRAMEWORK_NOT_APPLICABLE</t>
        </is>
      </c>
      <c r="Q251" s="10" t="n">
        <v>0.1013431800067371</v>
      </c>
      <c r="R251" s="10" t="n"/>
      <c r="S251" s="13" t="n">
        <v>273.197</v>
      </c>
      <c r="T251" s="13" t="n">
        <v>230.203</v>
      </c>
      <c r="U251" s="13" t="n">
        <v>302.914</v>
      </c>
      <c r="V251" s="8" t="inlineStr">
        <is>
          <t>short-term + long-term</t>
        </is>
      </c>
      <c r="W251" s="13" t="n">
        <v>85.40900000000001</v>
      </c>
      <c r="X251" s="11" t="n">
        <v>0.8513271435094663</v>
      </c>
      <c r="Y251" s="11" t="n">
        <v>1.590312988448782</v>
      </c>
      <c r="Z251" s="13" t="n"/>
      <c r="AA251" s="8" t="inlineStr">
        <is>
          <t>FRAMEWORK_NOT_APPLICABLE (financial sector)</t>
        </is>
      </c>
      <c r="AB251" s="10" t="n"/>
      <c r="AC251" s="10" t="n">
        <v>0.8786835176408636</v>
      </c>
      <c r="AD251" s="12" t="n">
        <v>7996777943</v>
      </c>
    </row>
    <row r="252">
      <c r="A252" s="8" t="inlineStr">
        <is>
          <t>BAC</t>
        </is>
      </c>
      <c r="B252" s="8" t="inlineStr">
        <is>
          <t>BANK OF AMERICA CORP /DE/</t>
        </is>
      </c>
      <c r="C252" s="8" t="inlineStr">
        <is>
          <t>FINANCIAL</t>
        </is>
      </c>
      <c r="D252" s="8" t="n">
        <v>2023</v>
      </c>
      <c r="E252" s="8" t="inlineStr">
        <is>
          <t>2023-12-31</t>
        </is>
      </c>
      <c r="F252" s="8" t="inlineStr">
        <is>
          <t>0000070858-26-000157</t>
        </is>
      </c>
      <c r="G252" s="13" t="n">
        <v>102.769</v>
      </c>
      <c r="H252" s="13" t="n">
        <v>89.461</v>
      </c>
      <c r="I252" s="8" t="inlineStr">
        <is>
          <t>pretax_income + interest_expense</t>
        </is>
      </c>
      <c r="J252" s="13" t="n">
        <v>26.305</v>
      </c>
      <c r="K252" s="10" t="n">
        <v>0.1913618198585921</v>
      </c>
      <c r="L252" s="13" t="n">
        <v>72.34158023363049</v>
      </c>
      <c r="M252" s="13" t="n"/>
      <c r="N252" s="13" t="n"/>
      <c r="O252" s="10" t="n"/>
      <c r="P252" s="8" t="inlineStr">
        <is>
          <t>FRAMEWORK_NOT_APPLICABLE</t>
        </is>
      </c>
      <c r="Q252" s="10" t="n">
        <v>0.09337848727205603</v>
      </c>
      <c r="R252" s="10" t="n"/>
      <c r="S252" s="13" t="n">
        <v>290.209</v>
      </c>
      <c r="T252" s="13" t="n">
        <v>333.073</v>
      </c>
      <c r="U252" s="13" t="n">
        <v>334.302</v>
      </c>
      <c r="V252" s="8" t="inlineStr">
        <is>
          <t>short-term + long-term</t>
        </is>
      </c>
      <c r="W252" s="13" t="n">
        <v>91.518</v>
      </c>
      <c r="X252" s="11" t="n">
        <v>0.01342905220830875</v>
      </c>
      <c r="Y252" s="11" t="n">
        <v>1.571393441183187</v>
      </c>
      <c r="Z252" s="13" t="n"/>
      <c r="AA252" s="8" t="inlineStr">
        <is>
          <t>FRAMEWORK_NOT_APPLICABLE (financial sector)</t>
        </is>
      </c>
      <c r="AB252" s="10" t="n"/>
      <c r="AC252" s="10" t="n">
        <v>0.8705056972433322</v>
      </c>
      <c r="AD252" s="12" t="n">
        <v>7895457665</v>
      </c>
    </row>
    <row r="253">
      <c r="A253" s="8" t="inlineStr">
        <is>
          <t>BAC</t>
        </is>
      </c>
      <c r="B253" s="8" t="inlineStr">
        <is>
          <t>BANK OF AMERICA CORP /DE/</t>
        </is>
      </c>
      <c r="C253" s="8" t="inlineStr">
        <is>
          <t>FINANCIAL</t>
        </is>
      </c>
      <c r="D253" s="8" t="n">
        <v>2024</v>
      </c>
      <c r="E253" s="8" t="inlineStr">
        <is>
          <t>2024-12-31</t>
        </is>
      </c>
      <c r="F253" s="8" t="inlineStr">
        <is>
          <t>0000070858-26-000157</t>
        </is>
      </c>
      <c r="G253" s="13" t="n">
        <v>105.856</v>
      </c>
      <c r="H253" s="13" t="n">
        <v>89.283</v>
      </c>
      <c r="I253" s="8" t="inlineStr">
        <is>
          <t>pretax_income + interest_expense</t>
        </is>
      </c>
      <c r="J253" s="13" t="n">
        <v>26.973</v>
      </c>
      <c r="K253" s="10" t="n">
        <v>0.1881226860909611</v>
      </c>
      <c r="L253" s="13" t="n">
        <v>72.48684221774073</v>
      </c>
      <c r="M253" s="13" t="n"/>
      <c r="N253" s="13" t="n"/>
      <c r="O253" s="10" t="n"/>
      <c r="P253" s="8" t="inlineStr">
        <is>
          <t>FRAMEWORK_NOT_APPLICABLE</t>
        </is>
      </c>
      <c r="Q253" s="10" t="n">
        <v>0.09234608985024959</v>
      </c>
      <c r="R253" s="10" t="n"/>
      <c r="S253" s="13" t="n">
        <v>293.963</v>
      </c>
      <c r="T253" s="13" t="n">
        <v>290.114</v>
      </c>
      <c r="U253" s="13" t="n">
        <v>326.67</v>
      </c>
      <c r="V253" s="8" t="inlineStr">
        <is>
          <t>short-term + long-term</t>
        </is>
      </c>
      <c r="W253" s="13" t="n">
        <v>91.47199999999999</v>
      </c>
      <c r="X253" s="11" t="n">
        <v>0.3996414203253454</v>
      </c>
      <c r="Y253" s="11" t="n">
        <v>1.592632893328576</v>
      </c>
      <c r="Z253" s="13" t="n"/>
      <c r="AA253" s="8" t="inlineStr">
        <is>
          <t>FRAMEWORK_NOT_APPLICABLE (financial sector)</t>
        </is>
      </c>
      <c r="AB253" s="10" t="n"/>
      <c r="AC253" s="10" t="n">
        <v>0.8434382557436517</v>
      </c>
      <c r="AD253" s="12" t="n">
        <v>7610862311</v>
      </c>
    </row>
    <row r="254">
      <c r="A254" s="8" t="inlineStr">
        <is>
          <t>BAC</t>
        </is>
      </c>
      <c r="B254" s="8" t="inlineStr">
        <is>
          <t>BANK OF AMERICA CORP /DE/</t>
        </is>
      </c>
      <c r="C254" s="8" t="inlineStr">
        <is>
          <t>FINANCIAL</t>
        </is>
      </c>
      <c r="D254" s="8" t="n">
        <v>2025</v>
      </c>
      <c r="E254" s="8" t="inlineStr">
        <is>
          <t>2025-12-31</t>
        </is>
      </c>
      <c r="F254" s="8" t="inlineStr">
        <is>
          <t>0000070858-26-000157</t>
        </is>
      </c>
      <c r="G254" s="13" t="n">
        <v>113.097</v>
      </c>
      <c r="H254" s="13" t="n">
        <v>97.791</v>
      </c>
      <c r="I254" s="8" t="inlineStr">
        <is>
          <t>pretax_income + interest_expense</t>
        </is>
      </c>
      <c r="J254" s="13" t="n">
        <v>30.509</v>
      </c>
      <c r="K254" s="10" t="n">
        <v>0.1906353627802096</v>
      </c>
      <c r="L254" s="13" t="n">
        <v>79.14857723836053</v>
      </c>
      <c r="M254" s="13" t="n"/>
      <c r="N254" s="13" t="n"/>
      <c r="O254" s="10" t="n"/>
      <c r="P254" s="8" t="inlineStr">
        <is>
          <t>FRAMEWORK_NOT_APPLICABLE</t>
        </is>
      </c>
      <c r="Q254" s="10" t="n">
        <v>0.1021724497074711</v>
      </c>
      <c r="R254" s="10" t="n"/>
      <c r="S254" s="13" t="n">
        <v>303.243</v>
      </c>
      <c r="T254" s="13" t="n">
        <v>231.845</v>
      </c>
      <c r="U254" s="13" t="n">
        <v>365.904</v>
      </c>
      <c r="V254" s="8" t="inlineStr">
        <is>
          <t>short-term + long-term</t>
        </is>
      </c>
      <c r="W254" s="13" t="n">
        <v>100.105</v>
      </c>
      <c r="X254" s="11" t="n">
        <v>1.339183856950202</v>
      </c>
      <c r="Y254" s="11" t="n">
        <v>1.627246405750799</v>
      </c>
      <c r="Z254" s="13" t="n"/>
      <c r="AA254" s="8" t="inlineStr">
        <is>
          <t>FRAMEWORK_NOT_APPLICABLE (financial sector)</t>
        </is>
      </c>
      <c r="AB254" s="10" t="n"/>
      <c r="AC254" s="10" t="n">
        <v>0.8646648452213587</v>
      </c>
      <c r="AD254" s="12" t="n">
        <v>7212464345</v>
      </c>
    </row>
    <row r="255">
      <c r="A255" s="8" t="inlineStr">
        <is>
          <t>ABBV</t>
        </is>
      </c>
      <c r="B255" s="8" t="inlineStr">
        <is>
          <t>AbbVie Inc.</t>
        </is>
      </c>
      <c r="C255" s="8" t="inlineStr">
        <is>
          <t>STANDARD</t>
        </is>
      </c>
      <c r="D255" s="8" t="n">
        <v>2014</v>
      </c>
      <c r="E255" s="8" t="inlineStr">
        <is>
          <t>2014-12-31</t>
        </is>
      </c>
      <c r="F255" s="8" t="inlineStr">
        <is>
          <t>0001551152-17-000004</t>
        </is>
      </c>
      <c r="G255" s="13" t="n"/>
      <c r="H255" s="13" t="n">
        <v>2.798</v>
      </c>
      <c r="I255" s="8" t="inlineStr">
        <is>
          <t>pretax_income + interest_expense</t>
        </is>
      </c>
      <c r="J255" s="13" t="n">
        <v>1.774</v>
      </c>
      <c r="K255" s="10" t="n">
        <v>0.2511608273533136</v>
      </c>
      <c r="L255" s="13" t="n">
        <v>2.095252005065428</v>
      </c>
      <c r="M255" s="13" t="n">
        <v>4.357</v>
      </c>
      <c r="N255" s="13" t="n">
        <v>4.357</v>
      </c>
      <c r="O255" s="10" t="n">
        <v>0.4808932763519459</v>
      </c>
      <c r="P255" s="8" t="inlineStr">
        <is>
          <t>OK</t>
        </is>
      </c>
      <c r="Q255" s="10" t="n">
        <v>1.018369690011481</v>
      </c>
      <c r="R255" s="10" t="n">
        <v>0.5374764136595352</v>
      </c>
      <c r="S255" s="13" t="n">
        <v>1.742</v>
      </c>
      <c r="T255" s="13" t="n">
        <v>8.348000000000001</v>
      </c>
      <c r="U255" s="13" t="n">
        <v>10.963</v>
      </c>
      <c r="V255" s="8" t="inlineStr">
        <is>
          <t>short-term + long-term</t>
        </is>
      </c>
      <c r="W255" s="13" t="n">
        <v>3.181</v>
      </c>
      <c r="X255" s="11" t="n">
        <v>0.8220685319082049</v>
      </c>
      <c r="Y255" s="11" t="n">
        <v>6.522144522144522</v>
      </c>
      <c r="Z255" s="13" t="n"/>
      <c r="AA255" s="8" t="inlineStr">
        <is>
          <t>net income + D&amp;A - capex - change in no prior year</t>
        </is>
      </c>
      <c r="AB255" s="10" t="n"/>
      <c r="AC255" s="10" t="n"/>
      <c r="AD255" s="12" t="n">
        <v>1610000000</v>
      </c>
    </row>
    <row r="256">
      <c r="A256" s="8" t="inlineStr">
        <is>
          <t>ABBV</t>
        </is>
      </c>
      <c r="B256" s="8" t="inlineStr">
        <is>
          <t>AbbVie Inc.</t>
        </is>
      </c>
      <c r="C256" s="8" t="inlineStr">
        <is>
          <t>STANDARD</t>
        </is>
      </c>
      <c r="D256" s="8" t="n">
        <v>2015</v>
      </c>
      <c r="E256" s="8" t="inlineStr">
        <is>
          <t>2015-12-31</t>
        </is>
      </c>
      <c r="F256" s="8" t="inlineStr">
        <is>
          <t>0001551152-18-000014</t>
        </is>
      </c>
      <c r="G256" s="13" t="n"/>
      <c r="H256" s="13" t="n">
        <v>7.364</v>
      </c>
      <c r="I256" s="8" t="inlineStr">
        <is>
          <t>pretax_income + interest_expense</t>
        </is>
      </c>
      <c r="J256" s="13" t="n">
        <v>5.144</v>
      </c>
      <c r="K256" s="10" t="n">
        <v>0.2258841234010534</v>
      </c>
      <c r="L256" s="13" t="n">
        <v>5.700589315274642</v>
      </c>
      <c r="M256" s="13" t="n">
        <v>25.192</v>
      </c>
      <c r="N256" s="13" t="n">
        <v>14.7745</v>
      </c>
      <c r="O256" s="10" t="n">
        <v>0.3858397451876301</v>
      </c>
      <c r="P256" s="8" t="inlineStr">
        <is>
          <t>OK</t>
        </is>
      </c>
      <c r="Q256" s="10" t="n">
        <v>1.809038157200633</v>
      </c>
      <c r="R256" s="10" t="n">
        <v>1.423198412013003</v>
      </c>
      <c r="S256" s="13" t="n">
        <v>3.945</v>
      </c>
      <c r="T256" s="13" t="n">
        <v>8.398999999999999</v>
      </c>
      <c r="U256" s="13" t="n">
        <v>29.646</v>
      </c>
      <c r="V256" s="8" t="inlineStr">
        <is>
          <t>short-term + long-term</t>
        </is>
      </c>
      <c r="W256" s="13" t="n">
        <v>7.781</v>
      </c>
      <c r="X256" s="11" t="n">
        <v>2.730625883562524</v>
      </c>
      <c r="Y256" s="11" t="n">
        <v>10.24200278164117</v>
      </c>
      <c r="Z256" s="13" t="n">
        <v>4.367</v>
      </c>
      <c r="AA256" s="8" t="inlineStr">
        <is>
          <t>net income + D&amp;A - capex - change in operating working capital (cash and short-term debt excluded)</t>
        </is>
      </c>
      <c r="AB256" s="10" t="n"/>
      <c r="AC256" s="10" t="n"/>
      <c r="AD256" s="12" t="n">
        <v>1637000000</v>
      </c>
    </row>
    <row r="257">
      <c r="A257" s="8" t="inlineStr">
        <is>
          <t>ABBV</t>
        </is>
      </c>
      <c r="B257" s="8" t="inlineStr">
        <is>
          <t>AbbVie Inc.</t>
        </is>
      </c>
      <c r="C257" s="8" t="inlineStr">
        <is>
          <t>STANDARD</t>
        </is>
      </c>
      <c r="D257" s="8" t="n">
        <v>2016</v>
      </c>
      <c r="E257" s="8" t="inlineStr">
        <is>
          <t>2016-12-31</t>
        </is>
      </c>
      <c r="F257" s="8" t="inlineStr">
        <is>
          <t>0001551152-19-000008</t>
        </is>
      </c>
      <c r="G257" s="13" t="n">
        <v>25.638</v>
      </c>
      <c r="H257" s="13" t="n">
        <v>8.930999999999999</v>
      </c>
      <c r="I257" s="8" t="inlineStr">
        <is>
          <t>pretax_income + interest_expense</t>
        </is>
      </c>
      <c r="J257" s="13" t="n">
        <v>5.953</v>
      </c>
      <c r="K257" s="10" t="n">
        <v>0.2449264332825977</v>
      </c>
      <c r="L257" s="13" t="n">
        <v>6.74356202435312</v>
      </c>
      <c r="M257" s="13" t="n">
        <v>36.353</v>
      </c>
      <c r="N257" s="13" t="n">
        <v>30.7725</v>
      </c>
      <c r="O257" s="10" t="n">
        <v>0.2191424819027742</v>
      </c>
      <c r="P257" s="8" t="inlineStr">
        <is>
          <t>OK</t>
        </is>
      </c>
      <c r="Q257" s="10" t="n">
        <v>1.387483976226547</v>
      </c>
      <c r="R257" s="10" t="n">
        <v>1.168341494323773</v>
      </c>
      <c r="S257" s="13" t="n">
        <v>4.636</v>
      </c>
      <c r="T257" s="13" t="n">
        <v>5.1</v>
      </c>
      <c r="U257" s="13" t="n">
        <v>36.817</v>
      </c>
      <c r="V257" s="8" t="inlineStr">
        <is>
          <t>short-term + long-term</t>
        </is>
      </c>
      <c r="W257" s="13" t="n">
        <v>9.356</v>
      </c>
      <c r="X257" s="11" t="n">
        <v>3.390017101325353</v>
      </c>
      <c r="Y257" s="11" t="n">
        <v>8.530085959885387</v>
      </c>
      <c r="Z257" s="13" t="n">
        <v>1.643</v>
      </c>
      <c r="AA257" s="8" t="inlineStr">
        <is>
          <t>net income + D&amp;A - capex - change in operating working capital (cash and short-term debt excluded)</t>
        </is>
      </c>
      <c r="AB257" s="10" t="n">
        <v>0.06408456197831344</v>
      </c>
      <c r="AC257" s="10" t="n">
        <v>0.3483501053124269</v>
      </c>
      <c r="AD257" s="12" t="n">
        <v>1631000000</v>
      </c>
    </row>
    <row r="258">
      <c r="A258" s="8" t="inlineStr">
        <is>
          <t>ABBV</t>
        </is>
      </c>
      <c r="B258" s="8" t="inlineStr">
        <is>
          <t>AbbVie Inc.</t>
        </is>
      </c>
      <c r="C258" s="8" t="inlineStr">
        <is>
          <t>STANDARD</t>
        </is>
      </c>
      <c r="D258" s="8" t="n">
        <v>2017</v>
      </c>
      <c r="E258" s="8" t="inlineStr">
        <is>
          <t>2017-12-31</t>
        </is>
      </c>
      <c r="F258" s="8" t="inlineStr">
        <is>
          <t>0001551152-20-000007</t>
        </is>
      </c>
      <c r="G258" s="13" t="n">
        <v>28.216</v>
      </c>
      <c r="H258" s="13" t="n">
        <v>8.877000000000001</v>
      </c>
      <c r="I258" s="8" t="inlineStr">
        <is>
          <t>pretax_income + interest_expense</t>
        </is>
      </c>
      <c r="J258" s="13" t="n">
        <v>5.309</v>
      </c>
      <c r="K258" s="10" t="n">
        <v>0.31292869160088</v>
      </c>
      <c r="L258" s="13" t="n">
        <v>6.099132004658988</v>
      </c>
      <c r="M258" s="13" t="n">
        <v>27.147</v>
      </c>
      <c r="N258" s="13" t="n">
        <v>31.75</v>
      </c>
      <c r="O258" s="10" t="n">
        <v>0.1920986458160311</v>
      </c>
      <c r="P258" s="8" t="inlineStr">
        <is>
          <t>OK</t>
        </is>
      </c>
      <c r="Q258" s="10" t="n">
        <v>1.090927771499024</v>
      </c>
      <c r="R258" s="10" t="n">
        <v>0.8988291256829929</v>
      </c>
      <c r="S258" s="13" t="n">
        <v>5.097</v>
      </c>
      <c r="T258" s="13" t="n">
        <v>9.303000000000001</v>
      </c>
      <c r="U258" s="13" t="n">
        <v>31.353</v>
      </c>
      <c r="V258" s="8" t="inlineStr">
        <is>
          <t>short-term + long-term</t>
        </is>
      </c>
      <c r="W258" s="13" t="n">
        <v>9.302</v>
      </c>
      <c r="X258" s="11" t="n">
        <v>2.370457966028811</v>
      </c>
      <c r="Y258" s="11" t="n">
        <v>7.719130434782609</v>
      </c>
      <c r="Z258" s="13" t="n">
        <v>11.209</v>
      </c>
      <c r="AA258" s="8" t="inlineStr">
        <is>
          <t>net income + D&amp;A - capex - change in operating working capital (cash and short-term debt excluded)</t>
        </is>
      </c>
      <c r="AB258" s="10" t="n">
        <v>0.3972568755316133</v>
      </c>
      <c r="AC258" s="10" t="n">
        <v>0.3146087326339665</v>
      </c>
      <c r="AD258" s="12" t="n">
        <v>1603000000</v>
      </c>
    </row>
    <row r="259">
      <c r="A259" s="8" t="inlineStr">
        <is>
          <t>ABBV</t>
        </is>
      </c>
      <c r="B259" s="8" t="inlineStr">
        <is>
          <t>AbbVie Inc.</t>
        </is>
      </c>
      <c r="C259" s="8" t="inlineStr">
        <is>
          <t>STANDARD</t>
        </is>
      </c>
      <c r="D259" s="8" t="n">
        <v>2018</v>
      </c>
      <c r="E259" s="8" t="inlineStr">
        <is>
          <t>2018-12-31</t>
        </is>
      </c>
      <c r="F259" s="8" t="inlineStr">
        <is>
          <t>0001551152-21-000008</t>
        </is>
      </c>
      <c r="G259" s="13" t="n">
        <v>32.753</v>
      </c>
      <c r="H259" s="13" t="n">
        <v>6.545</v>
      </c>
      <c r="I259" s="8" t="inlineStr">
        <is>
          <t>pretax_income + interest_expense</t>
        </is>
      </c>
      <c r="J259" s="13" t="n">
        <v>5.687</v>
      </c>
      <c r="K259" s="10" t="n">
        <v>0.05</v>
      </c>
      <c r="L259" s="13" t="n">
        <v>6.21775</v>
      </c>
      <c r="M259" s="13" t="n">
        <v>22.966</v>
      </c>
      <c r="N259" s="13" t="n">
        <v>25.0565</v>
      </c>
      <c r="O259" s="10" t="n">
        <v>0.2481491828467663</v>
      </c>
      <c r="P259" s="8" t="inlineStr">
        <is>
          <t>OK</t>
        </is>
      </c>
      <c r="Q259" s="10" t="n">
        <v>-3.396237682890415</v>
      </c>
      <c r="R259" s="10" t="n">
        <v>-3.644386865737181</v>
      </c>
      <c r="S259" s="13" t="n">
        <v>-8.446</v>
      </c>
      <c r="T259" s="13" t="n">
        <v>7.289</v>
      </c>
      <c r="U259" s="13" t="n">
        <v>38.701</v>
      </c>
      <c r="V259" s="8" t="inlineStr">
        <is>
          <t>short-term + long-term</t>
        </is>
      </c>
      <c r="W259" s="13" t="n">
        <v>7.016</v>
      </c>
      <c r="X259" s="11" t="n">
        <v>4.477194982896237</v>
      </c>
      <c r="Y259" s="11" t="n">
        <v>4.855341246290801</v>
      </c>
      <c r="Z259" s="13" t="n">
        <v>5.083</v>
      </c>
      <c r="AA259" s="8" t="inlineStr">
        <is>
          <t>net income + D&amp;A - capex - change in operating working capital (cash and short-term debt excluded)</t>
        </is>
      </c>
      <c r="AB259" s="10" t="n">
        <v>0.1551918908191616</v>
      </c>
      <c r="AC259" s="10" t="n">
        <v>0.199829023295576</v>
      </c>
      <c r="AD259" s="12" t="n">
        <v>1546000000</v>
      </c>
    </row>
    <row r="260">
      <c r="A260" s="8" t="inlineStr">
        <is>
          <t>ABBV</t>
        </is>
      </c>
      <c r="B260" s="8" t="inlineStr">
        <is>
          <t>AbbVie Inc.</t>
        </is>
      </c>
      <c r="C260" s="8" t="inlineStr">
        <is>
          <t>STANDARD</t>
        </is>
      </c>
      <c r="D260" s="8" t="n">
        <v>2019</v>
      </c>
      <c r="E260" s="8" t="inlineStr">
        <is>
          <t>2019-12-31</t>
        </is>
      </c>
      <c r="F260" s="8" t="inlineStr">
        <is>
          <t>0001551152-22-000007</t>
        </is>
      </c>
      <c r="G260" s="13" t="n">
        <v>33.266</v>
      </c>
      <c r="H260" s="13" t="n">
        <v>10.21</v>
      </c>
      <c r="I260" s="8" t="inlineStr">
        <is>
          <t>pretax_income + interest_expense</t>
        </is>
      </c>
      <c r="J260" s="13" t="n">
        <v>7.882</v>
      </c>
      <c r="K260" s="10" t="n">
        <v>0.0645620697840019</v>
      </c>
      <c r="L260" s="13" t="n">
        <v>9.550821267505341</v>
      </c>
      <c r="M260" s="13" t="n">
        <v>14.879</v>
      </c>
      <c r="N260" s="13" t="n">
        <v>18.9225</v>
      </c>
      <c r="O260" s="10" t="n">
        <v>0.5047335852823538</v>
      </c>
      <c r="P260" s="8" t="inlineStr">
        <is>
          <t>OK</t>
        </is>
      </c>
      <c r="Q260" s="10" t="n">
        <v>-0.9486099410278012</v>
      </c>
      <c r="R260" s="10" t="n">
        <v>-1.453343526310155</v>
      </c>
      <c r="S260" s="13" t="n">
        <v>-8.172000000000001</v>
      </c>
      <c r="T260" s="13" t="n">
        <v>39.924</v>
      </c>
      <c r="U260" s="13" t="n">
        <v>62.975</v>
      </c>
      <c r="V260" s="8" t="inlineStr">
        <is>
          <t>short-term + long-term</t>
        </is>
      </c>
      <c r="W260" s="13" t="n">
        <v>10.674</v>
      </c>
      <c r="X260" s="11" t="n">
        <v>2.159546561738805</v>
      </c>
      <c r="Y260" s="11" t="n">
        <v>5.723094170403588</v>
      </c>
      <c r="Z260" s="13" t="n">
        <v>9.9</v>
      </c>
      <c r="AA260" s="8" t="inlineStr">
        <is>
          <t>net income + D&amp;A - capex - change in operating working capital (cash and short-term debt excluded)</t>
        </is>
      </c>
      <c r="AB260" s="10" t="n">
        <v>0.2976011543317502</v>
      </c>
      <c r="AC260" s="10" t="n">
        <v>0.3069199783562797</v>
      </c>
      <c r="AD260" s="12" t="n">
        <v>1484000000</v>
      </c>
    </row>
    <row r="261">
      <c r="A261" s="8" t="inlineStr">
        <is>
          <t>ABBV</t>
        </is>
      </c>
      <c r="B261" s="8" t="inlineStr">
        <is>
          <t>AbbVie Inc.</t>
        </is>
      </c>
      <c r="C261" s="8" t="inlineStr">
        <is>
          <t>STANDARD</t>
        </is>
      </c>
      <c r="D261" s="8" t="n">
        <v>2020</v>
      </c>
      <c r="E261" s="8" t="inlineStr">
        <is>
          <t>2020-12-31</t>
        </is>
      </c>
      <c r="F261" s="8" t="inlineStr">
        <is>
          <t>0001551152-23-000011</t>
        </is>
      </c>
      <c r="G261" s="13" t="n">
        <v>45.804</v>
      </c>
      <c r="H261" s="13" t="n">
        <v>5.852</v>
      </c>
      <c r="I261" s="8" t="inlineStr">
        <is>
          <t>pretax_income + interest_expense</t>
        </is>
      </c>
      <c r="J261" s="13" t="n">
        <v>4.616</v>
      </c>
      <c r="K261" s="10" t="n">
        <v>0.05</v>
      </c>
      <c r="L261" s="13" t="n">
        <v>5.5594</v>
      </c>
      <c r="M261" s="13" t="n">
        <v>82.215</v>
      </c>
      <c r="N261" s="13" t="n">
        <v>48.547</v>
      </c>
      <c r="O261" s="10" t="n">
        <v>0.1145158300203926</v>
      </c>
      <c r="P261" s="8" t="inlineStr">
        <is>
          <t>OK</t>
        </is>
      </c>
      <c r="Q261" s="10" t="n">
        <v>1.882544861337684</v>
      </c>
      <c r="R261" s="10" t="n">
        <v>1.768029031317291</v>
      </c>
      <c r="S261" s="13" t="n">
        <v>13.076</v>
      </c>
      <c r="T261" s="13" t="n">
        <v>8.449</v>
      </c>
      <c r="U261" s="13" t="n">
        <v>77.58799999999999</v>
      </c>
      <c r="V261" s="8" t="inlineStr">
        <is>
          <t>short-term + long-term</t>
        </is>
      </c>
      <c r="W261" s="13" t="n">
        <v>6.518</v>
      </c>
      <c r="X261" s="11" t="n">
        <v>10.60739490641301</v>
      </c>
      <c r="Y261" s="11" t="n">
        <v>2.384678076609617</v>
      </c>
      <c r="Z261" s="13" t="n">
        <v>11.397</v>
      </c>
      <c r="AA261" s="8" t="inlineStr">
        <is>
          <t>net income + D&amp;A - capex - change in operating working capital (cash and short-term debt excluded)</t>
        </is>
      </c>
      <c r="AB261" s="10" t="n">
        <v>0.2488210636625622</v>
      </c>
      <c r="AC261" s="10" t="n">
        <v>0.12776176753122</v>
      </c>
      <c r="AD261" s="12" t="n">
        <v>1673000000</v>
      </c>
    </row>
    <row r="262">
      <c r="A262" s="8" t="inlineStr">
        <is>
          <t>ABBV</t>
        </is>
      </c>
      <c r="B262" s="8" t="inlineStr">
        <is>
          <t>AbbVie Inc.</t>
        </is>
      </c>
      <c r="C262" s="8" t="inlineStr">
        <is>
          <t>STANDARD</t>
        </is>
      </c>
      <c r="D262" s="8" t="n">
        <v>2021</v>
      </c>
      <c r="E262" s="8" t="inlineStr">
        <is>
          <t>2021-12-31</t>
        </is>
      </c>
      <c r="F262" s="8" t="inlineStr">
        <is>
          <t>0001551152-24-000011</t>
        </is>
      </c>
      <c r="G262" s="13" t="n">
        <v>56.197</v>
      </c>
      <c r="H262" s="13" t="n">
        <v>15.412</v>
      </c>
      <c r="I262" s="8" t="inlineStr">
        <is>
          <t>pretax_income + interest_expense</t>
        </is>
      </c>
      <c r="J262" s="13" t="n">
        <v>11.542</v>
      </c>
      <c r="K262" s="10" t="n">
        <v>0.1108630379551929</v>
      </c>
      <c r="L262" s="13" t="n">
        <v>13.70337885903457</v>
      </c>
      <c r="M262" s="13" t="n">
        <v>69.86499999999999</v>
      </c>
      <c r="N262" s="13" t="n">
        <v>76.04000000000001</v>
      </c>
      <c r="O262" s="10" t="n">
        <v>0.1802127677411174</v>
      </c>
      <c r="P262" s="8" t="inlineStr">
        <is>
          <t>OK</t>
        </is>
      </c>
      <c r="Q262" s="10" t="n">
        <v>0.8104198848476337</v>
      </c>
      <c r="R262" s="10" t="n">
        <v>0.6302071171065163</v>
      </c>
      <c r="S262" s="13" t="n">
        <v>15.408</v>
      </c>
      <c r="T262" s="13" t="n">
        <v>9.746</v>
      </c>
      <c r="U262" s="13" t="n">
        <v>64.203</v>
      </c>
      <c r="V262" s="8" t="inlineStr">
        <is>
          <t>short-term + long-term</t>
        </is>
      </c>
      <c r="W262" s="13" t="n">
        <v>16.215</v>
      </c>
      <c r="X262" s="11" t="n">
        <v>3.358433549182855</v>
      </c>
      <c r="Y262" s="11" t="n">
        <v>6.3607098638052</v>
      </c>
      <c r="Z262" s="13" t="n">
        <v>15.653</v>
      </c>
      <c r="AA262" s="8" t="inlineStr">
        <is>
          <t>net income + D&amp;A - capex - change in operating working capital (cash and short-term debt excluded)</t>
        </is>
      </c>
      <c r="AB262" s="10" t="n">
        <v>0.2785380002491236</v>
      </c>
      <c r="AC262" s="10" t="n">
        <v>0.2742495150986707</v>
      </c>
      <c r="AD262" s="12" t="n">
        <v>1777000000</v>
      </c>
    </row>
    <row r="263">
      <c r="A263" s="8" t="inlineStr">
        <is>
          <t>ABBV</t>
        </is>
      </c>
      <c r="B263" s="8" t="inlineStr">
        <is>
          <t>AbbVie Inc.</t>
        </is>
      </c>
      <c r="C263" s="8" t="inlineStr">
        <is>
          <t>STANDARD</t>
        </is>
      </c>
      <c r="D263" s="8" t="n">
        <v>2022</v>
      </c>
      <c r="E263" s="8" t="inlineStr">
        <is>
          <t>2022-12-31</t>
        </is>
      </c>
      <c r="F263" s="8" t="inlineStr">
        <is>
          <t>0001551152-25-000020</t>
        </is>
      </c>
      <c r="G263" s="13" t="n">
        <v>58.054</v>
      </c>
      <c r="H263" s="13" t="n">
        <v>15.707</v>
      </c>
      <c r="I263" s="8" t="inlineStr">
        <is>
          <t>pretax_income + interest_expense</t>
        </is>
      </c>
      <c r="J263" s="13" t="n">
        <v>11.836</v>
      </c>
      <c r="K263" s="10" t="n">
        <v>0.1210951992283149</v>
      </c>
      <c r="L263" s="13" t="n">
        <v>13.80495770572086</v>
      </c>
      <c r="M263" s="13" t="n">
        <v>67.18899999999999</v>
      </c>
      <c r="N263" s="13" t="n">
        <v>68.527</v>
      </c>
      <c r="O263" s="10" t="n">
        <v>0.2014528245176479</v>
      </c>
      <c r="P263" s="8" t="inlineStr">
        <is>
          <t>OK</t>
        </is>
      </c>
      <c r="Q263" s="10" t="n">
        <v>0.72475659788133</v>
      </c>
      <c r="R263" s="10" t="n">
        <v>0.5233037733636821</v>
      </c>
      <c r="S263" s="13" t="n">
        <v>17.254</v>
      </c>
      <c r="T263" s="13" t="n">
        <v>9.201000000000001</v>
      </c>
      <c r="U263" s="13" t="n">
        <v>59.136</v>
      </c>
      <c r="V263" s="8" t="inlineStr">
        <is>
          <t>short-term + long-term</t>
        </is>
      </c>
      <c r="W263" s="13" t="n">
        <v>16.485</v>
      </c>
      <c r="X263" s="11" t="n">
        <v>3.029117379435851</v>
      </c>
      <c r="Y263" s="11" t="n">
        <v>7.043497757847534</v>
      </c>
      <c r="Z263" s="13" t="n">
        <v>5.196</v>
      </c>
      <c r="AA263" s="8" t="inlineStr">
        <is>
          <t>net income + D&amp;A - capex - change in operating working capital (cash and short-term debt excluded)</t>
        </is>
      </c>
      <c r="AB263" s="10" t="n">
        <v>0.08950287663210114</v>
      </c>
      <c r="AC263" s="10" t="n">
        <v>0.2705584455851449</v>
      </c>
      <c r="AD263" s="12" t="n">
        <v>1778000000</v>
      </c>
    </row>
    <row r="264">
      <c r="A264" s="8" t="inlineStr">
        <is>
          <t>ABBV</t>
        </is>
      </c>
      <c r="B264" s="8" t="inlineStr">
        <is>
          <t>AbbVie Inc.</t>
        </is>
      </c>
      <c r="C264" s="8" t="inlineStr">
        <is>
          <t>STANDARD</t>
        </is>
      </c>
      <c r="D264" s="8" t="n">
        <v>2023</v>
      </c>
      <c r="E264" s="8" t="inlineStr">
        <is>
          <t>2023-12-31</t>
        </is>
      </c>
      <c r="F264" s="8" t="inlineStr">
        <is>
          <t>0001551152-26-000008</t>
        </is>
      </c>
      <c r="G264" s="13" t="n">
        <v>54.318</v>
      </c>
      <c r="H264" s="13" t="n">
        <v>8.474</v>
      </c>
      <c r="I264" s="8" t="inlineStr">
        <is>
          <t>pretax_income + interest_expense</t>
        </is>
      </c>
      <c r="J264" s="13" t="n">
        <v>4.863</v>
      </c>
      <c r="K264" s="10" t="n">
        <v>0.22032</v>
      </c>
      <c r="L264" s="13" t="n">
        <v>6.60700832</v>
      </c>
      <c r="M264" s="13" t="n">
        <v>49.74</v>
      </c>
      <c r="N264" s="13" t="n">
        <v>58.4645</v>
      </c>
      <c r="O264" s="10" t="n">
        <v>0.1130088912074849</v>
      </c>
      <c r="P264" s="8" t="inlineStr">
        <is>
          <t>OK</t>
        </is>
      </c>
      <c r="Q264" s="10" t="n">
        <v>0.3522126457593974</v>
      </c>
      <c r="R264" s="10" t="n">
        <v>0.2392037545519125</v>
      </c>
      <c r="S264" s="13" t="n">
        <v>10.36</v>
      </c>
      <c r="T264" s="13" t="n">
        <v>12.814</v>
      </c>
      <c r="U264" s="13" t="n">
        <v>52.194</v>
      </c>
      <c r="V264" s="8" t="inlineStr">
        <is>
          <t>short-term + long-term</t>
        </is>
      </c>
      <c r="W264" s="13" t="n">
        <v>9.226000000000001</v>
      </c>
      <c r="X264" s="11" t="n">
        <v>4.268371992195968</v>
      </c>
      <c r="Y264" s="11" t="n">
        <v>3.810251798561151</v>
      </c>
      <c r="Z264" s="13" t="n">
        <v>12.216</v>
      </c>
      <c r="AA264" s="8" t="inlineStr">
        <is>
          <t>net income + D&amp;A - capex - change in operating working capital (cash and short-term debt excluded)</t>
        </is>
      </c>
      <c r="AB264" s="10" t="n">
        <v>0.2248978239257705</v>
      </c>
      <c r="AC264" s="10" t="n">
        <v>0.1560072167605582</v>
      </c>
      <c r="AD264" s="12" t="n">
        <v>1773000000</v>
      </c>
    </row>
    <row r="265">
      <c r="A265" s="8" t="inlineStr">
        <is>
          <t>ABBV</t>
        </is>
      </c>
      <c r="B265" s="8" t="inlineStr">
        <is>
          <t>AbbVie Inc.</t>
        </is>
      </c>
      <c r="C265" s="8" t="inlineStr">
        <is>
          <t>STANDARD</t>
        </is>
      </c>
      <c r="D265" s="8" t="n">
        <v>2024</v>
      </c>
      <c r="E265" s="8" t="inlineStr">
        <is>
          <t>2024-12-31</t>
        </is>
      </c>
      <c r="F265" s="8" t="inlineStr">
        <is>
          <t>0001551152-26-000008</t>
        </is>
      </c>
      <c r="G265" s="13" t="n">
        <v>56.334</v>
      </c>
      <c r="H265" s="13" t="n">
        <v>6.524</v>
      </c>
      <c r="I265" s="8" t="inlineStr">
        <is>
          <t>pretax_income + interest_expense</t>
        </is>
      </c>
      <c r="J265" s="13" t="n">
        <v>4.278</v>
      </c>
      <c r="K265" s="10" t="n">
        <v>0.05</v>
      </c>
      <c r="L265" s="13" t="n">
        <v>6.1978</v>
      </c>
      <c r="M265" s="13" t="n">
        <v>58.141</v>
      </c>
      <c r="N265" s="13" t="n">
        <v>53.9405</v>
      </c>
      <c r="O265" s="10" t="n">
        <v>0.114900677598465</v>
      </c>
      <c r="P265" s="8" t="inlineStr">
        <is>
          <t>OK</t>
        </is>
      </c>
      <c r="Q265" s="10" t="n">
        <v>0.6252100840336134</v>
      </c>
      <c r="R265" s="10" t="n">
        <v>0.5103094064351484</v>
      </c>
      <c r="S265" s="13" t="n">
        <v>3.325</v>
      </c>
      <c r="T265" s="13" t="n">
        <v>5.524</v>
      </c>
      <c r="U265" s="13" t="n">
        <v>60.34</v>
      </c>
      <c r="V265" s="8" t="inlineStr">
        <is>
          <t>short-term + long-term</t>
        </is>
      </c>
      <c r="W265" s="13" t="n">
        <v>7.288</v>
      </c>
      <c r="X265" s="11" t="n">
        <v>7.521405049396268</v>
      </c>
      <c r="Y265" s="11" t="n">
        <v>2.323361823361823</v>
      </c>
      <c r="Z265" s="13" t="n">
        <v>5.106</v>
      </c>
      <c r="AA265" s="8" t="inlineStr">
        <is>
          <t>net income + D&amp;A - capex - change in operating working capital (cash and short-term debt excluded)</t>
        </is>
      </c>
      <c r="AB265" s="10" t="n">
        <v>0.09063798061561401</v>
      </c>
      <c r="AC265" s="10" t="n">
        <v>0.115809280363546</v>
      </c>
      <c r="AD265" s="12" t="n">
        <v>1773000000</v>
      </c>
    </row>
    <row r="266">
      <c r="A266" s="8" t="inlineStr">
        <is>
          <t>ABBV</t>
        </is>
      </c>
      <c r="B266" s="8" t="inlineStr">
        <is>
          <t>AbbVie Inc.</t>
        </is>
      </c>
      <c r="C266" s="8" t="inlineStr">
        <is>
          <t>STANDARD</t>
        </is>
      </c>
      <c r="D266" s="8" t="n">
        <v>2025</v>
      </c>
      <c r="E266" s="8" t="inlineStr">
        <is>
          <t>2025-12-31</t>
        </is>
      </c>
      <c r="F266" s="8" t="inlineStr">
        <is>
          <t>0001551152-26-000008</t>
        </is>
      </c>
      <c r="G266" s="13" t="n">
        <v>61.16</v>
      </c>
      <c r="H266" s="13" t="n">
        <v>9.49</v>
      </c>
      <c r="I266" s="8" t="inlineStr">
        <is>
          <t>pretax_income + interest_expense</t>
        </is>
      </c>
      <c r="J266" s="13" t="n">
        <v>4.226</v>
      </c>
      <c r="K266" s="10" t="n">
        <v>0.3583447021373352</v>
      </c>
      <c r="L266" s="13" t="n">
        <v>6.089308776716689</v>
      </c>
      <c r="M266" s="13" t="n">
        <v>52.941</v>
      </c>
      <c r="N266" s="13" t="n">
        <v>55.541</v>
      </c>
      <c r="O266" s="10" t="n">
        <v>0.1096362826869644</v>
      </c>
      <c r="P266" s="8" t="inlineStr">
        <is>
          <t>OK</t>
        </is>
      </c>
      <c r="Q266" s="10" t="n">
        <v>153.6727272727273</v>
      </c>
      <c r="R266" s="10" t="n">
        <v>153.5630909900403</v>
      </c>
      <c r="S266" s="13" t="n">
        <v>-3.27</v>
      </c>
      <c r="T266" s="13" t="n">
        <v>5.229</v>
      </c>
      <c r="U266" s="13" t="n">
        <v>61.44</v>
      </c>
      <c r="V266" s="8" t="inlineStr">
        <is>
          <t>short-term + long-term</t>
        </is>
      </c>
      <c r="W266" s="13" t="n">
        <v>10.252</v>
      </c>
      <c r="X266" s="11" t="n">
        <v>5.482930159968786</v>
      </c>
      <c r="Y266" s="11" t="n">
        <v>3.280331835464915</v>
      </c>
      <c r="Z266" s="13" t="n">
        <v>2.04</v>
      </c>
      <c r="AA266" s="8" t="inlineStr">
        <is>
          <t>net income + D&amp;A - capex - change in operating working capital (cash and short-term debt excluded)</t>
        </is>
      </c>
      <c r="AB266" s="10" t="n">
        <v>0.03335513407455853</v>
      </c>
      <c r="AC266" s="10" t="n">
        <v>0.1551667756703728</v>
      </c>
      <c r="AD266" s="12" t="n">
        <v>1773000000</v>
      </c>
    </row>
    <row r="267">
      <c r="A267" s="8" t="inlineStr">
        <is>
          <t>AMAT</t>
        </is>
      </c>
      <c r="B267" s="8" t="inlineStr">
        <is>
          <t>APPLIED MATERIALS INC /DE</t>
        </is>
      </c>
      <c r="C267" s="8" t="inlineStr">
        <is>
          <t>STANDARD</t>
        </is>
      </c>
      <c r="D267" s="8" t="n">
        <v>2014</v>
      </c>
      <c r="E267" s="8" t="inlineStr">
        <is>
          <t>2014-10-26</t>
        </is>
      </c>
      <c r="F267" s="8" t="inlineStr">
        <is>
          <t>0000006951-16-000068</t>
        </is>
      </c>
      <c r="G267" s="13" t="n"/>
      <c r="H267" s="13" t="n">
        <v>1.52</v>
      </c>
      <c r="I267" s="8" t="inlineStr">
        <is>
          <t>reported OperatingIncomeLoss (no interest expense tagged)</t>
        </is>
      </c>
      <c r="J267" s="13" t="n">
        <v>1.072</v>
      </c>
      <c r="K267" s="10" t="n">
        <v>0.21</v>
      </c>
      <c r="L267" s="13" t="n">
        <v>1.2008</v>
      </c>
      <c r="M267" s="13" t="n">
        <v>6.813</v>
      </c>
      <c r="N267" s="13" t="n">
        <v>6.813</v>
      </c>
      <c r="O267" s="10" t="n">
        <v>0.1762512843094085</v>
      </c>
      <c r="P267" s="8" t="inlineStr">
        <is>
          <t>OK</t>
        </is>
      </c>
      <c r="Q267" s="10" t="n">
        <v>0.1362480935434672</v>
      </c>
      <c r="R267" s="10" t="n">
        <v>-0.04000319076594128</v>
      </c>
      <c r="S267" s="13" t="n">
        <v>7.868</v>
      </c>
      <c r="T267" s="13" t="n">
        <v>3.002</v>
      </c>
      <c r="U267" s="13" t="n">
        <v>1.947</v>
      </c>
      <c r="V267" s="8" t="inlineStr">
        <is>
          <t>long-term only (no short-term debt tagged; read as nil)</t>
        </is>
      </c>
      <c r="W267" s="13" t="n">
        <v>1.895</v>
      </c>
      <c r="X267" s="11" t="n">
        <v>-0.5567282321899736</v>
      </c>
      <c r="Y267" s="11" t="n"/>
      <c r="Z267" s="13" t="n">
        <v>1.559</v>
      </c>
      <c r="AA267" s="8" t="inlineStr">
        <is>
          <t>operating cash flow - capex (working-capital swing already embedded)</t>
        </is>
      </c>
      <c r="AB267" s="10" t="n"/>
      <c r="AC267" s="10" t="n"/>
      <c r="AD267" s="12" t="n">
        <v>1221000000</v>
      </c>
    </row>
    <row r="268">
      <c r="A268" s="8" t="inlineStr">
        <is>
          <t>AMAT</t>
        </is>
      </c>
      <c r="B268" s="8" t="inlineStr">
        <is>
          <t>APPLIED MATERIALS INC /DE</t>
        </is>
      </c>
      <c r="C268" s="8" t="inlineStr">
        <is>
          <t>STANDARD</t>
        </is>
      </c>
      <c r="D268" s="8" t="n">
        <v>2015</v>
      </c>
      <c r="E268" s="8" t="inlineStr">
        <is>
          <t>2015-10-25</t>
        </is>
      </c>
      <c r="F268" s="8" t="inlineStr">
        <is>
          <t>0000006951-17-000038</t>
        </is>
      </c>
      <c r="G268" s="13" t="n"/>
      <c r="H268" s="13" t="n">
        <v>1.693</v>
      </c>
      <c r="I268" s="8" t="inlineStr">
        <is>
          <t>reported OperatingIncomeLoss (no interest expense tagged)</t>
        </is>
      </c>
      <c r="J268" s="13" t="n">
        <v>1.377</v>
      </c>
      <c r="K268" s="10" t="n">
        <v>0.21</v>
      </c>
      <c r="L268" s="13" t="n">
        <v>1.33747</v>
      </c>
      <c r="M268" s="13" t="n">
        <v>7.358</v>
      </c>
      <c r="N268" s="13" t="n">
        <v>7.0855</v>
      </c>
      <c r="O268" s="10" t="n">
        <v>0.1887615552889704</v>
      </c>
      <c r="P268" s="8" t="inlineStr">
        <is>
          <t>OK</t>
        </is>
      </c>
      <c r="Q268" s="10" t="n">
        <v>0.1778954847878044</v>
      </c>
      <c r="R268" s="10" t="n">
        <v>-0.01086607050116603</v>
      </c>
      <c r="S268" s="13" t="n">
        <v>7.613</v>
      </c>
      <c r="T268" s="13" t="n">
        <v>4.797</v>
      </c>
      <c r="U268" s="13" t="n">
        <v>4.542</v>
      </c>
      <c r="V268" s="8" t="inlineStr">
        <is>
          <t>short-term + long-term</t>
        </is>
      </c>
      <c r="W268" s="13" t="n">
        <v>2.064</v>
      </c>
      <c r="X268" s="11" t="n">
        <v>-0.123546511627907</v>
      </c>
      <c r="Y268" s="11" t="n"/>
      <c r="Z268" s="13" t="n">
        <v>0.8090000000000001</v>
      </c>
      <c r="AA268" s="8" t="inlineStr">
        <is>
          <t>net income + D&amp;A - capex - change in operating working capital (cash and short-term debt excluded)</t>
        </is>
      </c>
      <c r="AB268" s="10" t="n"/>
      <c r="AC268" s="10" t="n"/>
      <c r="AD268" s="12" t="n">
        <v>1160000000</v>
      </c>
    </row>
    <row r="269">
      <c r="A269" s="8" t="inlineStr">
        <is>
          <t>AMAT</t>
        </is>
      </c>
      <c r="B269" s="8" t="inlineStr">
        <is>
          <t>APPLIED MATERIALS INC /DE</t>
        </is>
      </c>
      <c r="C269" s="8" t="inlineStr">
        <is>
          <t>STANDARD</t>
        </is>
      </c>
      <c r="D269" s="8" t="n">
        <v>2016</v>
      </c>
      <c r="E269" s="8" t="inlineStr">
        <is>
          <t>2016-10-30</t>
        </is>
      </c>
      <c r="F269" s="8" t="inlineStr">
        <is>
          <t>0000006951-18-000041</t>
        </is>
      </c>
      <c r="G269" s="13" t="n"/>
      <c r="H269" s="13" t="n">
        <v>2.152</v>
      </c>
      <c r="I269" s="8" t="inlineStr">
        <is>
          <t>reported OperatingIncomeLoss (no interest expense tagged)</t>
        </is>
      </c>
      <c r="J269" s="13" t="n">
        <v>1.721</v>
      </c>
      <c r="K269" s="10" t="n">
        <v>0.21</v>
      </c>
      <c r="L269" s="13" t="n">
        <v>1.70008</v>
      </c>
      <c r="M269" s="13" t="n">
        <v>7.332</v>
      </c>
      <c r="N269" s="13" t="n">
        <v>7.345</v>
      </c>
      <c r="O269" s="10" t="n">
        <v>0.2314608577263444</v>
      </c>
      <c r="P269" s="8" t="inlineStr">
        <is>
          <t>OK</t>
        </is>
      </c>
      <c r="Q269" s="10" t="n">
        <v>0.2290696126713696</v>
      </c>
      <c r="R269" s="10" t="n">
        <v>-0.002391245054974817</v>
      </c>
      <c r="S269" s="13" t="n">
        <v>7.413</v>
      </c>
      <c r="T269" s="13" t="n">
        <v>3.406</v>
      </c>
      <c r="U269" s="13" t="n">
        <v>3.325</v>
      </c>
      <c r="V269" s="8" t="inlineStr">
        <is>
          <t>short-term + long-term</t>
        </is>
      </c>
      <c r="W269" s="13" t="n">
        <v>2.541</v>
      </c>
      <c r="X269" s="11" t="n">
        <v>-0.03187721369539551</v>
      </c>
      <c r="Y269" s="11" t="n"/>
      <c r="Z269" s="13" t="n">
        <v>2.208</v>
      </c>
      <c r="AA269" s="8" t="inlineStr">
        <is>
          <t>net income + D&amp;A - capex - change in operating working capital (cash and short-term debt excluded)</t>
        </is>
      </c>
      <c r="AB269" s="10" t="n"/>
      <c r="AC269" s="10" t="n"/>
      <c r="AD269" s="12" t="n">
        <v>1078000000</v>
      </c>
    </row>
    <row r="270">
      <c r="A270" s="8" t="inlineStr">
        <is>
          <t>AMAT</t>
        </is>
      </c>
      <c r="B270" s="8" t="inlineStr">
        <is>
          <t>APPLIED MATERIALS INC /DE</t>
        </is>
      </c>
      <c r="C270" s="8" t="inlineStr">
        <is>
          <t>STANDARD</t>
        </is>
      </c>
      <c r="D270" s="8" t="n">
        <v>2017</v>
      </c>
      <c r="E270" s="8" t="inlineStr">
        <is>
          <t>2017-10-29</t>
        </is>
      </c>
      <c r="F270" s="8" t="inlineStr">
        <is>
          <t>0000006951-19-000046</t>
        </is>
      </c>
      <c r="G270" s="13" t="n"/>
      <c r="H270" s="13" t="n">
        <v>3.936</v>
      </c>
      <c r="I270" s="8" t="inlineStr">
        <is>
          <t>reported OperatingIncomeLoss (no interest expense tagged)</t>
        </is>
      </c>
      <c r="J270" s="13" t="n">
        <v>3.519</v>
      </c>
      <c r="K270" s="10" t="n">
        <v>0.21</v>
      </c>
      <c r="L270" s="13" t="n">
        <v>3.10944</v>
      </c>
      <c r="M270" s="13" t="n">
        <v>9.923999999999999</v>
      </c>
      <c r="N270" s="13" t="n">
        <v>8.628</v>
      </c>
      <c r="O270" s="10" t="n">
        <v>0.3603894297635605</v>
      </c>
      <c r="P270" s="8" t="inlineStr">
        <is>
          <t>OK</t>
        </is>
      </c>
      <c r="Q270" s="10" t="n">
        <v>0.4129554655870445</v>
      </c>
      <c r="R270" s="10" t="n">
        <v>0.05256603582348407</v>
      </c>
      <c r="S270" s="13" t="n">
        <v>9.630000000000001</v>
      </c>
      <c r="T270" s="13" t="n">
        <v>5.01</v>
      </c>
      <c r="U270" s="13" t="n">
        <v>5.304</v>
      </c>
      <c r="V270" s="8" t="inlineStr">
        <is>
          <t>short-term + long-term</t>
        </is>
      </c>
      <c r="W270" s="13" t="n">
        <v>4.343</v>
      </c>
      <c r="X270" s="11" t="n">
        <v>0.06769514160718397</v>
      </c>
      <c r="Y270" s="11" t="n"/>
      <c r="Z270" s="13" t="n">
        <v>1.303</v>
      </c>
      <c r="AA270" s="8" t="inlineStr">
        <is>
          <t>net income + D&amp;A - capex - change in operating working capital (cash and short-term debt excluded)</t>
        </is>
      </c>
      <c r="AB270" s="10" t="n"/>
      <c r="AC270" s="10" t="n"/>
      <c r="AD270" s="12" t="n">
        <v>1060000000</v>
      </c>
    </row>
    <row r="271">
      <c r="A271" s="8" t="inlineStr">
        <is>
          <t>AMAT</t>
        </is>
      </c>
      <c r="B271" s="8" t="inlineStr">
        <is>
          <t>APPLIED MATERIALS INC /DE</t>
        </is>
      </c>
      <c r="C271" s="8" t="inlineStr">
        <is>
          <t>STANDARD</t>
        </is>
      </c>
      <c r="D271" s="8" t="n">
        <v>2018</v>
      </c>
      <c r="E271" s="8" t="inlineStr">
        <is>
          <t>2018-10-28</t>
        </is>
      </c>
      <c r="F271" s="8" t="inlineStr">
        <is>
          <t>0000006951-20-000048</t>
        </is>
      </c>
      <c r="G271" s="13" t="n">
        <v>16.705</v>
      </c>
      <c r="H271" s="13" t="n">
        <v>4.491</v>
      </c>
      <c r="I271" s="8" t="inlineStr">
        <is>
          <t>reported OperatingIncomeLoss (no interest expense tagged)</t>
        </is>
      </c>
      <c r="J271" s="13" t="n">
        <v>3.038</v>
      </c>
      <c r="K271" s="10" t="n">
        <v>0.21</v>
      </c>
      <c r="L271" s="13" t="n">
        <v>3.54789</v>
      </c>
      <c r="M271" s="13" t="n">
        <v>8.714</v>
      </c>
      <c r="N271" s="13" t="n">
        <v>9.319000000000001</v>
      </c>
      <c r="O271" s="10" t="n">
        <v>0.3807157420324069</v>
      </c>
      <c r="P271" s="8" t="inlineStr">
        <is>
          <t>OK</t>
        </is>
      </c>
      <c r="Q271" s="10" t="n">
        <v>0.3688012139605463</v>
      </c>
      <c r="R271" s="10" t="n">
        <v>-0.01191452807186066</v>
      </c>
      <c r="S271" s="13" t="n">
        <v>6.845</v>
      </c>
      <c r="T271" s="13" t="n">
        <v>3.44</v>
      </c>
      <c r="U271" s="13" t="n">
        <v>5.309</v>
      </c>
      <c r="V271" s="8" t="inlineStr">
        <is>
          <t>short-term + long-term</t>
        </is>
      </c>
      <c r="W271" s="13" t="n">
        <v>4.948</v>
      </c>
      <c r="X271" s="11" t="n">
        <v>0.377728375101051</v>
      </c>
      <c r="Y271" s="11" t="n"/>
      <c r="Z271" s="13" t="n">
        <v>3.424</v>
      </c>
      <c r="AA271" s="8" t="inlineStr">
        <is>
          <t>net income + D&amp;A - capex - change in operating working capital (cash and short-term debt excluded)</t>
        </is>
      </c>
      <c r="AB271" s="10" t="n">
        <v>0.2049685722837474</v>
      </c>
      <c r="AC271" s="10" t="n">
        <v>0.2688416641724035</v>
      </c>
      <c r="AD271" s="12" t="n">
        <v>967000000</v>
      </c>
    </row>
    <row r="272">
      <c r="A272" s="8" t="inlineStr">
        <is>
          <t>AMAT</t>
        </is>
      </c>
      <c r="B272" s="8" t="inlineStr">
        <is>
          <t>APPLIED MATERIALS INC /DE</t>
        </is>
      </c>
      <c r="C272" s="8" t="inlineStr">
        <is>
          <t>STANDARD</t>
        </is>
      </c>
      <c r="D272" s="8" t="n">
        <v>2019</v>
      </c>
      <c r="E272" s="8" t="inlineStr">
        <is>
          <t>2019-10-27</t>
        </is>
      </c>
      <c r="F272" s="8" t="inlineStr">
        <is>
          <t>0000006951-21-000043</t>
        </is>
      </c>
      <c r="G272" s="13" t="n">
        <v>14.608</v>
      </c>
      <c r="H272" s="13" t="n">
        <v>3.35</v>
      </c>
      <c r="I272" s="8" t="inlineStr">
        <is>
          <t>reported OperatingIncomeLoss (no interest expense tagged)</t>
        </is>
      </c>
      <c r="J272" s="13" t="n">
        <v>2.706</v>
      </c>
      <c r="K272" s="10" t="n">
        <v>0.1722239216885898</v>
      </c>
      <c r="L272" s="13" t="n">
        <v>2.773049862343224</v>
      </c>
      <c r="M272" s="13" t="n">
        <v>10.398</v>
      </c>
      <c r="N272" s="13" t="n">
        <v>9.555999999999999</v>
      </c>
      <c r="O272" s="10" t="n">
        <v>0.2901893953896216</v>
      </c>
      <c r="P272" s="8" t="inlineStr">
        <is>
          <t>OK</t>
        </is>
      </c>
      <c r="Q272" s="10" t="n">
        <v>0.3593864134404675</v>
      </c>
      <c r="R272" s="10" t="n">
        <v>0.06919701805084588</v>
      </c>
      <c r="S272" s="13" t="n">
        <v>8.214</v>
      </c>
      <c r="T272" s="13" t="n">
        <v>3.129</v>
      </c>
      <c r="U272" s="13" t="n">
        <v>5.313</v>
      </c>
      <c r="V272" s="8" t="inlineStr">
        <is>
          <t>short-term + long-term</t>
        </is>
      </c>
      <c r="W272" s="13" t="n">
        <v>3.713</v>
      </c>
      <c r="X272" s="11" t="n">
        <v>0.5882036089415567</v>
      </c>
      <c r="Y272" s="11" t="n"/>
      <c r="Z272" s="13" t="n">
        <v>2.64</v>
      </c>
      <c r="AA272" s="8" t="inlineStr">
        <is>
          <t>net income + D&amp;A - capex - change in operating working capital (cash and short-term debt excluded)</t>
        </is>
      </c>
      <c r="AB272" s="10" t="n">
        <v>0.1807228915662651</v>
      </c>
      <c r="AC272" s="10" t="n">
        <v>0.2293263964950712</v>
      </c>
      <c r="AD272" s="12" t="n">
        <v>916000000</v>
      </c>
    </row>
    <row r="273">
      <c r="A273" s="8" t="inlineStr">
        <is>
          <t>AMAT</t>
        </is>
      </c>
      <c r="B273" s="8" t="inlineStr">
        <is>
          <t>APPLIED MATERIALS INC /DE</t>
        </is>
      </c>
      <c r="C273" s="8" t="inlineStr">
        <is>
          <t>STANDARD</t>
        </is>
      </c>
      <c r="D273" s="8" t="n">
        <v>2020</v>
      </c>
      <c r="E273" s="8" t="inlineStr">
        <is>
          <t>2020-10-25</t>
        </is>
      </c>
      <c r="F273" s="8" t="inlineStr">
        <is>
          <t>0000006951-22-000043</t>
        </is>
      </c>
      <c r="G273" s="13" t="n">
        <v>17.202</v>
      </c>
      <c r="H273" s="13" t="n">
        <v>4.365</v>
      </c>
      <c r="I273" s="8" t="inlineStr">
        <is>
          <t>reported OperatingIncomeLoss (no interest expense tagged)</t>
        </is>
      </c>
      <c r="J273" s="13" t="n">
        <v>3.619</v>
      </c>
      <c r="K273" s="10" t="n">
        <v>0.1313010081613058</v>
      </c>
      <c r="L273" s="13" t="n">
        <v>3.7918710993759</v>
      </c>
      <c r="M273" s="13" t="n">
        <v>10.675</v>
      </c>
      <c r="N273" s="13" t="n">
        <v>10.5365</v>
      </c>
      <c r="O273" s="10" t="n">
        <v>0.3598795709558108</v>
      </c>
      <c r="P273" s="8" t="inlineStr">
        <is>
          <t>OK</t>
        </is>
      </c>
      <c r="Q273" s="10" t="n">
        <v>0.3851638995317156</v>
      </c>
      <c r="R273" s="10" t="n">
        <v>0.02528432857590485</v>
      </c>
      <c r="S273" s="13" t="n">
        <v>10.578</v>
      </c>
      <c r="T273" s="13" t="n">
        <v>5.351</v>
      </c>
      <c r="U273" s="13" t="n">
        <v>5.448</v>
      </c>
      <c r="V273" s="8" t="inlineStr">
        <is>
          <t>short-term + long-term</t>
        </is>
      </c>
      <c r="W273" s="13" t="n">
        <v>4.741</v>
      </c>
      <c r="X273" s="11" t="n">
        <v>0.02045981860367011</v>
      </c>
      <c r="Y273" s="11" t="n"/>
      <c r="Z273" s="13" t="n">
        <v>3.244</v>
      </c>
      <c r="AA273" s="8" t="inlineStr">
        <is>
          <t>net income + D&amp;A - capex - change in operating working capital (cash and short-term debt excluded)</t>
        </is>
      </c>
      <c r="AB273" s="10" t="n">
        <v>0.1885827229391931</v>
      </c>
      <c r="AC273" s="10" t="n">
        <v>0.2537495640041856</v>
      </c>
      <c r="AD273" s="12" t="n">
        <v>914000000</v>
      </c>
    </row>
    <row r="274">
      <c r="A274" s="8" t="inlineStr">
        <is>
          <t>AMAT</t>
        </is>
      </c>
      <c r="B274" s="8" t="inlineStr">
        <is>
          <t>APPLIED MATERIALS INC /DE</t>
        </is>
      </c>
      <c r="C274" s="8" t="inlineStr">
        <is>
          <t>STANDARD</t>
        </is>
      </c>
      <c r="D274" s="8" t="n">
        <v>2021</v>
      </c>
      <c r="E274" s="8" t="inlineStr">
        <is>
          <t>2021-10-31</t>
        </is>
      </c>
      <c r="F274" s="8" t="inlineStr">
        <is>
          <t>0000006951-23-000041</t>
        </is>
      </c>
      <c r="G274" s="13" t="n">
        <v>23.063</v>
      </c>
      <c r="H274" s="13" t="n">
        <v>6.889</v>
      </c>
      <c r="I274" s="8" t="inlineStr">
        <is>
          <t>reported OperatingIncomeLoss (no interest expense tagged)</t>
        </is>
      </c>
      <c r="J274" s="13" t="n">
        <v>5.888</v>
      </c>
      <c r="K274" s="10" t="n">
        <v>0.1304090976222124</v>
      </c>
      <c r="L274" s="13" t="n">
        <v>5.990611726480579</v>
      </c>
      <c r="M274" s="13" t="n">
        <v>12.704</v>
      </c>
      <c r="N274" s="13" t="n">
        <v>11.6895</v>
      </c>
      <c r="O274" s="10" t="n">
        <v>0.5124780124454065</v>
      </c>
      <c r="P274" s="8" t="inlineStr">
        <is>
          <t>OK</t>
        </is>
      </c>
      <c r="Q274" s="10" t="n">
        <v>0.5159255202628696</v>
      </c>
      <c r="R274" s="10" t="n">
        <v>0.003447507817463169</v>
      </c>
      <c r="S274" s="13" t="n">
        <v>12.247</v>
      </c>
      <c r="T274" s="13" t="n">
        <v>4.995</v>
      </c>
      <c r="U274" s="13" t="n">
        <v>5.452</v>
      </c>
      <c r="V274" s="8" t="inlineStr">
        <is>
          <t>long-term only (no short-term debt tagged; read as nil)</t>
        </is>
      </c>
      <c r="W274" s="13" t="n">
        <v>7.283</v>
      </c>
      <c r="X274" s="11" t="n">
        <v>0.06274886722504462</v>
      </c>
      <c r="Y274" s="11" t="n"/>
      <c r="Z274" s="13" t="n">
        <v>4.405</v>
      </c>
      <c r="AA274" s="8" t="inlineStr">
        <is>
          <t>net income + D&amp;A - capex - change in operating working capital (cash and short-term debt excluded)</t>
        </is>
      </c>
      <c r="AB274" s="10" t="n">
        <v>0.1909985691367125</v>
      </c>
      <c r="AC274" s="10" t="n">
        <v>0.2987035511425227</v>
      </c>
      <c r="AD274" s="12" t="n">
        <v>892000000</v>
      </c>
    </row>
    <row r="275">
      <c r="A275" s="8" t="inlineStr">
        <is>
          <t>AMAT</t>
        </is>
      </c>
      <c r="B275" s="8" t="inlineStr">
        <is>
          <t>APPLIED MATERIALS INC /DE</t>
        </is>
      </c>
      <c r="C275" s="8" t="inlineStr">
        <is>
          <t>STANDARD</t>
        </is>
      </c>
      <c r="D275" s="8" t="n">
        <v>2022</v>
      </c>
      <c r="E275" s="8" t="inlineStr">
        <is>
          <t>2022-10-30</t>
        </is>
      </c>
      <c r="F275" s="8" t="inlineStr">
        <is>
          <t>0000006951-24-000044</t>
        </is>
      </c>
      <c r="G275" s="13" t="n">
        <v>25.785</v>
      </c>
      <c r="H275" s="13" t="n">
        <v>7.827</v>
      </c>
      <c r="I275" s="8" t="inlineStr">
        <is>
          <t>pretax_income + interest_expense</t>
        </is>
      </c>
      <c r="J275" s="13" t="n">
        <v>6.525</v>
      </c>
      <c r="K275" s="10" t="n">
        <v>0.1413343861034347</v>
      </c>
      <c r="L275" s="13" t="n">
        <v>6.720775759968417</v>
      </c>
      <c r="M275" s="13" t="n">
        <v>15.656</v>
      </c>
      <c r="N275" s="13" t="n">
        <v>14.18</v>
      </c>
      <c r="O275" s="10" t="n">
        <v>0.4739616191797191</v>
      </c>
      <c r="P275" s="8" t="inlineStr">
        <is>
          <t>OK</t>
        </is>
      </c>
      <c r="Q275" s="10" t="n">
        <v>0.5339388732048607</v>
      </c>
      <c r="R275" s="10" t="n">
        <v>0.05997725402514154</v>
      </c>
      <c r="S275" s="13" t="n">
        <v>12.194</v>
      </c>
      <c r="T275" s="13" t="n">
        <v>1.995</v>
      </c>
      <c r="U275" s="13" t="n">
        <v>5.457</v>
      </c>
      <c r="V275" s="8" t="inlineStr">
        <is>
          <t>long-term only (no short-term debt tagged; read as nil)</t>
        </is>
      </c>
      <c r="W275" s="13" t="n">
        <v>8.271000000000001</v>
      </c>
      <c r="X275" s="11" t="n">
        <v>0.4185709104098658</v>
      </c>
      <c r="Y275" s="11" t="n">
        <v>34.32894736842105</v>
      </c>
      <c r="Z275" s="13" t="n">
        <v>4.399</v>
      </c>
      <c r="AA275" s="8" t="inlineStr">
        <is>
          <t>net income + D&amp;A - capex - change in operating working capital (cash and short-term debt excluded)</t>
        </is>
      </c>
      <c r="AB275" s="10" t="n">
        <v>0.1706030637967811</v>
      </c>
      <c r="AC275" s="10" t="n">
        <v>0.3035485747527633</v>
      </c>
      <c r="AD275" s="12" t="n">
        <v>844000000</v>
      </c>
    </row>
    <row r="276">
      <c r="A276" s="8" t="inlineStr">
        <is>
          <t>AMAT</t>
        </is>
      </c>
      <c r="B276" s="8" t="inlineStr">
        <is>
          <t>APPLIED MATERIALS INC /DE</t>
        </is>
      </c>
      <c r="C276" s="8" t="inlineStr">
        <is>
          <t>STANDARD</t>
        </is>
      </c>
      <c r="D276" s="8" t="n">
        <v>2023</v>
      </c>
      <c r="E276" s="8" t="inlineStr">
        <is>
          <t>2023-10-29</t>
        </is>
      </c>
      <c r="F276" s="8" t="inlineStr">
        <is>
          <t>0001628280-25-056742</t>
        </is>
      </c>
      <c r="G276" s="13" t="n">
        <v>26.517</v>
      </c>
      <c r="H276" s="13" t="n">
        <v>7.954</v>
      </c>
      <c r="I276" s="8" t="inlineStr">
        <is>
          <t>pretax_income + interest_expense</t>
        </is>
      </c>
      <c r="J276" s="13" t="n">
        <v>6.856</v>
      </c>
      <c r="K276" s="10" t="n">
        <v>0.1114567133229653</v>
      </c>
      <c r="L276" s="13" t="n">
        <v>7.067473302229135</v>
      </c>
      <c r="M276" s="13" t="n">
        <v>15.678</v>
      </c>
      <c r="N276" s="13" t="n">
        <v>15.667</v>
      </c>
      <c r="O276" s="10" t="n">
        <v>0.4511057191695369</v>
      </c>
      <c r="P276" s="8" t="inlineStr">
        <is>
          <t>OK</t>
        </is>
      </c>
      <c r="Q276" s="10" t="n">
        <v>0.480397996006026</v>
      </c>
      <c r="R276" s="10" t="n">
        <v>0.02929227683648911</v>
      </c>
      <c r="S276" s="13" t="n">
        <v>16.349</v>
      </c>
      <c r="T276" s="13" t="n">
        <v>6.132</v>
      </c>
      <c r="U276" s="13" t="n">
        <v>5.461</v>
      </c>
      <c r="V276" s="8" t="inlineStr">
        <is>
          <t>short-term + long-term</t>
        </is>
      </c>
      <c r="W276" s="13" t="n">
        <v>8.468999999999999</v>
      </c>
      <c r="X276" s="11" t="n">
        <v>-0.07923013342779549</v>
      </c>
      <c r="Y276" s="11" t="n">
        <v>33.42016806722689</v>
      </c>
      <c r="Z276" s="13" t="n">
        <v>7.173</v>
      </c>
      <c r="AA276" s="8" t="inlineStr">
        <is>
          <t>net income + D&amp;A - capex - change in operating working capital (cash and short-term debt excluded)</t>
        </is>
      </c>
      <c r="AB276" s="10" t="n">
        <v>0.270505713315986</v>
      </c>
      <c r="AC276" s="10" t="n">
        <v>0.2999585171776596</v>
      </c>
      <c r="AD276" s="12" t="n">
        <v>833000000</v>
      </c>
    </row>
    <row r="277">
      <c r="A277" s="8" t="inlineStr">
        <is>
          <t>AMAT</t>
        </is>
      </c>
      <c r="B277" s="8" t="inlineStr">
        <is>
          <t>APPLIED MATERIALS INC /DE</t>
        </is>
      </c>
      <c r="C277" s="8" t="inlineStr">
        <is>
          <t>STANDARD</t>
        </is>
      </c>
      <c r="D277" s="8" t="n">
        <v>2024</v>
      </c>
      <c r="E277" s="8" t="inlineStr">
        <is>
          <t>2024-10-27</t>
        </is>
      </c>
      <c r="F277" s="8" t="inlineStr">
        <is>
          <t>0001628280-25-056742</t>
        </is>
      </c>
      <c r="G277" s="13" t="n">
        <v>27.176</v>
      </c>
      <c r="H277" s="13" t="n">
        <v>8.398999999999999</v>
      </c>
      <c r="I277" s="8" t="inlineStr">
        <is>
          <t>pretax_income + interest_expense</t>
        </is>
      </c>
      <c r="J277" s="13" t="n">
        <v>7.177</v>
      </c>
      <c r="K277" s="10" t="n">
        <v>0.1196025515210991</v>
      </c>
      <c r="L277" s="13" t="n">
        <v>7.394458169774288</v>
      </c>
      <c r="M277" s="13" t="n">
        <v>17.139</v>
      </c>
      <c r="N277" s="13" t="n">
        <v>16.4085</v>
      </c>
      <c r="O277" s="10" t="n">
        <v>0.4506480281423828</v>
      </c>
      <c r="P277" s="8" t="inlineStr">
        <is>
          <t>OK</t>
        </is>
      </c>
      <c r="Q277" s="10" t="n">
        <v>0.406053748231966</v>
      </c>
      <c r="R277" s="10" t="n">
        <v>-0.04459427991041676</v>
      </c>
      <c r="S277" s="13" t="n">
        <v>19.001</v>
      </c>
      <c r="T277" s="13" t="n">
        <v>8.022</v>
      </c>
      <c r="U277" s="13" t="n">
        <v>6.16</v>
      </c>
      <c r="V277" s="8" t="inlineStr">
        <is>
          <t>short-term + long-term</t>
        </is>
      </c>
      <c r="W277" s="13" t="n">
        <v>8.791</v>
      </c>
      <c r="X277" s="11" t="n">
        <v>-0.2118075304288477</v>
      </c>
      <c r="Y277" s="11" t="n">
        <v>34.00404858299595</v>
      </c>
      <c r="Z277" s="13" t="n">
        <v>6.592</v>
      </c>
      <c r="AA277" s="8" t="inlineStr">
        <is>
          <t>net income + D&amp;A - capex - change in operating working capital (cash and short-term debt excluded)</t>
        </is>
      </c>
      <c r="AB277" s="10" t="n">
        <v>0.2425669708566382</v>
      </c>
      <c r="AC277" s="10" t="n">
        <v>0.3090594642331469</v>
      </c>
      <c r="AD277" s="12" t="n">
        <v>818000000</v>
      </c>
    </row>
    <row r="278">
      <c r="A278" s="8" t="inlineStr">
        <is>
          <t>AMAT</t>
        </is>
      </c>
      <c r="B278" s="8" t="inlineStr">
        <is>
          <t>APPLIED MATERIALS INC /DE</t>
        </is>
      </c>
      <c r="C278" s="8" t="inlineStr">
        <is>
          <t>STANDARD</t>
        </is>
      </c>
      <c r="D278" s="8" t="n">
        <v>2025</v>
      </c>
      <c r="E278" s="8" t="inlineStr">
        <is>
          <t>2025-10-26</t>
        </is>
      </c>
      <c r="F278" s="8" t="inlineStr">
        <is>
          <t>0001628280-25-056742</t>
        </is>
      </c>
      <c r="G278" s="13" t="n">
        <v>28.368</v>
      </c>
      <c r="H278" s="13" t="n">
        <v>9.539999999999999</v>
      </c>
      <c r="I278" s="8" t="inlineStr">
        <is>
          <t>pretax_income + interest_expense</t>
        </is>
      </c>
      <c r="J278" s="13" t="n">
        <v>6.998</v>
      </c>
      <c r="K278" s="10" t="n">
        <v>0.2451731204832273</v>
      </c>
      <c r="L278" s="13" t="n">
        <v>7.201048430590012</v>
      </c>
      <c r="M278" s="13" t="n">
        <v>19.629</v>
      </c>
      <c r="N278" s="13" t="n">
        <v>18.384</v>
      </c>
      <c r="O278" s="10" t="n">
        <v>0.3917019381304401</v>
      </c>
      <c r="P278" s="8" t="inlineStr">
        <is>
          <t>OK</t>
        </is>
      </c>
      <c r="Q278" s="10" t="n">
        <v>0.3550842297544144</v>
      </c>
      <c r="R278" s="10" t="n">
        <v>-0.03661770837602568</v>
      </c>
      <c r="S278" s="13" t="n">
        <v>20.415</v>
      </c>
      <c r="T278" s="13" t="n">
        <v>7.241</v>
      </c>
      <c r="U278" s="13" t="n">
        <v>6.455</v>
      </c>
      <c r="V278" s="8" t="inlineStr">
        <is>
          <t>short-term + long-term</t>
        </is>
      </c>
      <c r="W278" s="13" t="n">
        <v>9.975</v>
      </c>
      <c r="X278" s="11" t="n">
        <v>-0.078796992481203</v>
      </c>
      <c r="Y278" s="11" t="n">
        <v>35.46468401486989</v>
      </c>
      <c r="Z278" s="13" t="n">
        <v>4.962</v>
      </c>
      <c r="AA278" s="8" t="inlineStr">
        <is>
          <t>net income + D&amp;A - capex - change in operating working capital (cash and short-term debt excluded)</t>
        </is>
      </c>
      <c r="AB278" s="10" t="n">
        <v>0.1749153976311337</v>
      </c>
      <c r="AC278" s="10" t="n">
        <v>0.3362944162436548</v>
      </c>
      <c r="AD278" s="12" t="n">
        <v>793000000</v>
      </c>
    </row>
    <row r="279">
      <c r="A279" s="8" t="inlineStr">
        <is>
          <t>ORCL</t>
        </is>
      </c>
      <c r="B279" s="8" t="inlineStr">
        <is>
          <t>ORACLE CORP</t>
        </is>
      </c>
      <c r="C279" s="8" t="inlineStr">
        <is>
          <t>STANDARD</t>
        </is>
      </c>
      <c r="D279" s="8" t="n">
        <v>2014</v>
      </c>
      <c r="E279" s="8" t="inlineStr">
        <is>
          <t>2015-05-31</t>
        </is>
      </c>
      <c r="F279" s="8" t="inlineStr">
        <is>
          <t>0001193125-17-214833</t>
        </is>
      </c>
      <c r="G279" s="13" t="n"/>
      <c r="H279" s="13" t="n">
        <v>13.977</v>
      </c>
      <c r="I279" s="8" t="inlineStr">
        <is>
          <t>pretax_income + interest_expense</t>
        </is>
      </c>
      <c r="J279" s="13" t="n">
        <v>9.938000000000001</v>
      </c>
      <c r="K279" s="10" t="n">
        <v>0.2256506155524388</v>
      </c>
      <c r="L279" s="13" t="n">
        <v>10.82308134642356</v>
      </c>
      <c r="M279" s="13" t="n">
        <v>28.946</v>
      </c>
      <c r="N279" s="13" t="n">
        <v>28.946</v>
      </c>
      <c r="O279" s="10" t="n">
        <v>0.3739059402481712</v>
      </c>
      <c r="P279" s="8" t="inlineStr">
        <is>
          <t>OK</t>
        </is>
      </c>
      <c r="Q279" s="10" t="n">
        <v>0.2042208659556542</v>
      </c>
      <c r="R279" s="10" t="n">
        <v>-0.169685074292517</v>
      </c>
      <c r="S279" s="13" t="n">
        <v>48.663</v>
      </c>
      <c r="T279" s="13" t="n">
        <v>21.716</v>
      </c>
      <c r="U279" s="13" t="n">
        <v>1.999</v>
      </c>
      <c r="V279" s="8" t="inlineStr">
        <is>
          <t>short-term only (no long-term debt tagged; read as nil)</t>
        </is>
      </c>
      <c r="W279" s="13" t="n">
        <v>14.689</v>
      </c>
      <c r="X279" s="11" t="n">
        <v>-1.342296956906529</v>
      </c>
      <c r="Y279" s="11" t="n">
        <v>12.22834645669291</v>
      </c>
      <c r="Z279" s="13" t="n"/>
      <c r="AA279" s="8" t="inlineStr">
        <is>
          <t>net income + D&amp;A - capex - change in no prior year</t>
        </is>
      </c>
      <c r="AB279" s="10" t="n"/>
      <c r="AC279" s="10" t="n"/>
      <c r="AD279" s="12" t="n">
        <v>4454889000</v>
      </c>
    </row>
    <row r="280">
      <c r="A280" s="8" t="inlineStr">
        <is>
          <t>ORCL</t>
        </is>
      </c>
      <c r="B280" s="8" t="inlineStr">
        <is>
          <t>ORACLE CORP</t>
        </is>
      </c>
      <c r="C280" s="8" t="inlineStr">
        <is>
          <t>STANDARD</t>
        </is>
      </c>
      <c r="D280" s="8" t="n">
        <v>2015</v>
      </c>
      <c r="E280" s="8" t="inlineStr">
        <is>
          <t>2016-05-31</t>
        </is>
      </c>
      <c r="F280" s="8" t="inlineStr">
        <is>
          <t>0001193125-18-201034</t>
        </is>
      </c>
      <c r="G280" s="13" t="n"/>
      <c r="H280" s="13" t="n">
        <v>12.909</v>
      </c>
      <c r="I280" s="8" t="inlineStr">
        <is>
          <t>pretax_income + interest_expense</t>
        </is>
      </c>
      <c r="J280" s="13" t="n">
        <v>8.901</v>
      </c>
      <c r="K280" s="10" t="n">
        <v>0.2220765600419507</v>
      </c>
      <c r="L280" s="13" t="n">
        <v>10.04221368641846</v>
      </c>
      <c r="M280" s="13" t="n">
        <v>30.887</v>
      </c>
      <c r="N280" s="13" t="n">
        <v>29.9165</v>
      </c>
      <c r="O280" s="10" t="n">
        <v>0.335674750937391</v>
      </c>
      <c r="P280" s="8" t="inlineStr">
        <is>
          <t>OK</t>
        </is>
      </c>
      <c r="Q280" s="10" t="n">
        <v>0.1855302651325663</v>
      </c>
      <c r="R280" s="10" t="n">
        <v>-0.1501444858048247</v>
      </c>
      <c r="S280" s="13" t="n">
        <v>47.289</v>
      </c>
      <c r="T280" s="13" t="n">
        <v>20.152</v>
      </c>
      <c r="U280" s="13" t="n">
        <v>3.75</v>
      </c>
      <c r="V280" s="8" t="inlineStr">
        <is>
          <t>short-term only (no long-term debt tagged; read as nil)</t>
        </is>
      </c>
      <c r="W280" s="13" t="n">
        <v>13.78</v>
      </c>
      <c r="X280" s="11" t="n">
        <v>-1.190275761973875</v>
      </c>
      <c r="Y280" s="11" t="n">
        <v>8.799591002044989</v>
      </c>
      <c r="Z280" s="13" t="n">
        <v>5.477</v>
      </c>
      <c r="AA280" s="8" t="inlineStr">
        <is>
          <t>net income + D&amp;A - capex - change in operating working capital (cash and short-term debt excluded)</t>
        </is>
      </c>
      <c r="AB280" s="10" t="n"/>
      <c r="AC280" s="10" t="n"/>
      <c r="AD280" s="12" t="n">
        <v>4336077000</v>
      </c>
    </row>
    <row r="281">
      <c r="A281" s="8" t="inlineStr">
        <is>
          <t>ORCL</t>
        </is>
      </c>
      <c r="B281" s="8" t="inlineStr">
        <is>
          <t>ORACLE CORP</t>
        </is>
      </c>
      <c r="C281" s="8" t="inlineStr">
        <is>
          <t>STANDARD</t>
        </is>
      </c>
      <c r="D281" s="8" t="n">
        <v>2016</v>
      </c>
      <c r="E281" s="8" t="inlineStr">
        <is>
          <t>2017-05-31</t>
        </is>
      </c>
      <c r="F281" s="8" t="inlineStr">
        <is>
          <t>0001564590-19-023119</t>
        </is>
      </c>
      <c r="G281" s="13" t="n">
        <v>37.792</v>
      </c>
      <c r="H281" s="13" t="n">
        <v>13.315</v>
      </c>
      <c r="I281" s="8" t="inlineStr">
        <is>
          <t>pretax_income + interest_expense</t>
        </is>
      </c>
      <c r="J281" s="13" t="n">
        <v>9.452</v>
      </c>
      <c r="K281" s="10" t="n">
        <v>0.1934531562038725</v>
      </c>
      <c r="L281" s="13" t="n">
        <v>10.73917122514544</v>
      </c>
      <c r="M281" s="13" t="n">
        <v>41.873</v>
      </c>
      <c r="N281" s="13" t="n">
        <v>36.38</v>
      </c>
      <c r="O281" s="10" t="n">
        <v>0.2951943712244485</v>
      </c>
      <c r="P281" s="8" t="inlineStr">
        <is>
          <t>OK</t>
        </is>
      </c>
      <c r="Q281" s="10" t="n">
        <v>0.1868926039802667</v>
      </c>
      <c r="R281" s="10" t="n">
        <v>-0.1083017672441818</v>
      </c>
      <c r="S281" s="13" t="n">
        <v>53.86</v>
      </c>
      <c r="T281" s="13" t="n">
        <v>21.784</v>
      </c>
      <c r="U281" s="13" t="n">
        <v>9.797000000000001</v>
      </c>
      <c r="V281" s="8" t="inlineStr">
        <is>
          <t>short-term only (no long-term debt tagged; read as nil)</t>
        </is>
      </c>
      <c r="W281" s="13" t="n">
        <v>14.315</v>
      </c>
      <c r="X281" s="11" t="n">
        <v>-0.8373733845616487</v>
      </c>
      <c r="Y281" s="11" t="n">
        <v>7.405450500556173</v>
      </c>
      <c r="Z281" s="13" t="n">
        <v>0.784</v>
      </c>
      <c r="AA281" s="8" t="inlineStr">
        <is>
          <t>net income + D&amp;A - capex - change in operating working capital (cash and short-term debt excluded)</t>
        </is>
      </c>
      <c r="AB281" s="10" t="n">
        <v>0.02074513124470788</v>
      </c>
      <c r="AC281" s="10" t="n">
        <v>0.3523232430143946</v>
      </c>
      <c r="AD281" s="12" t="n">
        <v>4122730000</v>
      </c>
    </row>
    <row r="282">
      <c r="A282" s="8" t="inlineStr">
        <is>
          <t>ORCL</t>
        </is>
      </c>
      <c r="B282" s="8" t="inlineStr">
        <is>
          <t>ORACLE CORP</t>
        </is>
      </c>
      <c r="C282" s="8" t="inlineStr">
        <is>
          <t>STANDARD</t>
        </is>
      </c>
      <c r="D282" s="8" t="n">
        <v>2017</v>
      </c>
      <c r="E282" s="8" t="inlineStr">
        <is>
          <t>2018-05-31</t>
        </is>
      </c>
      <c r="F282" s="8" t="inlineStr">
        <is>
          <t>0001564590-20-030125</t>
        </is>
      </c>
      <c r="G282" s="13" t="n">
        <v>39.383</v>
      </c>
      <c r="H282" s="13" t="n">
        <v>14.916</v>
      </c>
      <c r="I282" s="8" t="inlineStr">
        <is>
          <t>pretax_income + interest_expense</t>
        </is>
      </c>
      <c r="J282" s="13" t="n">
        <v>3.587</v>
      </c>
      <c r="K282" s="10" t="n">
        <v>0.4</v>
      </c>
      <c r="L282" s="13" t="n">
        <v>8.9496</v>
      </c>
      <c r="M282" s="13" t="n">
        <v>29.243</v>
      </c>
      <c r="N282" s="13" t="n">
        <v>35.558</v>
      </c>
      <c r="O282" s="10" t="n">
        <v>0.2516901962990045</v>
      </c>
      <c r="P282" s="8" t="inlineStr">
        <is>
          <t>OK</t>
        </is>
      </c>
      <c r="Q282" s="10" t="n">
        <v>0.07157394843962007</v>
      </c>
      <c r="R282" s="10" t="n">
        <v>-0.1801162478593844</v>
      </c>
      <c r="S282" s="13" t="n">
        <v>46.372</v>
      </c>
      <c r="T282" s="13" t="n">
        <v>21.62</v>
      </c>
      <c r="U282" s="13" t="n">
        <v>4.491</v>
      </c>
      <c r="V282" s="8" t="inlineStr">
        <is>
          <t>short-term only (no long-term debt tagged; read as nil)</t>
        </is>
      </c>
      <c r="W282" s="13" t="n">
        <v>16.081</v>
      </c>
      <c r="X282" s="11" t="n">
        <v>-1.065170076487781</v>
      </c>
      <c r="Y282" s="11" t="n">
        <v>7.365925925925926</v>
      </c>
      <c r="Z282" s="13" t="n">
        <v>1.46</v>
      </c>
      <c r="AA282" s="8" t="inlineStr">
        <is>
          <t>net income + D&amp;A - capex - change in operating working capital (cash and short-term debt excluded)</t>
        </is>
      </c>
      <c r="AB282" s="10" t="n">
        <v>0.03707183302440139</v>
      </c>
      <c r="AC282" s="10" t="n">
        <v>0.3787420968438159</v>
      </c>
      <c r="AD282" s="12" t="n">
        <v>4136682000</v>
      </c>
    </row>
    <row r="283">
      <c r="A283" s="8" t="inlineStr">
        <is>
          <t>ORCL</t>
        </is>
      </c>
      <c r="B283" s="8" t="inlineStr">
        <is>
          <t>ORACLE CORP</t>
        </is>
      </c>
      <c r="C283" s="8" t="inlineStr">
        <is>
          <t>STANDARD</t>
        </is>
      </c>
      <c r="D283" s="8" t="n">
        <v>2018</v>
      </c>
      <c r="E283" s="8" t="inlineStr">
        <is>
          <t>2019-05-31</t>
        </is>
      </c>
      <c r="F283" s="8" t="inlineStr">
        <is>
          <t>0001564590-21-033616</t>
        </is>
      </c>
      <c r="G283" s="13" t="n">
        <v>39.506</v>
      </c>
      <c r="H283" s="13" t="n">
        <v>13.535</v>
      </c>
      <c r="I283" s="8" t="inlineStr">
        <is>
          <t>reported OperatingIncomeLoss (no interest expense tagged)</t>
        </is>
      </c>
      <c r="J283" s="13" t="n">
        <v>11.083</v>
      </c>
      <c r="K283" s="10" t="n">
        <v>0.21</v>
      </c>
      <c r="L283" s="13" t="n">
        <v>10.69265</v>
      </c>
      <c r="M283" s="13" t="n">
        <v>5.765</v>
      </c>
      <c r="N283" s="13" t="n">
        <v>17.504</v>
      </c>
      <c r="O283" s="10" t="n">
        <v>0.6108689442413163</v>
      </c>
      <c r="P283" s="8" t="inlineStr">
        <is>
          <t>OK</t>
        </is>
      </c>
      <c r="Q283" s="10" t="n">
        <v>0.3252197133089778</v>
      </c>
      <c r="R283" s="10" t="n">
        <v>-0.2856492309323385</v>
      </c>
      <c r="S283" s="13" t="n">
        <v>21.785</v>
      </c>
      <c r="T283" s="13" t="n">
        <v>20.514</v>
      </c>
      <c r="U283" s="13" t="n">
        <v>4.494</v>
      </c>
      <c r="V283" s="8" t="inlineStr">
        <is>
          <t>short-term only (no long-term debt tagged; read as nil)</t>
        </is>
      </c>
      <c r="W283" s="13" t="n">
        <v>14.765</v>
      </c>
      <c r="X283" s="11" t="n">
        <v>-1.084998306806637</v>
      </c>
      <c r="Y283" s="11" t="n">
        <v>6.500960614793468</v>
      </c>
      <c r="Z283" s="13" t="n">
        <v>38.823</v>
      </c>
      <c r="AA283" s="8" t="inlineStr">
        <is>
          <t>net income + D&amp;A - capex - change in operating working capital (cash and short-term debt excluded)</t>
        </is>
      </c>
      <c r="AB283" s="10" t="n">
        <v>0.982711486862755</v>
      </c>
      <c r="AC283" s="10" t="n">
        <v>0.3426061864020655</v>
      </c>
      <c r="AD283" s="12" t="n">
        <v>3981155000</v>
      </c>
    </row>
    <row r="284">
      <c r="A284" s="8" t="inlineStr">
        <is>
          <t>ORCL</t>
        </is>
      </c>
      <c r="B284" s="8" t="inlineStr">
        <is>
          <t>ORACLE CORP</t>
        </is>
      </c>
      <c r="C284" s="8" t="inlineStr">
        <is>
          <t>STANDARD</t>
        </is>
      </c>
      <c r="D284" s="8" t="n">
        <v>2019</v>
      </c>
      <c r="E284" s="8" t="inlineStr">
        <is>
          <t>2020-05-31</t>
        </is>
      </c>
      <c r="F284" s="8" t="inlineStr">
        <is>
          <t>0001564590-22-023675</t>
        </is>
      </c>
      <c r="G284" s="13" t="n">
        <v>39.068</v>
      </c>
      <c r="H284" s="13" t="n">
        <v>13.896</v>
      </c>
      <c r="I284" s="8" t="inlineStr">
        <is>
          <t>reported OperatingIncomeLoss (no interest expense tagged)</t>
        </is>
      </c>
      <c r="J284" s="13" t="n">
        <v>10.135</v>
      </c>
      <c r="K284" s="10" t="n">
        <v>0.21</v>
      </c>
      <c r="L284" s="13" t="n">
        <v>10.97784</v>
      </c>
      <c r="M284" s="13" t="n">
        <v>-22.794</v>
      </c>
      <c r="N284" s="13" t="n">
        <v>-8.5145</v>
      </c>
      <c r="O284" s="10" t="n"/>
      <c r="P284" s="8" t="inlineStr">
        <is>
          <t>NOT_MEANINGFUL_NEGATIVE_INVESTED_CAPITAL</t>
        </is>
      </c>
      <c r="Q284" s="10" t="n">
        <v>0.5986591452789509</v>
      </c>
      <c r="R284" s="10" t="n"/>
      <c r="S284" s="13" t="n">
        <v>12.074</v>
      </c>
      <c r="T284" s="13" t="n">
        <v>37.239</v>
      </c>
      <c r="U284" s="13" t="n">
        <v>2.371</v>
      </c>
      <c r="V284" s="8" t="inlineStr">
        <is>
          <t>short-term only (no long-term debt tagged; read as nil)</t>
        </is>
      </c>
      <c r="W284" s="13" t="n">
        <v>15.278</v>
      </c>
      <c r="X284" s="11" t="n">
        <v>-2.282235894750622</v>
      </c>
      <c r="Y284" s="11" t="n">
        <v>6.965413533834586</v>
      </c>
      <c r="Z284" s="13" t="n">
        <v>21.617</v>
      </c>
      <c r="AA284" s="8" t="inlineStr">
        <is>
          <t>net income + D&amp;A - capex - change in operating working capital (cash and short-term debt excluded)</t>
        </is>
      </c>
      <c r="AB284" s="10" t="n">
        <v>0.5533172929251562</v>
      </c>
      <c r="AC284" s="10" t="n">
        <v>0.355687519197297</v>
      </c>
      <c r="AD284" s="12" t="n">
        <v>3335819000</v>
      </c>
    </row>
    <row r="285">
      <c r="A285" s="8" t="inlineStr">
        <is>
          <t>ORCL</t>
        </is>
      </c>
      <c r="B285" s="8" t="inlineStr">
        <is>
          <t>ORACLE CORP</t>
        </is>
      </c>
      <c r="C285" s="8" t="inlineStr">
        <is>
          <t>STANDARD</t>
        </is>
      </c>
      <c r="D285" s="8" t="n">
        <v>2020</v>
      </c>
      <c r="E285" s="8" t="inlineStr">
        <is>
          <t>2021-05-31</t>
        </is>
      </c>
      <c r="F285" s="8" t="inlineStr">
        <is>
          <t>0000950170-23-028914</t>
        </is>
      </c>
      <c r="G285" s="13" t="n">
        <v>40.479</v>
      </c>
      <c r="H285" s="13" t="n">
        <v>15.213</v>
      </c>
      <c r="I285" s="8" t="inlineStr">
        <is>
          <t>reported OperatingIncomeLoss (no interest expense tagged)</t>
        </is>
      </c>
      <c r="J285" s="13" t="n">
        <v>13.746</v>
      </c>
      <c r="K285" s="10" t="n">
        <v>0.21</v>
      </c>
      <c r="L285" s="13" t="n">
        <v>12.01827</v>
      </c>
      <c r="M285" s="13" t="n">
        <v>-16.61</v>
      </c>
      <c r="N285" s="13" t="n">
        <v>-19.702</v>
      </c>
      <c r="O285" s="10" t="n"/>
      <c r="P285" s="8" t="inlineStr">
        <is>
          <t>NOT_MEANINGFUL_NEGATIVE_INVESTED_CAPITAL</t>
        </is>
      </c>
      <c r="Q285" s="10" t="n">
        <v>1.588031423290203</v>
      </c>
      <c r="R285" s="10" t="n"/>
      <c r="S285" s="13" t="n">
        <v>5.238</v>
      </c>
      <c r="T285" s="13" t="n">
        <v>30.098</v>
      </c>
      <c r="U285" s="13" t="n">
        <v>8.25</v>
      </c>
      <c r="V285" s="8" t="inlineStr">
        <is>
          <t>short-term only (no long-term debt tagged; read as nil)</t>
        </is>
      </c>
      <c r="W285" s="13" t="n">
        <v>16.75</v>
      </c>
      <c r="X285" s="11" t="n">
        <v>-1.304358208955224</v>
      </c>
      <c r="Y285" s="11" t="n">
        <v>6.094951923076923</v>
      </c>
      <c r="Z285" s="13" t="n">
        <v>3.665</v>
      </c>
      <c r="AA285" s="8" t="inlineStr">
        <is>
          <t>net income + D&amp;A - capex - change in operating working capital (cash and short-term debt excluded)</t>
        </is>
      </c>
      <c r="AB285" s="10" t="n">
        <v>0.09054077422861237</v>
      </c>
      <c r="AC285" s="10" t="n">
        <v>0.3758245015934188</v>
      </c>
      <c r="AD285" s="12" t="n">
        <v>3068682000</v>
      </c>
    </row>
    <row r="286">
      <c r="A286" s="8" t="inlineStr">
        <is>
          <t>ORCL</t>
        </is>
      </c>
      <c r="B286" s="8" t="inlineStr">
        <is>
          <t>ORACLE CORP</t>
        </is>
      </c>
      <c r="C286" s="8" t="inlineStr">
        <is>
          <t>STANDARD</t>
        </is>
      </c>
      <c r="D286" s="8" t="n">
        <v>2021</v>
      </c>
      <c r="E286" s="8" t="inlineStr">
        <is>
          <t>2022-05-31</t>
        </is>
      </c>
      <c r="F286" s="8" t="inlineStr">
        <is>
          <t>0000950170-24-075605</t>
        </is>
      </c>
      <c r="G286" s="13" t="n">
        <v>42.44</v>
      </c>
      <c r="H286" s="13" t="n">
        <v>10.926</v>
      </c>
      <c r="I286" s="8" t="inlineStr">
        <is>
          <t>reported OperatingIncomeLoss (no interest expense tagged)</t>
        </is>
      </c>
      <c r="J286" s="13" t="n">
        <v>6.717</v>
      </c>
      <c r="K286" s="10" t="n">
        <v>0.21</v>
      </c>
      <c r="L286" s="13" t="n">
        <v>8.631539999999999</v>
      </c>
      <c r="M286" s="13" t="n">
        <v>-23.854</v>
      </c>
      <c r="N286" s="13" t="n">
        <v>-20.232</v>
      </c>
      <c r="O286" s="10" t="n"/>
      <c r="P286" s="8" t="inlineStr">
        <is>
          <t>NOT_MEANINGFUL_NEGATIVE_INVESTED_CAPITAL</t>
        </is>
      </c>
      <c r="Q286" s="10" t="n">
        <v>-13.68024439918534</v>
      </c>
      <c r="R286" s="10" t="n"/>
      <c r="S286" s="13" t="n">
        <v>-6.22</v>
      </c>
      <c r="T286" s="13" t="n">
        <v>21.383</v>
      </c>
      <c r="U286" s="13" t="n">
        <v>3.749</v>
      </c>
      <c r="V286" s="8" t="inlineStr">
        <is>
          <t>short-term + long-term</t>
        </is>
      </c>
      <c r="W286" s="13" t="n">
        <v>12.898</v>
      </c>
      <c r="X286" s="11" t="n">
        <v>-1.367188711428128</v>
      </c>
      <c r="Y286" s="11" t="n">
        <v>3.965880217785844</v>
      </c>
      <c r="Z286" s="13" t="n">
        <v>19.245</v>
      </c>
      <c r="AA286" s="8" t="inlineStr">
        <is>
          <t>net income + D&amp;A - capex - change in operating working capital (cash and short-term debt excluded)</t>
        </is>
      </c>
      <c r="AB286" s="10" t="n">
        <v>0.4534637134778511</v>
      </c>
      <c r="AC286" s="10" t="n">
        <v>0.2574458058435438</v>
      </c>
      <c r="AD286" s="12" t="n">
        <v>2792000000</v>
      </c>
    </row>
    <row r="287">
      <c r="A287" s="8" t="inlineStr">
        <is>
          <t>ORCL</t>
        </is>
      </c>
      <c r="B287" s="8" t="inlineStr">
        <is>
          <t>ORACLE CORP</t>
        </is>
      </c>
      <c r="C287" s="8" t="inlineStr">
        <is>
          <t>STANDARD</t>
        </is>
      </c>
      <c r="D287" s="8" t="n">
        <v>2022</v>
      </c>
      <c r="E287" s="8" t="inlineStr">
        <is>
          <t>2023-05-31</t>
        </is>
      </c>
      <c r="F287" s="8" t="inlineStr">
        <is>
          <t>0000950170-25-087926</t>
        </is>
      </c>
      <c r="G287" s="13" t="n">
        <v>49.954</v>
      </c>
      <c r="H287" s="13" t="n">
        <v>13.093</v>
      </c>
      <c r="I287" s="8" t="inlineStr">
        <is>
          <t>reported OperatingIncomeLoss (no interest expense tagged)</t>
        </is>
      </c>
      <c r="J287" s="13" t="n">
        <v>8.503</v>
      </c>
      <c r="K287" s="10" t="n">
        <v>0.21</v>
      </c>
      <c r="L287" s="13" t="n">
        <v>10.34347</v>
      </c>
      <c r="M287" s="13" t="n">
        <v>-4.631</v>
      </c>
      <c r="N287" s="13" t="n">
        <v>-14.2425</v>
      </c>
      <c r="O287" s="10" t="n"/>
      <c r="P287" s="8" t="inlineStr">
        <is>
          <t>NOT_MEANINGFUL_NEGATIVE_INVESTED_CAPITAL</t>
        </is>
      </c>
      <c r="Q287" s="10" t="n">
        <v>-3.304060617835632</v>
      </c>
      <c r="R287" s="10" t="n"/>
      <c r="S287" s="13" t="n">
        <v>1.073</v>
      </c>
      <c r="T287" s="13" t="n">
        <v>9.765000000000001</v>
      </c>
      <c r="U287" s="13" t="n">
        <v>4.061</v>
      </c>
      <c r="V287" s="8" t="inlineStr">
        <is>
          <t>short-term only (no long-term debt tagged; read as nil)</t>
        </is>
      </c>
      <c r="W287" s="13" t="n">
        <v>15.619</v>
      </c>
      <c r="X287" s="11" t="n">
        <v>-0.3651962353543761</v>
      </c>
      <c r="Y287" s="11" t="n">
        <v>3.735520684736091</v>
      </c>
      <c r="Z287" s="13" t="n">
        <v>4.612</v>
      </c>
      <c r="AA287" s="8" t="inlineStr">
        <is>
          <t>net income + D&amp;A - capex - change in operating working capital (cash and short-term debt excluded)</t>
        </is>
      </c>
      <c r="AB287" s="10" t="n">
        <v>0.09232493894382832</v>
      </c>
      <c r="AC287" s="10" t="n">
        <v>0.262101133042399</v>
      </c>
      <c r="AD287" s="12" t="n">
        <v>2664926000</v>
      </c>
    </row>
    <row r="288">
      <c r="A288" s="8" t="inlineStr">
        <is>
          <t>ORCL</t>
        </is>
      </c>
      <c r="B288" s="8" t="inlineStr">
        <is>
          <t>ORACLE CORP</t>
        </is>
      </c>
      <c r="C288" s="8" t="inlineStr">
        <is>
          <t>STANDARD</t>
        </is>
      </c>
      <c r="D288" s="8" t="n">
        <v>2023</v>
      </c>
      <c r="E288" s="8" t="inlineStr">
        <is>
          <t>2024-05-31</t>
        </is>
      </c>
      <c r="F288" s="8" t="inlineStr">
        <is>
          <t>0001193125-26-277521</t>
        </is>
      </c>
      <c r="G288" s="13" t="n">
        <v>52.961</v>
      </c>
      <c r="H288" s="13" t="n">
        <v>15.353</v>
      </c>
      <c r="I288" s="8" t="inlineStr">
        <is>
          <t>reported OperatingIncomeLoss (no interest expense tagged)</t>
        </is>
      </c>
      <c r="J288" s="13" t="n">
        <v>10.467</v>
      </c>
      <c r="K288" s="10" t="n">
        <v>0.21</v>
      </c>
      <c r="L288" s="13" t="n">
        <v>12.12887</v>
      </c>
      <c r="M288" s="13" t="n">
        <v>8.855</v>
      </c>
      <c r="N288" s="13" t="n">
        <v>2.112</v>
      </c>
      <c r="O288" s="10" t="n">
        <v>5.742836174242425</v>
      </c>
      <c r="P288" s="8" t="inlineStr">
        <is>
          <t>UNSTABLE_MINIMAL_INVESTED_CAPITAL</t>
        </is>
      </c>
      <c r="Q288" s="10" t="n">
        <v>2.14114759128567</v>
      </c>
      <c r="R288" s="10" t="n">
        <v>-3.601688582956754</v>
      </c>
      <c r="S288" s="13" t="n">
        <v>8.704000000000001</v>
      </c>
      <c r="T288" s="13" t="n">
        <v>10.454</v>
      </c>
      <c r="U288" s="13" t="n">
        <v>10.605</v>
      </c>
      <c r="V288" s="8" t="inlineStr">
        <is>
          <t>short-term only (no long-term debt tagged; read as nil)</t>
        </is>
      </c>
      <c r="W288" s="13" t="n">
        <v>18.482</v>
      </c>
      <c r="X288" s="11" t="n">
        <v>0.008170111459798722</v>
      </c>
      <c r="Y288" s="11" t="n">
        <v>4.369095048377917</v>
      </c>
      <c r="Z288" s="13" t="n">
        <v>7.779</v>
      </c>
      <c r="AA288" s="8" t="inlineStr">
        <is>
          <t>net income + D&amp;A - capex - change in operating working capital (cash and short-term debt excluded)</t>
        </is>
      </c>
      <c r="AB288" s="10" t="n">
        <v>0.1468816676422273</v>
      </c>
      <c r="AC288" s="10" t="n">
        <v>0.2898925624516153</v>
      </c>
      <c r="AD288" s="12" t="n">
        <v>2714259000</v>
      </c>
    </row>
    <row r="289">
      <c r="A289" s="8" t="inlineStr">
        <is>
          <t>ORCL</t>
        </is>
      </c>
      <c r="B289" s="8" t="inlineStr">
        <is>
          <t>ORACLE CORP</t>
        </is>
      </c>
      <c r="C289" s="8" t="inlineStr">
        <is>
          <t>STANDARD</t>
        </is>
      </c>
      <c r="D289" s="8" t="n">
        <v>2024</v>
      </c>
      <c r="E289" s="8" t="inlineStr">
        <is>
          <t>2025-05-31</t>
        </is>
      </c>
      <c r="F289" s="8" t="inlineStr">
        <is>
          <t>0001193125-26-277521</t>
        </is>
      </c>
      <c r="G289" s="13" t="n">
        <v>57.399</v>
      </c>
      <c r="H289" s="13" t="n">
        <v>17.678</v>
      </c>
      <c r="I289" s="8" t="inlineStr">
        <is>
          <t>reported OperatingIncomeLoss (no interest expense tagged)</t>
        </is>
      </c>
      <c r="J289" s="13" t="n">
        <v>12.443</v>
      </c>
      <c r="K289" s="10" t="n">
        <v>0.21</v>
      </c>
      <c r="L289" s="13" t="n">
        <v>13.96562</v>
      </c>
      <c r="M289" s="13" t="n">
        <v>16.936</v>
      </c>
      <c r="N289" s="13" t="n">
        <v>12.8955</v>
      </c>
      <c r="O289" s="10" t="n">
        <v>1.082983986662014</v>
      </c>
      <c r="P289" s="8" t="inlineStr">
        <is>
          <t>OK</t>
        </is>
      </c>
      <c r="Q289" s="10" t="n">
        <v>0.8535757160006859</v>
      </c>
      <c r="R289" s="10" t="n">
        <v>-0.229408270661328</v>
      </c>
      <c r="S289" s="13" t="n">
        <v>20.451</v>
      </c>
      <c r="T289" s="13" t="n">
        <v>10.786</v>
      </c>
      <c r="U289" s="13" t="n">
        <v>7.271</v>
      </c>
      <c r="V289" s="8" t="inlineStr">
        <is>
          <t>short-term only (no long-term debt tagged; read as nil)</t>
        </is>
      </c>
      <c r="W289" s="13" t="n">
        <v>21.545</v>
      </c>
      <c r="X289" s="11" t="n">
        <v>-0.163146901833372</v>
      </c>
      <c r="Y289" s="11" t="n">
        <v>4.940749021799888</v>
      </c>
      <c r="Z289" s="13" t="n">
        <v>-2.165</v>
      </c>
      <c r="AA289" s="8" t="inlineStr">
        <is>
          <t>net income + D&amp;A - capex - change in operating working capital (cash and short-term debt excluded)</t>
        </is>
      </c>
      <c r="AB289" s="10" t="n">
        <v>-0.03771842715029879</v>
      </c>
      <c r="AC289" s="10" t="n">
        <v>0.3079844596595759</v>
      </c>
      <c r="AD289" s="12" t="n">
        <v>2755860000</v>
      </c>
    </row>
    <row r="290">
      <c r="A290" s="8" t="inlineStr">
        <is>
          <t>ORCL</t>
        </is>
      </c>
      <c r="B290" s="8" t="inlineStr">
        <is>
          <t>ORACLE CORP</t>
        </is>
      </c>
      <c r="C290" s="8" t="inlineStr">
        <is>
          <t>STANDARD</t>
        </is>
      </c>
      <c r="D290" s="8" t="n">
        <v>2025</v>
      </c>
      <c r="E290" s="8" t="inlineStr">
        <is>
          <t>2026-05-31</t>
        </is>
      </c>
      <c r="F290" s="8" t="inlineStr">
        <is>
          <t>0001193125-26-277521</t>
        </is>
      </c>
      <c r="G290" s="13" t="n">
        <v>67.357</v>
      </c>
      <c r="H290" s="13" t="n">
        <v>20.606</v>
      </c>
      <c r="I290" s="8" t="inlineStr">
        <is>
          <t>reported OperatingIncomeLoss (no interest expense tagged)</t>
        </is>
      </c>
      <c r="J290" s="13" t="n">
        <v>17.087</v>
      </c>
      <c r="K290" s="10" t="n">
        <v>0.21</v>
      </c>
      <c r="L290" s="13" t="n">
        <v>16.27874</v>
      </c>
      <c r="M290" s="13" t="n">
        <v>18.418</v>
      </c>
      <c r="N290" s="13" t="n">
        <v>17.677</v>
      </c>
      <c r="O290" s="10" t="n">
        <v>0.9208994738926288</v>
      </c>
      <c r="P290" s="8" t="inlineStr">
        <is>
          <t>OK</t>
        </is>
      </c>
      <c r="Q290" s="10" t="n">
        <v>0.542797693737194</v>
      </c>
      <c r="R290" s="10" t="n">
        <v>-0.3781017801554348</v>
      </c>
      <c r="S290" s="13" t="n">
        <v>42.508</v>
      </c>
      <c r="T290" s="13" t="n">
        <v>31.289</v>
      </c>
      <c r="U290" s="13" t="n">
        <v>7.199</v>
      </c>
      <c r="V290" s="8" t="inlineStr">
        <is>
          <t>short-term only (no long-term debt tagged; read as nil)</t>
        </is>
      </c>
      <c r="W290" s="13" t="n">
        <v>28.229</v>
      </c>
      <c r="X290" s="11" t="n">
        <v>-0.8533777321194517</v>
      </c>
      <c r="Y290" s="11" t="n">
        <v>4.480539247662535</v>
      </c>
      <c r="Z290" s="13" t="n">
        <v>-23.245</v>
      </c>
      <c r="AA290" s="8" t="inlineStr">
        <is>
          <t>net income + D&amp;A - capex - change in operating working capital (cash and short-term debt excluded)</t>
        </is>
      </c>
      <c r="AB290" s="10" t="n">
        <v>-0.3451014742343038</v>
      </c>
      <c r="AC290" s="10" t="n">
        <v>0.3059221758688778</v>
      </c>
      <c r="AD290" s="12" t="n">
        <v>2808833000</v>
      </c>
    </row>
    <row r="291">
      <c r="A291" s="8" t="inlineStr">
        <is>
          <t>COST</t>
        </is>
      </c>
      <c r="B291" s="8" t="inlineStr">
        <is>
          <t>COSTCO WHOLESALE CORP /NEW</t>
        </is>
      </c>
      <c r="C291" s="8" t="inlineStr">
        <is>
          <t>STANDARD</t>
        </is>
      </c>
      <c r="D291" s="8" t="n">
        <v>2014</v>
      </c>
      <c r="E291" s="8" t="inlineStr">
        <is>
          <t>2014-08-31</t>
        </is>
      </c>
      <c r="F291" s="8" t="inlineStr">
        <is>
          <t>0000909832-16-000032</t>
        </is>
      </c>
      <c r="G291" s="13" t="n"/>
      <c r="H291" s="13" t="n">
        <v>3.31</v>
      </c>
      <c r="I291" s="8" t="inlineStr">
        <is>
          <t>pretax_income + interest_expense</t>
        </is>
      </c>
      <c r="J291" s="13" t="n">
        <v>2.058</v>
      </c>
      <c r="K291" s="10" t="n">
        <v>0.3468877072255239</v>
      </c>
      <c r="L291" s="13" t="n">
        <v>2.161801689083516</v>
      </c>
      <c r="M291" s="13" t="n">
        <v>11.658</v>
      </c>
      <c r="N291" s="13" t="n">
        <v>11.658</v>
      </c>
      <c r="O291" s="10" t="n">
        <v>0.1854350393792688</v>
      </c>
      <c r="P291" s="8" t="inlineStr">
        <is>
          <t>OK</t>
        </is>
      </c>
      <c r="Q291" s="10" t="n">
        <v>0.1672762740794928</v>
      </c>
      <c r="R291" s="10" t="n">
        <v>-0.01815876529977603</v>
      </c>
      <c r="S291" s="13" t="n">
        <v>12.303</v>
      </c>
      <c r="T291" s="13" t="n">
        <v>5.738</v>
      </c>
      <c r="U291" s="13" t="n">
        <v>5.093</v>
      </c>
      <c r="V291" s="8" t="inlineStr">
        <is>
          <t>short-term + long-term</t>
        </is>
      </c>
      <c r="W291" s="13" t="n">
        <v>4.339</v>
      </c>
      <c r="X291" s="11" t="n">
        <v>-0.1486517630790505</v>
      </c>
      <c r="Y291" s="11" t="n">
        <v>29.29203539823009</v>
      </c>
      <c r="Z291" s="13" t="n">
        <v>1.991</v>
      </c>
      <c r="AA291" s="8" t="inlineStr">
        <is>
          <t>operating cash flow - capex (working-capital swing already embedded)</t>
        </is>
      </c>
      <c r="AB291" s="10" t="n"/>
      <c r="AC291" s="10" t="n"/>
      <c r="AD291" s="12" t="n">
        <v>437683000</v>
      </c>
    </row>
    <row r="292">
      <c r="A292" s="8" t="inlineStr">
        <is>
          <t>COST</t>
        </is>
      </c>
      <c r="B292" s="8" t="inlineStr">
        <is>
          <t>COSTCO WHOLESALE CORP /NEW</t>
        </is>
      </c>
      <c r="C292" s="8" t="inlineStr">
        <is>
          <t>STANDARD</t>
        </is>
      </c>
      <c r="D292" s="8" t="n">
        <v>2015</v>
      </c>
      <c r="E292" s="8" t="inlineStr">
        <is>
          <t>2015-08-30</t>
        </is>
      </c>
      <c r="F292" s="8" t="inlineStr">
        <is>
          <t>0000909832-17-000014</t>
        </is>
      </c>
      <c r="G292" s="13" t="n"/>
      <c r="H292" s="13" t="n">
        <v>3.728</v>
      </c>
      <c r="I292" s="8" t="inlineStr">
        <is>
          <t>pretax_income + interest_expense</t>
        </is>
      </c>
      <c r="J292" s="13" t="n">
        <v>2.377</v>
      </c>
      <c r="K292" s="10" t="n">
        <v>0.3315760266370699</v>
      </c>
      <c r="L292" s="13" t="n">
        <v>2.491884572697003</v>
      </c>
      <c r="M292" s="13" t="n">
        <v>11.951</v>
      </c>
      <c r="N292" s="13" t="n">
        <v>11.8045</v>
      </c>
      <c r="O292" s="10" t="n">
        <v>0.2110961559318059</v>
      </c>
      <c r="P292" s="8" t="inlineStr">
        <is>
          <t>OK</t>
        </is>
      </c>
      <c r="Q292" s="10" t="n">
        <v>0.2074171029668412</v>
      </c>
      <c r="R292" s="10" t="n">
        <v>-0.003679052964964763</v>
      </c>
      <c r="S292" s="13" t="n">
        <v>10.617</v>
      </c>
      <c r="T292" s="13" t="n">
        <v>4.801</v>
      </c>
      <c r="U292" s="13" t="n">
        <v>6.135</v>
      </c>
      <c r="V292" s="8" t="inlineStr">
        <is>
          <t>short-term + long-term</t>
        </is>
      </c>
      <c r="W292" s="13" t="n">
        <v>4.855</v>
      </c>
      <c r="X292" s="11" t="n">
        <v>0.274768280123584</v>
      </c>
      <c r="Y292" s="11" t="n">
        <v>30.06451612903226</v>
      </c>
      <c r="Z292" s="13" t="n">
        <v>1.827</v>
      </c>
      <c r="AA292" s="8" t="inlineStr">
        <is>
          <t>net income + D&amp;A - capex - change in operating working capital (cash and short-term debt excluded)</t>
        </is>
      </c>
      <c r="AB292" s="10" t="n"/>
      <c r="AC292" s="10" t="n"/>
      <c r="AD292" s="12" t="n">
        <v>437952000</v>
      </c>
    </row>
    <row r="293">
      <c r="A293" s="8" t="inlineStr">
        <is>
          <t>COST</t>
        </is>
      </c>
      <c r="B293" s="8" t="inlineStr">
        <is>
          <t>COSTCO WHOLESALE CORP /NEW</t>
        </is>
      </c>
      <c r="C293" s="8" t="inlineStr">
        <is>
          <t>STANDARD</t>
        </is>
      </c>
      <c r="D293" s="8" t="n">
        <v>2016</v>
      </c>
      <c r="E293" s="8" t="inlineStr">
        <is>
          <t>2016-08-28</t>
        </is>
      </c>
      <c r="F293" s="8" t="inlineStr">
        <is>
          <t>0000909832-18-000013</t>
        </is>
      </c>
      <c r="G293" s="13" t="n">
        <v>118.719</v>
      </c>
      <c r="H293" s="13" t="n">
        <v>3.752</v>
      </c>
      <c r="I293" s="8" t="inlineStr">
        <is>
          <t>pretax_income + interest_expense</t>
        </is>
      </c>
      <c r="J293" s="13" t="n">
        <v>2.35</v>
      </c>
      <c r="K293" s="10" t="n">
        <v>0.3434650455927052</v>
      </c>
      <c r="L293" s="13" t="n">
        <v>2.46331914893617</v>
      </c>
      <c r="M293" s="13" t="n">
        <v>13.861</v>
      </c>
      <c r="N293" s="13" t="n">
        <v>12.906</v>
      </c>
      <c r="O293" s="10" t="n">
        <v>0.190866197810024</v>
      </c>
      <c r="P293" s="8" t="inlineStr">
        <is>
          <t>OK</t>
        </is>
      </c>
      <c r="Q293" s="10" t="n">
        <v>0.2070849488896722</v>
      </c>
      <c r="R293" s="10" t="n">
        <v>0.01621875107964815</v>
      </c>
      <c r="S293" s="13" t="n">
        <v>12.079</v>
      </c>
      <c r="T293" s="13" t="n">
        <v>3.379</v>
      </c>
      <c r="U293" s="13" t="n">
        <v>5.161</v>
      </c>
      <c r="V293" s="8" t="inlineStr">
        <is>
          <t>short-term + long-term</t>
        </is>
      </c>
      <c r="W293" s="13" t="n">
        <v>5.007</v>
      </c>
      <c r="X293" s="11" t="n">
        <v>0.3559017375674056</v>
      </c>
      <c r="Y293" s="11" t="n">
        <v>28.21052631578947</v>
      </c>
      <c r="Z293" s="13" t="n">
        <v>0.314</v>
      </c>
      <c r="AA293" s="8" t="inlineStr">
        <is>
          <t>net income + D&amp;A - capex - change in operating working capital (cash and short-term debt excluded)</t>
        </is>
      </c>
      <c r="AB293" s="10" t="n">
        <v>0.002644900984678105</v>
      </c>
      <c r="AC293" s="10" t="n">
        <v>0.03160403979144029</v>
      </c>
      <c r="AD293" s="12" t="n">
        <v>437524000</v>
      </c>
    </row>
    <row r="294">
      <c r="A294" s="8" t="inlineStr">
        <is>
          <t>COST</t>
        </is>
      </c>
      <c r="B294" s="8" t="inlineStr">
        <is>
          <t>COSTCO WHOLESALE CORP /NEW</t>
        </is>
      </c>
      <c r="C294" s="8" t="inlineStr">
        <is>
          <t>STANDARD</t>
        </is>
      </c>
      <c r="D294" s="8" t="n">
        <v>2017</v>
      </c>
      <c r="E294" s="8" t="inlineStr">
        <is>
          <t>2017-09-03</t>
        </is>
      </c>
      <c r="F294" s="8" t="inlineStr">
        <is>
          <t>0000909832-19-000019</t>
        </is>
      </c>
      <c r="G294" s="13" t="n">
        <v>129.025</v>
      </c>
      <c r="H294" s="13" t="n">
        <v>4.173</v>
      </c>
      <c r="I294" s="8" t="inlineStr">
        <is>
          <t>pretax_income + interest_expense</t>
        </is>
      </c>
      <c r="J294" s="13" t="n">
        <v>2.679</v>
      </c>
      <c r="K294" s="10" t="n">
        <v>0.3280514978955187</v>
      </c>
      <c r="L294" s="13" t="n">
        <v>2.804041099282001</v>
      </c>
      <c r="M294" s="13" t="n">
        <v>12.891</v>
      </c>
      <c r="N294" s="13" t="n">
        <v>13.376</v>
      </c>
      <c r="O294" s="10" t="n">
        <v>0.2096322592166567</v>
      </c>
      <c r="P294" s="8" t="inlineStr">
        <is>
          <t>OK</t>
        </is>
      </c>
      <c r="Q294" s="10" t="n">
        <v>0.2344139650872818</v>
      </c>
      <c r="R294" s="10" t="n">
        <v>0.02478170587062506</v>
      </c>
      <c r="S294" s="13" t="n">
        <v>10.778</v>
      </c>
      <c r="T294" s="13" t="n">
        <v>4.546</v>
      </c>
      <c r="U294" s="13" t="n">
        <v>6.659</v>
      </c>
      <c r="V294" s="8" t="inlineStr">
        <is>
          <t>short-term + long-term</t>
        </is>
      </c>
      <c r="W294" s="13" t="n">
        <v>5.543</v>
      </c>
      <c r="X294" s="11" t="n">
        <v>0.3812015154248602</v>
      </c>
      <c r="Y294" s="11" t="n">
        <v>31.14179104477612</v>
      </c>
      <c r="Z294" s="13" t="n">
        <v>3.549</v>
      </c>
      <c r="AA294" s="8" t="inlineStr">
        <is>
          <t>net income + D&amp;A - capex - change in operating working capital (cash and short-term debt excluded)</t>
        </is>
      </c>
      <c r="AB294" s="10" t="n">
        <v>0.02750629722921914</v>
      </c>
      <c r="AC294" s="10" t="n">
        <v>0.03234256926952141</v>
      </c>
      <c r="AD294" s="12" t="n">
        <v>437204000</v>
      </c>
    </row>
    <row r="295">
      <c r="A295" s="8" t="inlineStr">
        <is>
          <t>COST</t>
        </is>
      </c>
      <c r="B295" s="8" t="inlineStr">
        <is>
          <t>COSTCO WHOLESALE CORP /NEW</t>
        </is>
      </c>
      <c r="C295" s="8" t="inlineStr">
        <is>
          <t>STANDARD</t>
        </is>
      </c>
      <c r="D295" s="8" t="n">
        <v>2018</v>
      </c>
      <c r="E295" s="8" t="inlineStr">
        <is>
          <t>2018-09-02</t>
        </is>
      </c>
      <c r="F295" s="8" t="inlineStr">
        <is>
          <t>0000909832-20-000017</t>
        </is>
      </c>
      <c r="G295" s="13" t="n">
        <v>141.576</v>
      </c>
      <c r="H295" s="13" t="n">
        <v>4.601</v>
      </c>
      <c r="I295" s="8" t="inlineStr">
        <is>
          <t>pretax_income + interest_expense</t>
        </is>
      </c>
      <c r="J295" s="13" t="n">
        <v>3.134</v>
      </c>
      <c r="K295" s="10" t="n">
        <v>0.2843313822602431</v>
      </c>
      <c r="L295" s="13" t="n">
        <v>3.292791310220621</v>
      </c>
      <c r="M295" s="13" t="n">
        <v>13.321</v>
      </c>
      <c r="N295" s="13" t="n">
        <v>13.106</v>
      </c>
      <c r="O295" s="10" t="n">
        <v>0.2512430421349475</v>
      </c>
      <c r="P295" s="8" t="inlineStr">
        <is>
          <t>UNSTABLE_MINIMAL_INVESTED_CAPITAL</t>
        </is>
      </c>
      <c r="Q295" s="10" t="n">
        <v>0.2658523136955507</v>
      </c>
      <c r="R295" s="10" t="n">
        <v>0.01460927156060327</v>
      </c>
      <c r="S295" s="13" t="n">
        <v>12.799</v>
      </c>
      <c r="T295" s="13" t="n">
        <v>6.055</v>
      </c>
      <c r="U295" s="13" t="n">
        <v>6.577</v>
      </c>
      <c r="V295" s="8" t="inlineStr">
        <is>
          <t>short-term + long-term</t>
        </is>
      </c>
      <c r="W295" s="13" t="n">
        <v>6.038</v>
      </c>
      <c r="X295" s="11" t="n">
        <v>0.08645246770453793</v>
      </c>
      <c r="Y295" s="11" t="n">
        <v>28.93710691823899</v>
      </c>
      <c r="Z295" s="13" t="n">
        <v>2.566</v>
      </c>
      <c r="AA295" s="8" t="inlineStr">
        <is>
          <t>net income + D&amp;A - capex - change in operating working capital (cash and short-term debt excluded)</t>
        </is>
      </c>
      <c r="AB295" s="10" t="n">
        <v>0.01812454088263548</v>
      </c>
      <c r="AC295" s="10" t="n">
        <v>0.03249844606430469</v>
      </c>
      <c r="AD295" s="12" t="n">
        <v>438189000</v>
      </c>
    </row>
    <row r="296">
      <c r="A296" s="8" t="inlineStr">
        <is>
          <t>COST</t>
        </is>
      </c>
      <c r="B296" s="8" t="inlineStr">
        <is>
          <t>COSTCO WHOLESALE CORP /NEW</t>
        </is>
      </c>
      <c r="C296" s="8" t="inlineStr">
        <is>
          <t>STANDARD</t>
        </is>
      </c>
      <c r="D296" s="8" t="n">
        <v>2019</v>
      </c>
      <c r="E296" s="8" t="inlineStr">
        <is>
          <t>2019-09-01</t>
        </is>
      </c>
      <c r="F296" s="8" t="inlineStr">
        <is>
          <t>0000909832-21-000014</t>
        </is>
      </c>
      <c r="G296" s="13" t="n">
        <v>152.703</v>
      </c>
      <c r="H296" s="13" t="n">
        <v>4.915</v>
      </c>
      <c r="I296" s="8" t="inlineStr">
        <is>
          <t>pretax_income + interest_expense</t>
        </is>
      </c>
      <c r="J296" s="13" t="n">
        <v>3.659</v>
      </c>
      <c r="K296" s="10" t="n">
        <v>0.2226652675760755</v>
      </c>
      <c r="L296" s="13" t="n">
        <v>3.820600209863589</v>
      </c>
      <c r="M296" s="13" t="n">
        <v>13.682</v>
      </c>
      <c r="N296" s="13" t="n">
        <v>13.5015</v>
      </c>
      <c r="O296" s="10" t="n">
        <v>0.2829759811771721</v>
      </c>
      <c r="P296" s="8" t="inlineStr">
        <is>
          <t>UNSTABLE_MINIMAL_INVESTED_CAPITAL</t>
        </is>
      </c>
      <c r="Q296" s="10" t="n">
        <v>0.2609656943156693</v>
      </c>
      <c r="R296" s="10" t="n">
        <v>-0.02201028686150275</v>
      </c>
      <c r="S296" s="13" t="n">
        <v>15.243</v>
      </c>
      <c r="T296" s="13" t="n">
        <v>8.384</v>
      </c>
      <c r="U296" s="13" t="n">
        <v>6.823</v>
      </c>
      <c r="V296" s="8" t="inlineStr">
        <is>
          <t>short-term + long-term</t>
        </is>
      </c>
      <c r="W296" s="13" t="n">
        <v>6.407</v>
      </c>
      <c r="X296" s="11" t="n">
        <v>-0.2436397690026534</v>
      </c>
      <c r="Y296" s="11" t="n">
        <v>32.76666666666667</v>
      </c>
      <c r="Z296" s="13" t="n">
        <v>2.988</v>
      </c>
      <c r="AA296" s="8" t="inlineStr">
        <is>
          <t>net income + D&amp;A - capex - change in operating working capital (cash and short-term debt excluded)</t>
        </is>
      </c>
      <c r="AB296" s="10" t="n">
        <v>0.01956739553250427</v>
      </c>
      <c r="AC296" s="10" t="n">
        <v>0.03218666299941717</v>
      </c>
      <c r="AD296" s="12" t="n">
        <v>439625000</v>
      </c>
    </row>
    <row r="297">
      <c r="A297" s="8" t="inlineStr">
        <is>
          <t>COST</t>
        </is>
      </c>
      <c r="B297" s="8" t="inlineStr">
        <is>
          <t>COSTCO WHOLESALE CORP /NEW</t>
        </is>
      </c>
      <c r="C297" s="8" t="inlineStr">
        <is>
          <t>STANDARD</t>
        </is>
      </c>
      <c r="D297" s="8" t="n">
        <v>2020</v>
      </c>
      <c r="E297" s="8" t="inlineStr">
        <is>
          <t>2020-08-30</t>
        </is>
      </c>
      <c r="F297" s="8" t="inlineStr">
        <is>
          <t>0000909832-22-000021</t>
        </is>
      </c>
      <c r="G297" s="13" t="n">
        <v>166.761</v>
      </c>
      <c r="H297" s="13" t="n">
        <v>5.527</v>
      </c>
      <c r="I297" s="8" t="inlineStr">
        <is>
          <t>pretax_income + interest_expense</t>
        </is>
      </c>
      <c r="J297" s="13" t="n">
        <v>4.002</v>
      </c>
      <c r="K297" s="10" t="n">
        <v>0.2437115707098938</v>
      </c>
      <c r="L297" s="13" t="n">
        <v>4.180006148686418</v>
      </c>
      <c r="M297" s="13" t="n">
        <v>13.616</v>
      </c>
      <c r="N297" s="13" t="n">
        <v>13.649</v>
      </c>
      <c r="O297" s="10" t="n">
        <v>0.3062499925772157</v>
      </c>
      <c r="P297" s="8" t="inlineStr">
        <is>
          <t>UNSTABLE_MINIMAL_INVESTED_CAPITAL</t>
        </is>
      </c>
      <c r="Q297" s="10" t="n">
        <v>0.2387329614937215</v>
      </c>
      <c r="R297" s="10" t="n">
        <v>-0.06751703108349422</v>
      </c>
      <c r="S297" s="13" t="n">
        <v>18.284</v>
      </c>
      <c r="T297" s="13" t="n">
        <v>12.277</v>
      </c>
      <c r="U297" s="13" t="n">
        <v>7.609</v>
      </c>
      <c r="V297" s="8" t="inlineStr">
        <is>
          <t>short-term + long-term</t>
        </is>
      </c>
      <c r="W297" s="13" t="n">
        <v>7.172</v>
      </c>
      <c r="X297" s="11" t="n">
        <v>-0.6508644729503625</v>
      </c>
      <c r="Y297" s="11" t="n">
        <v>34.54375</v>
      </c>
      <c r="Z297" s="13" t="n">
        <v>5.306</v>
      </c>
      <c r="AA297" s="8" t="inlineStr">
        <is>
          <t>net income + D&amp;A - capex - change in operating working capital (cash and short-term debt excluded)</t>
        </is>
      </c>
      <c r="AB297" s="10" t="n">
        <v>0.03181799101708433</v>
      </c>
      <c r="AC297" s="10" t="n">
        <v>0.03314324092563609</v>
      </c>
      <c r="AD297" s="12" t="n">
        <v>441255000</v>
      </c>
    </row>
    <row r="298">
      <c r="A298" s="8" t="inlineStr">
        <is>
          <t>COST</t>
        </is>
      </c>
      <c r="B298" s="8" t="inlineStr">
        <is>
          <t>COSTCO WHOLESALE CORP /NEW</t>
        </is>
      </c>
      <c r="C298" s="8" t="inlineStr">
        <is>
          <t>STANDARD</t>
        </is>
      </c>
      <c r="D298" s="8" t="n">
        <v>2021</v>
      </c>
      <c r="E298" s="8" t="inlineStr">
        <is>
          <t>2021-08-29</t>
        </is>
      </c>
      <c r="F298" s="8" t="inlineStr">
        <is>
          <t>0000909832-23-000042</t>
        </is>
      </c>
      <c r="G298" s="13" t="n">
        <v>195.929</v>
      </c>
      <c r="H298" s="13" t="n">
        <v>6.851</v>
      </c>
      <c r="I298" s="8" t="inlineStr">
        <is>
          <t>pretax_income + interest_expense</t>
        </is>
      </c>
      <c r="J298" s="13" t="n">
        <v>5.007</v>
      </c>
      <c r="K298" s="10" t="n">
        <v>0.2396706586826347</v>
      </c>
      <c r="L298" s="13" t="n">
        <v>5.209016317365269</v>
      </c>
      <c r="M298" s="13" t="n">
        <v>13.797</v>
      </c>
      <c r="N298" s="13" t="n">
        <v>13.7065</v>
      </c>
      <c r="O298" s="10" t="n">
        <v>0.3800398582690891</v>
      </c>
      <c r="P298" s="8" t="inlineStr">
        <is>
          <t>UNSTABLE_MINIMAL_INVESTED_CAPITAL</t>
        </is>
      </c>
      <c r="Q298" s="10" t="n">
        <v>0.2793461280964071</v>
      </c>
      <c r="R298" s="10" t="n">
        <v>-0.100693730172682</v>
      </c>
      <c r="S298" s="13" t="n">
        <v>17.564</v>
      </c>
      <c r="T298" s="13" t="n">
        <v>11.258</v>
      </c>
      <c r="U298" s="13" t="n">
        <v>7.491</v>
      </c>
      <c r="V298" s="8" t="inlineStr">
        <is>
          <t>short-term + long-term</t>
        </is>
      </c>
      <c r="W298" s="13" t="n">
        <v>8.632</v>
      </c>
      <c r="X298" s="11" t="n">
        <v>-0.4363994439295644</v>
      </c>
      <c r="Y298" s="11" t="n">
        <v>40.06432748538012</v>
      </c>
      <c r="Z298" s="13" t="n">
        <v>4.689</v>
      </c>
      <c r="AA298" s="8" t="inlineStr">
        <is>
          <t>net income + D&amp;A - capex - change in operating working capital (cash and short-term debt excluded)</t>
        </is>
      </c>
      <c r="AB298" s="10" t="n">
        <v>0.02393213868289023</v>
      </c>
      <c r="AC298" s="10" t="n">
        <v>0.0349667481587718</v>
      </c>
      <c r="AD298" s="12" t="n">
        <v>441825000</v>
      </c>
    </row>
    <row r="299">
      <c r="A299" s="8" t="inlineStr">
        <is>
          <t>COST</t>
        </is>
      </c>
      <c r="B299" s="8" t="inlineStr">
        <is>
          <t>COSTCO WHOLESALE CORP /NEW</t>
        </is>
      </c>
      <c r="C299" s="8" t="inlineStr">
        <is>
          <t>STANDARD</t>
        </is>
      </c>
      <c r="D299" s="8" t="n">
        <v>2022</v>
      </c>
      <c r="E299" s="8" t="inlineStr">
        <is>
          <t>2022-08-28</t>
        </is>
      </c>
      <c r="F299" s="8" t="inlineStr">
        <is>
          <t>0000909832-24-000049</t>
        </is>
      </c>
      <c r="G299" s="13" t="n">
        <v>226.954</v>
      </c>
      <c r="H299" s="13" t="n">
        <v>7.998</v>
      </c>
      <c r="I299" s="8" t="inlineStr">
        <is>
          <t>pretax_income + interest_expense</t>
        </is>
      </c>
      <c r="J299" s="13" t="n">
        <v>5.844</v>
      </c>
      <c r="K299" s="10" t="n">
        <v>0.2455357142857143</v>
      </c>
      <c r="L299" s="13" t="n">
        <v>6.034205357142857</v>
      </c>
      <c r="M299" s="13" t="n">
        <v>16.996</v>
      </c>
      <c r="N299" s="13" t="n">
        <v>15.3965</v>
      </c>
      <c r="O299" s="10" t="n">
        <v>0.3919205895588515</v>
      </c>
      <c r="P299" s="8" t="inlineStr">
        <is>
          <t>UNSTABLE_MINIMAL_INVESTED_CAPITAL</t>
        </is>
      </c>
      <c r="Q299" s="10" t="n">
        <v>0.3059205360414595</v>
      </c>
      <c r="R299" s="10" t="n">
        <v>-0.08600005351739198</v>
      </c>
      <c r="S299" s="13" t="n">
        <v>20.642</v>
      </c>
      <c r="T299" s="13" t="n">
        <v>10.203</v>
      </c>
      <c r="U299" s="13" t="n">
        <v>6.557</v>
      </c>
      <c r="V299" s="8" t="inlineStr">
        <is>
          <t>short-term + long-term</t>
        </is>
      </c>
      <c r="W299" s="13" t="n">
        <v>9.898</v>
      </c>
      <c r="X299" s="11" t="n">
        <v>-0.3683572438876541</v>
      </c>
      <c r="Y299" s="11" t="n">
        <v>50.62025316455696</v>
      </c>
      <c r="Z299" s="13" t="n">
        <v>2.89</v>
      </c>
      <c r="AA299" s="8" t="inlineStr">
        <is>
          <t>net income + D&amp;A - capex - change in operating working capital (cash and short-term debt excluded)</t>
        </is>
      </c>
      <c r="AB299" s="10" t="n">
        <v>0.01273385796240648</v>
      </c>
      <c r="AC299" s="10" t="n">
        <v>0.035240621447518</v>
      </c>
      <c r="AD299" s="12" t="n">
        <v>442664000</v>
      </c>
    </row>
    <row r="300">
      <c r="A300" s="8" t="inlineStr">
        <is>
          <t>COST</t>
        </is>
      </c>
      <c r="B300" s="8" t="inlineStr">
        <is>
          <t>COSTCO WHOLESALE CORP /NEW</t>
        </is>
      </c>
      <c r="C300" s="8" t="inlineStr">
        <is>
          <t>STANDARD</t>
        </is>
      </c>
      <c r="D300" s="8" t="n">
        <v>2023</v>
      </c>
      <c r="E300" s="8" t="inlineStr">
        <is>
          <t>2023-09-03</t>
        </is>
      </c>
      <c r="F300" s="8" t="inlineStr">
        <is>
          <t>0000909832-25-000101</t>
        </is>
      </c>
      <c r="G300" s="13" t="n">
        <v>242.29</v>
      </c>
      <c r="H300" s="13" t="n">
        <v>8.647</v>
      </c>
      <c r="I300" s="8" t="inlineStr">
        <is>
          <t>pretax_income + interest_expense</t>
        </is>
      </c>
      <c r="J300" s="13" t="n">
        <v>6.292</v>
      </c>
      <c r="K300" s="10" t="n">
        <v>0.258630847178037</v>
      </c>
      <c r="L300" s="13" t="n">
        <v>6.410619064451514</v>
      </c>
      <c r="M300" s="13" t="n">
        <v>17.816</v>
      </c>
      <c r="N300" s="13" t="n">
        <v>17.406</v>
      </c>
      <c r="O300" s="10" t="n">
        <v>0.3682993832271351</v>
      </c>
      <c r="P300" s="8" t="inlineStr">
        <is>
          <t>UNSTABLE_MINIMAL_INVESTED_CAPITAL</t>
        </is>
      </c>
      <c r="Q300" s="10" t="n">
        <v>0.2753610503282276</v>
      </c>
      <c r="R300" s="10" t="n">
        <v>-0.09293833289890757</v>
      </c>
      <c r="S300" s="13" t="n">
        <v>25.058</v>
      </c>
      <c r="T300" s="13" t="n">
        <v>13.7</v>
      </c>
      <c r="U300" s="13" t="n">
        <v>6.458</v>
      </c>
      <c r="V300" s="8" t="inlineStr">
        <is>
          <t>short-term + long-term</t>
        </is>
      </c>
      <c r="W300" s="13" t="n">
        <v>10.724</v>
      </c>
      <c r="X300" s="11" t="n">
        <v>-0.675307720999627</v>
      </c>
      <c r="Y300" s="11" t="n">
        <v>54.04375</v>
      </c>
      <c r="Z300" s="13" t="n">
        <v>4.937</v>
      </c>
      <c r="AA300" s="8" t="inlineStr">
        <is>
          <t>net income + D&amp;A - capex - change in operating working capital (cash and short-term debt excluded)</t>
        </is>
      </c>
      <c r="AB300" s="10" t="n">
        <v>0.02037640843617153</v>
      </c>
      <c r="AC300" s="10" t="n">
        <v>0.03568863758306162</v>
      </c>
      <c r="AD300" s="12" t="n">
        <v>442793000</v>
      </c>
    </row>
    <row r="301">
      <c r="A301" s="8" t="inlineStr">
        <is>
          <t>COST</t>
        </is>
      </c>
      <c r="B301" s="8" t="inlineStr">
        <is>
          <t>COSTCO WHOLESALE CORP /NEW</t>
        </is>
      </c>
      <c r="C301" s="8" t="inlineStr">
        <is>
          <t>STANDARD</t>
        </is>
      </c>
      <c r="D301" s="8" t="n">
        <v>2024</v>
      </c>
      <c r="E301" s="8" t="inlineStr">
        <is>
          <t>2024-09-01</t>
        </is>
      </c>
      <c r="F301" s="8" t="inlineStr">
        <is>
          <t>0000909832-25-000101</t>
        </is>
      </c>
      <c r="G301" s="13" t="n">
        <v>254.453</v>
      </c>
      <c r="H301" s="13" t="n">
        <v>9.909000000000001</v>
      </c>
      <c r="I301" s="8" t="inlineStr">
        <is>
          <t>pretax_income + interest_expense</t>
        </is>
      </c>
      <c r="J301" s="13" t="n">
        <v>7.367</v>
      </c>
      <c r="K301" s="10" t="n">
        <v>0.2436344969199179</v>
      </c>
      <c r="L301" s="13" t="n">
        <v>7.494825770020533</v>
      </c>
      <c r="M301" s="13" t="n">
        <v>19.613</v>
      </c>
      <c r="N301" s="13" t="n">
        <v>18.7145</v>
      </c>
      <c r="O301" s="10" t="n">
        <v>0.400482287532156</v>
      </c>
      <c r="P301" s="8" t="inlineStr">
        <is>
          <t>UNSTABLE_MINIMAL_INVESTED_CAPITAL</t>
        </is>
      </c>
      <c r="Q301" s="10" t="n">
        <v>0.302670501232539</v>
      </c>
      <c r="R301" s="10" t="n">
        <v>-0.09781178629961695</v>
      </c>
      <c r="S301" s="13" t="n">
        <v>23.622</v>
      </c>
      <c r="T301" s="13" t="n">
        <v>9.906000000000001</v>
      </c>
      <c r="U301" s="13" t="n">
        <v>5.897</v>
      </c>
      <c r="V301" s="8" t="inlineStr">
        <is>
          <t>short-term + long-term</t>
        </is>
      </c>
      <c r="W301" s="13" t="n">
        <v>12.146</v>
      </c>
      <c r="X301" s="11" t="n">
        <v>-0.3300675119380866</v>
      </c>
      <c r="Y301" s="11" t="n">
        <v>58.63313609467455</v>
      </c>
      <c r="Z301" s="13" t="n">
        <v>5.592</v>
      </c>
      <c r="AA301" s="8" t="inlineStr">
        <is>
          <t>net income + D&amp;A - capex - change in operating working capital (cash and short-term debt excluded)</t>
        </is>
      </c>
      <c r="AB301" s="10" t="n">
        <v>0.02197655362679945</v>
      </c>
      <c r="AC301" s="10" t="n">
        <v>0.03894235870671597</v>
      </c>
      <c r="AD301" s="12" t="n">
        <v>443126000</v>
      </c>
    </row>
    <row r="302">
      <c r="A302" s="8" t="inlineStr">
        <is>
          <t>COST</t>
        </is>
      </c>
      <c r="B302" s="8" t="inlineStr">
        <is>
          <t>COSTCO WHOLESALE CORP /NEW</t>
        </is>
      </c>
      <c r="C302" s="8" t="inlineStr">
        <is>
          <t>STANDARD</t>
        </is>
      </c>
      <c r="D302" s="8" t="n">
        <v>2025</v>
      </c>
      <c r="E302" s="8" t="inlineStr">
        <is>
          <t>2025-08-31</t>
        </is>
      </c>
      <c r="F302" s="8" t="inlineStr">
        <is>
          <t>0000909832-25-000101</t>
        </is>
      </c>
      <c r="G302" s="13" t="n">
        <v>275.235</v>
      </c>
      <c r="H302" s="13" t="n">
        <v>10.972</v>
      </c>
      <c r="I302" s="8" t="inlineStr">
        <is>
          <t>pretax_income + interest_expense</t>
        </is>
      </c>
      <c r="J302" s="13" t="n">
        <v>8.099</v>
      </c>
      <c r="K302" s="10" t="n">
        <v>0.2513403586614901</v>
      </c>
      <c r="L302" s="13" t="n">
        <v>8.21429358476613</v>
      </c>
      <c r="M302" s="13" t="n">
        <v>20.791</v>
      </c>
      <c r="N302" s="13" t="n">
        <v>20.202</v>
      </c>
      <c r="O302" s="10" t="n">
        <v>0.4066079390538624</v>
      </c>
      <c r="P302" s="8" t="inlineStr">
        <is>
          <t>UNSTABLE_MINIMAL_INVESTED_CAPITAL</t>
        </is>
      </c>
      <c r="Q302" s="10" t="n">
        <v>0.3068616678664797</v>
      </c>
      <c r="R302" s="10" t="n">
        <v>-0.09974627118738272</v>
      </c>
      <c r="S302" s="13" t="n">
        <v>29.164</v>
      </c>
      <c r="T302" s="13" t="n">
        <v>14.161</v>
      </c>
      <c r="U302" s="13" t="n">
        <v>5.788</v>
      </c>
      <c r="V302" s="8" t="inlineStr">
        <is>
          <t>short-term + long-term</t>
        </is>
      </c>
      <c r="W302" s="13" t="n">
        <v>13.398</v>
      </c>
      <c r="X302" s="11" t="n">
        <v>-0.6249440214957457</v>
      </c>
      <c r="Y302" s="11" t="n">
        <v>71.24675324675324</v>
      </c>
      <c r="Z302" s="13" t="n">
        <v>6.82</v>
      </c>
      <c r="AA302" s="8" t="inlineStr">
        <is>
          <t>net income + D&amp;A - capex - change in operating working capital (cash and short-term debt excluded)</t>
        </is>
      </c>
      <c r="AB302" s="10" t="n">
        <v>0.0247788253674133</v>
      </c>
      <c r="AC302" s="10" t="n">
        <v>0.03986411611895289</v>
      </c>
      <c r="AD302" s="12" t="n">
        <v>443237000</v>
      </c>
    </row>
    <row r="303">
      <c r="A303" s="8" t="inlineStr">
        <is>
          <t>PLTR</t>
        </is>
      </c>
      <c r="B303" s="8" t="inlineStr">
        <is>
          <t>Palantir Technologies Inc.</t>
        </is>
      </c>
      <c r="C303" s="8" t="inlineStr">
        <is>
          <t>STANDARD</t>
        </is>
      </c>
      <c r="D303" s="8" t="n">
        <v>2018</v>
      </c>
      <c r="E303" s="8" t="inlineStr">
        <is>
          <t>2018-12-31</t>
        </is>
      </c>
      <c r="F303" s="8" t="inlineStr">
        <is>
          <t>0001193125-21-060650</t>
        </is>
      </c>
      <c r="G303" s="13" t="n">
        <v>0.595409</v>
      </c>
      <c r="H303" s="13" t="n">
        <v>-0.567485</v>
      </c>
      <c r="I303" s="8" t="inlineStr">
        <is>
          <t>pretax_income + interest_expense</t>
        </is>
      </c>
      <c r="J303" s="13" t="n">
        <v>-0.580027</v>
      </c>
      <c r="K303" s="10" t="n">
        <v>0.21</v>
      </c>
      <c r="L303" s="13" t="n">
        <v>-0.44831315</v>
      </c>
      <c r="M303" s="13" t="n">
        <v>-3.018263</v>
      </c>
      <c r="N303" s="13" t="n">
        <v>-3.018263</v>
      </c>
      <c r="O303" s="10" t="n"/>
      <c r="P303" s="8" t="inlineStr">
        <is>
          <t>NOT_MEANINGFUL_NEGATIVE_INVESTED_CAPITAL</t>
        </is>
      </c>
      <c r="Q303" s="10" t="n">
        <v>0.3311737622100366</v>
      </c>
      <c r="R303" s="10" t="n"/>
      <c r="S303" s="13" t="n">
        <v>-1.751428</v>
      </c>
      <c r="T303" s="13" t="n">
        <v>1.266835</v>
      </c>
      <c r="U303" s="13" t="n">
        <v>0</v>
      </c>
      <c r="V303" s="8" t="inlineStr">
        <is>
          <t>short-term only (no long-term debt tagged; read as nil)</t>
        </is>
      </c>
      <c r="W303" s="13" t="n">
        <v>-0.553575</v>
      </c>
      <c r="X303" s="11" t="n">
        <v>2.288461364765388</v>
      </c>
      <c r="Y303" s="11" t="n">
        <v>-164.9665697674419</v>
      </c>
      <c r="Z303" s="13" t="n">
        <v>-0.052016</v>
      </c>
      <c r="AA303" s="8" t="inlineStr">
        <is>
          <t>operating cash flow - capex (working-capital swing already embedded)</t>
        </is>
      </c>
      <c r="AB303" s="10" t="n">
        <v>-0.08736179668093697</v>
      </c>
      <c r="AC303" s="10" t="n">
        <v>-0.9531011455990755</v>
      </c>
      <c r="AD303" s="12" t="n">
        <v>544014393</v>
      </c>
    </row>
    <row r="304">
      <c r="A304" s="8" t="inlineStr">
        <is>
          <t>PLTR</t>
        </is>
      </c>
      <c r="B304" s="8" t="inlineStr">
        <is>
          <t>Palantir Technologies Inc.</t>
        </is>
      </c>
      <c r="C304" s="8" t="inlineStr">
        <is>
          <t>STANDARD</t>
        </is>
      </c>
      <c r="D304" s="8" t="n">
        <v>2019</v>
      </c>
      <c r="E304" s="8" t="inlineStr">
        <is>
          <t>2019-12-31</t>
        </is>
      </c>
      <c r="F304" s="8" t="inlineStr">
        <is>
          <t>0001193125-22-050913</t>
        </is>
      </c>
      <c r="G304" s="13" t="n">
        <v>0.742555</v>
      </c>
      <c r="H304" s="13" t="n">
        <v>-0.56421</v>
      </c>
      <c r="I304" s="8" t="inlineStr">
        <is>
          <t>pretax_income + interest_expense</t>
        </is>
      </c>
      <c r="J304" s="13" t="n">
        <v>-0.579646</v>
      </c>
      <c r="K304" s="10" t="n">
        <v>0.21</v>
      </c>
      <c r="L304" s="13" t="n">
        <v>-0.4457259</v>
      </c>
      <c r="M304" s="13" t="n">
        <v>-2.986539</v>
      </c>
      <c r="N304" s="13" t="n">
        <v>-3.002401</v>
      </c>
      <c r="O304" s="10" t="n"/>
      <c r="P304" s="8" t="inlineStr">
        <is>
          <t>NOT_MEANINGFUL_NEGATIVE_INVESTED_CAPITAL</t>
        </is>
      </c>
      <c r="Q304" s="10" t="n">
        <v>0.3106297577483809</v>
      </c>
      <c r="R304" s="10" t="n"/>
      <c r="S304" s="13" t="n">
        <v>-1.980642</v>
      </c>
      <c r="T304" s="13" t="n">
        <v>1.401962</v>
      </c>
      <c r="U304" s="13" t="n">
        <v>0.396065</v>
      </c>
      <c r="V304" s="8" t="inlineStr">
        <is>
          <t>short-term + long-term</t>
        </is>
      </c>
      <c r="W304" s="13" t="n">
        <v>-0.551955</v>
      </c>
      <c r="X304" s="11" t="n">
        <v>1.822425741228904</v>
      </c>
      <c r="Y304" s="11" t="n">
        <v>-184.3221169552434</v>
      </c>
      <c r="Z304" s="13" t="n">
        <v>-0.178311</v>
      </c>
      <c r="AA304" s="8" t="inlineStr">
        <is>
          <t>operating cash flow - capex (working-capital swing already embedded)</t>
        </is>
      </c>
      <c r="AB304" s="10" t="n">
        <v>-0.2401317074156123</v>
      </c>
      <c r="AC304" s="10" t="n">
        <v>-0.7598225047302893</v>
      </c>
      <c r="AD304" s="12" t="n">
        <v>576959000</v>
      </c>
    </row>
    <row r="305">
      <c r="A305" s="8" t="inlineStr">
        <is>
          <t>PLTR</t>
        </is>
      </c>
      <c r="B305" s="8" t="inlineStr">
        <is>
          <t>Palantir Technologies Inc.</t>
        </is>
      </c>
      <c r="C305" s="8" t="inlineStr">
        <is>
          <t>STANDARD</t>
        </is>
      </c>
      <c r="D305" s="8" t="n">
        <v>2020</v>
      </c>
      <c r="E305" s="8" t="inlineStr">
        <is>
          <t>2020-12-31</t>
        </is>
      </c>
      <c r="F305" s="8" t="inlineStr">
        <is>
          <t>0001321655-23-000011</t>
        </is>
      </c>
      <c r="G305" s="13" t="n">
        <v>1.092673</v>
      </c>
      <c r="H305" s="13" t="n">
        <v>-1.164888</v>
      </c>
      <c r="I305" s="8" t="inlineStr">
        <is>
          <t>pretax_income + interest_expense</t>
        </is>
      </c>
      <c r="J305" s="13" t="n">
        <v>-1.166391</v>
      </c>
      <c r="K305" s="10" t="n">
        <v>0.21</v>
      </c>
      <c r="L305" s="13" t="n">
        <v>-0.9202615200000001</v>
      </c>
      <c r="M305" s="13" t="n">
        <v>-0.407619</v>
      </c>
      <c r="N305" s="13" t="n">
        <v>-1.697079</v>
      </c>
      <c r="O305" s="10" t="n"/>
      <c r="P305" s="8" t="inlineStr">
        <is>
          <t>NOT_MEANINGFUL_NEGATIVE_INVESTED_CAPITAL</t>
        </is>
      </c>
      <c r="Q305" s="10" t="n">
        <v>5.092387555338229</v>
      </c>
      <c r="R305" s="10" t="n"/>
      <c r="S305" s="13" t="n">
        <v>1.52255</v>
      </c>
      <c r="T305" s="13" t="n">
        <v>2.128146</v>
      </c>
      <c r="U305" s="13" t="n">
        <v>0.197977</v>
      </c>
      <c r="V305" s="8" t="inlineStr">
        <is>
          <t>short-term + long-term</t>
        </is>
      </c>
      <c r="W305" s="13" t="n">
        <v>-1.151017</v>
      </c>
      <c r="X305" s="11" t="n">
        <v>1.676924841249087</v>
      </c>
      <c r="Y305" s="11" t="n">
        <v>-82.38828771483132</v>
      </c>
      <c r="Z305" s="13" t="n">
        <v>-1.606623</v>
      </c>
      <c r="AA305" s="8" t="inlineStr">
        <is>
          <t>net income + D&amp;A - capex - change in operating working capital (cash and short-term debt excluded)</t>
        </is>
      </c>
      <c r="AB305" s="10" t="n">
        <v>-1.470360299925046</v>
      </c>
      <c r="AC305" s="10" t="n">
        <v>-1.06609022095357</v>
      </c>
      <c r="AD305" s="12" t="n">
        <v>979330000</v>
      </c>
    </row>
    <row r="306">
      <c r="A306" s="8" t="inlineStr">
        <is>
          <t>PLTR</t>
        </is>
      </c>
      <c r="B306" s="8" t="inlineStr">
        <is>
          <t>Palantir Technologies Inc.</t>
        </is>
      </c>
      <c r="C306" s="8" t="inlineStr">
        <is>
          <t>STANDARD</t>
        </is>
      </c>
      <c r="D306" s="8" t="n">
        <v>2021</v>
      </c>
      <c r="E306" s="8" t="inlineStr">
        <is>
          <t>2021-12-31</t>
        </is>
      </c>
      <c r="F306" s="8" t="inlineStr">
        <is>
          <t>0001321655-24-000022</t>
        </is>
      </c>
      <c r="G306" s="13" t="n">
        <v>1.541889</v>
      </c>
      <c r="H306" s="13" t="n">
        <v>-0.484854</v>
      </c>
      <c r="I306" s="8" t="inlineStr">
        <is>
          <t>pretax_income + interest_expense</t>
        </is>
      </c>
      <c r="J306" s="13" t="n">
        <v>-0.520379</v>
      </c>
      <c r="K306" s="10" t="n">
        <v>0.21</v>
      </c>
      <c r="L306" s="13" t="n">
        <v>-0.38303466</v>
      </c>
      <c r="M306" s="13" t="n">
        <v>-0.07588399999999999</v>
      </c>
      <c r="N306" s="13" t="n">
        <v>-0.2417515</v>
      </c>
      <c r="O306" s="10" t="n"/>
      <c r="P306" s="8" t="inlineStr">
        <is>
          <t>NOT_MEANINGFUL_NEGATIVE_INVESTED_CAPITAL</t>
        </is>
      </c>
      <c r="Q306" s="10" t="n">
        <v>-0.2729083957855873</v>
      </c>
      <c r="R306" s="10" t="n"/>
      <c r="S306" s="13" t="n">
        <v>2.29103</v>
      </c>
      <c r="T306" s="13" t="n">
        <v>2.366914</v>
      </c>
      <c r="U306" s="13" t="n">
        <v>0</v>
      </c>
      <c r="V306" s="8" t="inlineStr">
        <is>
          <t>short-term + long-term</t>
        </is>
      </c>
      <c r="W306" s="13" t="n">
        <v>-0.469957</v>
      </c>
      <c r="X306" s="11" t="n">
        <v>5.036448015456734</v>
      </c>
      <c r="Y306" s="11" t="n">
        <v>-133.2016483516483</v>
      </c>
      <c r="Z306" s="13" t="n">
        <v>-0.828924</v>
      </c>
      <c r="AA306" s="8" t="inlineStr">
        <is>
          <t>net income + D&amp;A - capex - change in operating working capital (cash and short-term debt excluded)</t>
        </is>
      </c>
      <c r="AB306" s="10" t="n">
        <v>-0.5376029013761691</v>
      </c>
      <c r="AC306" s="10" t="n">
        <v>-0.3144545424476081</v>
      </c>
      <c r="AD306" s="12" t="n">
        <v>1923617000</v>
      </c>
    </row>
    <row r="307">
      <c r="A307" s="8" t="inlineStr">
        <is>
          <t>PLTR</t>
        </is>
      </c>
      <c r="B307" s="8" t="inlineStr">
        <is>
          <t>Palantir Technologies Inc.</t>
        </is>
      </c>
      <c r="C307" s="8" t="inlineStr">
        <is>
          <t>STANDARD</t>
        </is>
      </c>
      <c r="D307" s="8" t="n">
        <v>2022</v>
      </c>
      <c r="E307" s="8" t="inlineStr">
        <is>
          <t>2022-12-31</t>
        </is>
      </c>
      <c r="F307" s="8" t="inlineStr">
        <is>
          <t>0001321655-25-000022</t>
        </is>
      </c>
      <c r="G307" s="13" t="n">
        <v>1.905871</v>
      </c>
      <c r="H307" s="13" t="n">
        <v>-0.356969</v>
      </c>
      <c r="I307" s="8" t="inlineStr">
        <is>
          <t>pretax_income + interest_expense</t>
        </is>
      </c>
      <c r="J307" s="13" t="n">
        <v>-0.373705</v>
      </c>
      <c r="K307" s="10" t="n">
        <v>0.21</v>
      </c>
      <c r="L307" s="13" t="n">
        <v>-0.28200551</v>
      </c>
      <c r="M307" s="13" t="n">
        <v>-0.062009</v>
      </c>
      <c r="N307" s="13" t="n">
        <v>-0.06894649999999999</v>
      </c>
      <c r="O307" s="10" t="n"/>
      <c r="P307" s="8" t="inlineStr">
        <is>
          <t>NOT_MEANINGFUL_NEGATIVE_INVESTED_CAPITAL</t>
        </is>
      </c>
      <c r="Q307" s="10" t="n">
        <v>-0.1539034617725719</v>
      </c>
      <c r="R307" s="10" t="n"/>
      <c r="S307" s="13" t="n">
        <v>2.565326</v>
      </c>
      <c r="T307" s="13" t="n">
        <v>2.627335</v>
      </c>
      <c r="U307" s="13" t="n">
        <v>0</v>
      </c>
      <c r="V307" s="8" t="inlineStr">
        <is>
          <t>short-term only (no long-term debt tagged; read as nil)</t>
        </is>
      </c>
      <c r="W307" s="13" t="n">
        <v>-0.334447</v>
      </c>
      <c r="X307" s="11" t="n">
        <v>7.855758909483415</v>
      </c>
      <c r="Y307" s="11" t="n">
        <v>-87.96673238048299</v>
      </c>
      <c r="Z307" s="13" t="n">
        <v>-0.381236</v>
      </c>
      <c r="AA307" s="8" t="inlineStr">
        <is>
          <t>net income + D&amp;A - capex - change in operating working capital (cash and short-term debt excluded)</t>
        </is>
      </c>
      <c r="AB307" s="10" t="n">
        <v>-0.2000324261190815</v>
      </c>
      <c r="AC307" s="10" t="n">
        <v>-0.1872996650875112</v>
      </c>
      <c r="AD307" s="12" t="n">
        <v>2063793000</v>
      </c>
    </row>
    <row r="308">
      <c r="A308" s="8" t="inlineStr">
        <is>
          <t>PLTR</t>
        </is>
      </c>
      <c r="B308" s="8" t="inlineStr">
        <is>
          <t>Palantir Technologies Inc.</t>
        </is>
      </c>
      <c r="C308" s="8" t="inlineStr">
        <is>
          <t>STANDARD</t>
        </is>
      </c>
      <c r="D308" s="8" t="n">
        <v>2023</v>
      </c>
      <c r="E308" s="8" t="inlineStr">
        <is>
          <t>2023-12-31</t>
        </is>
      </c>
      <c r="F308" s="8" t="inlineStr">
        <is>
          <t>0001321655-26-000011</t>
        </is>
      </c>
      <c r="G308" s="13" t="n">
        <v>2.225012</v>
      </c>
      <c r="H308" s="13" t="n">
        <v>0.240561</v>
      </c>
      <c r="I308" s="8" t="inlineStr">
        <is>
          <t>pretax_income + interest_expense</t>
        </is>
      </c>
      <c r="J308" s="13" t="n">
        <v>0.209825</v>
      </c>
      <c r="K308" s="10" t="n">
        <v>0.08315794357440814</v>
      </c>
      <c r="L308" s="13" t="n">
        <v>0.2205564419357968</v>
      </c>
      <c r="M308" s="13" t="n">
        <v>2.625454</v>
      </c>
      <c r="N308" s="13" t="n">
        <v>1.2817225</v>
      </c>
      <c r="O308" s="10" t="n">
        <v>0.172078154152554</v>
      </c>
      <c r="P308" s="8" t="inlineStr">
        <is>
          <t>OK</t>
        </is>
      </c>
      <c r="Q308" s="10" t="n">
        <v>0.06946827510595713</v>
      </c>
      <c r="R308" s="10" t="n">
        <v>-0.1026098790465968</v>
      </c>
      <c r="S308" s="13" t="n">
        <v>3.475561</v>
      </c>
      <c r="T308" s="13" t="n">
        <v>0.8501069999999999</v>
      </c>
      <c r="U308" s="13" t="n">
        <v>0</v>
      </c>
      <c r="V308" s="8" t="inlineStr">
        <is>
          <t>short-term only (no long-term debt tagged; read as nil)</t>
        </is>
      </c>
      <c r="W308" s="13" t="n">
        <v>0.273915</v>
      </c>
      <c r="X308" s="11" t="n">
        <v>-3.103543069930453</v>
      </c>
      <c r="Y308" s="11" t="n">
        <v>69.32593659942363</v>
      </c>
      <c r="Z308" s="13" t="n">
        <v>-2.488127</v>
      </c>
      <c r="AA308" s="8" t="inlineStr">
        <is>
          <t>net income + D&amp;A - capex - change in operating working capital (cash and short-term debt excluded)</t>
        </is>
      </c>
      <c r="AB308" s="10" t="n">
        <v>-1.118253294813691</v>
      </c>
      <c r="AC308" s="10" t="n">
        <v>0.1081167202693738</v>
      </c>
      <c r="AD308" s="12" t="n">
        <v>2297927000</v>
      </c>
    </row>
    <row r="309">
      <c r="A309" s="8" t="inlineStr">
        <is>
          <t>PLTR</t>
        </is>
      </c>
      <c r="B309" s="8" t="inlineStr">
        <is>
          <t>Palantir Technologies Inc.</t>
        </is>
      </c>
      <c r="C309" s="8" t="inlineStr">
        <is>
          <t>STANDARD</t>
        </is>
      </c>
      <c r="D309" s="8" t="n">
        <v>2024</v>
      </c>
      <c r="E309" s="8" t="inlineStr">
        <is>
          <t>2024-12-31</t>
        </is>
      </c>
      <c r="F309" s="8" t="inlineStr">
        <is>
          <t>0001321655-26-000011</t>
        </is>
      </c>
      <c r="G309" s="13" t="n">
        <v>2.865507</v>
      </c>
      <c r="H309" s="13" t="n">
        <v>0.310403</v>
      </c>
      <c r="I309" s="8" t="inlineStr">
        <is>
          <t>reported OperatingIncomeLoss (no interest expense tagged)</t>
        </is>
      </c>
      <c r="J309" s="13" t="n">
        <v>0.46219</v>
      </c>
      <c r="K309" s="10" t="n">
        <v>0.05</v>
      </c>
      <c r="L309" s="13" t="n">
        <v>0.29488285</v>
      </c>
      <c r="M309" s="13" t="n">
        <v>2.883339</v>
      </c>
      <c r="N309" s="13" t="n">
        <v>2.7543965</v>
      </c>
      <c r="O309" s="10" t="n">
        <v>0.1070589691789109</v>
      </c>
      <c r="P309" s="8" t="inlineStr">
        <is>
          <t>OK</t>
        </is>
      </c>
      <c r="Q309" s="10" t="n">
        <v>0.1090220402894926</v>
      </c>
      <c r="R309" s="10" t="n">
        <v>0.001963071110581693</v>
      </c>
      <c r="S309" s="13" t="n">
        <v>5.003275</v>
      </c>
      <c r="T309" s="13" t="n">
        <v>2.119936</v>
      </c>
      <c r="U309" s="13" t="n">
        <v>0</v>
      </c>
      <c r="V309" s="8" t="inlineStr">
        <is>
          <t>short-term only (no long-term debt tagged; read as nil)</t>
        </is>
      </c>
      <c r="W309" s="13" t="n">
        <v>0.34199</v>
      </c>
      <c r="X309" s="11" t="n">
        <v>-6.198824527032954</v>
      </c>
      <c r="Y309" s="11" t="n"/>
      <c r="Z309" s="13" t="n">
        <v>0.205301</v>
      </c>
      <c r="AA309" s="8" t="inlineStr">
        <is>
          <t>net income + D&amp;A - capex - change in operating working capital (cash and short-term debt excluded)</t>
        </is>
      </c>
      <c r="AB309" s="10" t="n">
        <v>0.07164561105591437</v>
      </c>
      <c r="AC309" s="10" t="n">
        <v>0.1083239370903648</v>
      </c>
      <c r="AD309" s="12" t="n">
        <v>2450818000</v>
      </c>
    </row>
    <row r="310">
      <c r="A310" s="8" t="inlineStr">
        <is>
          <t>PLTR</t>
        </is>
      </c>
      <c r="B310" s="8" t="inlineStr">
        <is>
          <t>Palantir Technologies Inc.</t>
        </is>
      </c>
      <c r="C310" s="8" t="inlineStr">
        <is>
          <t>STANDARD</t>
        </is>
      </c>
      <c r="D310" s="8" t="n">
        <v>2025</v>
      </c>
      <c r="E310" s="8" t="inlineStr">
        <is>
          <t>2025-12-31</t>
        </is>
      </c>
      <c r="F310" s="8" t="inlineStr">
        <is>
          <t>0001321655-26-000011</t>
        </is>
      </c>
      <c r="G310" s="13" t="n">
        <v>4.475446</v>
      </c>
      <c r="H310" s="13" t="n">
        <v>1.414015</v>
      </c>
      <c r="I310" s="8" t="inlineStr">
        <is>
          <t>reported OperatingIncomeLoss (no interest expense tagged)</t>
        </is>
      </c>
      <c r="J310" s="13" t="n">
        <v>1.625033</v>
      </c>
      <c r="K310" s="10" t="n">
        <v>0.05</v>
      </c>
      <c r="L310" s="13" t="n">
        <v>1.34331425</v>
      </c>
      <c r="M310" s="13" t="n">
        <v>5.935843</v>
      </c>
      <c r="N310" s="13" t="n">
        <v>4.409591</v>
      </c>
      <c r="O310" s="10" t="n">
        <v>0.3046346588606517</v>
      </c>
      <c r="P310" s="8" t="inlineStr">
        <is>
          <t>OK</t>
        </is>
      </c>
      <c r="Q310" s="10" t="n">
        <v>0.2623021444661465</v>
      </c>
      <c r="R310" s="10" t="n">
        <v>-0.04233251439450525</v>
      </c>
      <c r="S310" s="13" t="n">
        <v>7.387268</v>
      </c>
      <c r="T310" s="13" t="n">
        <v>1.451425</v>
      </c>
      <c r="U310" s="13" t="n">
        <v>0</v>
      </c>
      <c r="V310" s="8" t="inlineStr">
        <is>
          <t>short-term only (no long-term debt tagged; read as nil)</t>
        </is>
      </c>
      <c r="W310" s="13" t="n">
        <v>1.44016</v>
      </c>
      <c r="X310" s="11" t="n">
        <v>-1.007822047550272</v>
      </c>
      <c r="Y310" s="11" t="n"/>
      <c r="Z310" s="13" t="n">
        <v>-1.295537</v>
      </c>
      <c r="AA310" s="8" t="inlineStr">
        <is>
          <t>net income + D&amp;A - capex - change in operating working capital (cash and short-term debt excluded)</t>
        </is>
      </c>
      <c r="AB310" s="10" t="n">
        <v>-0.289476624229183</v>
      </c>
      <c r="AC310" s="10" t="n">
        <v>0.3159495165398041</v>
      </c>
      <c r="AD310" s="12" t="n">
        <v>2565197000</v>
      </c>
    </row>
    <row r="311">
      <c r="A311" s="8" t="inlineStr">
        <is>
          <t>LRCX</t>
        </is>
      </c>
      <c r="B311" s="8" t="inlineStr">
        <is>
          <t>LAM RESEARCH CORP</t>
        </is>
      </c>
      <c r="C311" s="8" t="inlineStr">
        <is>
          <t>STANDARD</t>
        </is>
      </c>
      <c r="D311" s="8" t="n">
        <v>2015</v>
      </c>
      <c r="E311" s="8" t="inlineStr">
        <is>
          <t>2015-06-28</t>
        </is>
      </c>
      <c r="F311" s="8" t="inlineStr">
        <is>
          <t>0000707549-17-000100</t>
        </is>
      </c>
      <c r="G311" s="13" t="n"/>
      <c r="H311" s="13" t="n">
        <v>0.788039</v>
      </c>
      <c r="I311" s="8" t="inlineStr">
        <is>
          <t>reported OperatingIncomeLoss (no interest expense tagged)</t>
        </is>
      </c>
      <c r="J311" s="13" t="n">
        <v>0.655577</v>
      </c>
      <c r="K311" s="10" t="n">
        <v>0.21</v>
      </c>
      <c r="L311" s="13" t="n">
        <v>0.62255081</v>
      </c>
      <c r="M311" s="13" t="n">
        <v>5.953691</v>
      </c>
      <c r="N311" s="13" t="n">
        <v>5.953691</v>
      </c>
      <c r="O311" s="10" t="n">
        <v>0.1045655224632921</v>
      </c>
      <c r="P311" s="8" t="inlineStr">
        <is>
          <t>OK</t>
        </is>
      </c>
      <c r="Q311" s="10" t="n">
        <v>0.1284653147157909</v>
      </c>
      <c r="R311" s="10" t="n">
        <v>0.0238997922524988</v>
      </c>
      <c r="S311" s="13" t="n">
        <v>5.103144</v>
      </c>
      <c r="T311" s="13" t="n">
        <v>1.501539</v>
      </c>
      <c r="U311" s="13" t="n">
        <v>2.352086</v>
      </c>
      <c r="V311" s="8" t="inlineStr">
        <is>
          <t>short-term + long-term</t>
        </is>
      </c>
      <c r="W311" s="13" t="n">
        <v>1.065959</v>
      </c>
      <c r="X311" s="11" t="n">
        <v>0.7979171806795571</v>
      </c>
      <c r="Y311" s="11" t="n">
        <v>10.72045219567938</v>
      </c>
      <c r="Z311" s="13" t="n"/>
      <c r="AA311" s="8" t="inlineStr">
        <is>
          <t>net income + D&amp;A - capex - change in no prior year</t>
        </is>
      </c>
      <c r="AB311" s="10" t="n"/>
      <c r="AC311" s="10" t="n"/>
      <c r="AD311" s="12" t="n">
        <v>1585310000</v>
      </c>
    </row>
    <row r="312">
      <c r="A312" s="8" t="inlineStr">
        <is>
          <t>LRCX</t>
        </is>
      </c>
      <c r="B312" s="8" t="inlineStr">
        <is>
          <t>LAM RESEARCH CORP</t>
        </is>
      </c>
      <c r="C312" s="8" t="inlineStr">
        <is>
          <t>STANDARD</t>
        </is>
      </c>
      <c r="D312" s="8" t="n">
        <v>2016</v>
      </c>
      <c r="E312" s="8" t="inlineStr">
        <is>
          <t>2016-06-26</t>
        </is>
      </c>
      <c r="F312" s="8" t="inlineStr">
        <is>
          <t>0000707549-18-000115</t>
        </is>
      </c>
      <c r="G312" s="13" t="n"/>
      <c r="H312" s="13" t="n">
        <v>1.074256</v>
      </c>
      <c r="I312" s="8" t="inlineStr">
        <is>
          <t>reported OperatingIncomeLoss (no interest expense tagged)</t>
        </is>
      </c>
      <c r="J312" s="13" t="n">
        <v>0.914049</v>
      </c>
      <c r="K312" s="10" t="n">
        <v>0.21</v>
      </c>
      <c r="L312" s="13" t="n">
        <v>0.84866224</v>
      </c>
      <c r="M312" s="13" t="n">
        <v>5.173656</v>
      </c>
      <c r="N312" s="13" t="n">
        <v>5.5636735</v>
      </c>
      <c r="O312" s="10" t="n">
        <v>0.1525363125639921</v>
      </c>
      <c r="P312" s="8" t="inlineStr">
        <is>
          <t>OK</t>
        </is>
      </c>
      <c r="Q312" s="10" t="n">
        <v>0.1662260729804274</v>
      </c>
      <c r="R312" s="10" t="n">
        <v>0.01368976041643527</v>
      </c>
      <c r="S312" s="13" t="n">
        <v>5.894517</v>
      </c>
      <c r="T312" s="13" t="n">
        <v>5.039322</v>
      </c>
      <c r="U312" s="13" t="n">
        <v>4.318461</v>
      </c>
      <c r="V312" s="8" t="inlineStr">
        <is>
          <t>short-term + long-term</t>
        </is>
      </c>
      <c r="W312" s="13" t="n">
        <v>1.365284</v>
      </c>
      <c r="X312" s="11" t="n">
        <v>-0.5279934431224566</v>
      </c>
      <c r="Y312" s="11" t="n">
        <v>8.02084624401753</v>
      </c>
      <c r="Z312" s="13" t="n">
        <v>1.829498</v>
      </c>
      <c r="AA312" s="8" t="inlineStr">
        <is>
          <t>net income + D&amp;A - capex - change in operating working capital (cash and short-term debt excluded)</t>
        </is>
      </c>
      <c r="AB312" s="10" t="n"/>
      <c r="AC312" s="10" t="n"/>
      <c r="AD312" s="12" t="n">
        <v>1602010000</v>
      </c>
    </row>
    <row r="313">
      <c r="A313" s="8" t="inlineStr">
        <is>
          <t>LRCX</t>
        </is>
      </c>
      <c r="B313" s="8" t="inlineStr">
        <is>
          <t>LAM RESEARCH CORP</t>
        </is>
      </c>
      <c r="C313" s="8" t="inlineStr">
        <is>
          <t>STANDARD</t>
        </is>
      </c>
      <c r="D313" s="8" t="n">
        <v>2017</v>
      </c>
      <c r="E313" s="8" t="inlineStr">
        <is>
          <t>2017-06-25</t>
        </is>
      </c>
      <c r="F313" s="8" t="inlineStr">
        <is>
          <t>0000707549-19-000124</t>
        </is>
      </c>
      <c r="G313" s="13" t="n">
        <v>8.01362</v>
      </c>
      <c r="H313" s="13" t="n">
        <v>1.902132</v>
      </c>
      <c r="I313" s="8" t="inlineStr">
        <is>
          <t>reported OperatingIncomeLoss (no interest expense tagged)</t>
        </is>
      </c>
      <c r="J313" s="13" t="n">
        <v>1.697763</v>
      </c>
      <c r="K313" s="10" t="n">
        <v>0.21</v>
      </c>
      <c r="L313" s="13" t="n">
        <v>1.50268428</v>
      </c>
      <c r="M313" s="13" t="n">
        <v>7.126575</v>
      </c>
      <c r="N313" s="13" t="n">
        <v>6.1501155</v>
      </c>
      <c r="O313" s="10" t="n">
        <v>0.2443343185993824</v>
      </c>
      <c r="P313" s="8" t="inlineStr">
        <is>
          <t>OK</t>
        </is>
      </c>
      <c r="Q313" s="10" t="n">
        <v>0.267112535210913</v>
      </c>
      <c r="R313" s="10" t="n">
        <v>0.02277821661153065</v>
      </c>
      <c r="S313" s="13" t="n">
        <v>6.817451</v>
      </c>
      <c r="T313" s="13" t="n">
        <v>2.377534</v>
      </c>
      <c r="U313" s="13" t="n">
        <v>2.686658</v>
      </c>
      <c r="V313" s="8" t="inlineStr">
        <is>
          <t>short-term + long-term</t>
        </is>
      </c>
      <c r="W313" s="13" t="n">
        <v>2.209037</v>
      </c>
      <c r="X313" s="11" t="n">
        <v>0.1399360897984054</v>
      </c>
      <c r="Y313" s="11" t="n">
        <v>16.43651383440195</v>
      </c>
      <c r="Z313" s="13" t="n">
        <v>-0.179103</v>
      </c>
      <c r="AA313" s="8" t="inlineStr">
        <is>
          <t>net income + D&amp;A - capex - change in operating working capital (cash and short-term debt excluded)</t>
        </is>
      </c>
      <c r="AB313" s="10" t="n">
        <v>-0.02234982442391828</v>
      </c>
      <c r="AC313" s="10" t="n">
        <v>0.2373623905301225</v>
      </c>
      <c r="AD313" s="12" t="n">
        <v>1617230000</v>
      </c>
    </row>
    <row r="314">
      <c r="A314" s="8" t="inlineStr">
        <is>
          <t>LRCX</t>
        </is>
      </c>
      <c r="B314" s="8" t="inlineStr">
        <is>
          <t>LAM RESEARCH CORP</t>
        </is>
      </c>
      <c r="C314" s="8" t="inlineStr">
        <is>
          <t>STANDARD</t>
        </is>
      </c>
      <c r="D314" s="8" t="n">
        <v>2018</v>
      </c>
      <c r="E314" s="8" t="inlineStr">
        <is>
          <t>2018-06-24</t>
        </is>
      </c>
      <c r="F314" s="8" t="inlineStr">
        <is>
          <t>0000707549-20-000138</t>
        </is>
      </c>
      <c r="G314" s="13" t="n">
        <v>11.076998</v>
      </c>
      <c r="H314" s="13" t="n">
        <v>3.213299</v>
      </c>
      <c r="I314" s="8" t="inlineStr">
        <is>
          <t>reported OperatingIncomeLoss (no interest expense tagged)</t>
        </is>
      </c>
      <c r="J314" s="13" t="n">
        <v>2.380681</v>
      </c>
      <c r="K314" s="10" t="n">
        <v>0.21</v>
      </c>
      <c r="L314" s="13" t="n">
        <v>2.53850621</v>
      </c>
      <c r="M314" s="13" t="n">
        <v>4.497697</v>
      </c>
      <c r="N314" s="13" t="n">
        <v>5.812136</v>
      </c>
      <c r="O314" s="10" t="n">
        <v>0.4367596026658702</v>
      </c>
      <c r="P314" s="8" t="inlineStr">
        <is>
          <t>OK</t>
        </is>
      </c>
      <c r="Q314" s="10" t="n">
        <v>0.3537769035944671</v>
      </c>
      <c r="R314" s="10" t="n">
        <v>-0.08298269907140304</v>
      </c>
      <c r="S314" s="13" t="n">
        <v>6.641206</v>
      </c>
      <c r="T314" s="13" t="n">
        <v>4.512257</v>
      </c>
      <c r="U314" s="13" t="n">
        <v>2.368748</v>
      </c>
      <c r="V314" s="8" t="inlineStr">
        <is>
          <t>short-term + long-term</t>
        </is>
      </c>
      <c r="W314" s="13" t="n">
        <v>3.539694</v>
      </c>
      <c r="X314" s="11" t="n">
        <v>-0.6055633622567375</v>
      </c>
      <c r="Y314" s="11" t="n">
        <v>35.17453176140904</v>
      </c>
      <c r="Z314" s="13" t="n">
        <v>5.060405</v>
      </c>
      <c r="AA314" s="8" t="inlineStr">
        <is>
          <t>net income + D&amp;A - capex - change in operating working capital (cash and short-term debt excluded)</t>
        </is>
      </c>
      <c r="AB314" s="10" t="n">
        <v>0.4568390280471297</v>
      </c>
      <c r="AC314" s="10" t="n">
        <v>0.2900875309357283</v>
      </c>
      <c r="AD314" s="12" t="n">
        <v>1568920000</v>
      </c>
    </row>
    <row r="315">
      <c r="A315" s="8" t="inlineStr">
        <is>
          <t>LRCX</t>
        </is>
      </c>
      <c r="B315" s="8" t="inlineStr">
        <is>
          <t>LAM RESEARCH CORP</t>
        </is>
      </c>
      <c r="C315" s="8" t="inlineStr">
        <is>
          <t>STANDARD</t>
        </is>
      </c>
      <c r="D315" s="8" t="n">
        <v>2019</v>
      </c>
      <c r="E315" s="8" t="inlineStr">
        <is>
          <t>2019-06-30</t>
        </is>
      </c>
      <c r="F315" s="8" t="inlineStr">
        <is>
          <t>0000707549-21-000136</t>
        </is>
      </c>
      <c r="G315" s="13" t="n">
        <v>9.653559</v>
      </c>
      <c r="H315" s="13" t="n">
        <v>2.464732</v>
      </c>
      <c r="I315" s="8" t="inlineStr">
        <is>
          <t>reported OperatingIncomeLoss (no interest expense tagged)</t>
        </is>
      </c>
      <c r="J315" s="13" t="n">
        <v>2.19143</v>
      </c>
      <c r="K315" s="10" t="n">
        <v>0.21</v>
      </c>
      <c r="L315" s="13" t="n">
        <v>1.94713828</v>
      </c>
      <c r="M315" s="13" t="n">
        <v>5.445657</v>
      </c>
      <c r="N315" s="13" t="n">
        <v>4.971677</v>
      </c>
      <c r="O315" s="10" t="n">
        <v>0.3916461749224658</v>
      </c>
      <c r="P315" s="8" t="inlineStr">
        <is>
          <t>OK</t>
        </is>
      </c>
      <c r="Q315" s="10" t="n">
        <v>0.3873471054666824</v>
      </c>
      <c r="R315" s="10" t="n">
        <v>-0.004299069455783344</v>
      </c>
      <c r="S315" s="13" t="n">
        <v>4.673865</v>
      </c>
      <c r="T315" s="13" t="n">
        <v>3.658219</v>
      </c>
      <c r="U315" s="13" t="n">
        <v>4.430011</v>
      </c>
      <c r="V315" s="8" t="inlineStr">
        <is>
          <t>short-term + long-term</t>
        </is>
      </c>
      <c r="W315" s="13" t="n">
        <v>2.774013</v>
      </c>
      <c r="X315" s="11" t="n">
        <v>0.2782222001122561</v>
      </c>
      <c r="Y315" s="11" t="n">
        <v>22.37390728116121</v>
      </c>
      <c r="Z315" s="13" t="n">
        <v>1.10025</v>
      </c>
      <c r="AA315" s="8" t="inlineStr">
        <is>
          <t>net income + D&amp;A - capex - change in operating working capital (cash and short-term debt excluded)</t>
        </is>
      </c>
      <c r="AB315" s="10" t="n">
        <v>0.1139735096662278</v>
      </c>
      <c r="AC315" s="10" t="n">
        <v>0.2553184789153928</v>
      </c>
      <c r="AD315" s="12" t="n">
        <v>1444330000</v>
      </c>
    </row>
    <row r="316">
      <c r="A316" s="8" t="inlineStr">
        <is>
          <t>LRCX</t>
        </is>
      </c>
      <c r="B316" s="8" t="inlineStr">
        <is>
          <t>LAM RESEARCH CORP</t>
        </is>
      </c>
      <c r="C316" s="8" t="inlineStr">
        <is>
          <t>STANDARD</t>
        </is>
      </c>
      <c r="D316" s="8" t="n">
        <v>2020</v>
      </c>
      <c r="E316" s="8" t="inlineStr">
        <is>
          <t>2020-06-28</t>
        </is>
      </c>
      <c r="F316" s="8" t="inlineStr">
        <is>
          <t>0000707549-22-000107</t>
        </is>
      </c>
      <c r="G316" s="13" t="n">
        <v>10.044736</v>
      </c>
      <c r="H316" s="13" t="n">
        <v>2.75141</v>
      </c>
      <c r="I316" s="8" t="inlineStr">
        <is>
          <t>pretax_income + interest_expense</t>
        </is>
      </c>
      <c r="J316" s="13" t="n">
        <v>2.251753</v>
      </c>
      <c r="K316" s="10" t="n">
        <v>0.1255253442942037</v>
      </c>
      <c r="L316" s="13" t="n">
        <v>2.406038312455485</v>
      </c>
      <c r="M316" s="13" t="n">
        <v>6.0528</v>
      </c>
      <c r="N316" s="13" t="n">
        <v>5.7492285</v>
      </c>
      <c r="O316" s="10" t="n">
        <v>0.418497597104635</v>
      </c>
      <c r="P316" s="8" t="inlineStr">
        <is>
          <t>OK</t>
        </is>
      </c>
      <c r="Q316" s="10" t="n">
        <v>0.4573777982297822</v>
      </c>
      <c r="R316" s="10" t="n">
        <v>0.03888020112514723</v>
      </c>
      <c r="S316" s="13" t="n">
        <v>5.172494</v>
      </c>
      <c r="T316" s="13" t="n">
        <v>4.915172</v>
      </c>
      <c r="U316" s="13" t="n">
        <v>5.795478</v>
      </c>
      <c r="V316" s="8" t="inlineStr">
        <is>
          <t>short-term + long-term</t>
        </is>
      </c>
      <c r="W316" s="13" t="n">
        <v>3.019935</v>
      </c>
      <c r="X316" s="11" t="n">
        <v>0.2914983269507456</v>
      </c>
      <c r="Y316" s="11" t="n">
        <v>15.59473338169946</v>
      </c>
      <c r="Z316" s="13" t="n">
        <v>1.897859</v>
      </c>
      <c r="AA316" s="8" t="inlineStr">
        <is>
          <t>net income + D&amp;A - capex - change in operating working capital (cash and short-term debt excluded)</t>
        </is>
      </c>
      <c r="AB316" s="10" t="n">
        <v>0.1889406550854099</v>
      </c>
      <c r="AC316" s="10" t="n">
        <v>0.2739156111220842</v>
      </c>
      <c r="AD316" s="12" t="n">
        <v>1453310000</v>
      </c>
    </row>
    <row r="317">
      <c r="A317" s="8" t="inlineStr">
        <is>
          <t>LRCX</t>
        </is>
      </c>
      <c r="B317" s="8" t="inlineStr">
        <is>
          <t>LAM RESEARCH CORP</t>
        </is>
      </c>
      <c r="C317" s="8" t="inlineStr">
        <is>
          <t>STANDARD</t>
        </is>
      </c>
      <c r="D317" s="8" t="n">
        <v>2021</v>
      </c>
      <c r="E317" s="8" t="inlineStr">
        <is>
          <t>2021-06-27</t>
        </is>
      </c>
      <c r="F317" s="8" t="inlineStr">
        <is>
          <t>0000707549-23-000102</t>
        </is>
      </c>
      <c r="G317" s="13" t="n">
        <v>14.62615</v>
      </c>
      <c r="H317" s="13" t="n">
        <v>4.575814</v>
      </c>
      <c r="I317" s="8" t="inlineStr">
        <is>
          <t>pretax_income + interest_expense</t>
        </is>
      </c>
      <c r="J317" s="13" t="n">
        <v>3.908458</v>
      </c>
      <c r="K317" s="10" t="n">
        <v>0.1057805383174354</v>
      </c>
      <c r="L317" s="13" t="n">
        <v>4.091781931839543</v>
      </c>
      <c r="M317" s="13" t="n">
        <v>6.56986</v>
      </c>
      <c r="N317" s="13" t="n">
        <v>6.31133</v>
      </c>
      <c r="O317" s="10" t="n">
        <v>0.6483232427775988</v>
      </c>
      <c r="P317" s="8" t="inlineStr">
        <is>
          <t>OK</t>
        </is>
      </c>
      <c r="Q317" s="10" t="n">
        <v>0.6979587456143844</v>
      </c>
      <c r="R317" s="10" t="n">
        <v>0.04963550283678564</v>
      </c>
      <c r="S317" s="13" t="n">
        <v>6.027188</v>
      </c>
      <c r="T317" s="13" t="n">
        <v>4.418263</v>
      </c>
      <c r="U317" s="13" t="n">
        <v>4.960935</v>
      </c>
      <c r="V317" s="8" t="inlineStr">
        <is>
          <t>short-term + long-term</t>
        </is>
      </c>
      <c r="W317" s="13" t="n">
        <v>4.882965</v>
      </c>
      <c r="X317" s="11" t="n">
        <v>0.1111357546081121</v>
      </c>
      <c r="Y317" s="11" t="n">
        <v>22.31995512414029</v>
      </c>
      <c r="Z317" s="13" t="n">
        <v>3.772284</v>
      </c>
      <c r="AA317" s="8" t="inlineStr">
        <is>
          <t>net income + D&amp;A - capex - change in operating working capital (cash and short-term debt excluded)</t>
        </is>
      </c>
      <c r="AB317" s="10" t="n">
        <v>0.257913668326935</v>
      </c>
      <c r="AC317" s="10" t="n">
        <v>0.312851570645727</v>
      </c>
      <c r="AD317" s="12" t="n">
        <v>1425010000</v>
      </c>
    </row>
    <row r="318">
      <c r="A318" s="8" t="inlineStr">
        <is>
          <t>LRCX</t>
        </is>
      </c>
      <c r="B318" s="8" t="inlineStr">
        <is>
          <t>LAM RESEARCH CORP</t>
        </is>
      </c>
      <c r="C318" s="8" t="inlineStr">
        <is>
          <t>STANDARD</t>
        </is>
      </c>
      <c r="D318" s="8" t="n">
        <v>2022</v>
      </c>
      <c r="E318" s="8" t="inlineStr">
        <is>
          <t>2022-06-26</t>
        </is>
      </c>
      <c r="F318" s="8" t="inlineStr">
        <is>
          <t>0000707549-24-000106</t>
        </is>
      </c>
      <c r="G318" s="13" t="n">
        <v>17.227039</v>
      </c>
      <c r="H318" s="13" t="n">
        <v>5.374815</v>
      </c>
      <c r="I318" s="8" t="inlineStr">
        <is>
          <t>pretax_income + interest_expense</t>
        </is>
      </c>
      <c r="J318" s="13" t="n">
        <v>4.605286</v>
      </c>
      <c r="K318" s="10" t="n">
        <v>0.1131937407882823</v>
      </c>
      <c r="L318" s="13" t="n">
        <v>4.766419584105028</v>
      </c>
      <c r="M318" s="13" t="n">
        <v>7.718824</v>
      </c>
      <c r="N318" s="13" t="n">
        <v>7.144342</v>
      </c>
      <c r="O318" s="10" t="n">
        <v>0.6671600525429813</v>
      </c>
      <c r="P318" s="8" t="inlineStr">
        <is>
          <t>OK</t>
        </is>
      </c>
      <c r="Q318" s="10" t="n">
        <v>0.7484890156103496</v>
      </c>
      <c r="R318" s="10" t="n">
        <v>0.08132896306736837</v>
      </c>
      <c r="S318" s="13" t="n">
        <v>6.278366</v>
      </c>
      <c r="T318" s="13" t="n">
        <v>3.522001</v>
      </c>
      <c r="U318" s="13" t="n">
        <v>4.962459</v>
      </c>
      <c r="V318" s="8" t="inlineStr">
        <is>
          <t>short-term + long-term</t>
        </is>
      </c>
      <c r="W318" s="13" t="n">
        <v>5.708554</v>
      </c>
      <c r="X318" s="11" t="n">
        <v>0.2523332528692905</v>
      </c>
      <c r="Y318" s="11" t="n">
        <v>29.58054716264633</v>
      </c>
      <c r="Z318" s="13" t="n">
        <v>3.900773</v>
      </c>
      <c r="AA318" s="8" t="inlineStr">
        <is>
          <t>net income + D&amp;A - capex - change in operating working capital (cash and short-term debt excluded)</t>
        </is>
      </c>
      <c r="AB318" s="10" t="n">
        <v>0.2264331670695121</v>
      </c>
      <c r="AC318" s="10" t="n">
        <v>0.3119987712339886</v>
      </c>
      <c r="AD318" s="12" t="n">
        <v>1369750000</v>
      </c>
    </row>
    <row r="319">
      <c r="A319" s="8" t="inlineStr">
        <is>
          <t>LRCX</t>
        </is>
      </c>
      <c r="B319" s="8" t="inlineStr">
        <is>
          <t>LAM RESEARCH CORP</t>
        </is>
      </c>
      <c r="C319" s="8" t="inlineStr">
        <is>
          <t>STANDARD</t>
        </is>
      </c>
      <c r="D319" s="8" t="n">
        <v>2023</v>
      </c>
      <c r="E319" s="8" t="inlineStr">
        <is>
          <t>2023-06-25</t>
        </is>
      </c>
      <c r="F319" s="8" t="inlineStr">
        <is>
          <t>0000707549-25-000075</t>
        </is>
      </c>
      <c r="G319" s="13" t="n">
        <v>17.428516</v>
      </c>
      <c r="H319" s="13" t="n">
        <v>5.291121</v>
      </c>
      <c r="I319" s="8" t="inlineStr">
        <is>
          <t>pretax_income + interest_expense</t>
        </is>
      </c>
      <c r="J319" s="13" t="n">
        <v>4.510931</v>
      </c>
      <c r="K319" s="10" t="n">
        <v>0.1170981423742614</v>
      </c>
      <c r="L319" s="13" t="n">
        <v>4.671540559822556</v>
      </c>
      <c r="M319" s="13" t="n">
        <v>7.838481</v>
      </c>
      <c r="N319" s="13" t="n">
        <v>7.7786525</v>
      </c>
      <c r="O319" s="10" t="n">
        <v>0.6005591019553265</v>
      </c>
      <c r="P319" s="8" t="inlineStr">
        <is>
          <t>OK</t>
        </is>
      </c>
      <c r="Q319" s="10" t="n">
        <v>0.6226896047068379</v>
      </c>
      <c r="R319" s="10" t="n">
        <v>0.02213050275151141</v>
      </c>
      <c r="S319" s="13" t="n">
        <v>8.210172</v>
      </c>
      <c r="T319" s="13" t="n">
        <v>5.337056</v>
      </c>
      <c r="U319" s="13" t="n">
        <v>4.965365</v>
      </c>
      <c r="V319" s="8" t="inlineStr">
        <is>
          <t>short-term + long-term</t>
        </is>
      </c>
      <c r="W319" s="13" t="n">
        <v>5.633553</v>
      </c>
      <c r="X319" s="11" t="n">
        <v>-0.06597807813292961</v>
      </c>
      <c r="Y319" s="11" t="n">
        <v>29.08631693520458</v>
      </c>
      <c r="Z319" s="13" t="n">
        <v>4.843411</v>
      </c>
      <c r="AA319" s="8" t="inlineStr">
        <is>
          <t>net income + D&amp;A - capex - change in operating working capital (cash and short-term debt excluded)</t>
        </is>
      </c>
      <c r="AB319" s="10" t="n">
        <v>0.2779015149654738</v>
      </c>
      <c r="AC319" s="10" t="n">
        <v>0.3035898753514069</v>
      </c>
      <c r="AD319" s="12" t="n">
        <v>1332970000</v>
      </c>
    </row>
    <row r="320">
      <c r="A320" s="8" t="inlineStr">
        <is>
          <t>LRCX</t>
        </is>
      </c>
      <c r="B320" s="8" t="inlineStr">
        <is>
          <t>LAM RESEARCH CORP</t>
        </is>
      </c>
      <c r="C320" s="8" t="inlineStr">
        <is>
          <t>STANDARD</t>
        </is>
      </c>
      <c r="D320" s="8" t="n">
        <v>2024</v>
      </c>
      <c r="E320" s="8" t="inlineStr">
        <is>
          <t>2024-06-30</t>
        </is>
      </c>
      <c r="F320" s="8" t="inlineStr">
        <is>
          <t>0000707549-26-000037</t>
        </is>
      </c>
      <c r="G320" s="13" t="n">
        <v>14.905386</v>
      </c>
      <c r="H320" s="13" t="n">
        <v>4.543257</v>
      </c>
      <c r="I320" s="8" t="inlineStr">
        <is>
          <t>pretax_income + interest_expense</t>
        </is>
      </c>
      <c r="J320" s="13" t="n">
        <v>3.827772</v>
      </c>
      <c r="K320" s="10" t="n">
        <v>0.1221153418335122</v>
      </c>
      <c r="L320" s="13" t="n">
        <v>3.988455618407503</v>
      </c>
      <c r="M320" s="13" t="n">
        <v>7.658959</v>
      </c>
      <c r="N320" s="13" t="n">
        <v>7.74872</v>
      </c>
      <c r="O320" s="10" t="n">
        <v>0.5147244471870842</v>
      </c>
      <c r="P320" s="8" t="inlineStr">
        <is>
          <t>OK</t>
        </is>
      </c>
      <c r="Q320" s="10" t="n">
        <v>0.4570576083310756</v>
      </c>
      <c r="R320" s="10" t="n">
        <v>-0.05766683885600865</v>
      </c>
      <c r="S320" s="13" t="n">
        <v>8.539453999999999</v>
      </c>
      <c r="T320" s="13" t="n">
        <v>5.847856</v>
      </c>
      <c r="U320" s="13" t="n">
        <v>4.967361</v>
      </c>
      <c r="V320" s="8" t="inlineStr">
        <is>
          <t>short-term + long-term</t>
        </is>
      </c>
      <c r="W320" s="13" t="n">
        <v>4.902956</v>
      </c>
      <c r="X320" s="11" t="n">
        <v>-0.1795845200324049</v>
      </c>
      <c r="Y320" s="11" t="n">
        <v>24.82179364602398</v>
      </c>
      <c r="Z320" s="13" t="n">
        <v>4.299418</v>
      </c>
      <c r="AA320" s="8" t="inlineStr">
        <is>
          <t>net income + D&amp;A - capex - change in operating working capital (cash and short-term debt excluded)</t>
        </is>
      </c>
      <c r="AB320" s="10" t="n">
        <v>0.2884472767092379</v>
      </c>
      <c r="AC320" s="10" t="n">
        <v>0.3048063968286363</v>
      </c>
      <c r="AD320" s="12" t="n">
        <v>13037690000</v>
      </c>
    </row>
    <row r="321">
      <c r="A321" s="8" t="inlineStr">
        <is>
          <t>LRCX</t>
        </is>
      </c>
      <c r="B321" s="8" t="inlineStr">
        <is>
          <t>LAM RESEARCH CORP</t>
        </is>
      </c>
      <c r="C321" s="8" t="inlineStr">
        <is>
          <t>STANDARD</t>
        </is>
      </c>
      <c r="D321" s="8" t="n">
        <v>2025</v>
      </c>
      <c r="E321" s="8" t="inlineStr">
        <is>
          <t>2025-06-29</t>
        </is>
      </c>
      <c r="F321" s="8" t="inlineStr">
        <is>
          <t>0000707549-26-000037</t>
        </is>
      </c>
      <c r="G321" s="13" t="n">
        <v>18.435591</v>
      </c>
      <c r="H321" s="13" t="n">
        <v>6.135348</v>
      </c>
      <c r="I321" s="8" t="inlineStr">
        <is>
          <t>pretax_income + interest_expense</t>
        </is>
      </c>
      <c r="J321" s="13" t="n">
        <v>5.358217</v>
      </c>
      <c r="K321" s="10" t="n">
        <v>0.1006879844326969</v>
      </c>
      <c r="L321" s="13" t="n">
        <v>5.517592176086821</v>
      </c>
      <c r="M321" s="13" t="n">
        <v>7.940324</v>
      </c>
      <c r="N321" s="13" t="n">
        <v>7.7996415</v>
      </c>
      <c r="O321" s="10" t="n">
        <v>0.7074161262523183</v>
      </c>
      <c r="P321" s="8" t="inlineStr">
        <is>
          <t>OK</t>
        </is>
      </c>
      <c r="Q321" s="10" t="n">
        <v>0.5823809296338317</v>
      </c>
      <c r="R321" s="10" t="n">
        <v>-0.1250351966184866</v>
      </c>
      <c r="S321" s="13" t="n">
        <v>9.861618999999999</v>
      </c>
      <c r="T321" s="13" t="n">
        <v>6.390659</v>
      </c>
      <c r="U321" s="13" t="n">
        <v>4.469364</v>
      </c>
      <c r="V321" s="8" t="inlineStr">
        <is>
          <t>short-term + long-term</t>
        </is>
      </c>
      <c r="W321" s="13" t="n">
        <v>6.521625</v>
      </c>
      <c r="X321" s="11" t="n">
        <v>-0.2946037222318057</v>
      </c>
      <c r="Y321" s="11" t="n">
        <v>34.62014795253331</v>
      </c>
      <c r="Z321" s="13" t="n">
        <v>5.875969</v>
      </c>
      <c r="AA321" s="8" t="inlineStr">
        <is>
          <t>net income + D&amp;A - capex - change in operating working capital (cash and short-term debt excluded)</t>
        </is>
      </c>
      <c r="AB321" s="10" t="n">
        <v>0.3187296246700201</v>
      </c>
      <c r="AC321" s="10" t="n">
        <v>0.3327990949679888</v>
      </c>
      <c r="AD321" s="12" t="n">
        <v>1268740000</v>
      </c>
    </row>
    <row r="322">
      <c r="A322" s="8" t="inlineStr">
        <is>
          <t>LRCX</t>
        </is>
      </c>
      <c r="B322" s="8" t="inlineStr">
        <is>
          <t>LAM RESEARCH CORP</t>
        </is>
      </c>
      <c r="C322" s="8" t="inlineStr">
        <is>
          <t>STANDARD</t>
        </is>
      </c>
      <c r="D322" s="8" t="n">
        <v>2026</v>
      </c>
      <c r="E322" s="8" t="inlineStr">
        <is>
          <t>2026-06-28</t>
        </is>
      </c>
      <c r="F322" s="8" t="inlineStr">
        <is>
          <t>0000707549-26-000037</t>
        </is>
      </c>
      <c r="G322" s="13" t="n">
        <v>23.23269</v>
      </c>
      <c r="H322" s="13" t="n">
        <v>8.418376</v>
      </c>
      <c r="I322" s="8" t="inlineStr">
        <is>
          <t>pretax_income + interest_expense</t>
        </is>
      </c>
      <c r="J322" s="13" t="n">
        <v>7.265396</v>
      </c>
      <c r="K322" s="10" t="n">
        <v>0.1206753716472054</v>
      </c>
      <c r="L322" s="13" t="n">
        <v>7.402485347534086</v>
      </c>
      <c r="M322" s="13" t="n">
        <v>10.613811</v>
      </c>
      <c r="N322" s="13" t="n">
        <v>9.277067499999999</v>
      </c>
      <c r="O322" s="10" t="n">
        <v>0.7979337595133469</v>
      </c>
      <c r="P322" s="8" t="inlineStr">
        <is>
          <t>OK</t>
        </is>
      </c>
      <c r="Q322" s="10" t="n">
        <v>0.6506555904523176</v>
      </c>
      <c r="R322" s="10" t="n">
        <v>-0.1472781690610293</v>
      </c>
      <c r="S322" s="13" t="n">
        <v>12.470921</v>
      </c>
      <c r="T322" s="13" t="n">
        <v>5.579171</v>
      </c>
      <c r="U322" s="13" t="n">
        <v>3.722061</v>
      </c>
      <c r="V322" s="8" t="inlineStr">
        <is>
          <t>short-term + long-term</t>
        </is>
      </c>
      <c r="W322" s="13" t="n">
        <v>8.859909</v>
      </c>
      <c r="X322" s="11" t="n">
        <v>-0.2096082476693609</v>
      </c>
      <c r="Y322" s="11" t="n">
        <v>53.99752410152467</v>
      </c>
      <c r="Z322" s="13" t="n">
        <v>4.953673</v>
      </c>
      <c r="AA322" s="8" t="inlineStr">
        <is>
          <t>net income + D&amp;A - capex - change in operating working capital (cash and short-term debt excluded)</t>
        </is>
      </c>
      <c r="AB322" s="10" t="n">
        <v>0.2132199499928764</v>
      </c>
      <c r="AC322" s="10" t="n">
        <v>0.3623504639368063</v>
      </c>
      <c r="AD322" s="12" t="n">
        <v>1251278000</v>
      </c>
    </row>
    <row r="323">
      <c r="A323" s="8" t="inlineStr">
        <is>
          <t>CAT</t>
        </is>
      </c>
      <c r="B323" s="8" t="inlineStr">
        <is>
          <t>CATERPILLAR INC</t>
        </is>
      </c>
      <c r="C323" s="8" t="inlineStr">
        <is>
          <t>STANDARD</t>
        </is>
      </c>
      <c r="D323" s="8" t="n">
        <v>2014</v>
      </c>
      <c r="E323" s="8" t="inlineStr">
        <is>
          <t>2014-12-31</t>
        </is>
      </c>
      <c r="F323" s="8" t="inlineStr">
        <is>
          <t>0000018230-17-000041</t>
        </is>
      </c>
      <c r="G323" s="13" t="n">
        <v>55.184</v>
      </c>
      <c r="H323" s="13" t="n">
        <v>3.314</v>
      </c>
      <c r="I323" s="8" t="inlineStr">
        <is>
          <t>reported OperatingIncomeLoss (no interest expense tagged)</t>
        </is>
      </c>
      <c r="J323" s="13" t="n">
        <v>2.468</v>
      </c>
      <c r="K323" s="10" t="n">
        <v>0.2195431472081218</v>
      </c>
      <c r="L323" s="13" t="n">
        <v>2.586434010152284</v>
      </c>
      <c r="M323" s="13" t="n"/>
      <c r="N323" s="13" t="n"/>
      <c r="O323" s="10" t="n"/>
      <c r="P323" s="8" t="inlineStr">
        <is>
          <t>DATA_UNAVAILABLE</t>
        </is>
      </c>
      <c r="Q323" s="10" t="n">
        <v>0.146677760608582</v>
      </c>
      <c r="R323" s="10" t="n"/>
      <c r="S323" s="13" t="n">
        <v>16.826</v>
      </c>
      <c r="T323" s="13" t="n"/>
      <c r="U323" s="13" t="n">
        <v>32.492</v>
      </c>
      <c r="V323" s="8" t="inlineStr">
        <is>
          <t>short-term + long-term</t>
        </is>
      </c>
      <c r="W323" s="13" t="n">
        <v>6.477</v>
      </c>
      <c r="X323" s="11" t="n"/>
      <c r="Y323" s="11" t="n"/>
      <c r="Z323" s="13" t="n"/>
      <c r="AA323" s="8" t="inlineStr">
        <is>
          <t>net income + D&amp;A - capex - change in no prior year</t>
        </is>
      </c>
      <c r="AB323" s="10" t="n"/>
      <c r="AC323" s="10" t="n">
        <v>0.06005363873586547</v>
      </c>
      <c r="AD323" s="12" t="n">
        <v>606200000</v>
      </c>
    </row>
    <row r="324">
      <c r="A324" s="8" t="inlineStr">
        <is>
          <t>CAT</t>
        </is>
      </c>
      <c r="B324" s="8" t="inlineStr">
        <is>
          <t>CATERPILLAR INC</t>
        </is>
      </c>
      <c r="C324" s="8" t="inlineStr">
        <is>
          <t>STANDARD</t>
        </is>
      </c>
      <c r="D324" s="8" t="n">
        <v>2015</v>
      </c>
      <c r="E324" s="8" t="inlineStr">
        <is>
          <t>2015-12-31</t>
        </is>
      </c>
      <c r="F324" s="8" t="inlineStr">
        <is>
          <t>0000018230-18-000042</t>
        </is>
      </c>
      <c r="G324" s="13" t="n">
        <v>47.011</v>
      </c>
      <c r="H324" s="13" t="n">
        <v>3.785</v>
      </c>
      <c r="I324" s="8" t="inlineStr">
        <is>
          <t>reported OperatingIncomeLoss (no interest expense tagged)</t>
        </is>
      </c>
      <c r="J324" s="13" t="n">
        <v>2.523</v>
      </c>
      <c r="K324" s="10" t="n">
        <v>0.2663564989822623</v>
      </c>
      <c r="L324" s="13" t="n">
        <v>2.776840651352138</v>
      </c>
      <c r="M324" s="13" t="n">
        <v>40.51</v>
      </c>
      <c r="N324" s="13" t="n">
        <v>40.51</v>
      </c>
      <c r="O324" s="10" t="n">
        <v>0.06854704150461954</v>
      </c>
      <c r="P324" s="8" t="inlineStr">
        <is>
          <t>OK</t>
        </is>
      </c>
      <c r="Q324" s="10" t="n">
        <v>0.1591245939894674</v>
      </c>
      <c r="R324" s="10" t="n">
        <v>0.09057755248484783</v>
      </c>
      <c r="S324" s="13" t="n">
        <v>14.885</v>
      </c>
      <c r="T324" s="13" t="n">
        <v>6.511</v>
      </c>
      <c r="U324" s="13" t="n">
        <v>32.136</v>
      </c>
      <c r="V324" s="8" t="inlineStr">
        <is>
          <t>short-term + long-term</t>
        </is>
      </c>
      <c r="W324" s="13" t="n">
        <v>6.831</v>
      </c>
      <c r="X324" s="11" t="n">
        <v>3.751280925193968</v>
      </c>
      <c r="Y324" s="11" t="n"/>
      <c r="Z324" s="13" t="n"/>
      <c r="AA324" s="8" t="inlineStr">
        <is>
          <t>net income + D&amp;A - capex - change in current assets less current liabilities; cash not tagged for both years, so the swing may still carry a cash movement</t>
        </is>
      </c>
      <c r="AB324" s="10" t="n"/>
      <c r="AC324" s="10" t="n">
        <v>0.08051307140881921</v>
      </c>
      <c r="AD324" s="12" t="n">
        <v>582300000</v>
      </c>
    </row>
    <row r="325">
      <c r="A325" s="8" t="inlineStr">
        <is>
          <t>CAT</t>
        </is>
      </c>
      <c r="B325" s="8" t="inlineStr">
        <is>
          <t>CATERPILLAR INC</t>
        </is>
      </c>
      <c r="C325" s="8" t="inlineStr">
        <is>
          <t>STANDARD</t>
        </is>
      </c>
      <c r="D325" s="8" t="n">
        <v>2016</v>
      </c>
      <c r="E325" s="8" t="inlineStr">
        <is>
          <t>2016-12-31</t>
        </is>
      </c>
      <c r="F325" s="8" t="inlineStr">
        <is>
          <t>0000018230-19-000034</t>
        </is>
      </c>
      <c r="G325" s="13" t="n">
        <v>38.537</v>
      </c>
      <c r="H325" s="13" t="n">
        <v>1.162</v>
      </c>
      <c r="I325" s="8" t="inlineStr">
        <is>
          <t>reported OperatingIncomeLoss (no interest expense tagged)</t>
        </is>
      </c>
      <c r="J325" s="13" t="n">
        <v>-0.059</v>
      </c>
      <c r="K325" s="10" t="n">
        <v>0.4</v>
      </c>
      <c r="L325" s="13" t="n">
        <v>0.6972</v>
      </c>
      <c r="M325" s="13" t="n">
        <v>36.15</v>
      </c>
      <c r="N325" s="13" t="n">
        <v>38.33</v>
      </c>
      <c r="O325" s="10" t="n">
        <v>0.0181894077745891</v>
      </c>
      <c r="P325" s="8" t="inlineStr">
        <is>
          <t>OK</t>
        </is>
      </c>
      <c r="Q325" s="10" t="n">
        <v>-0.004197346423362857</v>
      </c>
      <c r="R325" s="10" t="n">
        <v>-0.02238675419795195</v>
      </c>
      <c r="S325" s="13" t="n">
        <v>13.228</v>
      </c>
      <c r="T325" s="13" t="n">
        <v>7.199</v>
      </c>
      <c r="U325" s="13" t="n">
        <v>30.121</v>
      </c>
      <c r="V325" s="8" t="inlineStr">
        <is>
          <t>short-term + long-term</t>
        </is>
      </c>
      <c r="W325" s="13" t="n">
        <v>4.196</v>
      </c>
      <c r="X325" s="11" t="n">
        <v>5.462821734985701</v>
      </c>
      <c r="Y325" s="11" t="n"/>
      <c r="Z325" s="13" t="n"/>
      <c r="AA325" s="8" t="inlineStr">
        <is>
          <t>net income + D&amp;A - capex - change in operating working capital (cash and short-term debt excluded)</t>
        </is>
      </c>
      <c r="AB325" s="10" t="n"/>
      <c r="AC325" s="10" t="n">
        <v>0.03015284012766951</v>
      </c>
      <c r="AD325" s="12" t="n">
        <v>586500000</v>
      </c>
    </row>
    <row r="326">
      <c r="A326" s="8" t="inlineStr">
        <is>
          <t>CAT</t>
        </is>
      </c>
      <c r="B326" s="8" t="inlineStr">
        <is>
          <t>CATERPILLAR INC</t>
        </is>
      </c>
      <c r="C326" s="8" t="inlineStr">
        <is>
          <t>STANDARD</t>
        </is>
      </c>
      <c r="D326" s="8" t="n">
        <v>2017</v>
      </c>
      <c r="E326" s="8" t="inlineStr">
        <is>
          <t>2017-12-31</t>
        </is>
      </c>
      <c r="F326" s="8" t="inlineStr">
        <is>
          <t>0000018230-20-000056</t>
        </is>
      </c>
      <c r="G326" s="13" t="n">
        <v>45.462</v>
      </c>
      <c r="H326" s="13" t="n">
        <v>4.46</v>
      </c>
      <c r="I326" s="8" t="inlineStr">
        <is>
          <t>reported OperatingIncomeLoss (no interest expense tagged)</t>
        </is>
      </c>
      <c r="J326" s="13" t="n">
        <v>0.759</v>
      </c>
      <c r="K326" s="10" t="n">
        <v>0.4</v>
      </c>
      <c r="L326" s="13" t="n">
        <v>2.676</v>
      </c>
      <c r="M326" s="13" t="n">
        <v>34.083</v>
      </c>
      <c r="N326" s="13" t="n">
        <v>35.1165</v>
      </c>
      <c r="O326" s="10" t="n">
        <v>0.07620349408397761</v>
      </c>
      <c r="P326" s="8" t="inlineStr">
        <is>
          <t>OK</t>
        </is>
      </c>
      <c r="Q326" s="10" t="n">
        <v>0.05633280142501948</v>
      </c>
      <c r="R326" s="10" t="n">
        <v>-0.01987069265895813</v>
      </c>
      <c r="S326" s="13" t="n">
        <v>13.719</v>
      </c>
      <c r="T326" s="13" t="n">
        <v>8.32</v>
      </c>
      <c r="U326" s="13" t="n">
        <v>28.684</v>
      </c>
      <c r="V326" s="8" t="inlineStr">
        <is>
          <t>short-term + long-term</t>
        </is>
      </c>
      <c r="W326" s="13" t="n">
        <v>7.337</v>
      </c>
      <c r="X326" s="11" t="n">
        <v>2.775521330243969</v>
      </c>
      <c r="Y326" s="11" t="n"/>
      <c r="Z326" s="13" t="n"/>
      <c r="AA326" s="8" t="inlineStr">
        <is>
          <t>net income + D&amp;A - capex - change in operating working capital (cash and short-term debt excluded)</t>
        </is>
      </c>
      <c r="AB326" s="10" t="n"/>
      <c r="AC326" s="10" t="n">
        <v>0.09810391095860278</v>
      </c>
      <c r="AD326" s="12" t="n">
        <v>597600000</v>
      </c>
    </row>
    <row r="327">
      <c r="A327" s="8" t="inlineStr">
        <is>
          <t>CAT</t>
        </is>
      </c>
      <c r="B327" s="8" t="inlineStr">
        <is>
          <t>CATERPILLAR INC</t>
        </is>
      </c>
      <c r="C327" s="8" t="inlineStr">
        <is>
          <t>STANDARD</t>
        </is>
      </c>
      <c r="D327" s="8" t="n">
        <v>2018</v>
      </c>
      <c r="E327" s="8" t="inlineStr">
        <is>
          <t>2018-12-31</t>
        </is>
      </c>
      <c r="F327" s="8" t="inlineStr">
        <is>
          <t>0000018230-21-000063</t>
        </is>
      </c>
      <c r="G327" s="13" t="n">
        <v>54.722</v>
      </c>
      <c r="H327" s="13" t="n">
        <v>8.292999999999999</v>
      </c>
      <c r="I327" s="8" t="inlineStr">
        <is>
          <t>reported OperatingIncomeLoss (no interest expense tagged)</t>
        </is>
      </c>
      <c r="J327" s="13" t="n">
        <v>6.148</v>
      </c>
      <c r="K327" s="10" t="n">
        <v>0.2170800306826899</v>
      </c>
      <c r="L327" s="13" t="n">
        <v>6.492755305548452</v>
      </c>
      <c r="M327" s="13" t="n">
        <v>37.148</v>
      </c>
      <c r="N327" s="13" t="n">
        <v>35.6155</v>
      </c>
      <c r="O327" s="10" t="n">
        <v>0.1823013942117463</v>
      </c>
      <c r="P327" s="8" t="inlineStr">
        <is>
          <t>OK</t>
        </is>
      </c>
      <c r="Q327" s="10" t="n">
        <v>0.4386102589712492</v>
      </c>
      <c r="R327" s="10" t="n">
        <v>0.2563088647595029</v>
      </c>
      <c r="S327" s="13" t="n">
        <v>14.315</v>
      </c>
      <c r="T327" s="13" t="n">
        <v>7.89</v>
      </c>
      <c r="U327" s="13" t="n">
        <v>30.723</v>
      </c>
      <c r="V327" s="8" t="inlineStr">
        <is>
          <t>short-term + long-term</t>
        </is>
      </c>
      <c r="W327" s="13" t="n">
        <v>11.059</v>
      </c>
      <c r="X327" s="11" t="n">
        <v>2.064653223618772</v>
      </c>
      <c r="Y327" s="11" t="n"/>
      <c r="Z327" s="13" t="n">
        <v>5.25</v>
      </c>
      <c r="AA327" s="8" t="inlineStr">
        <is>
          <t>net income + D&amp;A - capex - change in operating working capital (cash and short-term debt excluded)</t>
        </is>
      </c>
      <c r="AB327" s="10" t="n">
        <v>0.09593947589634881</v>
      </c>
      <c r="AC327" s="10" t="n">
        <v>0.1515478235444611</v>
      </c>
      <c r="AD327" s="12" t="n">
        <v>575500000</v>
      </c>
    </row>
    <row r="328">
      <c r="A328" s="8" t="inlineStr">
        <is>
          <t>CAT</t>
        </is>
      </c>
      <c r="B328" s="8" t="inlineStr">
        <is>
          <t>CATERPILLAR INC</t>
        </is>
      </c>
      <c r="C328" s="8" t="inlineStr">
        <is>
          <t>STANDARD</t>
        </is>
      </c>
      <c r="D328" s="8" t="n">
        <v>2019</v>
      </c>
      <c r="E328" s="8" t="inlineStr">
        <is>
          <t>2019-12-31</t>
        </is>
      </c>
      <c r="F328" s="8" t="inlineStr">
        <is>
          <t>0000018230-22-000050</t>
        </is>
      </c>
      <c r="G328" s="13" t="n">
        <v>53.8</v>
      </c>
      <c r="H328" s="13" t="n">
        <v>8.289999999999999</v>
      </c>
      <c r="I328" s="8" t="inlineStr">
        <is>
          <t>reported OperatingIncomeLoss (no interest expense tagged)</t>
        </is>
      </c>
      <c r="J328" s="13" t="n">
        <v>6.094</v>
      </c>
      <c r="K328" s="10" t="n">
        <v>0.2235023041474654</v>
      </c>
      <c r="L328" s="13" t="n">
        <v>6.437165898617511</v>
      </c>
      <c r="M328" s="13" t="n">
        <v>37.784</v>
      </c>
      <c r="N328" s="13" t="n">
        <v>37.466</v>
      </c>
      <c r="O328" s="10" t="n">
        <v>0.1718135349014443</v>
      </c>
      <c r="P328" s="8" t="inlineStr">
        <is>
          <t>OK</t>
        </is>
      </c>
      <c r="Q328" s="10" t="n">
        <v>0.4210889994472084</v>
      </c>
      <c r="R328" s="10" t="n">
        <v>0.2492754645457641</v>
      </c>
      <c r="S328" s="13" t="n">
        <v>14.629</v>
      </c>
      <c r="T328" s="13" t="n">
        <v>8.292</v>
      </c>
      <c r="U328" s="13" t="n">
        <v>31.447</v>
      </c>
      <c r="V328" s="8" t="inlineStr">
        <is>
          <t>short-term + long-term</t>
        </is>
      </c>
      <c r="W328" s="13" t="n">
        <v>10.867</v>
      </c>
      <c r="X328" s="11" t="n">
        <v>2.130762860034968</v>
      </c>
      <c r="Y328" s="11" t="n"/>
      <c r="Z328" s="13" t="n">
        <v>6.387</v>
      </c>
      <c r="AA328" s="8" t="inlineStr">
        <is>
          <t>net income + D&amp;A - capex - change in operating working capital (cash and short-term debt excluded)</t>
        </is>
      </c>
      <c r="AB328" s="10" t="n">
        <v>0.1187174721189591</v>
      </c>
      <c r="AC328" s="10" t="n">
        <v>0.154089219330855</v>
      </c>
      <c r="AD328" s="12" t="n">
        <v>550100000</v>
      </c>
    </row>
    <row r="329">
      <c r="A329" s="8" t="inlineStr">
        <is>
          <t>CAT</t>
        </is>
      </c>
      <c r="B329" s="8" t="inlineStr">
        <is>
          <t>CATERPILLAR INC</t>
        </is>
      </c>
      <c r="C329" s="8" t="inlineStr">
        <is>
          <t>STANDARD</t>
        </is>
      </c>
      <c r="D329" s="8" t="n">
        <v>2020</v>
      </c>
      <c r="E329" s="8" t="inlineStr">
        <is>
          <t>2020-12-31</t>
        </is>
      </c>
      <c r="F329" s="8" t="inlineStr">
        <is>
          <t>0000018230-23-000011</t>
        </is>
      </c>
      <c r="G329" s="13" t="n">
        <v>41.748</v>
      </c>
      <c r="H329" s="13" t="n">
        <v>4.553</v>
      </c>
      <c r="I329" s="8" t="inlineStr">
        <is>
          <t>reported OperatingIncomeLoss (no interest expense tagged)</t>
        </is>
      </c>
      <c r="J329" s="13" t="n">
        <v>3.003</v>
      </c>
      <c r="K329" s="10" t="n">
        <v>0.2518147684605757</v>
      </c>
      <c r="L329" s="13" t="n">
        <v>3.406487359198999</v>
      </c>
      <c r="M329" s="13" t="n">
        <v>34.026</v>
      </c>
      <c r="N329" s="13" t="n">
        <v>35.905</v>
      </c>
      <c r="O329" s="10" t="n">
        <v>0.09487501348555909</v>
      </c>
      <c r="P329" s="8" t="inlineStr">
        <is>
          <t>OK</t>
        </is>
      </c>
      <c r="Q329" s="10" t="n">
        <v>0.2001532975639018</v>
      </c>
      <c r="R329" s="10" t="n">
        <v>0.1052782840783427</v>
      </c>
      <c r="S329" s="13" t="n">
        <v>15.378</v>
      </c>
      <c r="T329" s="13" t="n">
        <v>9.366</v>
      </c>
      <c r="U329" s="13" t="n">
        <v>28.014</v>
      </c>
      <c r="V329" s="8" t="inlineStr">
        <is>
          <t>short-term + long-term</t>
        </is>
      </c>
      <c r="W329" s="13" t="n">
        <v>6.985</v>
      </c>
      <c r="X329" s="11" t="n">
        <v>2.669720830350752</v>
      </c>
      <c r="Y329" s="11" t="n"/>
      <c r="Z329" s="13" t="n">
        <v>7.507</v>
      </c>
      <c r="AA329" s="8" t="inlineStr">
        <is>
          <t>net income + D&amp;A - capex - change in operating working capital (cash and short-term debt excluded)</t>
        </is>
      </c>
      <c r="AB329" s="10" t="n">
        <v>0.1798169972214238</v>
      </c>
      <c r="AC329" s="10" t="n">
        <v>0.1090591166043882</v>
      </c>
      <c r="AD329" s="12" t="n">
        <v>545300000</v>
      </c>
    </row>
    <row r="330">
      <c r="A330" s="8" t="inlineStr">
        <is>
          <t>CAT</t>
        </is>
      </c>
      <c r="B330" s="8" t="inlineStr">
        <is>
          <t>CATERPILLAR INC</t>
        </is>
      </c>
      <c r="C330" s="8" t="inlineStr">
        <is>
          <t>STANDARD</t>
        </is>
      </c>
      <c r="D330" s="8" t="n">
        <v>2021</v>
      </c>
      <c r="E330" s="8" t="inlineStr">
        <is>
          <t>2021-12-31</t>
        </is>
      </c>
      <c r="F330" s="8" t="inlineStr">
        <is>
          <t>0000018230-24-000009</t>
        </is>
      </c>
      <c r="G330" s="13" t="n">
        <v>50.971</v>
      </c>
      <c r="H330" s="13" t="n">
        <v>6.878</v>
      </c>
      <c r="I330" s="8" t="inlineStr">
        <is>
          <t>reported OperatingIncomeLoss (no interest expense tagged)</t>
        </is>
      </c>
      <c r="J330" s="13" t="n">
        <v>6.493</v>
      </c>
      <c r="K330" s="10" t="n">
        <v>0.212335446123842</v>
      </c>
      <c r="L330" s="13" t="n">
        <v>5.417556801560214</v>
      </c>
      <c r="M330" s="13" t="n">
        <v>38.69</v>
      </c>
      <c r="N330" s="13" t="n">
        <v>36.358</v>
      </c>
      <c r="O330" s="10" t="n">
        <v>0.1490059079586395</v>
      </c>
      <c r="P330" s="8" t="inlineStr">
        <is>
          <t>OK</t>
        </is>
      </c>
      <c r="Q330" s="10" t="n">
        <v>0.4071612215463724</v>
      </c>
      <c r="R330" s="10" t="n">
        <v>0.2581553135877329</v>
      </c>
      <c r="S330" s="13" t="n">
        <v>16.516</v>
      </c>
      <c r="T330" s="13" t="n">
        <v>9.263</v>
      </c>
      <c r="U330" s="13" t="n">
        <v>31.437</v>
      </c>
      <c r="V330" s="8" t="inlineStr">
        <is>
          <t>short-term + long-term</t>
        </is>
      </c>
      <c r="W330" s="13" t="n">
        <v>9.23</v>
      </c>
      <c r="X330" s="11" t="n">
        <v>2.402383531960997</v>
      </c>
      <c r="Y330" s="11" t="n"/>
      <c r="Z330" s="13" t="n">
        <v>4.399</v>
      </c>
      <c r="AA330" s="8" t="inlineStr">
        <is>
          <t>net income + D&amp;A - capex - change in operating working capital (cash and short-term debt excluded)</t>
        </is>
      </c>
      <c r="AB330" s="10" t="n">
        <v>0.08630397677110514</v>
      </c>
      <c r="AC330" s="10" t="n">
        <v>0.1349394753879657</v>
      </c>
      <c r="AD330" s="12" t="n">
        <v>535900000</v>
      </c>
    </row>
    <row r="331">
      <c r="A331" s="8" t="inlineStr">
        <is>
          <t>CAT</t>
        </is>
      </c>
      <c r="B331" s="8" t="inlineStr">
        <is>
          <t>CATERPILLAR INC</t>
        </is>
      </c>
      <c r="C331" s="8" t="inlineStr">
        <is>
          <t>STANDARD</t>
        </is>
      </c>
      <c r="D331" s="8" t="n">
        <v>2022</v>
      </c>
      <c r="E331" s="8" t="inlineStr">
        <is>
          <t>2022-12-31</t>
        </is>
      </c>
      <c r="F331" s="8" t="inlineStr">
        <is>
          <t>0000018230-25-000008</t>
        </is>
      </c>
      <c r="G331" s="13" t="n">
        <v>59.427</v>
      </c>
      <c r="H331" s="13" t="n">
        <v>7.904</v>
      </c>
      <c r="I331" s="8" t="inlineStr">
        <is>
          <t>reported OperatingIncomeLoss (no interest expense tagged)</t>
        </is>
      </c>
      <c r="J331" s="13" t="n">
        <v>6.704</v>
      </c>
      <c r="K331" s="10" t="n">
        <v>0.2361745886654479</v>
      </c>
      <c r="L331" s="13" t="n">
        <v>6.037276051188299</v>
      </c>
      <c r="M331" s="13" t="n">
        <v>40.549</v>
      </c>
      <c r="N331" s="13" t="n">
        <v>39.6195</v>
      </c>
      <c r="O331" s="10" t="n">
        <v>0.1523814296290538</v>
      </c>
      <c r="P331" s="8" t="inlineStr">
        <is>
          <t>OK</t>
        </is>
      </c>
      <c r="Q331" s="10" t="n">
        <v>0.4137377727034283</v>
      </c>
      <c r="R331" s="10" t="n">
        <v>0.2613563430743744</v>
      </c>
      <c r="S331" s="13" t="n">
        <v>15.891</v>
      </c>
      <c r="T331" s="13" t="n">
        <v>7.013</v>
      </c>
      <c r="U331" s="13" t="n">
        <v>31.671</v>
      </c>
      <c r="V331" s="8" t="inlineStr">
        <is>
          <t>short-term + long-term</t>
        </is>
      </c>
      <c r="W331" s="13" t="n">
        <v>10.123</v>
      </c>
      <c r="X331" s="11" t="n">
        <v>2.435839178109256</v>
      </c>
      <c r="Y331" s="11" t="n"/>
      <c r="Z331" s="13" t="n">
        <v>6.178</v>
      </c>
      <c r="AA331" s="8" t="inlineStr">
        <is>
          <t>net income + D&amp;A - capex - change in operating working capital (cash and short-term debt excluded)</t>
        </is>
      </c>
      <c r="AB331" s="10" t="n">
        <v>0.1039594796977805</v>
      </c>
      <c r="AC331" s="10" t="n">
        <v>0.1330035169199185</v>
      </c>
      <c r="AD331" s="12" t="n">
        <v>516300000</v>
      </c>
    </row>
    <row r="332">
      <c r="A332" s="8" t="inlineStr">
        <is>
          <t>CAT</t>
        </is>
      </c>
      <c r="B332" s="8" t="inlineStr">
        <is>
          <t>CATERPILLAR INC</t>
        </is>
      </c>
      <c r="C332" s="8" t="inlineStr">
        <is>
          <t>STANDARD</t>
        </is>
      </c>
      <c r="D332" s="8" t="n">
        <v>2023</v>
      </c>
      <c r="E332" s="8" t="inlineStr">
        <is>
          <t>2023-12-31</t>
        </is>
      </c>
      <c r="F332" s="8" t="inlineStr">
        <is>
          <t>0000018230-26-000008</t>
        </is>
      </c>
      <c r="G332" s="13" t="n">
        <v>67.06</v>
      </c>
      <c r="H332" s="13" t="n">
        <v>12.966</v>
      </c>
      <c r="I332" s="8" t="inlineStr">
        <is>
          <t>reported OperatingIncomeLoss (no interest expense tagged)</t>
        </is>
      </c>
      <c r="J332" s="13" t="n">
        <v>10.332</v>
      </c>
      <c r="K332" s="10" t="n">
        <v>0.2131034482758621</v>
      </c>
      <c r="L332" s="13" t="n">
        <v>10.20290068965517</v>
      </c>
      <c r="M332" s="13" t="n">
        <v>41.633</v>
      </c>
      <c r="N332" s="13" t="n">
        <v>41.091</v>
      </c>
      <c r="O332" s="10" t="n">
        <v>0.2483001311638844</v>
      </c>
      <c r="P332" s="8" t="inlineStr">
        <is>
          <t>OK</t>
        </is>
      </c>
      <c r="Q332" s="10" t="n">
        <v>0.5838277674182065</v>
      </c>
      <c r="R332" s="10" t="n">
        <v>0.3355276362543221</v>
      </c>
      <c r="S332" s="13" t="n">
        <v>19.503</v>
      </c>
      <c r="T332" s="13" t="n">
        <v>6.985</v>
      </c>
      <c r="U332" s="13" t="n">
        <v>29.115</v>
      </c>
      <c r="V332" s="8" t="inlineStr">
        <is>
          <t>short-term + long-term</t>
        </is>
      </c>
      <c r="W332" s="13" t="n">
        <v>15.11</v>
      </c>
      <c r="X332" s="11" t="n">
        <v>1.464592984778293</v>
      </c>
      <c r="Y332" s="11" t="n"/>
      <c r="Z332" s="13" t="n">
        <v>12.198</v>
      </c>
      <c r="AA332" s="8" t="inlineStr">
        <is>
          <t>net income + D&amp;A - capex - change in operating working capital (cash and short-term debt excluded)</t>
        </is>
      </c>
      <c r="AB332" s="10" t="n">
        <v>0.1818968088279153</v>
      </c>
      <c r="AC332" s="10" t="n">
        <v>0.1933492394870265</v>
      </c>
      <c r="AD332" s="12" t="n">
        <v>499400000</v>
      </c>
    </row>
    <row r="333">
      <c r="A333" s="8" t="inlineStr">
        <is>
          <t>CAT</t>
        </is>
      </c>
      <c r="B333" s="8" t="inlineStr">
        <is>
          <t>CATERPILLAR INC</t>
        </is>
      </c>
      <c r="C333" s="8" t="inlineStr">
        <is>
          <t>STANDARD</t>
        </is>
      </c>
      <c r="D333" s="8" t="n">
        <v>2024</v>
      </c>
      <c r="E333" s="8" t="inlineStr">
        <is>
          <t>2024-12-31</t>
        </is>
      </c>
      <c r="F333" s="8" t="inlineStr">
        <is>
          <t>0000018230-26-000008</t>
        </is>
      </c>
      <c r="G333" s="13" t="n">
        <v>64.809</v>
      </c>
      <c r="H333" s="13" t="n">
        <v>13.072</v>
      </c>
      <c r="I333" s="8" t="inlineStr">
        <is>
          <t>reported OperatingIncomeLoss (no interest expense tagged)</t>
        </is>
      </c>
      <c r="J333" s="13" t="n">
        <v>10.788</v>
      </c>
      <c r="K333" s="10" t="n">
        <v>0.1965901443206461</v>
      </c>
      <c r="L333" s="13" t="n">
        <v>10.50217363344051</v>
      </c>
      <c r="M333" s="13" t="n">
        <v>44.342</v>
      </c>
      <c r="N333" s="13" t="n">
        <v>42.9875</v>
      </c>
      <c r="O333" s="10" t="n">
        <v>0.2443076157822742</v>
      </c>
      <c r="P333" s="8" t="inlineStr">
        <is>
          <t>OK</t>
        </is>
      </c>
      <c r="Q333" s="10" t="n">
        <v>0.5532733287175937</v>
      </c>
      <c r="R333" s="10" t="n">
        <v>0.3089657129353195</v>
      </c>
      <c r="S333" s="13" t="n">
        <v>19.494</v>
      </c>
      <c r="T333" s="13" t="n">
        <v>6.896</v>
      </c>
      <c r="U333" s="13" t="n">
        <v>31.744</v>
      </c>
      <c r="V333" s="8" t="inlineStr">
        <is>
          <t>short-term + long-term</t>
        </is>
      </c>
      <c r="W333" s="13" t="n">
        <v>15.225</v>
      </c>
      <c r="X333" s="11" t="n">
        <v>1.632052545155994</v>
      </c>
      <c r="Y333" s="11" t="n"/>
      <c r="Z333" s="13" t="n">
        <v>9.925000000000001</v>
      </c>
      <c r="AA333" s="8" t="inlineStr">
        <is>
          <t>net income + D&amp;A - capex - change in operating working capital (cash and short-term debt excluded)</t>
        </is>
      </c>
      <c r="AB333" s="10" t="n">
        <v>0.1531423104815689</v>
      </c>
      <c r="AC333" s="10" t="n">
        <v>0.2017003811199062</v>
      </c>
      <c r="AD333" s="12" t="n">
        <v>477900000</v>
      </c>
    </row>
    <row r="334">
      <c r="A334" s="8" t="inlineStr">
        <is>
          <t>CAT</t>
        </is>
      </c>
      <c r="B334" s="8" t="inlineStr">
        <is>
          <t>CATERPILLAR INC</t>
        </is>
      </c>
      <c r="C334" s="8" t="inlineStr">
        <is>
          <t>STANDARD</t>
        </is>
      </c>
      <c r="D334" s="8" t="n">
        <v>2025</v>
      </c>
      <c r="E334" s="8" t="inlineStr">
        <is>
          <t>2025-12-31</t>
        </is>
      </c>
      <c r="F334" s="8" t="inlineStr">
        <is>
          <t>0000018230-26-000008</t>
        </is>
      </c>
      <c r="G334" s="13" t="n">
        <v>67.589</v>
      </c>
      <c r="H334" s="13" t="n">
        <v>11.151</v>
      </c>
      <c r="I334" s="8" t="inlineStr">
        <is>
          <t>reported OperatingIncomeLoss (no interest expense tagged)</t>
        </is>
      </c>
      <c r="J334" s="13" t="n">
        <v>8.882</v>
      </c>
      <c r="K334" s="10" t="n">
        <v>0.2398405684082835</v>
      </c>
      <c r="L334" s="13" t="n">
        <v>8.47653782167923</v>
      </c>
      <c r="M334" s="13" t="n">
        <v>47.542</v>
      </c>
      <c r="N334" s="13" t="n">
        <v>45.942</v>
      </c>
      <c r="O334" s="10" t="n">
        <v>0.1845051983300516</v>
      </c>
      <c r="P334" s="8" t="inlineStr">
        <is>
          <t>OK</t>
        </is>
      </c>
      <c r="Q334" s="10" t="n">
        <v>0.4352641379986278</v>
      </c>
      <c r="R334" s="10" t="n">
        <v>0.2507589396685762</v>
      </c>
      <c r="S334" s="13" t="n">
        <v>21.318</v>
      </c>
      <c r="T334" s="13" t="n">
        <v>9.986000000000001</v>
      </c>
      <c r="U334" s="13" t="n">
        <v>36.21</v>
      </c>
      <c r="V334" s="8" t="inlineStr">
        <is>
          <t>short-term + long-term</t>
        </is>
      </c>
      <c r="W334" s="13" t="n">
        <v>13.413</v>
      </c>
      <c r="X334" s="11" t="n">
        <v>1.95511816894058</v>
      </c>
      <c r="Y334" s="11" t="n"/>
      <c r="Z334" s="13" t="n">
        <v>7.775</v>
      </c>
      <c r="AA334" s="8" t="inlineStr">
        <is>
          <t>net income + D&amp;A - capex - change in operating working capital (cash and short-term debt excluded)</t>
        </is>
      </c>
      <c r="AB334" s="10" t="n">
        <v>0.1150335113701934</v>
      </c>
      <c r="AC334" s="10" t="n">
        <v>0.1649824675612896</v>
      </c>
      <c r="AD334" s="12" t="n">
        <v>465300000</v>
      </c>
    </row>
    <row r="335">
      <c r="A335" s="8" t="inlineStr">
        <is>
          <t>GE</t>
        </is>
      </c>
      <c r="B335" s="8" t="inlineStr">
        <is>
          <t>GENERAL ELECTRIC CO</t>
        </is>
      </c>
      <c r="C335" s="8" t="inlineStr">
        <is>
          <t>STANDARD</t>
        </is>
      </c>
      <c r="D335" s="8" t="n">
        <v>2014</v>
      </c>
      <c r="E335" s="8" t="inlineStr">
        <is>
          <t>2014-12-31</t>
        </is>
      </c>
      <c r="F335" s="8" t="inlineStr">
        <is>
          <t>0000040545-17-000010</t>
        </is>
      </c>
      <c r="G335" s="13" t="n">
        <v>117.184</v>
      </c>
      <c r="H335" s="13" t="n">
        <v>10.263</v>
      </c>
      <c r="I335" s="8" t="inlineStr">
        <is>
          <t>pretax_income only (no interest expense tagged)</t>
        </is>
      </c>
      <c r="J335" s="13" t="n">
        <v>15.233</v>
      </c>
      <c r="K335" s="10" t="n">
        <v>0.0753191074734483</v>
      </c>
      <c r="L335" s="13" t="n">
        <v>9.49</v>
      </c>
      <c r="M335" s="13" t="n"/>
      <c r="N335" s="13" t="n"/>
      <c r="O335" s="10" t="n"/>
      <c r="P335" s="8" t="inlineStr">
        <is>
          <t>DATA_UNAVAILABLE</t>
        </is>
      </c>
      <c r="Q335" s="10" t="n">
        <v>0.1188601658876864</v>
      </c>
      <c r="R335" s="10" t="n"/>
      <c r="S335" s="13" t="n">
        <v>128.159</v>
      </c>
      <c r="T335" s="13" t="n"/>
      <c r="U335" s="13" t="n">
        <v>257.021</v>
      </c>
      <c r="V335" s="8" t="inlineStr">
        <is>
          <t>short-term + long-term</t>
        </is>
      </c>
      <c r="W335" s="13" t="n">
        <v>15.216</v>
      </c>
      <c r="X335" s="11" t="n"/>
      <c r="Y335" s="11" t="n"/>
      <c r="Z335" s="13" t="n"/>
      <c r="AA335" s="8" t="inlineStr">
        <is>
          <t>net income + D&amp;A - capex - change in no prior year</t>
        </is>
      </c>
      <c r="AB335" s="10" t="n"/>
      <c r="AC335" s="10" t="n">
        <v>0.08758021572910978</v>
      </c>
      <c r="AD335" s="12" t="n">
        <v>1257172500</v>
      </c>
    </row>
    <row r="336">
      <c r="A336" s="8" t="inlineStr">
        <is>
          <t>GE</t>
        </is>
      </c>
      <c r="B336" s="8" t="inlineStr">
        <is>
          <t>GENERAL ELECTRIC CO</t>
        </is>
      </c>
      <c r="C336" s="8" t="inlineStr">
        <is>
          <t>STANDARD</t>
        </is>
      </c>
      <c r="D336" s="8" t="n">
        <v>2015</v>
      </c>
      <c r="E336" s="8" t="inlineStr">
        <is>
          <t>2015-12-31</t>
        </is>
      </c>
      <c r="F336" s="8" t="inlineStr">
        <is>
          <t>0000040545-18-000014</t>
        </is>
      </c>
      <c r="G336" s="13" t="n">
        <v>117.386</v>
      </c>
      <c r="H336" s="13" t="n">
        <v>8.186</v>
      </c>
      <c r="I336" s="8" t="inlineStr">
        <is>
          <t>pretax_income only (no interest expense tagged)</t>
        </is>
      </c>
      <c r="J336" s="13" t="n">
        <v>-6.126</v>
      </c>
      <c r="K336" s="10" t="n">
        <v>0.4</v>
      </c>
      <c r="L336" s="13" t="n">
        <v>4.9116</v>
      </c>
      <c r="M336" s="13" t="n"/>
      <c r="N336" s="13" t="n"/>
      <c r="O336" s="10" t="n"/>
      <c r="P336" s="8" t="inlineStr">
        <is>
          <t>DATA_UNAVAILABLE</t>
        </is>
      </c>
      <c r="Q336" s="10" t="n">
        <v>-0.05410872090198867</v>
      </c>
      <c r="R336" s="10" t="n"/>
      <c r="S336" s="13" t="n">
        <v>98.274</v>
      </c>
      <c r="T336" s="13" t="n"/>
      <c r="U336" s="13" t="n">
        <v>194.519</v>
      </c>
      <c r="V336" s="8" t="inlineStr">
        <is>
          <t>short-term + long-term</t>
        </is>
      </c>
      <c r="W336" s="13" t="n">
        <v>13.033</v>
      </c>
      <c r="X336" s="11" t="n"/>
      <c r="Y336" s="11" t="n"/>
      <c r="Z336" s="13" t="n"/>
      <c r="AA336" s="8" t="inlineStr">
        <is>
          <t>net income + D&amp;A - capex - change in DATA_UNAVAILABLE</t>
        </is>
      </c>
      <c r="AB336" s="10" t="n"/>
      <c r="AC336" s="10" t="n">
        <v>0.06973574361508186</v>
      </c>
      <c r="AD336" s="12" t="n">
        <v>1172411000</v>
      </c>
    </row>
    <row r="337">
      <c r="A337" s="8" t="inlineStr">
        <is>
          <t>GE</t>
        </is>
      </c>
      <c r="B337" s="8" t="inlineStr">
        <is>
          <t>GENERAL ELECTRIC CO</t>
        </is>
      </c>
      <c r="C337" s="8" t="inlineStr">
        <is>
          <t>STANDARD</t>
        </is>
      </c>
      <c r="D337" s="8" t="n">
        <v>2016</v>
      </c>
      <c r="E337" s="8" t="inlineStr">
        <is>
          <t>2016-12-31</t>
        </is>
      </c>
      <c r="F337" s="8" t="inlineStr">
        <is>
          <t>0000040545-19-000014</t>
        </is>
      </c>
      <c r="G337" s="13" t="n">
        <v>119.469</v>
      </c>
      <c r="H337" s="13" t="n">
        <v>7.031</v>
      </c>
      <c r="I337" s="8" t="inlineStr">
        <is>
          <t>pretax_income only (no interest expense tagged)</t>
        </is>
      </c>
      <c r="J337" s="13" t="n">
        <v>7.5</v>
      </c>
      <c r="K337" s="10" t="n">
        <v>0.05</v>
      </c>
      <c r="L337" s="13" t="n">
        <v>6.67945</v>
      </c>
      <c r="M337" s="13" t="n">
        <v>157.173</v>
      </c>
      <c r="N337" s="13" t="n">
        <v>157.173</v>
      </c>
      <c r="O337" s="10" t="n">
        <v>0.04249743912758552</v>
      </c>
      <c r="P337" s="8" t="inlineStr">
        <is>
          <t>OK</t>
        </is>
      </c>
      <c r="Q337" s="10" t="n">
        <v>0.0890545964045691</v>
      </c>
      <c r="R337" s="10" t="n">
        <v>0.04655715727698358</v>
      </c>
      <c r="S337" s="13" t="n">
        <v>70.16200000000001</v>
      </c>
      <c r="T337" s="13" t="n">
        <v>48.783</v>
      </c>
      <c r="U337" s="13" t="n">
        <v>135.794</v>
      </c>
      <c r="V337" s="8" t="inlineStr">
        <is>
          <t>short-term + long-term</t>
        </is>
      </c>
      <c r="W337" s="13" t="n">
        <v>12.028</v>
      </c>
      <c r="X337" s="11" t="n">
        <v>7.234037246425008</v>
      </c>
      <c r="Y337" s="11" t="n"/>
      <c r="Z337" s="13" t="n"/>
      <c r="AA337" s="8" t="inlineStr">
        <is>
          <t>net income + D&amp;A - capex - change in DATA_UNAVAILABLE</t>
        </is>
      </c>
      <c r="AB337" s="10" t="n"/>
      <c r="AC337" s="10" t="n">
        <v>0.05885208715231566</v>
      </c>
      <c r="AD337" s="12" t="n">
        <v>1092826750</v>
      </c>
    </row>
    <row r="338">
      <c r="A338" s="8" t="inlineStr">
        <is>
          <t>GE</t>
        </is>
      </c>
      <c r="B338" s="8" t="inlineStr">
        <is>
          <t>GENERAL ELECTRIC CO</t>
        </is>
      </c>
      <c r="C338" s="8" t="inlineStr">
        <is>
          <t>STANDARD</t>
        </is>
      </c>
      <c r="D338" s="8" t="n">
        <v>2017</v>
      </c>
      <c r="E338" s="8" t="inlineStr">
        <is>
          <t>2017-12-31</t>
        </is>
      </c>
      <c r="F338" s="8" t="inlineStr">
        <is>
          <t>0000040545-20-000009</t>
        </is>
      </c>
      <c r="G338" s="13" t="n">
        <v>99.279</v>
      </c>
      <c r="H338" s="13" t="n">
        <v>-11.345</v>
      </c>
      <c r="I338" s="8" t="inlineStr">
        <is>
          <t>pretax_income only (no interest expense tagged)</t>
        </is>
      </c>
      <c r="J338" s="13" t="n">
        <v>-8.484</v>
      </c>
      <c r="K338" s="10" t="n">
        <v>0.21</v>
      </c>
      <c r="L338" s="13" t="n">
        <v>-8.96255</v>
      </c>
      <c r="M338" s="13" t="n">
        <v>144.675</v>
      </c>
      <c r="N338" s="13" t="n">
        <v>150.924</v>
      </c>
      <c r="O338" s="10" t="n">
        <v>-0.05938452466141899</v>
      </c>
      <c r="P338" s="8" t="inlineStr">
        <is>
          <t>OK</t>
        </is>
      </c>
      <c r="Q338" s="10" t="n">
        <v>-0.1344607070122749</v>
      </c>
      <c r="R338" s="10" t="n">
        <v>-0.07507618235085586</v>
      </c>
      <c r="S338" s="13" t="n">
        <v>56.031</v>
      </c>
      <c r="T338" s="13" t="n">
        <v>43.967</v>
      </c>
      <c r="U338" s="13" t="n">
        <v>132.611</v>
      </c>
      <c r="V338" s="8" t="inlineStr">
        <is>
          <t>short-term + long-term</t>
        </is>
      </c>
      <c r="W338" s="13" t="n">
        <v>-7.013</v>
      </c>
      <c r="X338" s="11" t="n">
        <v>-12.63995437045487</v>
      </c>
      <c r="Y338" s="11" t="n"/>
      <c r="Z338" s="13" t="n"/>
      <c r="AA338" s="8" t="inlineStr">
        <is>
          <t>net income + D&amp;A - capex - change in DATA_UNAVAILABLE</t>
        </is>
      </c>
      <c r="AB338" s="10" t="n"/>
      <c r="AC338" s="10" t="n">
        <v>-0.1142739149266209</v>
      </c>
      <c r="AD338" s="12" t="n">
        <v>1085071375</v>
      </c>
    </row>
    <row r="339">
      <c r="A339" s="8" t="inlineStr">
        <is>
          <t>GE</t>
        </is>
      </c>
      <c r="B339" s="8" t="inlineStr">
        <is>
          <t>GENERAL ELECTRIC CO</t>
        </is>
      </c>
      <c r="C339" s="8" t="inlineStr">
        <is>
          <t>STANDARD</t>
        </is>
      </c>
      <c r="D339" s="8" t="n">
        <v>2018</v>
      </c>
      <c r="E339" s="8" t="inlineStr">
        <is>
          <t>2018-12-31</t>
        </is>
      </c>
      <c r="F339" s="8" t="inlineStr">
        <is>
          <t>0000040545-21-000011</t>
        </is>
      </c>
      <c r="G339" s="13" t="n">
        <v>97.012</v>
      </c>
      <c r="H339" s="13" t="n">
        <v>-20.987</v>
      </c>
      <c r="I339" s="8" t="inlineStr">
        <is>
          <t>pretax_income only (no interest expense tagged)</t>
        </is>
      </c>
      <c r="J339" s="13" t="n">
        <v>-22.355</v>
      </c>
      <c r="K339" s="10" t="n">
        <v>0.21</v>
      </c>
      <c r="L339" s="13" t="n">
        <v>-16.57973</v>
      </c>
      <c r="M339" s="13" t="n">
        <v>101.582</v>
      </c>
      <c r="N339" s="13" t="n">
        <v>123.1285</v>
      </c>
      <c r="O339" s="10" t="n">
        <v>-0.1346538778593096</v>
      </c>
      <c r="P339" s="8" t="inlineStr">
        <is>
          <t>OK</t>
        </is>
      </c>
      <c r="Q339" s="10" t="n">
        <v>-0.5138371718843378</v>
      </c>
      <c r="R339" s="10" t="n">
        <v>-0.3791832940250282</v>
      </c>
      <c r="S339" s="13" t="n">
        <v>30.981</v>
      </c>
      <c r="T339" s="13" t="n">
        <v>31.124</v>
      </c>
      <c r="U339" s="13" t="n">
        <v>101.725</v>
      </c>
      <c r="V339" s="8" t="inlineStr">
        <is>
          <t>short-term + long-term</t>
        </is>
      </c>
      <c r="W339" s="13" t="n">
        <v>-16.568</v>
      </c>
      <c r="X339" s="11" t="n">
        <v>-4.261286817962337</v>
      </c>
      <c r="Y339" s="11" t="n"/>
      <c r="Z339" s="13" t="n"/>
      <c r="AA339" s="8" t="inlineStr">
        <is>
          <t>net income + D&amp;A - capex - change in DATA_UNAVAILABLE</t>
        </is>
      </c>
      <c r="AB339" s="10" t="n"/>
      <c r="AC339" s="10" t="n">
        <v>-0.2163340617655548</v>
      </c>
      <c r="AD339" s="12" t="n">
        <v>1087778375</v>
      </c>
    </row>
    <row r="340">
      <c r="A340" s="8" t="inlineStr">
        <is>
          <t>GE</t>
        </is>
      </c>
      <c r="B340" s="8" t="inlineStr">
        <is>
          <t>GENERAL ELECTRIC CO</t>
        </is>
      </c>
      <c r="C340" s="8" t="inlineStr">
        <is>
          <t>STANDARD</t>
        </is>
      </c>
      <c r="D340" s="8" t="n">
        <v>2019</v>
      </c>
      <c r="E340" s="8" t="inlineStr">
        <is>
          <t>2019-12-31</t>
        </is>
      </c>
      <c r="F340" s="8" t="inlineStr">
        <is>
          <t>0000040545-22-000008</t>
        </is>
      </c>
      <c r="G340" s="13" t="n">
        <v>90.221</v>
      </c>
      <c r="H340" s="13" t="n">
        <v>-0.054</v>
      </c>
      <c r="I340" s="8" t="inlineStr">
        <is>
          <t>pretax_income only (no interest expense tagged)</t>
        </is>
      </c>
      <c r="J340" s="13" t="n">
        <v>-4.979</v>
      </c>
      <c r="K340" s="10" t="n">
        <v>0.21</v>
      </c>
      <c r="L340" s="13" t="n">
        <v>-0.04266</v>
      </c>
      <c r="M340" s="13" t="n">
        <v>83.387</v>
      </c>
      <c r="N340" s="13" t="n">
        <v>92.4845</v>
      </c>
      <c r="O340" s="10" t="n">
        <v>-0.0004612664824916608</v>
      </c>
      <c r="P340" s="8" t="inlineStr">
        <is>
          <t>OK</t>
        </is>
      </c>
      <c r="Q340" s="10" t="n">
        <v>-0.167934296844697</v>
      </c>
      <c r="R340" s="10" t="n">
        <v>-0.1674730303622054</v>
      </c>
      <c r="S340" s="13" t="n">
        <v>28.316</v>
      </c>
      <c r="T340" s="13" t="n">
        <v>35.811</v>
      </c>
      <c r="U340" s="13" t="n">
        <v>90.88200000000001</v>
      </c>
      <c r="V340" s="8" t="inlineStr">
        <is>
          <t>short-term + long-term</t>
        </is>
      </c>
      <c r="W340" s="13" t="n">
        <v>1.964</v>
      </c>
      <c r="X340" s="11" t="n">
        <v>28.04022403258656</v>
      </c>
      <c r="Y340" s="11" t="n"/>
      <c r="Z340" s="13" t="n"/>
      <c r="AA340" s="8" t="inlineStr">
        <is>
          <t>net income + D&amp;A - capex - change in DATA_UNAVAILABLE</t>
        </is>
      </c>
      <c r="AB340" s="10" t="n"/>
      <c r="AC340" s="10" t="n">
        <v>-0.0005985302756564436</v>
      </c>
      <c r="AD340" s="12" t="n">
        <v>1092304250</v>
      </c>
    </row>
    <row r="341">
      <c r="A341" s="8" t="inlineStr">
        <is>
          <t>GE</t>
        </is>
      </c>
      <c r="B341" s="8" t="inlineStr">
        <is>
          <t>GENERAL ELECTRIC CO</t>
        </is>
      </c>
      <c r="C341" s="8" t="inlineStr">
        <is>
          <t>STANDARD</t>
        </is>
      </c>
      <c r="D341" s="8" t="n">
        <v>2020</v>
      </c>
      <c r="E341" s="8" t="inlineStr">
        <is>
          <t>2020-12-31</t>
        </is>
      </c>
      <c r="F341" s="8" t="inlineStr">
        <is>
          <t>0000040545-23-000023</t>
        </is>
      </c>
      <c r="G341" s="13" t="n">
        <v>75.833</v>
      </c>
      <c r="H341" s="13" t="n">
        <v>5.97</v>
      </c>
      <c r="I341" s="8" t="inlineStr">
        <is>
          <t>pretax_income only (no interest expense tagged)</t>
        </is>
      </c>
      <c r="J341" s="13" t="n">
        <v>5.704</v>
      </c>
      <c r="K341" s="10" t="n">
        <v>0.05</v>
      </c>
      <c r="L341" s="13" t="n">
        <v>5.6715</v>
      </c>
      <c r="M341" s="13" t="n">
        <v>73.989</v>
      </c>
      <c r="N341" s="13" t="n">
        <v>78.688</v>
      </c>
      <c r="O341" s="10" t="n">
        <v>0.0720757930052867</v>
      </c>
      <c r="P341" s="8" t="inlineStr">
        <is>
          <t>OK</t>
        </is>
      </c>
      <c r="Q341" s="10" t="n">
        <v>0.1786184004509301</v>
      </c>
      <c r="R341" s="10" t="n">
        <v>0.1065426074456434</v>
      </c>
      <c r="S341" s="13" t="n">
        <v>35.552</v>
      </c>
      <c r="T341" s="13" t="n">
        <v>36.53</v>
      </c>
      <c r="U341" s="13" t="n">
        <v>74.967</v>
      </c>
      <c r="V341" s="8" t="inlineStr">
        <is>
          <t>short-term + long-term</t>
        </is>
      </c>
      <c r="W341" s="13" t="n">
        <v>8.098000000000001</v>
      </c>
      <c r="X341" s="11" t="n">
        <v>4.746480612496913</v>
      </c>
      <c r="Y341" s="11" t="n"/>
      <c r="Z341" s="13" t="n"/>
      <c r="AA341" s="8" t="inlineStr">
        <is>
          <t>net income + D&amp;A - capex - change in operating working capital (cash and short-term debt excluded)</t>
        </is>
      </c>
      <c r="AB341" s="10" t="n"/>
      <c r="AC341" s="10" t="n">
        <v>0.07872562077195944</v>
      </c>
      <c r="AD341" s="12" t="n">
        <v>136960822.625</v>
      </c>
    </row>
    <row r="342">
      <c r="A342" s="8" t="inlineStr">
        <is>
          <t>GE</t>
        </is>
      </c>
      <c r="B342" s="8" t="inlineStr">
        <is>
          <t>GENERAL ELECTRIC CO</t>
        </is>
      </c>
      <c r="C342" s="8" t="inlineStr">
        <is>
          <t>STANDARD</t>
        </is>
      </c>
      <c r="D342" s="8" t="n">
        <v>2021</v>
      </c>
      <c r="E342" s="8" t="inlineStr">
        <is>
          <t>2021-12-31</t>
        </is>
      </c>
      <c r="F342" s="8" t="inlineStr">
        <is>
          <t>0000040545-24-000027</t>
        </is>
      </c>
      <c r="G342" s="13" t="n">
        <v>56.469</v>
      </c>
      <c r="H342" s="13" t="n">
        <v>-5.695</v>
      </c>
      <c r="I342" s="8" t="inlineStr">
        <is>
          <t>pretax_income only (no interest expense tagged)</t>
        </is>
      </c>
      <c r="J342" s="13" t="n">
        <v>-6.337</v>
      </c>
      <c r="K342" s="10" t="n">
        <v>0.21</v>
      </c>
      <c r="L342" s="13" t="n">
        <v>-4.49905</v>
      </c>
      <c r="M342" s="13" t="n">
        <v>55.364</v>
      </c>
      <c r="N342" s="13" t="n">
        <v>64.6765</v>
      </c>
      <c r="O342" s="10" t="n">
        <v>-0.06956236036272835</v>
      </c>
      <c r="P342" s="8" t="inlineStr">
        <is>
          <t>OK</t>
        </is>
      </c>
      <c r="Q342" s="10" t="n">
        <v>-0.1670665155150141</v>
      </c>
      <c r="R342" s="10" t="n">
        <v>-0.09750415515228576</v>
      </c>
      <c r="S342" s="13" t="n">
        <v>40.31</v>
      </c>
      <c r="T342" s="13" t="n">
        <v>15.77</v>
      </c>
      <c r="U342" s="13" t="n">
        <v>30.824</v>
      </c>
      <c r="V342" s="8" t="inlineStr">
        <is>
          <t>long-term only (no short-term debt tagged; read as nil)</t>
        </is>
      </c>
      <c r="W342" s="13" t="n">
        <v>-4.073</v>
      </c>
      <c r="X342" s="11" t="n">
        <v>-3.696047139700466</v>
      </c>
      <c r="Y342" s="11" t="n"/>
      <c r="Z342" s="13" t="n">
        <v>-5.965</v>
      </c>
      <c r="AA342" s="8" t="inlineStr">
        <is>
          <t>net income + D&amp;A - capex - change in operating working capital (cash and short-term debt excluded)</t>
        </is>
      </c>
      <c r="AB342" s="10" t="n">
        <v>-0.1056331792665002</v>
      </c>
      <c r="AC342" s="10" t="n">
        <v>-0.1008517947900618</v>
      </c>
      <c r="AD342" s="12" t="n">
        <v>1099027213</v>
      </c>
    </row>
    <row r="343">
      <c r="A343" s="8" t="inlineStr">
        <is>
          <t>GE</t>
        </is>
      </c>
      <c r="B343" s="8" t="inlineStr">
        <is>
          <t>GENERAL ELECTRIC CO</t>
        </is>
      </c>
      <c r="C343" s="8" t="inlineStr">
        <is>
          <t>STANDARD</t>
        </is>
      </c>
      <c r="D343" s="8" t="n">
        <v>2022</v>
      </c>
      <c r="E343" s="8" t="inlineStr">
        <is>
          <t>2022-12-31</t>
        </is>
      </c>
      <c r="F343" s="8" t="inlineStr">
        <is>
          <t>0000040545-25-000015</t>
        </is>
      </c>
      <c r="G343" s="13" t="n">
        <v>29.139</v>
      </c>
      <c r="H343" s="13" t="n">
        <v>1.522</v>
      </c>
      <c r="I343" s="8" t="inlineStr">
        <is>
          <t>pretax_income only (no interest expense tagged)</t>
        </is>
      </c>
      <c r="J343" s="13" t="n">
        <v>0.336</v>
      </c>
      <c r="K343" s="10" t="n">
        <v>0.1110381077529566</v>
      </c>
      <c r="L343" s="13" t="n">
        <v>1.353</v>
      </c>
      <c r="M343" s="13" t="n">
        <v>38.206</v>
      </c>
      <c r="N343" s="13" t="n">
        <v>46.785</v>
      </c>
      <c r="O343" s="10" t="n">
        <v>0.02891952548893876</v>
      </c>
      <c r="P343" s="8" t="inlineStr">
        <is>
          <t>OK</t>
        </is>
      </c>
      <c r="Q343" s="10" t="n">
        <v>0.009080344836905115</v>
      </c>
      <c r="R343" s="10" t="n">
        <v>-0.01983918065203365</v>
      </c>
      <c r="S343" s="13" t="n">
        <v>33.696</v>
      </c>
      <c r="T343" s="13" t="n">
        <v>15.81</v>
      </c>
      <c r="U343" s="13" t="n">
        <v>20.32</v>
      </c>
      <c r="V343" s="8" t="inlineStr">
        <is>
          <t>long-term only (no short-term debt tagged; read as nil)</t>
        </is>
      </c>
      <c r="W343" s="13" t="n">
        <v>2.368</v>
      </c>
      <c r="X343" s="11" t="n">
        <v>1.904560810810811</v>
      </c>
      <c r="Y343" s="11" t="n"/>
      <c r="Z343" s="13" t="n">
        <v>5.999</v>
      </c>
      <c r="AA343" s="8" t="inlineStr">
        <is>
          <t>net income + D&amp;A - capex - change in operating working capital (cash and short-term debt excluded)</t>
        </is>
      </c>
      <c r="AB343" s="10" t="n">
        <v>0.2058752874154913</v>
      </c>
      <c r="AC343" s="10" t="n">
        <v>0.05223240330828099</v>
      </c>
      <c r="AD343" s="12" t="n">
        <v>1089107878</v>
      </c>
    </row>
    <row r="344">
      <c r="A344" s="8" t="inlineStr">
        <is>
          <t>GE</t>
        </is>
      </c>
      <c r="B344" s="8" t="inlineStr">
        <is>
          <t>GENERAL ELECTRIC CO</t>
        </is>
      </c>
      <c r="C344" s="8" t="inlineStr">
        <is>
          <t>STANDARD</t>
        </is>
      </c>
      <c r="D344" s="8" t="n">
        <v>2023</v>
      </c>
      <c r="E344" s="8" t="inlineStr">
        <is>
          <t>2023-12-31</t>
        </is>
      </c>
      <c r="F344" s="8" t="inlineStr">
        <is>
          <t>0000040545-26-000008</t>
        </is>
      </c>
      <c r="G344" s="13" t="n">
        <v>35.348</v>
      </c>
      <c r="H344" s="13" t="n">
        <v>10.441</v>
      </c>
      <c r="I344" s="8" t="inlineStr">
        <is>
          <t>pretax_income only (no interest expense tagged)</t>
        </is>
      </c>
      <c r="J344" s="13" t="n">
        <v>9.481999999999999</v>
      </c>
      <c r="K344" s="10" t="n">
        <v>0.09520160904127957</v>
      </c>
      <c r="L344" s="13" t="n">
        <v>9.446999999999999</v>
      </c>
      <c r="M344" s="13" t="n">
        <v>31.616</v>
      </c>
      <c r="N344" s="13" t="n">
        <v>34.911</v>
      </c>
      <c r="O344" s="10" t="n">
        <v>0.2706023889318553</v>
      </c>
      <c r="P344" s="8" t="inlineStr">
        <is>
          <t>OK</t>
        </is>
      </c>
      <c r="Q344" s="10" t="n">
        <v>0.3103815119723727</v>
      </c>
      <c r="R344" s="10" t="n">
        <v>0.03977912304051739</v>
      </c>
      <c r="S344" s="13" t="n">
        <v>27.403</v>
      </c>
      <c r="T344" s="13" t="n">
        <v>15.204</v>
      </c>
      <c r="U344" s="13" t="n">
        <v>19.417</v>
      </c>
      <c r="V344" s="8" t="inlineStr">
        <is>
          <t>long-term only (no short-term debt tagged; read as nil)</t>
        </is>
      </c>
      <c r="W344" s="13" t="n">
        <v>11.238</v>
      </c>
      <c r="X344" s="11" t="n">
        <v>0.3748887702438156</v>
      </c>
      <c r="Y344" s="11" t="n"/>
      <c r="Z344" s="13" t="n">
        <v>7.314</v>
      </c>
      <c r="AA344" s="8" t="inlineStr">
        <is>
          <t>net income + D&amp;A - capex - change in operating working capital (cash and short-term debt excluded)</t>
        </is>
      </c>
      <c r="AB344" s="10" t="n">
        <v>0.2069141111236845</v>
      </c>
      <c r="AC344" s="10" t="n">
        <v>0.2953773905171438</v>
      </c>
      <c r="AD344" s="12" t="n">
        <v>1088415995</v>
      </c>
    </row>
    <row r="345">
      <c r="A345" s="8" t="inlineStr">
        <is>
          <t>GE</t>
        </is>
      </c>
      <c r="B345" s="8" t="inlineStr">
        <is>
          <t>GENERAL ELECTRIC CO</t>
        </is>
      </c>
      <c r="C345" s="8" t="inlineStr">
        <is>
          <t>STANDARD</t>
        </is>
      </c>
      <c r="D345" s="8" t="n">
        <v>2024</v>
      </c>
      <c r="E345" s="8" t="inlineStr">
        <is>
          <t>2024-12-31</t>
        </is>
      </c>
      <c r="F345" s="8" t="inlineStr">
        <is>
          <t>0000040545-26-000008</t>
        </is>
      </c>
      <c r="G345" s="13" t="n">
        <v>38.702</v>
      </c>
      <c r="H345" s="13" t="n">
        <v>7.62</v>
      </c>
      <c r="I345" s="8" t="inlineStr">
        <is>
          <t>pretax_income only (no interest expense tagged)</t>
        </is>
      </c>
      <c r="J345" s="13" t="n">
        <v>6.556</v>
      </c>
      <c r="K345" s="10" t="n">
        <v>0.126246719160105</v>
      </c>
      <c r="L345" s="13" t="n">
        <v>6.658</v>
      </c>
      <c r="M345" s="13" t="n">
        <v>22.957</v>
      </c>
      <c r="N345" s="13" t="n">
        <v>27.2865</v>
      </c>
      <c r="O345" s="10" t="n">
        <v>0.2440034449269785</v>
      </c>
      <c r="P345" s="8" t="inlineStr">
        <is>
          <t>OK</t>
        </is>
      </c>
      <c r="Q345" s="10" t="n">
        <v>0.2805005882982137</v>
      </c>
      <c r="R345" s="10" t="n">
        <v>0.03649714337123519</v>
      </c>
      <c r="S345" s="13" t="n">
        <v>19.342</v>
      </c>
      <c r="T345" s="13" t="n">
        <v>13.619</v>
      </c>
      <c r="U345" s="13" t="n">
        <v>17.234</v>
      </c>
      <c r="V345" s="8" t="inlineStr">
        <is>
          <t>short-term + long-term</t>
        </is>
      </c>
      <c r="W345" s="13" t="n">
        <v>8.454000000000001</v>
      </c>
      <c r="X345" s="11" t="n">
        <v>0.4276082327892122</v>
      </c>
      <c r="Y345" s="11" t="n"/>
      <c r="Z345" s="13" t="n">
        <v>11.983</v>
      </c>
      <c r="AA345" s="8" t="inlineStr">
        <is>
          <t>net income + D&amp;A - capex - change in operating working capital (cash and short-term debt excluded)</t>
        </is>
      </c>
      <c r="AB345" s="10" t="n">
        <v>0.3096222417446127</v>
      </c>
      <c r="AC345" s="10" t="n">
        <v>0.1968890496615162</v>
      </c>
      <c r="AD345" s="12" t="n">
        <v>1073692183</v>
      </c>
    </row>
    <row r="346">
      <c r="A346" s="8" t="inlineStr">
        <is>
          <t>GE</t>
        </is>
      </c>
      <c r="B346" s="8" t="inlineStr">
        <is>
          <t>GENERAL ELECTRIC CO</t>
        </is>
      </c>
      <c r="C346" s="8" t="inlineStr">
        <is>
          <t>STANDARD</t>
        </is>
      </c>
      <c r="D346" s="8" t="n">
        <v>2025</v>
      </c>
      <c r="E346" s="8" t="inlineStr">
        <is>
          <t>2025-12-31</t>
        </is>
      </c>
      <c r="F346" s="8" t="inlineStr">
        <is>
          <t>0000040545-26-000008</t>
        </is>
      </c>
      <c r="G346" s="13" t="n">
        <v>45.855</v>
      </c>
      <c r="H346" s="13" t="n">
        <v>10</v>
      </c>
      <c r="I346" s="8" t="inlineStr">
        <is>
          <t>pretax_income only (no interest expense tagged)</t>
        </is>
      </c>
      <c r="J346" s="13" t="n">
        <v>8.704000000000001</v>
      </c>
      <c r="K346" s="10" t="n">
        <v>0.1405</v>
      </c>
      <c r="L346" s="13" t="n">
        <v>8.595000000000001</v>
      </c>
      <c r="M346" s="13" t="n">
        <v>25.118</v>
      </c>
      <c r="N346" s="13" t="n">
        <v>24.0375</v>
      </c>
      <c r="O346" s="10" t="n">
        <v>0.3575663026521061</v>
      </c>
      <c r="P346" s="8" t="inlineStr">
        <is>
          <t>OK</t>
        </is>
      </c>
      <c r="Q346" s="10" t="n">
        <v>0.457876324995397</v>
      </c>
      <c r="R346" s="10" t="n">
        <v>0.1003100223432909</v>
      </c>
      <c r="S346" s="13" t="n">
        <v>18.677</v>
      </c>
      <c r="T346" s="13" t="n">
        <v>12.392</v>
      </c>
      <c r="U346" s="13" t="n">
        <v>18.833</v>
      </c>
      <c r="V346" s="8" t="inlineStr">
        <is>
          <t>short-term + long-term</t>
        </is>
      </c>
      <c r="W346" s="13" t="n">
        <v>10.863</v>
      </c>
      <c r="X346" s="11" t="n">
        <v>0.5929301297983982</v>
      </c>
      <c r="Y346" s="11" t="n"/>
      <c r="Z346" s="13" t="n">
        <v>8.669</v>
      </c>
      <c r="AA346" s="8" t="inlineStr">
        <is>
          <t>net income + D&amp;A - capex - change in operating working capital (cash and short-term debt excluded)</t>
        </is>
      </c>
      <c r="AB346" s="10" t="n">
        <v>0.1890524479337041</v>
      </c>
      <c r="AC346" s="10" t="n">
        <v>0.2180787264202377</v>
      </c>
      <c r="AD346" s="12" t="n">
        <v>1048766702</v>
      </c>
    </row>
    <row r="347">
      <c r="A347" s="8" t="inlineStr">
        <is>
          <t>KO</t>
        </is>
      </c>
      <c r="B347" s="8" t="inlineStr">
        <is>
          <t>COCA COLA CO</t>
        </is>
      </c>
      <c r="C347" s="8" t="inlineStr">
        <is>
          <t>STANDARD</t>
        </is>
      </c>
      <c r="D347" s="8" t="n">
        <v>2014</v>
      </c>
      <c r="E347" s="8" t="inlineStr">
        <is>
          <t>2014-12-31</t>
        </is>
      </c>
      <c r="F347" s="8" t="inlineStr">
        <is>
          <t>0000021344-17-000009</t>
        </is>
      </c>
      <c r="G347" s="13" t="n"/>
      <c r="H347" s="13" t="n">
        <v>9.808</v>
      </c>
      <c r="I347" s="8" t="inlineStr">
        <is>
          <t>pretax_income + interest_expense</t>
        </is>
      </c>
      <c r="J347" s="13" t="n">
        <v>7.098</v>
      </c>
      <c r="K347" s="10" t="n">
        <v>0.2360321715817694</v>
      </c>
      <c r="L347" s="13" t="n">
        <v>7.492996461126006</v>
      </c>
      <c r="M347" s="13" t="n">
        <v>40.372</v>
      </c>
      <c r="N347" s="13" t="n">
        <v>40.372</v>
      </c>
      <c r="O347" s="10" t="n">
        <v>0.1855988422948084</v>
      </c>
      <c r="P347" s="8" t="inlineStr">
        <is>
          <t>OK</t>
        </is>
      </c>
      <c r="Q347" s="10" t="n">
        <v>0.2341029023746702</v>
      </c>
      <c r="R347" s="10" t="n">
        <v>0.04850406007986177</v>
      </c>
      <c r="S347" s="13" t="n">
        <v>30.32</v>
      </c>
      <c r="T347" s="13" t="n">
        <v>8.958</v>
      </c>
      <c r="U347" s="13" t="n">
        <v>19.01</v>
      </c>
      <c r="V347" s="8" t="inlineStr">
        <is>
          <t>short-term only (no long-term debt tagged; read as nil)</t>
        </is>
      </c>
      <c r="W347" s="13" t="n">
        <v>11.784</v>
      </c>
      <c r="X347" s="11" t="n">
        <v>0.8530210454854039</v>
      </c>
      <c r="Y347" s="11" t="n">
        <v>20.3064182194617</v>
      </c>
      <c r="Z347" s="13" t="n">
        <v>8.209</v>
      </c>
      <c r="AA347" s="8" t="inlineStr">
        <is>
          <t>operating cash flow - capex (working-capital swing already embedded)</t>
        </is>
      </c>
      <c r="AB347" s="10" t="n"/>
      <c r="AC347" s="10" t="n"/>
      <c r="AD347" s="12" t="n">
        <v>4450000000</v>
      </c>
    </row>
    <row r="348">
      <c r="A348" s="8" t="inlineStr">
        <is>
          <t>KO</t>
        </is>
      </c>
      <c r="B348" s="8" t="inlineStr">
        <is>
          <t>COCA COLA CO</t>
        </is>
      </c>
      <c r="C348" s="8" t="inlineStr">
        <is>
          <t>STANDARD</t>
        </is>
      </c>
      <c r="D348" s="8" t="n">
        <v>2015</v>
      </c>
      <c r="E348" s="8" t="inlineStr">
        <is>
          <t>2015-12-31</t>
        </is>
      </c>
      <c r="F348" s="8" t="inlineStr">
        <is>
          <t>0000021344-18-000008</t>
        </is>
      </c>
      <c r="G348" s="13" t="n"/>
      <c r="H348" s="13" t="n">
        <v>10.461</v>
      </c>
      <c r="I348" s="8" t="inlineStr">
        <is>
          <t>pretax_income + interest_expense</t>
        </is>
      </c>
      <c r="J348" s="13" t="n">
        <v>7.351</v>
      </c>
      <c r="K348" s="10" t="n">
        <v>0.233107756376887</v>
      </c>
      <c r="L348" s="13" t="n">
        <v>8.022459760541384</v>
      </c>
      <c r="M348" s="13" t="n">
        <v>31.28</v>
      </c>
      <c r="N348" s="13" t="n">
        <v>35.826</v>
      </c>
      <c r="O348" s="10" t="n">
        <v>0.223928425181192</v>
      </c>
      <c r="P348" s="8" t="inlineStr">
        <is>
          <t>OK</t>
        </is>
      </c>
      <c r="Q348" s="10" t="n">
        <v>0.2631277517271002</v>
      </c>
      <c r="R348" s="10" t="n">
        <v>0.03919932654590824</v>
      </c>
      <c r="S348" s="13" t="n">
        <v>25.554</v>
      </c>
      <c r="T348" s="13" t="n">
        <v>7.309</v>
      </c>
      <c r="U348" s="13" t="n">
        <v>13.035</v>
      </c>
      <c r="V348" s="8" t="inlineStr">
        <is>
          <t>short-term only (no long-term debt tagged; read as nil)</t>
        </is>
      </c>
      <c r="W348" s="13" t="n">
        <v>12.431</v>
      </c>
      <c r="X348" s="11" t="n">
        <v>0.4606226369559971</v>
      </c>
      <c r="Y348" s="11" t="n">
        <v>12.22079439252336</v>
      </c>
      <c r="Z348" s="13" t="n">
        <v>5.24</v>
      </c>
      <c r="AA348" s="8" t="inlineStr">
        <is>
          <t>net income + D&amp;A - capex - change in operating working capital (cash and short-term debt excluded)</t>
        </is>
      </c>
      <c r="AB348" s="10" t="n"/>
      <c r="AC348" s="10" t="n"/>
      <c r="AD348" s="12" t="n">
        <v>4405000000</v>
      </c>
    </row>
    <row r="349">
      <c r="A349" s="8" t="inlineStr">
        <is>
          <t>KO</t>
        </is>
      </c>
      <c r="B349" s="8" t="inlineStr">
        <is>
          <t>COCA COLA CO</t>
        </is>
      </c>
      <c r="C349" s="8" t="inlineStr">
        <is>
          <t>STANDARD</t>
        </is>
      </c>
      <c r="D349" s="8" t="n">
        <v>2016</v>
      </c>
      <c r="E349" s="8" t="inlineStr">
        <is>
          <t>2016-12-31</t>
        </is>
      </c>
      <c r="F349" s="8" t="inlineStr">
        <is>
          <t>0000021344-19-000014</t>
        </is>
      </c>
      <c r="G349" s="13" t="n">
        <v>41.863</v>
      </c>
      <c r="H349" s="13" t="n">
        <v>8.869</v>
      </c>
      <c r="I349" s="8" t="inlineStr">
        <is>
          <t>pretax_income + interest_expense</t>
        </is>
      </c>
      <c r="J349" s="13" t="n">
        <v>6.527</v>
      </c>
      <c r="K349" s="10" t="n">
        <v>0.1949360865290069</v>
      </c>
      <c r="L349" s="13" t="n">
        <v>7.140111848574238</v>
      </c>
      <c r="M349" s="13" t="n">
        <v>26.837</v>
      </c>
      <c r="N349" s="13" t="n">
        <v>29.0585</v>
      </c>
      <c r="O349" s="10" t="n">
        <v>0.2457150867585814</v>
      </c>
      <c r="P349" s="8" t="inlineStr">
        <is>
          <t>OK</t>
        </is>
      </c>
      <c r="Q349" s="10" t="n">
        <v>0.2685124238933684</v>
      </c>
      <c r="R349" s="10" t="n">
        <v>0.02279733713478702</v>
      </c>
      <c r="S349" s="13" t="n">
        <v>23.062</v>
      </c>
      <c r="T349" s="13" t="n">
        <v>8.555</v>
      </c>
      <c r="U349" s="13" t="n">
        <v>12.33</v>
      </c>
      <c r="V349" s="8" t="inlineStr">
        <is>
          <t>short-term only (no long-term debt tagged; read as nil)</t>
        </is>
      </c>
      <c r="W349" s="13" t="n">
        <v>10.656</v>
      </c>
      <c r="X349" s="11" t="n">
        <v>0.3542605105105105</v>
      </c>
      <c r="Y349" s="11" t="n">
        <v>12.09959072305593</v>
      </c>
      <c r="Z349" s="13" t="n">
        <v>6.991</v>
      </c>
      <c r="AA349" s="8" t="inlineStr">
        <is>
          <t>net income + D&amp;A - capex - change in operating working capital (cash and short-term debt excluded)</t>
        </is>
      </c>
      <c r="AB349" s="10" t="n">
        <v>0.166997109619473</v>
      </c>
      <c r="AC349" s="10" t="n">
        <v>0.2118577263932351</v>
      </c>
      <c r="AD349" s="12" t="n">
        <v>4367000000</v>
      </c>
    </row>
    <row r="350">
      <c r="A350" s="8" t="inlineStr">
        <is>
          <t>KO</t>
        </is>
      </c>
      <c r="B350" s="8" t="inlineStr">
        <is>
          <t>COCA COLA CO</t>
        </is>
      </c>
      <c r="C350" s="8" t="inlineStr">
        <is>
          <t>STANDARD</t>
        </is>
      </c>
      <c r="D350" s="8" t="n">
        <v>2017</v>
      </c>
      <c r="E350" s="8" t="inlineStr">
        <is>
          <t>2017-12-31</t>
        </is>
      </c>
      <c r="F350" s="8" t="inlineStr">
        <is>
          <t>0000021344-20-000006</t>
        </is>
      </c>
      <c r="G350" s="13" t="n">
        <v>36.212</v>
      </c>
      <c r="H350" s="13" t="n">
        <v>7.743</v>
      </c>
      <c r="I350" s="8" t="inlineStr">
        <is>
          <t>pretax_income + interest_expense</t>
        </is>
      </c>
      <c r="J350" s="13" t="n">
        <v>1.248</v>
      </c>
      <c r="K350" s="10" t="n">
        <v>0.4</v>
      </c>
      <c r="L350" s="13" t="n">
        <v>4.6458</v>
      </c>
      <c r="M350" s="13" t="n">
        <v>23.901</v>
      </c>
      <c r="N350" s="13" t="n">
        <v>25.369</v>
      </c>
      <c r="O350" s="10" t="n">
        <v>0.1831290157278568</v>
      </c>
      <c r="P350" s="8" t="inlineStr">
        <is>
          <t>OK</t>
        </is>
      </c>
      <c r="Q350" s="10" t="n">
        <v>0.06219165794588129</v>
      </c>
      <c r="R350" s="10" t="n">
        <v>-0.1209373577819755</v>
      </c>
      <c r="S350" s="13" t="n">
        <v>17.072</v>
      </c>
      <c r="T350" s="13" t="n">
        <v>6.102</v>
      </c>
      <c r="U350" s="13" t="n">
        <v>12.931</v>
      </c>
      <c r="V350" s="8" t="inlineStr">
        <is>
          <t>short-term only (no long-term debt tagged; read as nil)</t>
        </is>
      </c>
      <c r="W350" s="13" t="n">
        <v>9.003</v>
      </c>
      <c r="X350" s="11" t="n">
        <v>0.7585249361324004</v>
      </c>
      <c r="Y350" s="11" t="n">
        <v>9.077373974208676</v>
      </c>
      <c r="Z350" s="13" t="n">
        <v>-4.169</v>
      </c>
      <c r="AA350" s="8" t="inlineStr">
        <is>
          <t>net income + D&amp;A - capex - change in operating working capital (cash and short-term debt excluded)</t>
        </is>
      </c>
      <c r="AB350" s="10" t="n">
        <v>-0.1151275820170109</v>
      </c>
      <c r="AC350" s="10" t="n">
        <v>0.2138241466917044</v>
      </c>
      <c r="AD350" s="12" t="n">
        <v>4324000000</v>
      </c>
    </row>
    <row r="351">
      <c r="A351" s="8" t="inlineStr">
        <is>
          <t>KO</t>
        </is>
      </c>
      <c r="B351" s="8" t="inlineStr">
        <is>
          <t>COCA COLA CO</t>
        </is>
      </c>
      <c r="C351" s="8" t="inlineStr">
        <is>
          <t>STANDARD</t>
        </is>
      </c>
      <c r="D351" s="8" t="n">
        <v>2018</v>
      </c>
      <c r="E351" s="8" t="inlineStr">
        <is>
          <t>2018-12-31</t>
        </is>
      </c>
      <c r="F351" s="8" t="inlineStr">
        <is>
          <t>0000021344-21-000008</t>
        </is>
      </c>
      <c r="G351" s="13" t="n">
        <v>34.3</v>
      </c>
      <c r="H351" s="13" t="n">
        <v>9.175000000000001</v>
      </c>
      <c r="I351" s="8" t="inlineStr">
        <is>
          <t>pretax_income + interest_expense</t>
        </is>
      </c>
      <c r="J351" s="13" t="n">
        <v>6.434</v>
      </c>
      <c r="K351" s="10" t="n">
        <v>0.212644376899696</v>
      </c>
      <c r="L351" s="13" t="n">
        <v>7.223987841945289</v>
      </c>
      <c r="M351" s="13" t="n">
        <v>20.967</v>
      </c>
      <c r="N351" s="13" t="n">
        <v>22.434</v>
      </c>
      <c r="O351" s="10" t="n">
        <v>0.3220106910022862</v>
      </c>
      <c r="P351" s="8" t="inlineStr">
        <is>
          <t>OK</t>
        </is>
      </c>
      <c r="Q351" s="10" t="n">
        <v>0.377881537603148</v>
      </c>
      <c r="R351" s="10" t="n">
        <v>0.05587084660086183</v>
      </c>
      <c r="S351" s="13" t="n">
        <v>16.981</v>
      </c>
      <c r="T351" s="13" t="n">
        <v>9.077</v>
      </c>
      <c r="U351" s="13" t="n">
        <v>13.063</v>
      </c>
      <c r="V351" s="8" t="inlineStr">
        <is>
          <t>short-term only (no long-term debt tagged; read as nil)</t>
        </is>
      </c>
      <c r="W351" s="13" t="n">
        <v>10.261</v>
      </c>
      <c r="X351" s="11" t="n">
        <v>0.3884611636292759</v>
      </c>
      <c r="Y351" s="11" t="n">
        <v>9.657894736842104</v>
      </c>
      <c r="Z351" s="13" t="n">
        <v>22.018</v>
      </c>
      <c r="AA351" s="8" t="inlineStr">
        <is>
          <t>net income + D&amp;A - capex - change in operating working capital (cash and short-term debt excluded)</t>
        </is>
      </c>
      <c r="AB351" s="10" t="n">
        <v>0.6419241982507289</v>
      </c>
      <c r="AC351" s="10" t="n">
        <v>0.2674927113702624</v>
      </c>
      <c r="AD351" s="12" t="n">
        <v>4299000000</v>
      </c>
    </row>
    <row r="352">
      <c r="A352" s="8" t="inlineStr">
        <is>
          <t>KO</t>
        </is>
      </c>
      <c r="B352" s="8" t="inlineStr">
        <is>
          <t>COCA COLA CO</t>
        </is>
      </c>
      <c r="C352" s="8" t="inlineStr">
        <is>
          <t>STANDARD</t>
        </is>
      </c>
      <c r="D352" s="8" t="n">
        <v>2019</v>
      </c>
      <c r="E352" s="8" t="inlineStr">
        <is>
          <t>2019-12-31</t>
        </is>
      </c>
      <c r="F352" s="8" t="inlineStr">
        <is>
          <t>0000021344-22-000009</t>
        </is>
      </c>
      <c r="G352" s="13" t="n">
        <v>37.266</v>
      </c>
      <c r="H352" s="13" t="n">
        <v>11.732</v>
      </c>
      <c r="I352" s="8" t="inlineStr">
        <is>
          <t>pretax_income + interest_expense</t>
        </is>
      </c>
      <c r="J352" s="13" t="n">
        <v>8.92</v>
      </c>
      <c r="K352" s="10" t="n">
        <v>0.166975709252735</v>
      </c>
      <c r="L352" s="13" t="n">
        <v>9.773040979046911</v>
      </c>
      <c r="M352" s="13" t="n">
        <v>22.508</v>
      </c>
      <c r="N352" s="13" t="n">
        <v>21.7375</v>
      </c>
      <c r="O352" s="10" t="n">
        <v>0.4495936045564997</v>
      </c>
      <c r="P352" s="8" t="inlineStr">
        <is>
          <t>OK</t>
        </is>
      </c>
      <c r="Q352" s="10" t="n">
        <v>0.4960791947055225</v>
      </c>
      <c r="R352" s="10" t="n">
        <v>0.04648559014902282</v>
      </c>
      <c r="S352" s="13" t="n">
        <v>18.981</v>
      </c>
      <c r="T352" s="13" t="n">
        <v>6.48</v>
      </c>
      <c r="U352" s="13" t="n">
        <v>10.007</v>
      </c>
      <c r="V352" s="8" t="inlineStr">
        <is>
          <t>short-term only (no long-term debt tagged; read as nil)</t>
        </is>
      </c>
      <c r="W352" s="13" t="n">
        <v>13.097</v>
      </c>
      <c r="X352" s="11" t="n">
        <v>0.2692983125906696</v>
      </c>
      <c r="Y352" s="11" t="n">
        <v>12.40169133192389</v>
      </c>
      <c r="Z352" s="13" t="n">
        <v>11.4</v>
      </c>
      <c r="AA352" s="8" t="inlineStr">
        <is>
          <t>net income + D&amp;A - capex - change in operating working capital (cash and short-term debt excluded)</t>
        </is>
      </c>
      <c r="AB352" s="10" t="n">
        <v>0.3059088713572694</v>
      </c>
      <c r="AC352" s="10" t="n">
        <v>0.3148177963827617</v>
      </c>
      <c r="AD352" s="12" t="n">
        <v>4314000000</v>
      </c>
    </row>
    <row r="353">
      <c r="A353" s="8" t="inlineStr">
        <is>
          <t>KO</t>
        </is>
      </c>
      <c r="B353" s="8" t="inlineStr">
        <is>
          <t>COCA COLA CO</t>
        </is>
      </c>
      <c r="C353" s="8" t="inlineStr">
        <is>
          <t>STANDARD</t>
        </is>
      </c>
      <c r="D353" s="8" t="n">
        <v>2020</v>
      </c>
      <c r="E353" s="8" t="inlineStr">
        <is>
          <t>2020-12-31</t>
        </is>
      </c>
      <c r="F353" s="8" t="inlineStr">
        <is>
          <t>0000021344-23-000011</t>
        </is>
      </c>
      <c r="G353" s="13" t="n">
        <v>33.014</v>
      </c>
      <c r="H353" s="13" t="n">
        <v>11.186</v>
      </c>
      <c r="I353" s="8" t="inlineStr">
        <is>
          <t>pretax_income + interest_expense</t>
        </is>
      </c>
      <c r="J353" s="13" t="n">
        <v>7.747</v>
      </c>
      <c r="K353" s="10" t="n">
        <v>0.2032003282387937</v>
      </c>
      <c r="L353" s="13" t="n">
        <v>8.913001128320852</v>
      </c>
      <c r="M353" s="13" t="n">
        <v>13.833</v>
      </c>
      <c r="N353" s="13" t="n">
        <v>18.1705</v>
      </c>
      <c r="O353" s="10" t="n">
        <v>0.4905204110135028</v>
      </c>
      <c r="P353" s="8" t="inlineStr">
        <is>
          <t>OK</t>
        </is>
      </c>
      <c r="Q353" s="10" t="n">
        <v>0.4047544409613375</v>
      </c>
      <c r="R353" s="10" t="n">
        <v>-0.0857659700521653</v>
      </c>
      <c r="S353" s="13" t="n">
        <v>19.299</v>
      </c>
      <c r="T353" s="13" t="n">
        <v>6.795</v>
      </c>
      <c r="U353" s="13" t="n">
        <v>1.329</v>
      </c>
      <c r="V353" s="8" t="inlineStr">
        <is>
          <t>short-term only (no long-term debt tagged; read as nil)</t>
        </is>
      </c>
      <c r="W353" s="13" t="n">
        <v>12.722</v>
      </c>
      <c r="X353" s="11" t="n">
        <v>-0.4296494261908505</v>
      </c>
      <c r="Y353" s="11" t="n">
        <v>7.784272790535838</v>
      </c>
      <c r="Z353" s="13" t="n">
        <v>5.898</v>
      </c>
      <c r="AA353" s="8" t="inlineStr">
        <is>
          <t>net income + D&amp;A - capex - change in operating working capital (cash and short-term debt excluded)</t>
        </is>
      </c>
      <c r="AB353" s="10" t="n">
        <v>0.1786514811897983</v>
      </c>
      <c r="AC353" s="10" t="n">
        <v>0.3388259526261586</v>
      </c>
      <c r="AD353" s="12" t="n">
        <v>4323000000</v>
      </c>
    </row>
    <row r="354">
      <c r="A354" s="8" t="inlineStr">
        <is>
          <t>KO</t>
        </is>
      </c>
      <c r="B354" s="8" t="inlineStr">
        <is>
          <t>COCA COLA CO</t>
        </is>
      </c>
      <c r="C354" s="8" t="inlineStr">
        <is>
          <t>STANDARD</t>
        </is>
      </c>
      <c r="D354" s="8" t="n">
        <v>2021</v>
      </c>
      <c r="E354" s="8" t="inlineStr">
        <is>
          <t>2021-12-31</t>
        </is>
      </c>
      <c r="F354" s="8" t="inlineStr">
        <is>
          <t>0000021344-24-000009</t>
        </is>
      </c>
      <c r="G354" s="13" t="n">
        <v>38.655</v>
      </c>
      <c r="H354" s="13" t="n">
        <v>14.022</v>
      </c>
      <c r="I354" s="8" t="inlineStr">
        <is>
          <t>pretax_income + interest_expense</t>
        </is>
      </c>
      <c r="J354" s="13" t="n">
        <v>9.771000000000001</v>
      </c>
      <c r="K354" s="10" t="n">
        <v>0.2109456740442656</v>
      </c>
      <c r="L354" s="13" t="n">
        <v>11.06411975855131</v>
      </c>
      <c r="M354" s="13" t="n">
        <v>15.777</v>
      </c>
      <c r="N354" s="13" t="n">
        <v>14.805</v>
      </c>
      <c r="O354" s="10" t="n">
        <v>0.7473231853124828</v>
      </c>
      <c r="P354" s="8" t="inlineStr">
        <is>
          <t>OK</t>
        </is>
      </c>
      <c r="Q354" s="10" t="n">
        <v>0.46200765993664</v>
      </c>
      <c r="R354" s="10" t="n">
        <v>-0.2853155253758428</v>
      </c>
      <c r="S354" s="13" t="n">
        <v>22.999</v>
      </c>
      <c r="T354" s="13" t="n">
        <v>9.683999999999999</v>
      </c>
      <c r="U354" s="13" t="n">
        <v>2.462</v>
      </c>
      <c r="V354" s="8" t="inlineStr">
        <is>
          <t>short-term only (no long-term debt tagged; read as nil)</t>
        </is>
      </c>
      <c r="W354" s="13" t="n">
        <v>15.474</v>
      </c>
      <c r="X354" s="11" t="n">
        <v>-0.4667183662918444</v>
      </c>
      <c r="Y354" s="11" t="n">
        <v>8.780212899185974</v>
      </c>
      <c r="Z354" s="13" t="n">
        <v>13.656</v>
      </c>
      <c r="AA354" s="8" t="inlineStr">
        <is>
          <t>net income + D&amp;A - capex - change in operating working capital (cash and short-term debt excluded)</t>
        </is>
      </c>
      <c r="AB354" s="10" t="n">
        <v>0.353279006596818</v>
      </c>
      <c r="AC354" s="10" t="n">
        <v>0.3627473806752037</v>
      </c>
      <c r="AD354" s="12" t="n">
        <v>4340000000</v>
      </c>
    </row>
    <row r="355">
      <c r="A355" s="8" t="inlineStr">
        <is>
          <t>KO</t>
        </is>
      </c>
      <c r="B355" s="8" t="inlineStr">
        <is>
          <t>COCA COLA CO</t>
        </is>
      </c>
      <c r="C355" s="8" t="inlineStr">
        <is>
          <t>STANDARD</t>
        </is>
      </c>
      <c r="D355" s="8" t="n">
        <v>2022</v>
      </c>
      <c r="E355" s="8" t="inlineStr">
        <is>
          <t>2022-12-31</t>
        </is>
      </c>
      <c r="F355" s="8" t="inlineStr">
        <is>
          <t>0000021344-25-000011</t>
        </is>
      </c>
      <c r="G355" s="13" t="n">
        <v>43.004</v>
      </c>
      <c r="H355" s="13" t="n">
        <v>12.568</v>
      </c>
      <c r="I355" s="8" t="inlineStr">
        <is>
          <t>pretax_income + interest_expense</t>
        </is>
      </c>
      <c r="J355" s="13" t="n">
        <v>9.542</v>
      </c>
      <c r="K355" s="10" t="n">
        <v>0.1809857949683382</v>
      </c>
      <c r="L355" s="13" t="n">
        <v>10.29337052883793</v>
      </c>
      <c r="M355" s="13" t="n">
        <v>16.732</v>
      </c>
      <c r="N355" s="13" t="n">
        <v>16.2545</v>
      </c>
      <c r="O355" s="10" t="n">
        <v>0.6332628213010505</v>
      </c>
      <c r="P355" s="8" t="inlineStr">
        <is>
          <t>OK</t>
        </is>
      </c>
      <c r="Q355" s="10" t="n">
        <v>0.4051460597826087</v>
      </c>
      <c r="R355" s="10" t="n">
        <v>-0.2281167615184418</v>
      </c>
      <c r="S355" s="13" t="n">
        <v>24.105</v>
      </c>
      <c r="T355" s="13" t="n">
        <v>9.519</v>
      </c>
      <c r="U355" s="13" t="n">
        <v>2.146</v>
      </c>
      <c r="V355" s="8" t="inlineStr">
        <is>
          <t>short-term only (no long-term debt tagged; read as nil)</t>
        </is>
      </c>
      <c r="W355" s="13" t="n">
        <v>13.828</v>
      </c>
      <c r="X355" s="11" t="n">
        <v>-0.5331935203934047</v>
      </c>
      <c r="Y355" s="11" t="n">
        <v>14.24943310657596</v>
      </c>
      <c r="Z355" s="13" t="n">
        <v>9.196999999999999</v>
      </c>
      <c r="AA355" s="8" t="inlineStr">
        <is>
          <t>net income + D&amp;A - capex - change in operating working capital (cash and short-term debt excluded)</t>
        </is>
      </c>
      <c r="AB355" s="10" t="n">
        <v>0.2138638266207795</v>
      </c>
      <c r="AC355" s="10" t="n">
        <v>0.2922518835457167</v>
      </c>
      <c r="AD355" s="12" t="n">
        <v>4350000000</v>
      </c>
    </row>
    <row r="356">
      <c r="A356" s="8" t="inlineStr">
        <is>
          <t>KO</t>
        </is>
      </c>
      <c r="B356" s="8" t="inlineStr">
        <is>
          <t>COCA COLA CO</t>
        </is>
      </c>
      <c r="C356" s="8" t="inlineStr">
        <is>
          <t>STANDARD</t>
        </is>
      </c>
      <c r="D356" s="8" t="n">
        <v>2023</v>
      </c>
      <c r="E356" s="8" t="inlineStr">
        <is>
          <t>2023-12-31</t>
        </is>
      </c>
      <c r="F356" s="8" t="inlineStr">
        <is>
          <t>0001628280-26-010047</t>
        </is>
      </c>
      <c r="G356" s="13" t="n">
        <v>45.754</v>
      </c>
      <c r="H356" s="13" t="n">
        <v>14.479</v>
      </c>
      <c r="I356" s="8" t="inlineStr">
        <is>
          <t>pretax_income + interest_expense</t>
        </is>
      </c>
      <c r="J356" s="13" t="n">
        <v>10.714</v>
      </c>
      <c r="K356" s="10" t="n">
        <v>0.1736411365040148</v>
      </c>
      <c r="L356" s="13" t="n">
        <v>11.96484998455837</v>
      </c>
      <c r="M356" s="13" t="n">
        <v>56.331</v>
      </c>
      <c r="N356" s="13" t="n">
        <v>36.5315</v>
      </c>
      <c r="O356" s="10" t="n">
        <v>0.3275214536648747</v>
      </c>
      <c r="P356" s="8" t="inlineStr">
        <is>
          <t>OK</t>
        </is>
      </c>
      <c r="Q356" s="10" t="n">
        <v>0.4281660871997762</v>
      </c>
      <c r="R356" s="10" t="n">
        <v>0.1006446335349015</v>
      </c>
      <c r="S356" s="13" t="n">
        <v>25.941</v>
      </c>
      <c r="T356" s="13" t="n">
        <v>9.366</v>
      </c>
      <c r="U356" s="13" t="n">
        <v>39.756</v>
      </c>
      <c r="V356" s="8" t="inlineStr">
        <is>
          <t>short-term + long-term</t>
        </is>
      </c>
      <c r="W356" s="13" t="n">
        <v>15.607</v>
      </c>
      <c r="X356" s="11" t="n">
        <v>1.947203178061127</v>
      </c>
      <c r="Y356" s="11" t="n">
        <v>9.481990831696136</v>
      </c>
      <c r="Z356" s="13" t="n">
        <v>7.48</v>
      </c>
      <c r="AA356" s="8" t="inlineStr">
        <is>
          <t>net income + D&amp;A - capex - change in operating working capital (cash and short-term debt excluded)</t>
        </is>
      </c>
      <c r="AB356" s="10" t="n">
        <v>0.1634829741661931</v>
      </c>
      <c r="AC356" s="10" t="n">
        <v>0.3164532062770468</v>
      </c>
      <c r="AD356" s="12" t="n">
        <v>4339000000</v>
      </c>
    </row>
    <row r="357">
      <c r="A357" s="8" t="inlineStr">
        <is>
          <t>KO</t>
        </is>
      </c>
      <c r="B357" s="8" t="inlineStr">
        <is>
          <t>COCA COLA CO</t>
        </is>
      </c>
      <c r="C357" s="8" t="inlineStr">
        <is>
          <t>STANDARD</t>
        </is>
      </c>
      <c r="D357" s="8" t="n">
        <v>2024</v>
      </c>
      <c r="E357" s="8" t="inlineStr">
        <is>
          <t>2024-12-31</t>
        </is>
      </c>
      <c r="F357" s="8" t="inlineStr">
        <is>
          <t>0001628280-26-010047</t>
        </is>
      </c>
      <c r="G357" s="13" t="n">
        <v>47.061</v>
      </c>
      <c r="H357" s="13" t="n">
        <v>14.742</v>
      </c>
      <c r="I357" s="8" t="inlineStr">
        <is>
          <t>pretax_income + interest_expense</t>
        </is>
      </c>
      <c r="J357" s="13" t="n">
        <v>10.631</v>
      </c>
      <c r="K357" s="10" t="n">
        <v>0.1862295583065872</v>
      </c>
      <c r="L357" s="13" t="n">
        <v>11.99660385144429</v>
      </c>
      <c r="M357" s="13" t="n">
        <v>57.542</v>
      </c>
      <c r="N357" s="13" t="n">
        <v>56.9365</v>
      </c>
      <c r="O357" s="10" t="n">
        <v>0.210701463058746</v>
      </c>
      <c r="P357" s="8" t="inlineStr">
        <is>
          <t>OK</t>
        </is>
      </c>
      <c r="Q357" s="10" t="n">
        <v>0.4185680256708073</v>
      </c>
      <c r="R357" s="10" t="n">
        <v>0.2078665626120613</v>
      </c>
      <c r="S357" s="13" t="n">
        <v>24.856</v>
      </c>
      <c r="T357" s="13" t="n">
        <v>10.828</v>
      </c>
      <c r="U357" s="13" t="n">
        <v>43.514</v>
      </c>
      <c r="V357" s="8" t="inlineStr">
        <is>
          <t>short-term + long-term</t>
        </is>
      </c>
      <c r="W357" s="13" t="n">
        <v>15.817</v>
      </c>
      <c r="X357" s="11" t="n">
        <v>2.066510716317886</v>
      </c>
      <c r="Y357" s="11" t="n">
        <v>8.902173913043478</v>
      </c>
      <c r="Z357" s="13" t="n">
        <v>16.587</v>
      </c>
      <c r="AA357" s="8" t="inlineStr">
        <is>
          <t>net income + D&amp;A - capex - change in operating working capital (cash and short-term debt excluded)</t>
        </is>
      </c>
      <c r="AB357" s="10" t="n">
        <v>0.352457448842991</v>
      </c>
      <c r="AC357" s="10" t="n">
        <v>0.3132530120481928</v>
      </c>
      <c r="AD357" s="12" t="n">
        <v>4320000000</v>
      </c>
    </row>
    <row r="358">
      <c r="A358" s="8" t="inlineStr">
        <is>
          <t>KO</t>
        </is>
      </c>
      <c r="B358" s="8" t="inlineStr">
        <is>
          <t>COCA COLA CO</t>
        </is>
      </c>
      <c r="C358" s="8" t="inlineStr">
        <is>
          <t>STANDARD</t>
        </is>
      </c>
      <c r="D358" s="8" t="n">
        <v>2025</v>
      </c>
      <c r="E358" s="8" t="inlineStr">
        <is>
          <t>2025-12-31</t>
        </is>
      </c>
      <c r="F358" s="8" t="inlineStr">
        <is>
          <t>0001628280-26-010047</t>
        </is>
      </c>
      <c r="G358" s="13" t="n">
        <v>47.941</v>
      </c>
      <c r="H358" s="13" t="n">
        <v>17.652</v>
      </c>
      <c r="I358" s="8" t="inlineStr">
        <is>
          <t>pretax_income + interest_expense</t>
        </is>
      </c>
      <c r="J358" s="13" t="n">
        <v>13.107</v>
      </c>
      <c r="K358" s="10" t="n">
        <v>0.1788348543567946</v>
      </c>
      <c r="L358" s="13" t="n">
        <v>14.49520715089386</v>
      </c>
      <c r="M358" s="13" t="n">
        <v>65.51300000000001</v>
      </c>
      <c r="N358" s="13" t="n">
        <v>61.5275</v>
      </c>
      <c r="O358" s="10" t="n">
        <v>0.2355890805069906</v>
      </c>
      <c r="P358" s="8" t="inlineStr">
        <is>
          <t>OK</t>
        </is>
      </c>
      <c r="Q358" s="10" t="n">
        <v>0.4596931170539237</v>
      </c>
      <c r="R358" s="10" t="n">
        <v>0.2241040365469332</v>
      </c>
      <c r="S358" s="13" t="n">
        <v>32.169</v>
      </c>
      <c r="T358" s="13" t="n">
        <v>10.27</v>
      </c>
      <c r="U358" s="13" t="n">
        <v>43.614</v>
      </c>
      <c r="V358" s="8" t="inlineStr">
        <is>
          <t>short-term + long-term</t>
        </is>
      </c>
      <c r="W358" s="13" t="n">
        <v>18.702</v>
      </c>
      <c r="X358" s="11" t="n">
        <v>1.78291091861833</v>
      </c>
      <c r="Y358" s="11" t="n">
        <v>10.67230955259976</v>
      </c>
      <c r="Z358" s="13" t="n">
        <v>2.116</v>
      </c>
      <c r="AA358" s="8" t="inlineStr">
        <is>
          <t>net income + D&amp;A - capex - change in operating working capital (cash and short-term debt excluded)</t>
        </is>
      </c>
      <c r="AB358" s="10" t="n">
        <v>0.04413758578252435</v>
      </c>
      <c r="AC358" s="10" t="n">
        <v>0.3682025823407939</v>
      </c>
      <c r="AD358" s="12" t="n">
        <v>4313000000</v>
      </c>
    </row>
    <row r="359">
      <c r="A359" s="8" t="inlineStr">
        <is>
          <t>UNH</t>
        </is>
      </c>
      <c r="B359" s="8" t="inlineStr">
        <is>
          <t>UNITEDHEALTH GROUP INC</t>
        </is>
      </c>
      <c r="C359" s="8" t="inlineStr">
        <is>
          <t>FINANCIAL</t>
        </is>
      </c>
      <c r="D359" s="8" t="n">
        <v>2014</v>
      </c>
      <c r="E359" s="8" t="inlineStr">
        <is>
          <t>2014-12-31</t>
        </is>
      </c>
      <c r="F359" s="8" t="inlineStr">
        <is>
          <t>0000731766-17-000009</t>
        </is>
      </c>
      <c r="G359" s="13" t="n">
        <v>130.474</v>
      </c>
      <c r="H359" s="13" t="n">
        <v>10.274</v>
      </c>
      <c r="I359" s="8" t="inlineStr">
        <is>
          <t>reported OperatingIncomeLoss (no interest expense tagged)</t>
        </is>
      </c>
      <c r="J359" s="13" t="n">
        <v>5.619</v>
      </c>
      <c r="K359" s="10" t="n">
        <v>0.21</v>
      </c>
      <c r="L359" s="13" t="n">
        <v>8.11646</v>
      </c>
      <c r="M359" s="13" t="n"/>
      <c r="N359" s="13" t="n"/>
      <c r="O359" s="10" t="n"/>
      <c r="P359" s="8" t="inlineStr">
        <is>
          <t>FRAMEWORK_NOT_APPLICABLE</t>
        </is>
      </c>
      <c r="Q359" s="10" t="n">
        <v>0.1731373636531706</v>
      </c>
      <c r="R359" s="10" t="n"/>
      <c r="S359" s="13" t="n">
        <v>32.454</v>
      </c>
      <c r="T359" s="13" t="n">
        <v>7.495</v>
      </c>
      <c r="U359" s="13" t="n">
        <v>16.007</v>
      </c>
      <c r="V359" s="8" t="inlineStr">
        <is>
          <t>long-term only (no short-term debt tagged; read as nil)</t>
        </is>
      </c>
      <c r="W359" s="13" t="n">
        <v>11.752</v>
      </c>
      <c r="X359" s="11" t="n">
        <v>0.7243022464261403</v>
      </c>
      <c r="Y359" s="11" t="n">
        <v>16.62459546925566</v>
      </c>
      <c r="Z359" s="13" t="n"/>
      <c r="AA359" s="8" t="inlineStr">
        <is>
          <t>FRAMEWORK_NOT_APPLICABLE (financial sector)</t>
        </is>
      </c>
      <c r="AB359" s="10" t="n"/>
      <c r="AC359" s="10" t="n">
        <v>0.07874365774023943</v>
      </c>
      <c r="AD359" s="12" t="n">
        <v>954000000</v>
      </c>
    </row>
    <row r="360">
      <c r="A360" s="8" t="inlineStr">
        <is>
          <t>UNH</t>
        </is>
      </c>
      <c r="B360" s="8" t="inlineStr">
        <is>
          <t>UNITEDHEALTH GROUP INC</t>
        </is>
      </c>
      <c r="C360" s="8" t="inlineStr">
        <is>
          <t>FINANCIAL</t>
        </is>
      </c>
      <c r="D360" s="8" t="n">
        <v>2015</v>
      </c>
      <c r="E360" s="8" t="inlineStr">
        <is>
          <t>2015-12-31</t>
        </is>
      </c>
      <c r="F360" s="8" t="inlineStr">
        <is>
          <t>0000731766-18-000005</t>
        </is>
      </c>
      <c r="G360" s="13" t="n">
        <v>157.107</v>
      </c>
      <c r="H360" s="13" t="n">
        <v>11.021</v>
      </c>
      <c r="I360" s="8" t="inlineStr">
        <is>
          <t>reported OperatingIncomeLoss (no interest expense tagged)</t>
        </is>
      </c>
      <c r="J360" s="13" t="n">
        <v>5.813</v>
      </c>
      <c r="K360" s="10" t="n">
        <v>0.21</v>
      </c>
      <c r="L360" s="13" t="n">
        <v>8.70659</v>
      </c>
      <c r="M360" s="13" t="n"/>
      <c r="N360" s="13" t="n"/>
      <c r="O360" s="10" t="n"/>
      <c r="P360" s="8" t="inlineStr">
        <is>
          <t>FRAMEWORK_NOT_APPLICABLE</t>
        </is>
      </c>
      <c r="Q360" s="10" t="n">
        <v>0.1756750630864776</v>
      </c>
      <c r="R360" s="10" t="n"/>
      <c r="S360" s="13" t="n">
        <v>33.725</v>
      </c>
      <c r="T360" s="13" t="n">
        <v>10.923</v>
      </c>
      <c r="U360" s="13" t="n">
        <v>25.331</v>
      </c>
      <c r="V360" s="8" t="inlineStr">
        <is>
          <t>long-term only (no short-term debt tagged; read as nil)</t>
        </is>
      </c>
      <c r="W360" s="13" t="n">
        <v>12.714</v>
      </c>
      <c r="X360" s="11" t="n">
        <v>1.133238949189869</v>
      </c>
      <c r="Y360" s="11" t="n">
        <v>13.95063291139241</v>
      </c>
      <c r="Z360" s="13" t="n"/>
      <c r="AA360" s="8" t="inlineStr">
        <is>
          <t>FRAMEWORK_NOT_APPLICABLE (financial sector)</t>
        </is>
      </c>
      <c r="AB360" s="10" t="n"/>
      <c r="AC360" s="10" t="n">
        <v>0.07014964323677493</v>
      </c>
      <c r="AD360" s="12" t="n">
        <v>953000000</v>
      </c>
    </row>
    <row r="361">
      <c r="A361" s="8" t="inlineStr">
        <is>
          <t>UNH</t>
        </is>
      </c>
      <c r="B361" s="8" t="inlineStr">
        <is>
          <t>UNITEDHEALTH GROUP INC</t>
        </is>
      </c>
      <c r="C361" s="8" t="inlineStr">
        <is>
          <t>FINANCIAL</t>
        </is>
      </c>
      <c r="D361" s="8" t="n">
        <v>2016</v>
      </c>
      <c r="E361" s="8" t="inlineStr">
        <is>
          <t>2016-12-31</t>
        </is>
      </c>
      <c r="F361" s="8" t="inlineStr">
        <is>
          <t>0000731766-19-000005</t>
        </is>
      </c>
      <c r="G361" s="13" t="n">
        <v>184.84</v>
      </c>
      <c r="H361" s="13" t="n">
        <v>12.93</v>
      </c>
      <c r="I361" s="8" t="inlineStr">
        <is>
          <t>reported OperatingIncomeLoss (no interest expense tagged)</t>
        </is>
      </c>
      <c r="J361" s="13" t="n">
        <v>7.017</v>
      </c>
      <c r="K361" s="10" t="n">
        <v>0.21</v>
      </c>
      <c r="L361" s="13" t="n">
        <v>10.2147</v>
      </c>
      <c r="M361" s="13" t="n"/>
      <c r="N361" s="13" t="n"/>
      <c r="O361" s="10" t="n"/>
      <c r="P361" s="8" t="inlineStr">
        <is>
          <t>FRAMEWORK_NOT_APPLICABLE</t>
        </is>
      </c>
      <c r="Q361" s="10" t="n">
        <v>0.1951823315067731</v>
      </c>
      <c r="R361" s="10" t="n"/>
      <c r="S361" s="13" t="n">
        <v>38.177</v>
      </c>
      <c r="T361" s="13" t="n">
        <v>10.43</v>
      </c>
      <c r="U361" s="13" t="n">
        <v>25.777</v>
      </c>
      <c r="V361" s="8" t="inlineStr">
        <is>
          <t>long-term only (no short-term debt tagged; read as nil)</t>
        </is>
      </c>
      <c r="W361" s="13" t="n">
        <v>14.985</v>
      </c>
      <c r="X361" s="11" t="n">
        <v>1.024157490824158</v>
      </c>
      <c r="Y361" s="11" t="n">
        <v>12.11808809746954</v>
      </c>
      <c r="Z361" s="13" t="n"/>
      <c r="AA361" s="8" t="inlineStr">
        <is>
          <t>FRAMEWORK_NOT_APPLICABLE (financial sector)</t>
        </is>
      </c>
      <c r="AB361" s="10" t="n"/>
      <c r="AC361" s="10" t="n">
        <v>0.06995239125730361</v>
      </c>
      <c r="AD361" s="12" t="n">
        <v>952000000</v>
      </c>
    </row>
    <row r="362">
      <c r="A362" s="8" t="inlineStr">
        <is>
          <t>UNH</t>
        </is>
      </c>
      <c r="B362" s="8" t="inlineStr">
        <is>
          <t>UNITEDHEALTH GROUP INC</t>
        </is>
      </c>
      <c r="C362" s="8" t="inlineStr">
        <is>
          <t>FINANCIAL</t>
        </is>
      </c>
      <c r="D362" s="8" t="n">
        <v>2017</v>
      </c>
      <c r="E362" s="8" t="inlineStr">
        <is>
          <t>2017-12-31</t>
        </is>
      </c>
      <c r="F362" s="8" t="inlineStr">
        <is>
          <t>0000731766-20-000006</t>
        </is>
      </c>
      <c r="G362" s="13" t="n">
        <v>201.159</v>
      </c>
      <c r="H362" s="13" t="n">
        <v>15.209</v>
      </c>
      <c r="I362" s="8" t="inlineStr">
        <is>
          <t>reported OperatingIncomeLoss (no interest expense tagged)</t>
        </is>
      </c>
      <c r="J362" s="13" t="n">
        <v>10.558</v>
      </c>
      <c r="K362" s="10" t="n">
        <v>0.21</v>
      </c>
      <c r="L362" s="13" t="n">
        <v>12.01511</v>
      </c>
      <c r="M362" s="13" t="n"/>
      <c r="N362" s="13" t="n"/>
      <c r="O362" s="10" t="n"/>
      <c r="P362" s="8" t="inlineStr">
        <is>
          <t>FRAMEWORK_NOT_APPLICABLE</t>
        </is>
      </c>
      <c r="Q362" s="10" t="n">
        <v>0.2399272809907965</v>
      </c>
      <c r="R362" s="10" t="n"/>
      <c r="S362" s="13" t="n">
        <v>49.833</v>
      </c>
      <c r="T362" s="13" t="n">
        <v>11.981</v>
      </c>
      <c r="U362" s="13" t="n">
        <v>28.835</v>
      </c>
      <c r="V362" s="8" t="inlineStr">
        <is>
          <t>long-term only (no short-term debt tagged; read as nil)</t>
        </is>
      </c>
      <c r="W362" s="13" t="n">
        <v>17.454</v>
      </c>
      <c r="X362" s="11" t="n">
        <v>0.9656239257476796</v>
      </c>
      <c r="Y362" s="11" t="n">
        <v>12.82377740303541</v>
      </c>
      <c r="Z362" s="13" t="n"/>
      <c r="AA362" s="8" t="inlineStr">
        <is>
          <t>FRAMEWORK_NOT_APPLICABLE (financial sector)</t>
        </is>
      </c>
      <c r="AB362" s="10" t="n"/>
      <c r="AC362" s="10" t="n">
        <v>0.07560685825640413</v>
      </c>
      <c r="AD362" s="12" t="n">
        <v>969000000</v>
      </c>
    </row>
    <row r="363">
      <c r="A363" s="8" t="inlineStr">
        <is>
          <t>UNH</t>
        </is>
      </c>
      <c r="B363" s="8" t="inlineStr">
        <is>
          <t>UNITEDHEALTH GROUP INC</t>
        </is>
      </c>
      <c r="C363" s="8" t="inlineStr">
        <is>
          <t>FINANCIAL</t>
        </is>
      </c>
      <c r="D363" s="8" t="n">
        <v>2018</v>
      </c>
      <c r="E363" s="8" t="inlineStr">
        <is>
          <t>2018-12-31</t>
        </is>
      </c>
      <c r="F363" s="8" t="inlineStr">
        <is>
          <t>0000731766-21-000013</t>
        </is>
      </c>
      <c r="G363" s="13" t="n">
        <v>226.247</v>
      </c>
      <c r="H363" s="13" t="n">
        <v>17.344</v>
      </c>
      <c r="I363" s="8" t="inlineStr">
        <is>
          <t>reported OperatingIncomeLoss (no interest expense tagged)</t>
        </is>
      </c>
      <c r="J363" s="13" t="n">
        <v>11.986</v>
      </c>
      <c r="K363" s="10" t="n">
        <v>0.21</v>
      </c>
      <c r="L363" s="13" t="n">
        <v>13.70176</v>
      </c>
      <c r="M363" s="13" t="n"/>
      <c r="N363" s="13" t="n"/>
      <c r="O363" s="10" t="n"/>
      <c r="P363" s="8" t="inlineStr">
        <is>
          <t>FRAMEWORK_NOT_APPLICABLE</t>
        </is>
      </c>
      <c r="Q363" s="10" t="n">
        <v>0.2301636070358707</v>
      </c>
      <c r="R363" s="10" t="n"/>
      <c r="S363" s="13" t="n">
        <v>54.319</v>
      </c>
      <c r="T363" s="13" t="n">
        <v>10.866</v>
      </c>
      <c r="U363" s="13" t="n">
        <v>34.581</v>
      </c>
      <c r="V363" s="8" t="inlineStr">
        <is>
          <t>long-term only (no short-term debt tagged; read as nil)</t>
        </is>
      </c>
      <c r="W363" s="13" t="n">
        <v>19.772</v>
      </c>
      <c r="X363" s="11" t="n">
        <v>1.199423427068582</v>
      </c>
      <c r="Y363" s="11" t="n">
        <v>12.38857142857143</v>
      </c>
      <c r="Z363" s="13" t="n"/>
      <c r="AA363" s="8" t="inlineStr">
        <is>
          <t>FRAMEWORK_NOT_APPLICABLE (financial sector)</t>
        </is>
      </c>
      <c r="AB363" s="10" t="n"/>
      <c r="AC363" s="10" t="n">
        <v>0.0766595800165306</v>
      </c>
      <c r="AD363" s="12" t="n">
        <v>960000000</v>
      </c>
    </row>
    <row r="364">
      <c r="A364" s="8" t="inlineStr">
        <is>
          <t>UNH</t>
        </is>
      </c>
      <c r="B364" s="8" t="inlineStr">
        <is>
          <t>UNITEDHEALTH GROUP INC</t>
        </is>
      </c>
      <c r="C364" s="8" t="inlineStr">
        <is>
          <t>FINANCIAL</t>
        </is>
      </c>
      <c r="D364" s="8" t="n">
        <v>2019</v>
      </c>
      <c r="E364" s="8" t="inlineStr">
        <is>
          <t>2019-12-31</t>
        </is>
      </c>
      <c r="F364" s="8" t="inlineStr">
        <is>
          <t>0000731766-22-000008</t>
        </is>
      </c>
      <c r="G364" s="13" t="n">
        <v>242.155</v>
      </c>
      <c r="H364" s="13" t="n">
        <v>19.685</v>
      </c>
      <c r="I364" s="8" t="inlineStr">
        <is>
          <t>pretax_income + interest_expense</t>
        </is>
      </c>
      <c r="J364" s="13" t="n">
        <v>13.839</v>
      </c>
      <c r="K364" s="10" t="n">
        <v>0.2081085590345365</v>
      </c>
      <c r="L364" s="13" t="n">
        <v>15.58838301540515</v>
      </c>
      <c r="M364" s="13" t="n"/>
      <c r="N364" s="13" t="n"/>
      <c r="O364" s="10" t="n"/>
      <c r="P364" s="8" t="inlineStr">
        <is>
          <t>FRAMEWORK_NOT_APPLICABLE</t>
        </is>
      </c>
      <c r="Q364" s="10" t="n">
        <v>0.2411921049191756</v>
      </c>
      <c r="R364" s="10" t="n"/>
      <c r="S364" s="13" t="n">
        <v>60.436</v>
      </c>
      <c r="T364" s="13" t="n">
        <v>10.985</v>
      </c>
      <c r="U364" s="13" t="n">
        <v>36.808</v>
      </c>
      <c r="V364" s="8" t="inlineStr">
        <is>
          <t>long-term only (no short-term debt tagged; read as nil)</t>
        </is>
      </c>
      <c r="W364" s="13" t="n">
        <v>22.405</v>
      </c>
      <c r="X364" s="11" t="n">
        <v>1.152555233206873</v>
      </c>
      <c r="Y364" s="11" t="n">
        <v>11.55223004694836</v>
      </c>
      <c r="Z364" s="13" t="n"/>
      <c r="AA364" s="8" t="inlineStr">
        <is>
          <t>FRAMEWORK_NOT_APPLICABLE (financial sector)</t>
        </is>
      </c>
      <c r="AB364" s="10" t="n"/>
      <c r="AC364" s="10" t="n">
        <v>0.08129090871549215</v>
      </c>
      <c r="AD364" s="12" t="n">
        <v>948000000</v>
      </c>
    </row>
    <row r="365">
      <c r="A365" s="8" t="inlineStr">
        <is>
          <t>UNH</t>
        </is>
      </c>
      <c r="B365" s="8" t="inlineStr">
        <is>
          <t>UNITEDHEALTH GROUP INC</t>
        </is>
      </c>
      <c r="C365" s="8" t="inlineStr">
        <is>
          <t>FINANCIAL</t>
        </is>
      </c>
      <c r="D365" s="8" t="n">
        <v>2020</v>
      </c>
      <c r="E365" s="8" t="inlineStr">
        <is>
          <t>2020-12-31</t>
        </is>
      </c>
      <c r="F365" s="8" t="inlineStr">
        <is>
          <t>0000731766-23-000008</t>
        </is>
      </c>
      <c r="G365" s="13" t="n">
        <v>257.141</v>
      </c>
      <c r="H365" s="13" t="n">
        <v>22.405</v>
      </c>
      <c r="I365" s="8" t="inlineStr">
        <is>
          <t>pretax_income + interest_expense</t>
        </is>
      </c>
      <c r="J365" s="13" t="n">
        <v>15.403</v>
      </c>
      <c r="K365" s="10" t="n">
        <v>0.2397550862983319</v>
      </c>
      <c r="L365" s="13" t="n">
        <v>17.03328729148587</v>
      </c>
      <c r="M365" s="13" t="n"/>
      <c r="N365" s="13" t="n"/>
      <c r="O365" s="10" t="n"/>
      <c r="P365" s="8" t="inlineStr">
        <is>
          <t>FRAMEWORK_NOT_APPLICABLE</t>
        </is>
      </c>
      <c r="Q365" s="10" t="n">
        <v>0.2392438880432419</v>
      </c>
      <c r="R365" s="10" t="n"/>
      <c r="S365" s="13" t="n">
        <v>68.328</v>
      </c>
      <c r="T365" s="13" t="n">
        <v>16.921</v>
      </c>
      <c r="U365" s="13" t="n">
        <v>38.648</v>
      </c>
      <c r="V365" s="8" t="inlineStr">
        <is>
          <t>long-term only (no short-term debt tagged; read as nil)</t>
        </is>
      </c>
      <c r="W365" s="13" t="n">
        <v>25.296</v>
      </c>
      <c r="X365" s="11" t="n">
        <v>0.8589104996837444</v>
      </c>
      <c r="Y365" s="11" t="n">
        <v>13.47263980757667</v>
      </c>
      <c r="Z365" s="13" t="n"/>
      <c r="AA365" s="8" t="inlineStr">
        <is>
          <t>FRAMEWORK_NOT_APPLICABLE (financial sector)</t>
        </is>
      </c>
      <c r="AB365" s="10" t="n"/>
      <c r="AC365" s="10" t="n">
        <v>0.08713118483633493</v>
      </c>
      <c r="AD365" s="12" t="n">
        <v>946000000</v>
      </c>
    </row>
    <row r="366">
      <c r="A366" s="8" t="inlineStr">
        <is>
          <t>UNH</t>
        </is>
      </c>
      <c r="B366" s="8" t="inlineStr">
        <is>
          <t>UNITEDHEALTH GROUP INC</t>
        </is>
      </c>
      <c r="C366" s="8" t="inlineStr">
        <is>
          <t>FINANCIAL</t>
        </is>
      </c>
      <c r="D366" s="8" t="n">
        <v>2021</v>
      </c>
      <c r="E366" s="8" t="inlineStr">
        <is>
          <t>2021-12-31</t>
        </is>
      </c>
      <c r="F366" s="8" t="inlineStr">
        <is>
          <t>0000731766-24-000081</t>
        </is>
      </c>
      <c r="G366" s="13" t="n">
        <v>287.597</v>
      </c>
      <c r="H366" s="13" t="n">
        <v>23.97</v>
      </c>
      <c r="I366" s="8" t="inlineStr">
        <is>
          <t>pretax_income + interest_expense</t>
        </is>
      </c>
      <c r="J366" s="13" t="n">
        <v>17.285</v>
      </c>
      <c r="K366" s="10" t="n">
        <v>0.2051994621246078</v>
      </c>
      <c r="L366" s="13" t="n">
        <v>19.05136889287315</v>
      </c>
      <c r="M366" s="13" t="n"/>
      <c r="N366" s="13" t="n"/>
      <c r="O366" s="10" t="n"/>
      <c r="P366" s="8" t="inlineStr">
        <is>
          <t>FRAMEWORK_NOT_APPLICABLE</t>
        </is>
      </c>
      <c r="Q366" s="10" t="n">
        <v>0.2411193181421886</v>
      </c>
      <c r="R366" s="10" t="n"/>
      <c r="S366" s="13" t="n">
        <v>75.045</v>
      </c>
      <c r="T366" s="13" t="n">
        <v>21.375</v>
      </c>
      <c r="U366" s="13" t="n">
        <v>46.003</v>
      </c>
      <c r="V366" s="8" t="inlineStr">
        <is>
          <t>short-term + long-term</t>
        </is>
      </c>
      <c r="W366" s="13" t="n">
        <v>27.073</v>
      </c>
      <c r="X366" s="11" t="n">
        <v>0.9096886196579618</v>
      </c>
      <c r="Y366" s="11" t="n">
        <v>14.43975903614458</v>
      </c>
      <c r="Z366" s="13" t="n"/>
      <c r="AA366" s="8" t="inlineStr">
        <is>
          <t>FRAMEWORK_NOT_APPLICABLE (financial sector)</t>
        </is>
      </c>
      <c r="AB366" s="10" t="n"/>
      <c r="AC366" s="10" t="n">
        <v>0.0833457928977006</v>
      </c>
      <c r="AD366" s="12" t="n">
        <v>941000000</v>
      </c>
    </row>
    <row r="367">
      <c r="A367" s="8" t="inlineStr">
        <is>
          <t>UNH</t>
        </is>
      </c>
      <c r="B367" s="8" t="inlineStr">
        <is>
          <t>UNITEDHEALTH GROUP INC</t>
        </is>
      </c>
      <c r="C367" s="8" t="inlineStr">
        <is>
          <t>FINANCIAL</t>
        </is>
      </c>
      <c r="D367" s="8" t="n">
        <v>2022</v>
      </c>
      <c r="E367" s="8" t="inlineStr">
        <is>
          <t>2022-12-31</t>
        </is>
      </c>
      <c r="F367" s="8" t="inlineStr">
        <is>
          <t>0000731766-25-000063</t>
        </is>
      </c>
      <c r="G367" s="13" t="n">
        <v>324.162</v>
      </c>
      <c r="H367" s="13" t="n">
        <v>28.435</v>
      </c>
      <c r="I367" s="8" t="inlineStr">
        <is>
          <t>pretax_income + interest_expense</t>
        </is>
      </c>
      <c r="J367" s="13" t="n">
        <v>20.12</v>
      </c>
      <c r="K367" s="10" t="n">
        <v>0.2165281099343279</v>
      </c>
      <c r="L367" s="13" t="n">
        <v>22.27802319401739</v>
      </c>
      <c r="M367" s="13" t="n"/>
      <c r="N367" s="13" t="n"/>
      <c r="O367" s="10" t="n"/>
      <c r="P367" s="8" t="inlineStr">
        <is>
          <t>FRAMEWORK_NOT_APPLICABLE</t>
        </is>
      </c>
      <c r="Q367" s="10" t="n">
        <v>0.257132815744912</v>
      </c>
      <c r="R367" s="10" t="n"/>
      <c r="S367" s="13" t="n">
        <v>81.45</v>
      </c>
      <c r="T367" s="13" t="n">
        <v>23.365</v>
      </c>
      <c r="U367" s="13" t="n">
        <v>57.623</v>
      </c>
      <c r="V367" s="8" t="inlineStr">
        <is>
          <t>short-term + long-term</t>
        </is>
      </c>
      <c r="W367" s="13" t="n">
        <v>31.835</v>
      </c>
      <c r="X367" s="11" t="n">
        <v>1.076111198366578</v>
      </c>
      <c r="Y367" s="11" t="n">
        <v>13.59225621414914</v>
      </c>
      <c r="Z367" s="13" t="n"/>
      <c r="AA367" s="8" t="inlineStr">
        <is>
          <t>FRAMEWORK_NOT_APPLICABLE (financial sector)</t>
        </is>
      </c>
      <c r="AB367" s="10" t="n"/>
      <c r="AC367" s="10" t="n">
        <v>0.08771848643579445</v>
      </c>
      <c r="AD367" s="12" t="n">
        <v>934000000</v>
      </c>
    </row>
    <row r="368">
      <c r="A368" s="8" t="inlineStr">
        <is>
          <t>UNH</t>
        </is>
      </c>
      <c r="B368" s="8" t="inlineStr">
        <is>
          <t>UNITEDHEALTH GROUP INC</t>
        </is>
      </c>
      <c r="C368" s="8" t="inlineStr">
        <is>
          <t>FINANCIAL</t>
        </is>
      </c>
      <c r="D368" s="8" t="n">
        <v>2023</v>
      </c>
      <c r="E368" s="8" t="inlineStr">
        <is>
          <t>2023-12-31</t>
        </is>
      </c>
      <c r="F368" s="8" t="inlineStr">
        <is>
          <t>0000731766-26-000062</t>
        </is>
      </c>
      <c r="G368" s="13" t="n">
        <v>371.622</v>
      </c>
      <c r="H368" s="13" t="n">
        <v>32.358</v>
      </c>
      <c r="I368" s="8" t="inlineStr">
        <is>
          <t>pretax_income + interest_expense</t>
        </is>
      </c>
      <c r="J368" s="13" t="n">
        <v>22.381</v>
      </c>
      <c r="K368" s="10" t="n">
        <v>0.2050013740038472</v>
      </c>
      <c r="L368" s="13" t="n">
        <v>25.72456553998351</v>
      </c>
      <c r="M368" s="13" t="n"/>
      <c r="N368" s="13" t="n"/>
      <c r="O368" s="10" t="n"/>
      <c r="P368" s="8" t="inlineStr">
        <is>
          <t>FRAMEWORK_NOT_APPLICABLE</t>
        </is>
      </c>
      <c r="Q368" s="10" t="n">
        <v>0.254516094182668</v>
      </c>
      <c r="R368" s="10" t="n"/>
      <c r="S368" s="13" t="n">
        <v>94.42100000000001</v>
      </c>
      <c r="T368" s="13" t="n">
        <v>25.427</v>
      </c>
      <c r="U368" s="13" t="n">
        <v>62.537</v>
      </c>
      <c r="V368" s="8" t="inlineStr">
        <is>
          <t>short-term + long-term</t>
        </is>
      </c>
      <c r="W368" s="13" t="n">
        <v>36.33</v>
      </c>
      <c r="X368" s="11" t="n">
        <v>1.021469859620149</v>
      </c>
      <c r="Y368" s="11" t="n">
        <v>9.968576709796674</v>
      </c>
      <c r="Z368" s="13" t="n"/>
      <c r="AA368" s="8" t="inlineStr">
        <is>
          <t>FRAMEWORK_NOT_APPLICABLE (financial sector)</t>
        </is>
      </c>
      <c r="AB368" s="10" t="n"/>
      <c r="AC368" s="10" t="n">
        <v>0.08707234770815506</v>
      </c>
      <c r="AD368" s="12" t="n">
        <v>924000000</v>
      </c>
    </row>
    <row r="369">
      <c r="A369" s="8" t="inlineStr">
        <is>
          <t>UNH</t>
        </is>
      </c>
      <c r="B369" s="8" t="inlineStr">
        <is>
          <t>UNITEDHEALTH GROUP INC</t>
        </is>
      </c>
      <c r="C369" s="8" t="inlineStr">
        <is>
          <t>FINANCIAL</t>
        </is>
      </c>
      <c r="D369" s="8" t="n">
        <v>2024</v>
      </c>
      <c r="E369" s="8" t="inlineStr">
        <is>
          <t>2024-12-31</t>
        </is>
      </c>
      <c r="F369" s="8" t="inlineStr">
        <is>
          <t>0000731766-26-000062</t>
        </is>
      </c>
      <c r="G369" s="13" t="n">
        <v>400.278</v>
      </c>
      <c r="H369" s="13" t="n">
        <v>23.977</v>
      </c>
      <c r="I369" s="8" t="inlineStr">
        <is>
          <t>pretax_income + interest_expense</t>
        </is>
      </c>
      <c r="J369" s="13" t="n">
        <v>14.405</v>
      </c>
      <c r="K369" s="10" t="n">
        <v>0.2405958846096358</v>
      </c>
      <c r="L369" s="13" t="n">
        <v>18.20823247471476</v>
      </c>
      <c r="M369" s="13" t="n"/>
      <c r="N369" s="13" t="n"/>
      <c r="O369" s="10" t="n"/>
      <c r="P369" s="8" t="inlineStr">
        <is>
          <t>FRAMEWORK_NOT_APPLICABLE</t>
        </is>
      </c>
      <c r="Q369" s="10" t="n">
        <v>0.1495155405861258</v>
      </c>
      <c r="R369" s="10" t="n"/>
      <c r="S369" s="13" t="n">
        <v>98.268</v>
      </c>
      <c r="T369" s="13" t="n">
        <v>25.312</v>
      </c>
      <c r="U369" s="13" t="n">
        <v>76.904</v>
      </c>
      <c r="V369" s="8" t="inlineStr">
        <is>
          <t>short-term + long-term</t>
        </is>
      </c>
      <c r="W369" s="13" t="n">
        <v>28.076</v>
      </c>
      <c r="X369" s="11" t="n">
        <v>1.837583701381963</v>
      </c>
      <c r="Y369" s="11" t="n">
        <v>6.138504864311316</v>
      </c>
      <c r="Z369" s="13" t="n"/>
      <c r="AA369" s="8" t="inlineStr">
        <is>
          <t>FRAMEWORK_NOT_APPLICABLE (financial sector)</t>
        </is>
      </c>
      <c r="AB369" s="10" t="n"/>
      <c r="AC369" s="10" t="n">
        <v>0.0599008688961172</v>
      </c>
      <c r="AD369" s="12" t="n">
        <v>915000000</v>
      </c>
    </row>
    <row r="370">
      <c r="A370" s="8" t="inlineStr">
        <is>
          <t>UNH</t>
        </is>
      </c>
      <c r="B370" s="8" t="inlineStr">
        <is>
          <t>UNITEDHEALTH GROUP INC</t>
        </is>
      </c>
      <c r="C370" s="8" t="inlineStr">
        <is>
          <t>FINANCIAL</t>
        </is>
      </c>
      <c r="D370" s="8" t="n">
        <v>2025</v>
      </c>
      <c r="E370" s="8" t="inlineStr">
        <is>
          <t>2025-12-31</t>
        </is>
      </c>
      <c r="F370" s="8" t="inlineStr">
        <is>
          <t>0000731766-26-000062</t>
        </is>
      </c>
      <c r="G370" s="13" t="n">
        <v>447.567</v>
      </c>
      <c r="H370" s="13" t="n">
        <v>18.699</v>
      </c>
      <c r="I370" s="8" t="inlineStr">
        <is>
          <t>pretax_income + interest_expense</t>
        </is>
      </c>
      <c r="J370" s="13" t="n">
        <v>12.056</v>
      </c>
      <c r="K370" s="10" t="n">
        <v>0.1285976729944887</v>
      </c>
      <c r="L370" s="13" t="n">
        <v>16.29435211267606</v>
      </c>
      <c r="M370" s="13" t="n"/>
      <c r="N370" s="13" t="n"/>
      <c r="O370" s="10" t="n"/>
      <c r="P370" s="8" t="inlineStr">
        <is>
          <t>FRAMEWORK_NOT_APPLICABLE</t>
        </is>
      </c>
      <c r="Q370" s="10" t="n">
        <v>0.1215579911069884</v>
      </c>
      <c r="R370" s="10" t="n"/>
      <c r="S370" s="13" t="n">
        <v>100.09</v>
      </c>
      <c r="T370" s="13" t="n">
        <v>24.365</v>
      </c>
      <c r="U370" s="13" t="n">
        <v>78.389</v>
      </c>
      <c r="V370" s="8" t="inlineStr">
        <is>
          <t>short-term + long-term</t>
        </is>
      </c>
      <c r="W370" s="13" t="n">
        <v>23.06</v>
      </c>
      <c r="X370" s="11" t="n">
        <v>2.34275802254987</v>
      </c>
      <c r="Y370" s="11" t="n">
        <v>4.672413793103448</v>
      </c>
      <c r="Z370" s="13" t="n"/>
      <c r="AA370" s="8" t="inlineStr">
        <is>
          <t>FRAMEWORK_NOT_APPLICABLE (financial sector)</t>
        </is>
      </c>
      <c r="AB370" s="10" t="n"/>
      <c r="AC370" s="10" t="n">
        <v>0.04177921964756115</v>
      </c>
      <c r="AD370" s="12" t="n">
        <v>906000000</v>
      </c>
    </row>
    <row r="371">
      <c r="A371" s="8" t="inlineStr">
        <is>
          <t>CVX</t>
        </is>
      </c>
      <c r="B371" s="8" t="inlineStr">
        <is>
          <t>CHEVRON CORP</t>
        </is>
      </c>
      <c r="C371" s="8" t="inlineStr">
        <is>
          <t>STANDARD</t>
        </is>
      </c>
      <c r="D371" s="8" t="n">
        <v>2014</v>
      </c>
      <c r="E371" s="8" t="inlineStr">
        <is>
          <t>2014-12-31</t>
        </is>
      </c>
      <c r="F371" s="8" t="inlineStr">
        <is>
          <t>0000093410-17-000013</t>
        </is>
      </c>
      <c r="G371" s="13" t="n">
        <v>211.97</v>
      </c>
      <c r="H371" s="13" t="n">
        <v>31.202</v>
      </c>
      <c r="I371" s="8" t="inlineStr">
        <is>
          <t>pretax_income + interest_expense</t>
        </is>
      </c>
      <c r="J371" s="13" t="n">
        <v>19.241</v>
      </c>
      <c r="K371" s="10" t="n">
        <v>0.3811294147811038</v>
      </c>
      <c r="L371" s="13" t="n">
        <v>19.31</v>
      </c>
      <c r="M371" s="13" t="n"/>
      <c r="N371" s="13" t="n"/>
      <c r="O371" s="10" t="n"/>
      <c r="P371" s="8" t="inlineStr">
        <is>
          <t>DATA_UNAVAILABLE</t>
        </is>
      </c>
      <c r="Q371" s="10" t="n">
        <v>0.1241130634466032</v>
      </c>
      <c r="R371" s="10" t="n"/>
      <c r="S371" s="13" t="n">
        <v>155.028</v>
      </c>
      <c r="T371" s="13" t="n"/>
      <c r="U371" s="13" t="n">
        <v>11.79</v>
      </c>
      <c r="V371" s="8" t="inlineStr">
        <is>
          <t>short-term only (no long-term debt tagged; read as nil)</t>
        </is>
      </c>
      <c r="W371" s="13" t="n">
        <v>47.995</v>
      </c>
      <c r="X371" s="11" t="n"/>
      <c r="Y371" s="11" t="n"/>
      <c r="Z371" s="13" t="n">
        <v>-3.932</v>
      </c>
      <c r="AA371" s="8" t="inlineStr">
        <is>
          <t>operating cash flow - capex (working-capital swing already embedded)</t>
        </is>
      </c>
      <c r="AB371" s="10" t="n">
        <v>-0.01854979478228051</v>
      </c>
      <c r="AC371" s="10" t="n">
        <v>0.1472000754823796</v>
      </c>
      <c r="AD371" s="12" t="n">
        <v>1898000000</v>
      </c>
    </row>
    <row r="372">
      <c r="A372" s="8" t="inlineStr">
        <is>
          <t>CVX</t>
        </is>
      </c>
      <c r="B372" s="8" t="inlineStr">
        <is>
          <t>CHEVRON CORP</t>
        </is>
      </c>
      <c r="C372" s="8" t="inlineStr">
        <is>
          <t>STANDARD</t>
        </is>
      </c>
      <c r="D372" s="8" t="n">
        <v>2015</v>
      </c>
      <c r="E372" s="8" t="inlineStr">
        <is>
          <t>2015-12-31</t>
        </is>
      </c>
      <c r="F372" s="8" t="inlineStr">
        <is>
          <t>0000093410-18-000010</t>
        </is>
      </c>
      <c r="G372" s="13" t="n">
        <v>138.477</v>
      </c>
      <c r="H372" s="13" t="n">
        <v>4.842</v>
      </c>
      <c r="I372" s="8" t="inlineStr">
        <is>
          <t>pretax_income + interest_expense</t>
        </is>
      </c>
      <c r="J372" s="13" t="n">
        <v>4.587</v>
      </c>
      <c r="K372" s="10" t="n">
        <v>0.05</v>
      </c>
      <c r="L372" s="13" t="n">
        <v>4.5999</v>
      </c>
      <c r="M372" s="13" t="n">
        <v>153.521</v>
      </c>
      <c r="N372" s="13" t="n">
        <v>153.521</v>
      </c>
      <c r="O372" s="10" t="n">
        <v>0.0299626761159711</v>
      </c>
      <c r="P372" s="8" t="inlineStr">
        <is>
          <t>OK</t>
        </is>
      </c>
      <c r="Q372" s="10" t="n">
        <v>0.02981049183737132</v>
      </c>
      <c r="R372" s="10" t="n">
        <v>-0.0001521842785997818</v>
      </c>
      <c r="S372" s="13" t="n">
        <v>152.716</v>
      </c>
      <c r="T372" s="13" t="n">
        <v>12.122</v>
      </c>
      <c r="U372" s="13" t="n">
        <v>12.927</v>
      </c>
      <c r="V372" s="8" t="inlineStr">
        <is>
          <t>short-term only (no long-term debt tagged; read as nil)</t>
        </is>
      </c>
      <c r="W372" s="13" t="n">
        <v>25.879</v>
      </c>
      <c r="X372" s="11" t="n">
        <v>0.03110630240735732</v>
      </c>
      <c r="Y372" s="11" t="n"/>
      <c r="Z372" s="13" t="n">
        <v>8.448</v>
      </c>
      <c r="AA372" s="8" t="inlineStr">
        <is>
          <t>net income + D&amp;A - capex - change in current assets less current liabilities; cash not tagged for both years, so the swing may still carry a cash movement</t>
        </is>
      </c>
      <c r="AB372" s="10" t="n">
        <v>0.0610065209384952</v>
      </c>
      <c r="AC372" s="10" t="n">
        <v>0.03496609545267445</v>
      </c>
      <c r="AD372" s="12" t="n">
        <v>1875000000</v>
      </c>
    </row>
    <row r="373">
      <c r="A373" s="8" t="inlineStr">
        <is>
          <t>CVX</t>
        </is>
      </c>
      <c r="B373" s="8" t="inlineStr">
        <is>
          <t>CHEVRON CORP</t>
        </is>
      </c>
      <c r="C373" s="8" t="inlineStr">
        <is>
          <t>STANDARD</t>
        </is>
      </c>
      <c r="D373" s="8" t="n">
        <v>2016</v>
      </c>
      <c r="E373" s="8" t="inlineStr">
        <is>
          <t>2016-12-31</t>
        </is>
      </c>
      <c r="F373" s="8" t="inlineStr">
        <is>
          <t>0000093410-19-000008</t>
        </is>
      </c>
      <c r="G373" s="13" t="n">
        <v>114.472</v>
      </c>
      <c r="H373" s="13" t="n">
        <v>-1.959</v>
      </c>
      <c r="I373" s="8" t="inlineStr">
        <is>
          <t>pretax_income + interest_expense</t>
        </is>
      </c>
      <c r="J373" s="13" t="n">
        <v>-0.497</v>
      </c>
      <c r="K373" s="10" t="n">
        <v>0.21</v>
      </c>
      <c r="L373" s="13" t="n">
        <v>-1.54761</v>
      </c>
      <c r="M373" s="13" t="n">
        <v>156.982</v>
      </c>
      <c r="N373" s="13" t="n">
        <v>155.2515</v>
      </c>
      <c r="O373" s="10" t="n">
        <v>-0.009968406102356499</v>
      </c>
      <c r="P373" s="8" t="inlineStr">
        <is>
          <t>OK</t>
        </is>
      </c>
      <c r="Q373" s="10" t="n">
        <v>-0.003332528698637485</v>
      </c>
      <c r="R373" s="10" t="n">
        <v>0.006635877403719014</v>
      </c>
      <c r="S373" s="13" t="n">
        <v>145.556</v>
      </c>
      <c r="T373" s="13" t="n">
        <v>8.414</v>
      </c>
      <c r="U373" s="13" t="n">
        <v>19.84</v>
      </c>
      <c r="V373" s="8" t="inlineStr">
        <is>
          <t>short-term only (no long-term debt tagged; read as nil)</t>
        </is>
      </c>
      <c r="W373" s="13" t="n">
        <v>17.498</v>
      </c>
      <c r="X373" s="11" t="n">
        <v>0.6529889130186307</v>
      </c>
      <c r="Y373" s="11" t="n">
        <v>-9.746268656716419</v>
      </c>
      <c r="Z373" s="13" t="n">
        <v>1.359</v>
      </c>
      <c r="AA373" s="8" t="inlineStr">
        <is>
          <t>net income + D&amp;A - capex - change in operating working capital (cash and short-term debt excluded)</t>
        </is>
      </c>
      <c r="AB373" s="10" t="n">
        <v>0.01187189880494794</v>
      </c>
      <c r="AC373" s="10" t="n">
        <v>-0.01711335523097351</v>
      </c>
      <c r="AD373" s="12" t="n">
        <v>1873000000</v>
      </c>
    </row>
    <row r="374">
      <c r="A374" s="8" t="inlineStr">
        <is>
          <t>CVX</t>
        </is>
      </c>
      <c r="B374" s="8" t="inlineStr">
        <is>
          <t>CHEVRON CORP</t>
        </is>
      </c>
      <c r="C374" s="8" t="inlineStr">
        <is>
          <t>STANDARD</t>
        </is>
      </c>
      <c r="D374" s="8" t="n">
        <v>2017</v>
      </c>
      <c r="E374" s="8" t="inlineStr">
        <is>
          <t>2017-12-31</t>
        </is>
      </c>
      <c r="F374" s="8" t="inlineStr">
        <is>
          <t>0000093410-20-000010</t>
        </is>
      </c>
      <c r="G374" s="13" t="n">
        <v>141.722</v>
      </c>
      <c r="H374" s="13" t="n">
        <v>9.528</v>
      </c>
      <c r="I374" s="8" t="inlineStr">
        <is>
          <t>pretax_income + interest_expense</t>
        </is>
      </c>
      <c r="J374" s="13" t="n">
        <v>9.195</v>
      </c>
      <c r="K374" s="10" t="n">
        <v>0.05</v>
      </c>
      <c r="L374" s="13" t="n">
        <v>9.051600000000001</v>
      </c>
      <c r="M374" s="13" t="n">
        <v>157.373</v>
      </c>
      <c r="N374" s="13" t="n">
        <v>157.1775</v>
      </c>
      <c r="O374" s="10" t="n">
        <v>0.05758839528558477</v>
      </c>
      <c r="P374" s="8" t="inlineStr">
        <is>
          <t>OK</t>
        </is>
      </c>
      <c r="Q374" s="10" t="n">
        <v>0.06261917733587578</v>
      </c>
      <c r="R374" s="10" t="n">
        <v>0.005030782050291012</v>
      </c>
      <c r="S374" s="13" t="n">
        <v>148.124</v>
      </c>
      <c r="T374" s="13" t="n">
        <v>5.943</v>
      </c>
      <c r="U374" s="13" t="n">
        <v>15.192</v>
      </c>
      <c r="V374" s="8" t="inlineStr">
        <is>
          <t>short-term only (no long-term debt tagged; read as nil)</t>
        </is>
      </c>
      <c r="W374" s="13" t="n">
        <v>28.877</v>
      </c>
      <c r="X374" s="11" t="n">
        <v>0.3202895037573155</v>
      </c>
      <c r="Y374" s="11" t="n">
        <v>31.03583061889251</v>
      </c>
      <c r="Z374" s="13" t="n">
        <v>14.328</v>
      </c>
      <c r="AA374" s="8" t="inlineStr">
        <is>
          <t>net income + D&amp;A - capex - change in operating working capital (cash and short-term debt excluded)</t>
        </is>
      </c>
      <c r="AB374" s="10" t="n">
        <v>0.1010993353184403</v>
      </c>
      <c r="AC374" s="10" t="n">
        <v>0.06723021125866133</v>
      </c>
      <c r="AD374" s="12" t="n">
        <v>1898000000</v>
      </c>
    </row>
    <row r="375">
      <c r="A375" s="8" t="inlineStr">
        <is>
          <t>CVX</t>
        </is>
      </c>
      <c r="B375" s="8" t="inlineStr">
        <is>
          <t>CHEVRON CORP</t>
        </is>
      </c>
      <c r="C375" s="8" t="inlineStr">
        <is>
          <t>STANDARD</t>
        </is>
      </c>
      <c r="D375" s="8" t="n">
        <v>2018</v>
      </c>
      <c r="E375" s="8" t="inlineStr">
        <is>
          <t>2018-12-31</t>
        </is>
      </c>
      <c r="F375" s="8" t="inlineStr">
        <is>
          <t>0000093410-21-000009</t>
        </is>
      </c>
      <c r="G375" s="13" t="n">
        <v>166.339</v>
      </c>
      <c r="H375" s="13" t="n">
        <v>21.323</v>
      </c>
      <c r="I375" s="8" t="inlineStr">
        <is>
          <t>pretax_income + interest_expense</t>
        </is>
      </c>
      <c r="J375" s="13" t="n">
        <v>14.824</v>
      </c>
      <c r="K375" s="10" t="n">
        <v>0.2777642770352369</v>
      </c>
      <c r="L375" s="13" t="n">
        <v>15.40023232077765</v>
      </c>
      <c r="M375" s="13" t="n">
        <v>188.432</v>
      </c>
      <c r="N375" s="13" t="n">
        <v>172.9025</v>
      </c>
      <c r="O375" s="10" t="n">
        <v>0.08906888171528836</v>
      </c>
      <c r="P375" s="8" t="inlineStr">
        <is>
          <t>OK</t>
        </is>
      </c>
      <c r="Q375" s="10" t="n">
        <v>0.09795227931993736</v>
      </c>
      <c r="R375" s="10" t="n">
        <v>0.008883397604648999</v>
      </c>
      <c r="S375" s="13" t="n">
        <v>154.554</v>
      </c>
      <c r="T375" s="13" t="n">
        <v>10.481</v>
      </c>
      <c r="U375" s="13" t="n">
        <v>44.359</v>
      </c>
      <c r="V375" s="8" t="inlineStr">
        <is>
          <t>short-term + long-term</t>
        </is>
      </c>
      <c r="W375" s="13" t="n">
        <v>40.742</v>
      </c>
      <c r="X375" s="11" t="n">
        <v>0.8315252074026803</v>
      </c>
      <c r="Y375" s="11" t="n">
        <v>28.50668449197861</v>
      </c>
      <c r="Z375" s="13" t="n">
        <v>18.528</v>
      </c>
      <c r="AA375" s="8" t="inlineStr">
        <is>
          <t>net income + D&amp;A - capex - change in operating working capital (cash and short-term debt excluded)</t>
        </is>
      </c>
      <c r="AB375" s="10" t="n">
        <v>0.1113869868160804</v>
      </c>
      <c r="AC375" s="10" t="n">
        <v>0.1281900215824311</v>
      </c>
      <c r="AD375" s="12" t="n">
        <v>1914000000</v>
      </c>
    </row>
    <row r="376">
      <c r="A376" s="8" t="inlineStr">
        <is>
          <t>CVX</t>
        </is>
      </c>
      <c r="B376" s="8" t="inlineStr">
        <is>
          <t>CHEVRON CORP</t>
        </is>
      </c>
      <c r="C376" s="8" t="inlineStr">
        <is>
          <t>STANDARD</t>
        </is>
      </c>
      <c r="D376" s="8" t="n">
        <v>2019</v>
      </c>
      <c r="E376" s="8" t="inlineStr">
        <is>
          <t>2019-12-31</t>
        </is>
      </c>
      <c r="F376" s="8" t="inlineStr">
        <is>
          <t>0000093410-22-000019</t>
        </is>
      </c>
      <c r="G376" s="13" t="n">
        <v>146.516</v>
      </c>
      <c r="H376" s="13" t="n">
        <v>6.334</v>
      </c>
      <c r="I376" s="8" t="inlineStr">
        <is>
          <t>pretax_income + interest_expense</t>
        </is>
      </c>
      <c r="J376" s="13" t="n">
        <v>2.924</v>
      </c>
      <c r="K376" s="10" t="n">
        <v>0.4</v>
      </c>
      <c r="L376" s="13" t="n">
        <v>3.8004</v>
      </c>
      <c r="M376" s="13" t="n">
        <v>174.025</v>
      </c>
      <c r="N376" s="13" t="n">
        <v>181.2285</v>
      </c>
      <c r="O376" s="10" t="n">
        <v>0.02097021163889785</v>
      </c>
      <c r="P376" s="8" t="inlineStr">
        <is>
          <t>OK</t>
        </is>
      </c>
      <c r="Q376" s="10" t="n">
        <v>0.01957378157560909</v>
      </c>
      <c r="R376" s="10" t="n">
        <v>-0.001396430063288767</v>
      </c>
      <c r="S376" s="13" t="n">
        <v>144.213</v>
      </c>
      <c r="T376" s="13" t="n">
        <v>6.911</v>
      </c>
      <c r="U376" s="13" t="n">
        <v>36.723</v>
      </c>
      <c r="V376" s="8" t="inlineStr">
        <is>
          <t>short-term + long-term</t>
        </is>
      </c>
      <c r="W376" s="13" t="n">
        <v>35.552</v>
      </c>
      <c r="X376" s="11" t="n">
        <v>0.8385463546354636</v>
      </c>
      <c r="Y376" s="11" t="n">
        <v>7.93734335839599</v>
      </c>
      <c r="Z376" s="13" t="n">
        <v>22.101</v>
      </c>
      <c r="AA376" s="8" t="inlineStr">
        <is>
          <t>net income + D&amp;A - capex - change in operating working capital (cash and short-term debt excluded)</t>
        </is>
      </c>
      <c r="AB376" s="10" t="n">
        <v>0.1508435938737066</v>
      </c>
      <c r="AC376" s="10" t="n">
        <v>0.0432307734308881</v>
      </c>
      <c r="AD376" s="12" t="n">
        <v>1895000000</v>
      </c>
    </row>
    <row r="377">
      <c r="A377" s="8" t="inlineStr">
        <is>
          <t>CVX</t>
        </is>
      </c>
      <c r="B377" s="8" t="inlineStr">
        <is>
          <t>CHEVRON CORP</t>
        </is>
      </c>
      <c r="C377" s="8" t="inlineStr">
        <is>
          <t>STANDARD</t>
        </is>
      </c>
      <c r="D377" s="8" t="n">
        <v>2020</v>
      </c>
      <c r="E377" s="8" t="inlineStr">
        <is>
          <t>2020-12-31</t>
        </is>
      </c>
      <c r="F377" s="8" t="inlineStr">
        <is>
          <t>0000093410-23-000009</t>
        </is>
      </c>
      <c r="G377" s="13" t="n">
        <v>94.69199999999999</v>
      </c>
      <c r="H377" s="13" t="n">
        <v>-6.756</v>
      </c>
      <c r="I377" s="8" t="inlineStr">
        <is>
          <t>pretax_income + interest_expense</t>
        </is>
      </c>
      <c r="J377" s="13" t="n">
        <v>-5.543</v>
      </c>
      <c r="K377" s="10" t="n">
        <v>0.21</v>
      </c>
      <c r="L377" s="13" t="n">
        <v>-5.33724</v>
      </c>
      <c r="M377" s="13" t="n">
        <v>179.091</v>
      </c>
      <c r="N377" s="13" t="n">
        <v>176.558</v>
      </c>
      <c r="O377" s="10" t="n">
        <v>-0.03022938637728112</v>
      </c>
      <c r="P377" s="8" t="inlineStr">
        <is>
          <t>OK</t>
        </is>
      </c>
      <c r="Q377" s="10" t="n">
        <v>-0.0401810794451633</v>
      </c>
      <c r="R377" s="10" t="n">
        <v>-0.009951693067882184</v>
      </c>
      <c r="S377" s="13" t="n">
        <v>131.688</v>
      </c>
      <c r="T377" s="13" t="n">
        <v>6.737</v>
      </c>
      <c r="U377" s="13" t="n">
        <v>54.14</v>
      </c>
      <c r="V377" s="8" t="inlineStr">
        <is>
          <t>short-term + long-term</t>
        </is>
      </c>
      <c r="W377" s="13" t="n">
        <v>12.752</v>
      </c>
      <c r="X377" s="11" t="n">
        <v>3.717299247176913</v>
      </c>
      <c r="Y377" s="11" t="n">
        <v>-9.69296987087518</v>
      </c>
      <c r="Z377" s="13" t="n">
        <v>4.432</v>
      </c>
      <c r="AA377" s="8" t="inlineStr">
        <is>
          <t>net income + D&amp;A - capex - change in operating working capital (cash and short-term debt excluded)</t>
        </is>
      </c>
      <c r="AB377" s="10" t="n">
        <v>0.04680437629366789</v>
      </c>
      <c r="AC377" s="10" t="n">
        <v>-0.07134710429603346</v>
      </c>
      <c r="AD377" s="12" t="n">
        <v>1870000000</v>
      </c>
    </row>
    <row r="378">
      <c r="A378" s="8" t="inlineStr">
        <is>
          <t>CVX</t>
        </is>
      </c>
      <c r="B378" s="8" t="inlineStr">
        <is>
          <t>CHEVRON CORP</t>
        </is>
      </c>
      <c r="C378" s="8" t="inlineStr">
        <is>
          <t>STANDARD</t>
        </is>
      </c>
      <c r="D378" s="8" t="n">
        <v>2021</v>
      </c>
      <c r="E378" s="8" t="inlineStr">
        <is>
          <t>2021-12-31</t>
        </is>
      </c>
      <c r="F378" s="8" t="inlineStr">
        <is>
          <t>0000093410-24-000013</t>
        </is>
      </c>
      <c r="G378" s="13" t="n">
        <v>162.465</v>
      </c>
      <c r="H378" s="13" t="n">
        <v>22.351</v>
      </c>
      <c r="I378" s="8" t="inlineStr">
        <is>
          <t>pretax_income + interest_expense</t>
        </is>
      </c>
      <c r="J378" s="13" t="n">
        <v>15.625</v>
      </c>
      <c r="K378" s="10" t="n">
        <v>0.2749664956790979</v>
      </c>
      <c r="L378" s="13" t="n">
        <v>16.20522385507648</v>
      </c>
      <c r="M378" s="13" t="n">
        <v>171.4</v>
      </c>
      <c r="N378" s="13" t="n">
        <v>175.2455</v>
      </c>
      <c r="O378" s="10" t="n">
        <v>0.09247155479071635</v>
      </c>
      <c r="P378" s="8" t="inlineStr">
        <is>
          <t>OK</t>
        </is>
      </c>
      <c r="Q378" s="10" t="n">
        <v>0.1154179978209082</v>
      </c>
      <c r="R378" s="10" t="n">
        <v>0.02294644303019185</v>
      </c>
      <c r="S378" s="13" t="n">
        <v>139.067</v>
      </c>
      <c r="T378" s="13" t="n">
        <v>6.795</v>
      </c>
      <c r="U378" s="13" t="n">
        <v>39.128</v>
      </c>
      <c r="V378" s="8" t="inlineStr">
        <is>
          <t>short-term + long-term</t>
        </is>
      </c>
      <c r="W378" s="13" t="n">
        <v>40.276</v>
      </c>
      <c r="X378" s="11" t="n">
        <v>0.8027857781308968</v>
      </c>
      <c r="Y378" s="11" t="n">
        <v>31.39185393258427</v>
      </c>
      <c r="Z378" s="13" t="n">
        <v>25.858</v>
      </c>
      <c r="AA378" s="8" t="inlineStr">
        <is>
          <t>net income + D&amp;A - capex - change in operating working capital (cash and short-term debt excluded)</t>
        </is>
      </c>
      <c r="AB378" s="10" t="n">
        <v>0.159160434555135</v>
      </c>
      <c r="AC378" s="10" t="n">
        <v>0.1375742467608408</v>
      </c>
      <c r="AD378" s="12" t="n">
        <v>1920000000</v>
      </c>
    </row>
    <row r="379">
      <c r="A379" s="8" t="inlineStr">
        <is>
          <t>CVX</t>
        </is>
      </c>
      <c r="B379" s="8" t="inlineStr">
        <is>
          <t>CHEVRON CORP</t>
        </is>
      </c>
      <c r="C379" s="8" t="inlineStr">
        <is>
          <t>STANDARD</t>
        </is>
      </c>
      <c r="D379" s="8" t="n">
        <v>2022</v>
      </c>
      <c r="E379" s="8" t="inlineStr">
        <is>
          <t>2022-12-31</t>
        </is>
      </c>
      <c r="F379" s="8" t="inlineStr">
        <is>
          <t>0000093410-25-000009</t>
        </is>
      </c>
      <c r="G379" s="13" t="n">
        <v>246.252</v>
      </c>
      <c r="H379" s="13" t="n">
        <v>50.19</v>
      </c>
      <c r="I379" s="8" t="inlineStr">
        <is>
          <t>pretax_income + interest_expense</t>
        </is>
      </c>
      <c r="J379" s="13" t="n">
        <v>35.465</v>
      </c>
      <c r="K379" s="10" t="n">
        <v>0.2831662439102951</v>
      </c>
      <c r="L379" s="13" t="n">
        <v>35.97788621814229</v>
      </c>
      <c r="M379" s="13" t="n">
        <v>167.55</v>
      </c>
      <c r="N379" s="13" t="n">
        <v>169.475</v>
      </c>
      <c r="O379" s="10" t="n">
        <v>0.2122902269841705</v>
      </c>
      <c r="P379" s="8" t="inlineStr">
        <is>
          <t>OK</t>
        </is>
      </c>
      <c r="Q379" s="10" t="n">
        <v>0.237741705184197</v>
      </c>
      <c r="R379" s="10" t="n">
        <v>0.02545147820002658</v>
      </c>
      <c r="S379" s="13" t="n">
        <v>159.282</v>
      </c>
      <c r="T379" s="13" t="n">
        <v>19.121</v>
      </c>
      <c r="U379" s="13" t="n">
        <v>27.389</v>
      </c>
      <c r="V379" s="8" t="inlineStr">
        <is>
          <t>short-term + long-term</t>
        </is>
      </c>
      <c r="W379" s="13" t="n">
        <v>66.509</v>
      </c>
      <c r="X379" s="11" t="n">
        <v>0.1243140026161873</v>
      </c>
      <c r="Y379" s="11" t="n">
        <v>97.26744186046511</v>
      </c>
      <c r="Z379" s="13" t="n">
        <v>44.949</v>
      </c>
      <c r="AA379" s="8" t="inlineStr">
        <is>
          <t>net income + D&amp;A - capex - change in operating working capital (cash and short-term debt excluded)</t>
        </is>
      </c>
      <c r="AB379" s="10" t="n">
        <v>0.1825325276545977</v>
      </c>
      <c r="AC379" s="10" t="n">
        <v>0.2038156035280932</v>
      </c>
      <c r="AD379" s="12" t="n">
        <v>1940000000</v>
      </c>
    </row>
    <row r="380">
      <c r="A380" s="8" t="inlineStr">
        <is>
          <t>CVX</t>
        </is>
      </c>
      <c r="B380" s="8" t="inlineStr">
        <is>
          <t>CHEVRON CORP</t>
        </is>
      </c>
      <c r="C380" s="8" t="inlineStr">
        <is>
          <t>STANDARD</t>
        </is>
      </c>
      <c r="D380" s="8" t="n">
        <v>2023</v>
      </c>
      <c r="E380" s="8" t="inlineStr">
        <is>
          <t>2023-12-31</t>
        </is>
      </c>
      <c r="F380" s="8" t="inlineStr">
        <is>
          <t>0000093410-26-000078</t>
        </is>
      </c>
      <c r="G380" s="13" t="n">
        <v>200.949</v>
      </c>
      <c r="H380" s="13" t="n">
        <v>30.053</v>
      </c>
      <c r="I380" s="8" t="inlineStr">
        <is>
          <t>pretax_income + interest_expense</t>
        </is>
      </c>
      <c r="J380" s="13" t="n">
        <v>21.369</v>
      </c>
      <c r="K380" s="10" t="n">
        <v>0.2762641968631693</v>
      </c>
      <c r="L380" s="13" t="n">
        <v>21.75043209167117</v>
      </c>
      <c r="M380" s="13" t="n">
        <v>177.061</v>
      </c>
      <c r="N380" s="13" t="n">
        <v>172.3055</v>
      </c>
      <c r="O380" s="10" t="n">
        <v>0.1262317923204493</v>
      </c>
      <c r="P380" s="8" t="inlineStr">
        <is>
          <t>OK</t>
        </is>
      </c>
      <c r="Q380" s="10" t="n">
        <v>0.1334565746208301</v>
      </c>
      <c r="R380" s="10" t="n">
        <v>0.007224782300380789</v>
      </c>
      <c r="S380" s="13" t="n">
        <v>160.957</v>
      </c>
      <c r="T380" s="13" t="n">
        <v>9.275</v>
      </c>
      <c r="U380" s="13" t="n">
        <v>25.379</v>
      </c>
      <c r="V380" s="8" t="inlineStr">
        <is>
          <t>short-term + long-term</t>
        </is>
      </c>
      <c r="W380" s="13" t="n">
        <v>47.379</v>
      </c>
      <c r="X380" s="11" t="n">
        <v>0.3398974229088837</v>
      </c>
      <c r="Y380" s="11" t="n">
        <v>64.07889125799574</v>
      </c>
      <c r="Z380" s="13" t="n">
        <v>21.227</v>
      </c>
      <c r="AA380" s="8" t="inlineStr">
        <is>
          <t>net income + D&amp;A - capex - change in operating working capital (cash and short-term debt excluded)</t>
        </is>
      </c>
      <c r="AB380" s="10" t="n">
        <v>0.1056337677719222</v>
      </c>
      <c r="AC380" s="10" t="n">
        <v>0.1495553598176652</v>
      </c>
      <c r="AD380" s="12" t="n">
        <v>1880000000</v>
      </c>
    </row>
    <row r="381">
      <c r="A381" s="8" t="inlineStr">
        <is>
          <t>CVX</t>
        </is>
      </c>
      <c r="B381" s="8" t="inlineStr">
        <is>
          <t>CHEVRON CORP</t>
        </is>
      </c>
      <c r="C381" s="8" t="inlineStr">
        <is>
          <t>STANDARD</t>
        </is>
      </c>
      <c r="D381" s="8" t="n">
        <v>2024</v>
      </c>
      <c r="E381" s="8" t="inlineStr">
        <is>
          <t>2024-12-31</t>
        </is>
      </c>
      <c r="F381" s="8" t="inlineStr">
        <is>
          <t>0000093410-26-000078</t>
        </is>
      </c>
      <c r="G381" s="13" t="n">
        <v>202.792</v>
      </c>
      <c r="H381" s="13" t="n">
        <v>28.1</v>
      </c>
      <c r="I381" s="8" t="inlineStr">
        <is>
          <t>pretax_income + interest_expense</t>
        </is>
      </c>
      <c r="J381" s="13" t="n">
        <v>17.661</v>
      </c>
      <c r="K381" s="10" t="n">
        <v>0.3547226059768778</v>
      </c>
      <c r="L381" s="13" t="n">
        <v>18.13229477204974</v>
      </c>
      <c r="M381" s="13" t="n">
        <v>176.847</v>
      </c>
      <c r="N381" s="13" t="n">
        <v>176.954</v>
      </c>
      <c r="O381" s="10" t="n">
        <v>0.1024689736996606</v>
      </c>
      <c r="P381" s="8" t="inlineStr">
        <is>
          <t>OK</t>
        </is>
      </c>
      <c r="Q381" s="10" t="n">
        <v>0.1127507780703854</v>
      </c>
      <c r="R381" s="10" t="n">
        <v>0.01028180437072487</v>
      </c>
      <c r="S381" s="13" t="n">
        <v>152.318</v>
      </c>
      <c r="T381" s="13" t="n">
        <v>8.262</v>
      </c>
      <c r="U381" s="13" t="n">
        <v>32.791</v>
      </c>
      <c r="V381" s="8" t="inlineStr">
        <is>
          <t>short-term + long-term</t>
        </is>
      </c>
      <c r="W381" s="13" t="n">
        <v>45.382</v>
      </c>
      <c r="X381" s="11" t="n">
        <v>0.5405006390198758</v>
      </c>
      <c r="Y381" s="11" t="n">
        <v>47.30639730639731</v>
      </c>
      <c r="Z381" s="13" t="n">
        <v>16.415</v>
      </c>
      <c r="AA381" s="8" t="inlineStr">
        <is>
          <t>net income + D&amp;A - capex - change in operating working capital (cash and short-term debt excluded)</t>
        </is>
      </c>
      <c r="AB381" s="10" t="n">
        <v>0.08094500769261115</v>
      </c>
      <c r="AC381" s="10" t="n">
        <v>0.1385656238904888</v>
      </c>
      <c r="AD381" s="12" t="n">
        <v>1817000000</v>
      </c>
    </row>
    <row r="382">
      <c r="A382" s="8" t="inlineStr">
        <is>
          <t>CVX</t>
        </is>
      </c>
      <c r="B382" s="8" t="inlineStr">
        <is>
          <t>CHEVRON CORP</t>
        </is>
      </c>
      <c r="C382" s="8" t="inlineStr">
        <is>
          <t>STANDARD</t>
        </is>
      </c>
      <c r="D382" s="8" t="n">
        <v>2025</v>
      </c>
      <c r="E382" s="8" t="inlineStr">
        <is>
          <t>2025-12-31</t>
        </is>
      </c>
      <c r="F382" s="8" t="inlineStr">
        <is>
          <t>0000093410-26-000078</t>
        </is>
      </c>
      <c r="G382" s="13" t="n">
        <v>189.031</v>
      </c>
      <c r="H382" s="13" t="n">
        <v>20.96</v>
      </c>
      <c r="I382" s="8" t="inlineStr">
        <is>
          <t>pretax_income + interest_expense</t>
        </is>
      </c>
      <c r="J382" s="13" t="n">
        <v>12.299</v>
      </c>
      <c r="K382" s="10" t="n">
        <v>0.3676239679886542</v>
      </c>
      <c r="L382" s="13" t="n">
        <v>13.25460163095781</v>
      </c>
      <c r="M382" s="13" t="n">
        <v>229.864</v>
      </c>
      <c r="N382" s="13" t="n">
        <v>203.3555</v>
      </c>
      <c r="O382" s="10" t="n">
        <v>0.06517945976852266</v>
      </c>
      <c r="P382" s="8" t="inlineStr">
        <is>
          <t>OK</t>
        </is>
      </c>
      <c r="Q382" s="10" t="n">
        <v>0.07261016388797052</v>
      </c>
      <c r="R382" s="10" t="n">
        <v>0.007430704119447865</v>
      </c>
      <c r="S382" s="13" t="n">
        <v>186.45</v>
      </c>
      <c r="T382" s="13" t="n">
        <v>7.285</v>
      </c>
      <c r="U382" s="13" t="n">
        <v>50.699</v>
      </c>
      <c r="V382" s="8" t="inlineStr">
        <is>
          <t>short-term + long-term</t>
        </is>
      </c>
      <c r="W382" s="13" t="n">
        <v>41.092</v>
      </c>
      <c r="X382" s="11" t="n">
        <v>1.056507349362406</v>
      </c>
      <c r="Y382" s="11" t="n">
        <v>17.22267871815941</v>
      </c>
      <c r="Z382" s="13" t="n">
        <v>13.033</v>
      </c>
      <c r="AA382" s="8" t="inlineStr">
        <is>
          <t>net income + D&amp;A - capex - change in operating working capital (cash and short-term debt excluded)</t>
        </is>
      </c>
      <c r="AB382" s="10" t="n">
        <v>0.0689463632949093</v>
      </c>
      <c r="AC382" s="10" t="n">
        <v>0.1108812840221974</v>
      </c>
      <c r="AD382" s="12" t="n">
        <v>1856000000</v>
      </c>
    </row>
    <row r="383">
      <c r="A383" s="8" t="inlineStr">
        <is>
          <t>HD</t>
        </is>
      </c>
      <c r="B383" s="8" t="inlineStr">
        <is>
          <t>HOME DEPOT, INC.</t>
        </is>
      </c>
      <c r="C383" s="8" t="inlineStr">
        <is>
          <t>STANDARD</t>
        </is>
      </c>
      <c r="D383" s="8" t="n">
        <v>2014</v>
      </c>
      <c r="E383" s="8" t="inlineStr">
        <is>
          <t>2015-02-01</t>
        </is>
      </c>
      <c r="F383" s="8" t="inlineStr">
        <is>
          <t>0000354950-17-000005</t>
        </is>
      </c>
      <c r="G383" s="13" t="n"/>
      <c r="H383" s="13" t="n">
        <v>10.469</v>
      </c>
      <c r="I383" s="8" t="inlineStr">
        <is>
          <t>reported OperatingIncomeLoss (no interest expense tagged)</t>
        </is>
      </c>
      <c r="J383" s="13" t="n">
        <v>6.345</v>
      </c>
      <c r="K383" s="10" t="n">
        <v>0.21</v>
      </c>
      <c r="L383" s="13" t="n">
        <v>8.27051</v>
      </c>
      <c r="M383" s="13" t="n">
        <v>24.013</v>
      </c>
      <c r="N383" s="13" t="n">
        <v>24.013</v>
      </c>
      <c r="O383" s="10" t="n">
        <v>0.3444180235705659</v>
      </c>
      <c r="P383" s="8" t="inlineStr">
        <is>
          <t>OK</t>
        </is>
      </c>
      <c r="Q383" s="10" t="n">
        <v>0.680647929628835</v>
      </c>
      <c r="R383" s="10" t="n">
        <v>0.3362299060582691</v>
      </c>
      <c r="S383" s="13" t="n">
        <v>9.321999999999999</v>
      </c>
      <c r="T383" s="13" t="n">
        <v>2.216</v>
      </c>
      <c r="U383" s="13" t="n">
        <v>16.907</v>
      </c>
      <c r="V383" s="8" t="inlineStr">
        <is>
          <t>short-term + long-term</t>
        </is>
      </c>
      <c r="W383" s="13" t="n">
        <v>12.255</v>
      </c>
      <c r="X383" s="11" t="n">
        <v>1.198776009791922</v>
      </c>
      <c r="Y383" s="11" t="n"/>
      <c r="Z383" s="13" t="n">
        <v>6.8</v>
      </c>
      <c r="AA383" s="8" t="inlineStr">
        <is>
          <t>operating cash flow - capex (working-capital swing already embedded)</t>
        </is>
      </c>
      <c r="AB383" s="10" t="n"/>
      <c r="AC383" s="10" t="n"/>
      <c r="AD383" s="12" t="n">
        <v>1307000000</v>
      </c>
    </row>
    <row r="384">
      <c r="A384" s="8" t="inlineStr">
        <is>
          <t>HD</t>
        </is>
      </c>
      <c r="B384" s="8" t="inlineStr">
        <is>
          <t>HOME DEPOT, INC.</t>
        </is>
      </c>
      <c r="C384" s="8" t="inlineStr">
        <is>
          <t>STANDARD</t>
        </is>
      </c>
      <c r="D384" s="8" t="n">
        <v>2015</v>
      </c>
      <c r="E384" s="8" t="inlineStr">
        <is>
          <t>2016-01-31</t>
        </is>
      </c>
      <c r="F384" s="8" t="inlineStr">
        <is>
          <t>0000354950-18-000019</t>
        </is>
      </c>
      <c r="G384" s="13" t="n"/>
      <c r="H384" s="13" t="n">
        <v>11.774</v>
      </c>
      <c r="I384" s="8" t="inlineStr">
        <is>
          <t>reported OperatingIncomeLoss (no interest expense tagged)</t>
        </is>
      </c>
      <c r="J384" s="13" t="n">
        <v>7.009</v>
      </c>
      <c r="K384" s="10" t="n">
        <v>0.21</v>
      </c>
      <c r="L384" s="13" t="n">
        <v>9.301460000000001</v>
      </c>
      <c r="M384" s="13" t="n">
        <v>24.966</v>
      </c>
      <c r="N384" s="13" t="n">
        <v>24.4895</v>
      </c>
      <c r="O384" s="10" t="n">
        <v>0.3798142060883236</v>
      </c>
      <c r="P384" s="8" t="inlineStr">
        <is>
          <t>OK</t>
        </is>
      </c>
      <c r="Q384" s="10" t="n">
        <v>0.8964061900498785</v>
      </c>
      <c r="R384" s="10" t="n">
        <v>0.5165919839615549</v>
      </c>
      <c r="S384" s="13" t="n">
        <v>6.316</v>
      </c>
      <c r="T384" s="13" t="n">
        <v>2.216</v>
      </c>
      <c r="U384" s="13" t="n">
        <v>20.866</v>
      </c>
      <c r="V384" s="8" t="inlineStr">
        <is>
          <t>short-term + long-term</t>
        </is>
      </c>
      <c r="W384" s="13" t="n">
        <v>13.637</v>
      </c>
      <c r="X384" s="11" t="n">
        <v>1.367602845200557</v>
      </c>
      <c r="Y384" s="11" t="n"/>
      <c r="Z384" s="13" t="n">
        <v>7.403</v>
      </c>
      <c r="AA384" s="8" t="inlineStr">
        <is>
          <t>net income + D&amp;A - capex - change in operating working capital (cash and short-term debt excluded)</t>
        </is>
      </c>
      <c r="AB384" s="10" t="n"/>
      <c r="AC384" s="10" t="n"/>
      <c r="AD384" s="12" t="n">
        <v>1252000000</v>
      </c>
    </row>
    <row r="385">
      <c r="A385" s="8" t="inlineStr">
        <is>
          <t>HD</t>
        </is>
      </c>
      <c r="B385" s="8" t="inlineStr">
        <is>
          <t>HOME DEPOT, INC.</t>
        </is>
      </c>
      <c r="C385" s="8" t="inlineStr">
        <is>
          <t>STANDARD</t>
        </is>
      </c>
      <c r="D385" s="8" t="n">
        <v>2016</v>
      </c>
      <c r="E385" s="8" t="inlineStr">
        <is>
          <t>2017-01-29</t>
        </is>
      </c>
      <c r="F385" s="8" t="inlineStr">
        <is>
          <t>0000354950-19-000010</t>
        </is>
      </c>
      <c r="G385" s="13" t="n">
        <v>94.595</v>
      </c>
      <c r="H385" s="13" t="n">
        <v>13.427</v>
      </c>
      <c r="I385" s="8" t="inlineStr">
        <is>
          <t>reported OperatingIncomeLoss (no interest expense tagged)</t>
        </is>
      </c>
      <c r="J385" s="13" t="n">
        <v>7.957</v>
      </c>
      <c r="K385" s="10" t="n">
        <v>0.21</v>
      </c>
      <c r="L385" s="13" t="n">
        <v>10.60733</v>
      </c>
      <c r="M385" s="13" t="n">
        <v>24.686</v>
      </c>
      <c r="N385" s="13" t="n">
        <v>24.826</v>
      </c>
      <c r="O385" s="10" t="n">
        <v>0.4272669781680496</v>
      </c>
      <c r="P385" s="8" t="inlineStr">
        <is>
          <t>OK</t>
        </is>
      </c>
      <c r="Q385" s="10" t="n">
        <v>1.494412620903371</v>
      </c>
      <c r="R385" s="10" t="n">
        <v>1.067145642735322</v>
      </c>
      <c r="S385" s="13" t="n">
        <v>4.333</v>
      </c>
      <c r="T385" s="13" t="n">
        <v>2.538</v>
      </c>
      <c r="U385" s="13" t="n">
        <v>22.891</v>
      </c>
      <c r="V385" s="8" t="inlineStr">
        <is>
          <t>short-term + long-term</t>
        </is>
      </c>
      <c r="W385" s="13" t="n">
        <v>15.4</v>
      </c>
      <c r="X385" s="11" t="n">
        <v>1.321623376623377</v>
      </c>
      <c r="Y385" s="11" t="n"/>
      <c r="Z385" s="13" t="n">
        <v>8.535</v>
      </c>
      <c r="AA385" s="8" t="inlineStr">
        <is>
          <t>net income + D&amp;A - capex - change in operating working capital (cash and short-term debt excluded)</t>
        </is>
      </c>
      <c r="AB385" s="10" t="n">
        <v>0.09022675617104498</v>
      </c>
      <c r="AC385" s="10" t="n">
        <v>0.1419419631058724</v>
      </c>
      <c r="AD385" s="12" t="n">
        <v>1203000000</v>
      </c>
    </row>
    <row r="386">
      <c r="A386" s="8" t="inlineStr">
        <is>
          <t>HD</t>
        </is>
      </c>
      <c r="B386" s="8" t="inlineStr">
        <is>
          <t>HOME DEPOT, INC.</t>
        </is>
      </c>
      <c r="C386" s="8" t="inlineStr">
        <is>
          <t>STANDARD</t>
        </is>
      </c>
      <c r="D386" s="8" t="n">
        <v>2017</v>
      </c>
      <c r="E386" s="8" t="inlineStr">
        <is>
          <t>2018-01-28</t>
        </is>
      </c>
      <c r="F386" s="8" t="inlineStr">
        <is>
          <t>0000354950-20-000015</t>
        </is>
      </c>
      <c r="G386" s="13" t="n">
        <v>100.904</v>
      </c>
      <c r="H386" s="13" t="n">
        <v>14.681</v>
      </c>
      <c r="I386" s="8" t="inlineStr">
        <is>
          <t>reported OperatingIncomeLoss (no interest expense tagged)</t>
        </is>
      </c>
      <c r="J386" s="13" t="n">
        <v>8.630000000000001</v>
      </c>
      <c r="K386" s="10" t="n">
        <v>0.21</v>
      </c>
      <c r="L386" s="13" t="n">
        <v>11.59799</v>
      </c>
      <c r="M386" s="13" t="n">
        <v>23.328</v>
      </c>
      <c r="N386" s="13" t="n">
        <v>24.007</v>
      </c>
      <c r="O386" s="10" t="n">
        <v>0.4831086766359812</v>
      </c>
      <c r="P386" s="8" t="inlineStr">
        <is>
          <t>OK</t>
        </is>
      </c>
      <c r="Q386" s="10" t="n">
        <v>2.982547088301365</v>
      </c>
      <c r="R386" s="10" t="n">
        <v>2.499438411665384</v>
      </c>
      <c r="S386" s="13" t="n">
        <v>1.454</v>
      </c>
      <c r="T386" s="13" t="n">
        <v>3.595</v>
      </c>
      <c r="U386" s="13" t="n">
        <v>25.469</v>
      </c>
      <c r="V386" s="8" t="inlineStr">
        <is>
          <t>short-term + long-term</t>
        </is>
      </c>
      <c r="W386" s="13" t="n">
        <v>16.743</v>
      </c>
      <c r="X386" s="11" t="n">
        <v>1.306456429552649</v>
      </c>
      <c r="Y386" s="11" t="n"/>
      <c r="Z386" s="13" t="n">
        <v>10.044</v>
      </c>
      <c r="AA386" s="8" t="inlineStr">
        <is>
          <t>net income + D&amp;A - capex - change in operating working capital (cash and short-term debt excluded)</t>
        </is>
      </c>
      <c r="AB386" s="10" t="n">
        <v>0.09954015698089273</v>
      </c>
      <c r="AC386" s="10" t="n">
        <v>0.1454947276619361</v>
      </c>
      <c r="AD386" s="12" t="n">
        <v>1158000000</v>
      </c>
    </row>
    <row r="387">
      <c r="A387" s="8" t="inlineStr">
        <is>
          <t>HD</t>
        </is>
      </c>
      <c r="B387" s="8" t="inlineStr">
        <is>
          <t>HOME DEPOT, INC.</t>
        </is>
      </c>
      <c r="C387" s="8" t="inlineStr">
        <is>
          <t>STANDARD</t>
        </is>
      </c>
      <c r="D387" s="8" t="n">
        <v>2018</v>
      </c>
      <c r="E387" s="8" t="inlineStr">
        <is>
          <t>2019-02-03</t>
        </is>
      </c>
      <c r="F387" s="8" t="inlineStr">
        <is>
          <t>0000354950-21-000089</t>
        </is>
      </c>
      <c r="G387" s="13" t="n">
        <v>108.203</v>
      </c>
      <c r="H387" s="13" t="n">
        <v>15.53</v>
      </c>
      <c r="I387" s="8" t="inlineStr">
        <is>
          <t>reported OperatingIncomeLoss (no interest expense tagged)</t>
        </is>
      </c>
      <c r="J387" s="13" t="n">
        <v>11.121</v>
      </c>
      <c r="K387" s="10" t="n">
        <v>0.21</v>
      </c>
      <c r="L387" s="13" t="n">
        <v>12.2687</v>
      </c>
      <c r="M387" s="13" t="n">
        <v>24.207</v>
      </c>
      <c r="N387" s="13" t="n">
        <v>23.7675</v>
      </c>
      <c r="O387" s="10" t="n">
        <v>0.5161964867992006</v>
      </c>
      <c r="P387" s="8" t="inlineStr">
        <is>
          <t>OK</t>
        </is>
      </c>
      <c r="Q387" s="10" t="n">
        <v>-52.45754716981132</v>
      </c>
      <c r="R387" s="10" t="n">
        <v>-52.97374365661052</v>
      </c>
      <c r="S387" s="13" t="n">
        <v>-1.878</v>
      </c>
      <c r="T387" s="13" t="n">
        <v>1.778</v>
      </c>
      <c r="U387" s="13" t="n">
        <v>27.863</v>
      </c>
      <c r="V387" s="8" t="inlineStr">
        <is>
          <t>short-term + long-term</t>
        </is>
      </c>
      <c r="W387" s="13" t="n">
        <v>17.682</v>
      </c>
      <c r="X387" s="11" t="n">
        <v>1.475229046487954</v>
      </c>
      <c r="Y387" s="11" t="n"/>
      <c r="Z387" s="13" t="n">
        <v>10.086</v>
      </c>
      <c r="AA387" s="8" t="inlineStr">
        <is>
          <t>net income + D&amp;A - capex - change in operating working capital (cash and short-term debt excluded)</t>
        </is>
      </c>
      <c r="AB387" s="10" t="n">
        <v>0.09321368169089582</v>
      </c>
      <c r="AC387" s="10" t="n">
        <v>0.1435265195974234</v>
      </c>
      <c r="AD387" s="12" t="n">
        <v>1105000000</v>
      </c>
    </row>
    <row r="388">
      <c r="A388" s="8" t="inlineStr">
        <is>
          <t>HD</t>
        </is>
      </c>
      <c r="B388" s="8" t="inlineStr">
        <is>
          <t>HOME DEPOT, INC.</t>
        </is>
      </c>
      <c r="C388" s="8" t="inlineStr">
        <is>
          <t>STANDARD</t>
        </is>
      </c>
      <c r="D388" s="8" t="n">
        <v>2019</v>
      </c>
      <c r="E388" s="8" t="inlineStr">
        <is>
          <t>2020-02-02</t>
        </is>
      </c>
      <c r="F388" s="8" t="inlineStr">
        <is>
          <t>0000354950-22-000070</t>
        </is>
      </c>
      <c r="G388" s="13" t="n">
        <v>110.225</v>
      </c>
      <c r="H388" s="13" t="n">
        <v>15.843</v>
      </c>
      <c r="I388" s="8" t="inlineStr">
        <is>
          <t>reported OperatingIncomeLoss (no interest expense tagged)</t>
        </is>
      </c>
      <c r="J388" s="13" t="n">
        <v>11.242</v>
      </c>
      <c r="K388" s="10" t="n">
        <v>0.236017669045192</v>
      </c>
      <c r="L388" s="13" t="n">
        <v>12.10377206931702</v>
      </c>
      <c r="M388" s="13" t="n">
        <v>25.26</v>
      </c>
      <c r="N388" s="13" t="n">
        <v>24.7335</v>
      </c>
      <c r="O388" s="10" t="n">
        <v>0.4893675407571522</v>
      </c>
      <c r="P388" s="8" t="inlineStr">
        <is>
          <t>OK</t>
        </is>
      </c>
      <c r="Q388" s="10" t="n">
        <v>-4.502202643171806</v>
      </c>
      <c r="R388" s="10" t="n">
        <v>-4.991570183928959</v>
      </c>
      <c r="S388" s="13" t="n">
        <v>-3.116</v>
      </c>
      <c r="T388" s="13" t="n">
        <v>2.133</v>
      </c>
      <c r="U388" s="13" t="n">
        <v>30.509</v>
      </c>
      <c r="V388" s="8" t="inlineStr">
        <is>
          <t>short-term + long-term</t>
        </is>
      </c>
      <c r="W388" s="13" t="n">
        <v>18.139</v>
      </c>
      <c r="X388" s="11" t="n">
        <v>1.564364077402282</v>
      </c>
      <c r="Y388" s="11" t="n"/>
      <c r="Z388" s="13" t="n">
        <v>10.81</v>
      </c>
      <c r="AA388" s="8" t="inlineStr">
        <is>
          <t>net income + D&amp;A - capex - change in operating working capital (cash and short-term debt excluded)</t>
        </is>
      </c>
      <c r="AB388" s="10" t="n">
        <v>0.0980721251984577</v>
      </c>
      <c r="AC388" s="10" t="n">
        <v>0.1437332728509866</v>
      </c>
      <c r="AD388" s="12" t="n">
        <v>1077000000</v>
      </c>
    </row>
    <row r="389">
      <c r="A389" s="8" t="inlineStr">
        <is>
          <t>HD</t>
        </is>
      </c>
      <c r="B389" s="8" t="inlineStr">
        <is>
          <t>HOME DEPOT, INC.</t>
        </is>
      </c>
      <c r="C389" s="8" t="inlineStr">
        <is>
          <t>STANDARD</t>
        </is>
      </c>
      <c r="D389" s="8" t="n">
        <v>2020</v>
      </c>
      <c r="E389" s="8" t="inlineStr">
        <is>
          <t>2021-01-31</t>
        </is>
      </c>
      <c r="F389" s="8" t="inlineStr">
        <is>
          <t>0000354950-23-000059</t>
        </is>
      </c>
      <c r="G389" s="13" t="n">
        <v>132.11</v>
      </c>
      <c r="H389" s="13" t="n">
        <v>18.278</v>
      </c>
      <c r="I389" s="8" t="inlineStr">
        <is>
          <t>reported OperatingIncomeLoss (no interest expense tagged)</t>
        </is>
      </c>
      <c r="J389" s="13" t="n">
        <v>12.866</v>
      </c>
      <c r="K389" s="10" t="n">
        <v>0.2421957827777123</v>
      </c>
      <c r="L389" s="13" t="n">
        <v>13.85114548238897</v>
      </c>
      <c r="M389" s="13" t="n">
        <v>32.642</v>
      </c>
      <c r="N389" s="13" t="n">
        <v>28.951</v>
      </c>
      <c r="O389" s="10" t="n">
        <v>0.4784340949324367</v>
      </c>
      <c r="P389" s="8" t="inlineStr">
        <is>
          <t>OK</t>
        </is>
      </c>
      <c r="Q389" s="10" t="n">
        <v>140.6120218579235</v>
      </c>
      <c r="R389" s="10" t="n">
        <v>140.1335877629911</v>
      </c>
      <c r="S389" s="13" t="n">
        <v>3.299</v>
      </c>
      <c r="T389" s="13" t="n">
        <v>7.895</v>
      </c>
      <c r="U389" s="13" t="n">
        <v>37.238</v>
      </c>
      <c r="V389" s="8" t="inlineStr">
        <is>
          <t>short-term + long-term</t>
        </is>
      </c>
      <c r="W389" s="13" t="n">
        <v>20.797</v>
      </c>
      <c r="X389" s="11" t="n">
        <v>1.410924652594124</v>
      </c>
      <c r="Y389" s="11" t="n"/>
      <c r="Z389" s="13" t="n">
        <v>15.231</v>
      </c>
      <c r="AA389" s="8" t="inlineStr">
        <is>
          <t>net income + D&amp;A - capex - change in operating working capital (cash and short-term debt excluded)</t>
        </is>
      </c>
      <c r="AB389" s="10" t="n">
        <v>0.1152902883960336</v>
      </c>
      <c r="AC389" s="10" t="n">
        <v>0.1383544016350011</v>
      </c>
      <c r="AD389" s="12" t="n">
        <v>1077000000</v>
      </c>
    </row>
    <row r="390">
      <c r="A390" s="8" t="inlineStr">
        <is>
          <t>HD</t>
        </is>
      </c>
      <c r="B390" s="8" t="inlineStr">
        <is>
          <t>HOME DEPOT, INC.</t>
        </is>
      </c>
      <c r="C390" s="8" t="inlineStr">
        <is>
          <t>STANDARD</t>
        </is>
      </c>
      <c r="D390" s="8" t="n">
        <v>2021</v>
      </c>
      <c r="E390" s="8" t="inlineStr">
        <is>
          <t>2022-01-30</t>
        </is>
      </c>
      <c r="F390" s="8" t="inlineStr">
        <is>
          <t>0000354950-24-000062</t>
        </is>
      </c>
      <c r="G390" s="13" t="n">
        <v>151.157</v>
      </c>
      <c r="H390" s="13" t="n">
        <v>23.04</v>
      </c>
      <c r="I390" s="8" t="inlineStr">
        <is>
          <t>reported OperatingIncomeLoss (no interest expense tagged)</t>
        </is>
      </c>
      <c r="J390" s="13" t="n">
        <v>16.433</v>
      </c>
      <c r="K390" s="10" t="n">
        <v>0.244007912775452</v>
      </c>
      <c r="L390" s="13" t="n">
        <v>17.41805768965359</v>
      </c>
      <c r="M390" s="13" t="n">
        <v>35.012</v>
      </c>
      <c r="N390" s="13" t="n">
        <v>33.827</v>
      </c>
      <c r="O390" s="10" t="n">
        <v>0.5149158272874801</v>
      </c>
      <c r="P390" s="8" t="inlineStr">
        <is>
          <t>OK</t>
        </is>
      </c>
      <c r="Q390" s="10" t="n">
        <v>20.50280723643169</v>
      </c>
      <c r="R390" s="10" t="n">
        <v>19.98789140914421</v>
      </c>
      <c r="S390" s="13" t="n">
        <v>-1.696</v>
      </c>
      <c r="T390" s="13" t="n">
        <v>2.343</v>
      </c>
      <c r="U390" s="13" t="n">
        <v>39.051</v>
      </c>
      <c r="V390" s="8" t="inlineStr">
        <is>
          <t>short-term + long-term</t>
        </is>
      </c>
      <c r="W390" s="13" t="n">
        <v>25.902</v>
      </c>
      <c r="X390" s="11" t="n">
        <v>1.417187861941163</v>
      </c>
      <c r="Y390" s="11" t="n"/>
      <c r="Z390" s="13" t="n">
        <v>15.095</v>
      </c>
      <c r="AA390" s="8" t="inlineStr">
        <is>
          <t>net income + D&amp;A - capex - change in operating working capital (cash and short-term debt excluded)</t>
        </is>
      </c>
      <c r="AB390" s="10" t="n">
        <v>0.09986305629246413</v>
      </c>
      <c r="AC390" s="10" t="n">
        <v>0.1524243005616677</v>
      </c>
      <c r="AD390" s="12" t="n">
        <v>1035000000</v>
      </c>
    </row>
    <row r="391">
      <c r="A391" s="8" t="inlineStr">
        <is>
          <t>HD</t>
        </is>
      </c>
      <c r="B391" s="8" t="inlineStr">
        <is>
          <t>HOME DEPOT, INC.</t>
        </is>
      </c>
      <c r="C391" s="8" t="inlineStr">
        <is>
          <t>STANDARD</t>
        </is>
      </c>
      <c r="D391" s="8" t="n">
        <v>2022</v>
      </c>
      <c r="E391" s="8" t="inlineStr">
        <is>
          <t>2023-01-29</t>
        </is>
      </c>
      <c r="F391" s="8" t="inlineStr">
        <is>
          <t>0000354950-25-000085</t>
        </is>
      </c>
      <c r="G391" s="13" t="n">
        <v>157.403</v>
      </c>
      <c r="H391" s="13" t="n">
        <v>24.094</v>
      </c>
      <c r="I391" s="8" t="inlineStr">
        <is>
          <t>pretax_income + interest_expense</t>
        </is>
      </c>
      <c r="J391" s="13" t="n">
        <v>17.105</v>
      </c>
      <c r="K391" s="10" t="n">
        <v>0.2389998665302309</v>
      </c>
      <c r="L391" s="13" t="n">
        <v>18.33553721582062</v>
      </c>
      <c r="M391" s="13" t="n">
        <v>41.998</v>
      </c>
      <c r="N391" s="13" t="n">
        <v>38.505</v>
      </c>
      <c r="O391" s="10" t="n">
        <v>0.4761858775696823</v>
      </c>
      <c r="P391" s="8" t="inlineStr">
        <is>
          <t>OK</t>
        </is>
      </c>
      <c r="Q391" s="10" t="n">
        <v>-255.2985074626866</v>
      </c>
      <c r="R391" s="10" t="n">
        <v>-255.7746933402562</v>
      </c>
      <c r="S391" s="13" t="n">
        <v>1.562</v>
      </c>
      <c r="T391" s="13" t="n">
        <v>2.757</v>
      </c>
      <c r="U391" s="13" t="n">
        <v>43.193</v>
      </c>
      <c r="V391" s="8" t="inlineStr">
        <is>
          <t>short-term + long-term</t>
        </is>
      </c>
      <c r="W391" s="13" t="n">
        <v>26.89</v>
      </c>
      <c r="X391" s="11" t="n">
        <v>1.503756043138713</v>
      </c>
      <c r="Y391" s="11" t="n">
        <v>14.9004329004329</v>
      </c>
      <c r="Z391" s="13" t="n">
        <v>9.413</v>
      </c>
      <c r="AA391" s="8" t="inlineStr">
        <is>
          <t>net income + D&amp;A - capex - change in operating working capital (cash and short-term debt excluded)</t>
        </is>
      </c>
      <c r="AB391" s="10" t="n">
        <v>0.05980190974759058</v>
      </c>
      <c r="AC391" s="10" t="n">
        <v>0.1530720507233026</v>
      </c>
      <c r="AD391" s="12" t="n">
        <v>1016000000</v>
      </c>
    </row>
    <row r="392">
      <c r="A392" s="8" t="inlineStr">
        <is>
          <t>HD</t>
        </is>
      </c>
      <c r="B392" s="8" t="inlineStr">
        <is>
          <t>HOME DEPOT, INC.</t>
        </is>
      </c>
      <c r="C392" s="8" t="inlineStr">
        <is>
          <t>STANDARD</t>
        </is>
      </c>
      <c r="D392" s="8" t="n">
        <v>2023</v>
      </c>
      <c r="E392" s="8" t="inlineStr">
        <is>
          <t>2024-01-28</t>
        </is>
      </c>
      <c r="F392" s="8" t="inlineStr">
        <is>
          <t>0001628280-26-019436</t>
        </is>
      </c>
      <c r="G392" s="13" t="n">
        <v>152.669</v>
      </c>
      <c r="H392" s="13" t="n">
        <v>21.867</v>
      </c>
      <c r="I392" s="8" t="inlineStr">
        <is>
          <t>pretax_income + interest_expense</t>
        </is>
      </c>
      <c r="J392" s="13" t="n">
        <v>15.143</v>
      </c>
      <c r="K392" s="10" t="n">
        <v>0.2399618550491869</v>
      </c>
      <c r="L392" s="13" t="n">
        <v>16.61975411563943</v>
      </c>
      <c r="M392" s="13" t="n">
        <v>41.395</v>
      </c>
      <c r="N392" s="13" t="n">
        <v>41.6965</v>
      </c>
      <c r="O392" s="10" t="n">
        <v>0.3985887092595165</v>
      </c>
      <c r="P392" s="8" t="inlineStr">
        <is>
          <t>OK</t>
        </is>
      </c>
      <c r="Q392" s="10" t="n">
        <v>11.6216423637759</v>
      </c>
      <c r="R392" s="10" t="n">
        <v>11.22305365451638</v>
      </c>
      <c r="S392" s="13" t="n">
        <v>1.044</v>
      </c>
      <c r="T392" s="13" t="n">
        <v>3.76</v>
      </c>
      <c r="U392" s="13" t="n">
        <v>44.111</v>
      </c>
      <c r="V392" s="8" t="inlineStr">
        <is>
          <t>short-term + long-term</t>
        </is>
      </c>
      <c r="W392" s="13" t="n">
        <v>24.928</v>
      </c>
      <c r="X392" s="11" t="n">
        <v>1.618701861360719</v>
      </c>
      <c r="Y392" s="11" t="n">
        <v>11.2542460113227</v>
      </c>
      <c r="Z392" s="13" t="n">
        <v>17.445</v>
      </c>
      <c r="AA392" s="8" t="inlineStr">
        <is>
          <t>net income + D&amp;A - capex - change in operating working capital (cash and short-term debt excluded)</t>
        </is>
      </c>
      <c r="AB392" s="10" t="n">
        <v>0.1142668125159659</v>
      </c>
      <c r="AC392" s="10" t="n">
        <v>0.1432314353274076</v>
      </c>
      <c r="AD392" s="12" t="n">
        <v>992000000</v>
      </c>
    </row>
    <row r="393">
      <c r="A393" s="8" t="inlineStr">
        <is>
          <t>HD</t>
        </is>
      </c>
      <c r="B393" s="8" t="inlineStr">
        <is>
          <t>HOME DEPOT, INC.</t>
        </is>
      </c>
      <c r="C393" s="8" t="inlineStr">
        <is>
          <t>STANDARD</t>
        </is>
      </c>
      <c r="D393" s="8" t="n">
        <v>2024</v>
      </c>
      <c r="E393" s="8" t="inlineStr">
        <is>
          <t>2025-02-02</t>
        </is>
      </c>
      <c r="F393" s="8" t="inlineStr">
        <is>
          <t>0001628280-26-019436</t>
        </is>
      </c>
      <c r="G393" s="13" t="n">
        <v>159.514</v>
      </c>
      <c r="H393" s="13" t="n">
        <v>21.727</v>
      </c>
      <c r="I393" s="8" t="inlineStr">
        <is>
          <t>pretax_income + interest_expense</t>
        </is>
      </c>
      <c r="J393" s="13" t="n">
        <v>14.806</v>
      </c>
      <c r="K393" s="10" t="n">
        <v>0.2370400906935999</v>
      </c>
      <c r="L393" s="13" t="n">
        <v>16.57682994950015</v>
      </c>
      <c r="M393" s="13" t="n">
        <v>58.048</v>
      </c>
      <c r="N393" s="13" t="n">
        <v>49.7215</v>
      </c>
      <c r="O393" s="10" t="n">
        <v>0.3333936013495199</v>
      </c>
      <c r="P393" s="8" t="inlineStr">
        <is>
          <t>OK</t>
        </is>
      </c>
      <c r="Q393" s="10" t="n">
        <v>3.853722019781364</v>
      </c>
      <c r="R393" s="10" t="n">
        <v>3.520328418431844</v>
      </c>
      <c r="S393" s="13" t="n">
        <v>6.64</v>
      </c>
      <c r="T393" s="13" t="n">
        <v>1.659</v>
      </c>
      <c r="U393" s="13" t="n">
        <v>53.067</v>
      </c>
      <c r="V393" s="8" t="inlineStr">
        <is>
          <t>short-term + long-term</t>
        </is>
      </c>
      <c r="W393" s="13" t="n">
        <v>25.063</v>
      </c>
      <c r="X393" s="11" t="n">
        <v>2.051151099229941</v>
      </c>
      <c r="Y393" s="11" t="n">
        <v>9.361051271003877</v>
      </c>
      <c r="Z393" s="13" t="n">
        <v>14.08</v>
      </c>
      <c r="AA393" s="8" t="inlineStr">
        <is>
          <t>net income + D&amp;A - capex - change in operating working capital (cash and short-term debt excluded)</t>
        </is>
      </c>
      <c r="AB393" s="10" t="n">
        <v>0.08826811439748235</v>
      </c>
      <c r="AC393" s="10" t="n">
        <v>0.1362074802211718</v>
      </c>
      <c r="AD393" s="12" t="n">
        <v>994000000</v>
      </c>
    </row>
    <row r="394">
      <c r="A394" s="8" t="inlineStr">
        <is>
          <t>HD</t>
        </is>
      </c>
      <c r="B394" s="8" t="inlineStr">
        <is>
          <t>HOME DEPOT, INC.</t>
        </is>
      </c>
      <c r="C394" s="8" t="inlineStr">
        <is>
          <t>STANDARD</t>
        </is>
      </c>
      <c r="D394" s="8" t="n">
        <v>2025</v>
      </c>
      <c r="E394" s="8" t="inlineStr">
        <is>
          <t>2026-02-01</t>
        </is>
      </c>
      <c r="F394" s="8" t="inlineStr">
        <is>
          <t>0001628280-26-019436</t>
        </is>
      </c>
      <c r="G394" s="13" t="n">
        <v>164.683</v>
      </c>
      <c r="H394" s="13" t="n">
        <v>21.014</v>
      </c>
      <c r="I394" s="8" t="inlineStr">
        <is>
          <t>pretax_income + interest_expense</t>
        </is>
      </c>
      <c r="J394" s="13" t="n">
        <v>14.156</v>
      </c>
      <c r="K394" s="10" t="n">
        <v>0.2390065584345769</v>
      </c>
      <c r="L394" s="13" t="n">
        <v>15.9915161810558</v>
      </c>
      <c r="M394" s="13" t="n">
        <v>62.732</v>
      </c>
      <c r="N394" s="13" t="n">
        <v>60.39</v>
      </c>
      <c r="O394" s="10" t="n">
        <v>0.2648040434021494</v>
      </c>
      <c r="P394" s="8" t="inlineStr">
        <is>
          <t>OK</t>
        </is>
      </c>
      <c r="Q394" s="10" t="n">
        <v>1.455405335937902</v>
      </c>
      <c r="R394" s="10" t="n">
        <v>1.190601292535752</v>
      </c>
      <c r="S394" s="13" t="n">
        <v>12.813</v>
      </c>
      <c r="T394" s="13" t="n">
        <v>1.389</v>
      </c>
      <c r="U394" s="13" t="n">
        <v>51.308</v>
      </c>
      <c r="V394" s="8" t="inlineStr">
        <is>
          <t>short-term + long-term</t>
        </is>
      </c>
      <c r="W394" s="13" t="n">
        <v>24.528</v>
      </c>
      <c r="X394" s="11" t="n">
        <v>2.035184279191129</v>
      </c>
      <c r="Y394" s="11" t="n">
        <v>8.712271973466004</v>
      </c>
      <c r="Z394" s="13" t="n">
        <v>14.391</v>
      </c>
      <c r="AA394" s="8" t="inlineStr">
        <is>
          <t>net income + D&amp;A - capex - change in operating working capital (cash and short-term debt excluded)</t>
        </is>
      </c>
      <c r="AB394" s="10" t="n">
        <v>0.08738606899315655</v>
      </c>
      <c r="AC394" s="10" t="n">
        <v>0.1276027276646649</v>
      </c>
      <c r="AD394" s="12" t="n">
        <v>996000000</v>
      </c>
    </row>
    <row r="395">
      <c r="A395" s="8" t="inlineStr">
        <is>
          <t>MS</t>
        </is>
      </c>
      <c r="B395" s="8" t="inlineStr">
        <is>
          <t>MORGAN STANLEY</t>
        </is>
      </c>
      <c r="C395" s="8" t="inlineStr">
        <is>
          <t>FINANCIAL</t>
        </is>
      </c>
      <c r="D395" s="8" t="n">
        <v>2014</v>
      </c>
      <c r="E395" s="8" t="inlineStr">
        <is>
          <t>2014-12-31</t>
        </is>
      </c>
      <c r="F395" s="8" t="inlineStr">
        <is>
          <t>0001193125-17-059212</t>
        </is>
      </c>
      <c r="G395" s="13" t="n">
        <v>34.275</v>
      </c>
      <c r="H395" s="13" t="n">
        <v>5.326</v>
      </c>
      <c r="I395" s="8" t="inlineStr">
        <is>
          <t>pretax_income + interest_expense</t>
        </is>
      </c>
      <c r="J395" s="13" t="n">
        <v>3.467</v>
      </c>
      <c r="K395" s="10" t="n">
        <v>0.05</v>
      </c>
      <c r="L395" s="13" t="n">
        <v>5.0597</v>
      </c>
      <c r="M395" s="13" t="n"/>
      <c r="N395" s="13" t="n"/>
      <c r="O395" s="10" t="n"/>
      <c r="P395" s="8" t="inlineStr">
        <is>
          <t>FRAMEWORK_NOT_APPLICABLE</t>
        </is>
      </c>
      <c r="Q395" s="10" t="n">
        <v>0.04889985895627644</v>
      </c>
      <c r="R395" s="10" t="n"/>
      <c r="S395" s="13" t="n">
        <v>70.90000000000001</v>
      </c>
      <c r="T395" s="13" t="n">
        <v>87.59099999999999</v>
      </c>
      <c r="U395" s="13" t="n">
        <v>173.512</v>
      </c>
      <c r="V395" s="8" t="inlineStr">
        <is>
          <t>short-term + long-term</t>
        </is>
      </c>
      <c r="W395" s="13" t="n">
        <v>6.487</v>
      </c>
      <c r="X395" s="11" t="n">
        <v>13.245105595807</v>
      </c>
      <c r="Y395" s="11" t="n">
        <v>3.069740634005764</v>
      </c>
      <c r="Z395" s="13" t="n"/>
      <c r="AA395" s="8" t="inlineStr">
        <is>
          <t>FRAMEWORK_NOT_APPLICABLE (financial sector)</t>
        </is>
      </c>
      <c r="AB395" s="10" t="n"/>
      <c r="AC395" s="10" t="n">
        <v>0.1553902261123268</v>
      </c>
      <c r="AD395" s="12" t="n">
        <v>1951000000</v>
      </c>
    </row>
    <row r="396">
      <c r="A396" s="8" t="inlineStr">
        <is>
          <t>MS</t>
        </is>
      </c>
      <c r="B396" s="8" t="inlineStr">
        <is>
          <t>MORGAN STANLEY</t>
        </is>
      </c>
      <c r="C396" s="8" t="inlineStr">
        <is>
          <t>FINANCIAL</t>
        </is>
      </c>
      <c r="D396" s="8" t="n">
        <v>2015</v>
      </c>
      <c r="E396" s="8" t="inlineStr">
        <is>
          <t>2015-12-31</t>
        </is>
      </c>
      <c r="F396" s="8" t="inlineStr">
        <is>
          <t>0001193125-18-060831</t>
        </is>
      </c>
      <c r="G396" s="13" t="n"/>
      <c r="H396" s="13" t="n">
        <v>11.588</v>
      </c>
      <c r="I396" s="8" t="inlineStr">
        <is>
          <t>pretax_income + interest_expense</t>
        </is>
      </c>
      <c r="J396" s="13" t="n">
        <v>6.127</v>
      </c>
      <c r="K396" s="10" t="n">
        <v>0.2589758681577399</v>
      </c>
      <c r="L396" s="13" t="n">
        <v>8.586987639788111</v>
      </c>
      <c r="M396" s="13" t="n"/>
      <c r="N396" s="13" t="n"/>
      <c r="O396" s="10" t="n"/>
      <c r="P396" s="8" t="inlineStr">
        <is>
          <t>FRAMEWORK_NOT_APPLICABLE</t>
        </is>
      </c>
      <c r="Q396" s="10" t="n">
        <v>0.0838843936966909</v>
      </c>
      <c r="R396" s="10" t="n"/>
      <c r="S396" s="13" t="n">
        <v>75.182</v>
      </c>
      <c r="T396" s="13" t="n">
        <v>85.55200000000001</v>
      </c>
      <c r="U396" s="13" t="n">
        <v>176.164</v>
      </c>
      <c r="V396" s="8" t="inlineStr">
        <is>
          <t>short-term + long-term</t>
        </is>
      </c>
      <c r="W396" s="13" t="n">
        <v>13.021</v>
      </c>
      <c r="X396" s="11" t="n">
        <v>6.958912525919668</v>
      </c>
      <c r="Y396" s="11" t="n">
        <v>3.74652440995797</v>
      </c>
      <c r="Z396" s="13" t="n"/>
      <c r="AA396" s="8" t="inlineStr">
        <is>
          <t>FRAMEWORK_NOT_APPLICABLE (financial sector)</t>
        </is>
      </c>
      <c r="AB396" s="10" t="n"/>
      <c r="AC396" s="10" t="n"/>
      <c r="AD396" s="12" t="n">
        <v>1920000000</v>
      </c>
    </row>
    <row r="397">
      <c r="A397" s="8" t="inlineStr">
        <is>
          <t>MS</t>
        </is>
      </c>
      <c r="B397" s="8" t="inlineStr">
        <is>
          <t>MORGAN STANLEY</t>
        </is>
      </c>
      <c r="C397" s="8" t="inlineStr">
        <is>
          <t>FINANCIAL</t>
        </is>
      </c>
      <c r="D397" s="8" t="n">
        <v>2016</v>
      </c>
      <c r="E397" s="8" t="inlineStr">
        <is>
          <t>2016-12-31</t>
        </is>
      </c>
      <c r="F397" s="8" t="inlineStr">
        <is>
          <t>0001193125-19-051943</t>
        </is>
      </c>
      <c r="G397" s="13" t="n"/>
      <c r="H397" s="13" t="n">
        <v>12.546</v>
      </c>
      <c r="I397" s="8" t="inlineStr">
        <is>
          <t>pretax_income + interest_expense</t>
        </is>
      </c>
      <c r="J397" s="13" t="n">
        <v>5.979</v>
      </c>
      <c r="K397" s="10" t="n">
        <v>0.3080922242314648</v>
      </c>
      <c r="L397" s="13" t="n">
        <v>8.680674954792044</v>
      </c>
      <c r="M397" s="13" t="n"/>
      <c r="N397" s="13" t="n"/>
      <c r="O397" s="10" t="n"/>
      <c r="P397" s="8" t="inlineStr">
        <is>
          <t>FRAMEWORK_NOT_APPLICABLE</t>
        </is>
      </c>
      <c r="Q397" s="10" t="n">
        <v>0.07907056707575116</v>
      </c>
      <c r="R397" s="10" t="n"/>
      <c r="S397" s="13" t="n">
        <v>76.05</v>
      </c>
      <c r="T397" s="13" t="n">
        <v>77.36</v>
      </c>
      <c r="U397" s="13" t="n">
        <v>190.902</v>
      </c>
      <c r="V397" s="8" t="inlineStr">
        <is>
          <t>short-term + long-term</t>
        </is>
      </c>
      <c r="W397" s="13" t="n">
        <v>14.282</v>
      </c>
      <c r="X397" s="11" t="n">
        <v>7.950007001820473</v>
      </c>
      <c r="Y397" s="11" t="n">
        <v>3.392644672796106</v>
      </c>
      <c r="Z397" s="13" t="n"/>
      <c r="AA397" s="8" t="inlineStr">
        <is>
          <t>FRAMEWORK_NOT_APPLICABLE (financial sector)</t>
        </is>
      </c>
      <c r="AB397" s="10" t="n"/>
      <c r="AC397" s="10" t="n"/>
      <c r="AD397" s="12" t="n">
        <v>1852000000</v>
      </c>
    </row>
    <row r="398">
      <c r="A398" s="8" t="inlineStr">
        <is>
          <t>MS</t>
        </is>
      </c>
      <c r="B398" s="8" t="inlineStr">
        <is>
          <t>MORGAN STANLEY</t>
        </is>
      </c>
      <c r="C398" s="8" t="inlineStr">
        <is>
          <t>FINANCIAL</t>
        </is>
      </c>
      <c r="D398" s="8" t="n">
        <v>2017</v>
      </c>
      <c r="E398" s="8" t="inlineStr">
        <is>
          <t>2017-12-31</t>
        </is>
      </c>
      <c r="F398" s="8" t="inlineStr">
        <is>
          <t>0000895421-20-000265</t>
        </is>
      </c>
      <c r="G398" s="13" t="n"/>
      <c r="H398" s="13" t="n">
        <v>13.703</v>
      </c>
      <c r="I398" s="8" t="inlineStr">
        <is>
          <t>pretax_income + interest_expense</t>
        </is>
      </c>
      <c r="J398" s="13" t="n">
        <v>6.111</v>
      </c>
      <c r="K398" s="10" t="n">
        <v>0.4</v>
      </c>
      <c r="L398" s="13" t="n">
        <v>8.2218</v>
      </c>
      <c r="M398" s="13" t="n"/>
      <c r="N398" s="13" t="n"/>
      <c r="O398" s="10" t="n"/>
      <c r="P398" s="8" t="inlineStr">
        <is>
          <t>FRAMEWORK_NOT_APPLICABLE</t>
        </is>
      </c>
      <c r="Q398" s="10" t="n">
        <v>0.07965276555809725</v>
      </c>
      <c r="R398" s="10" t="n"/>
      <c r="S398" s="13" t="n">
        <v>77.39100000000001</v>
      </c>
      <c r="T398" s="13" t="n">
        <v>80.395</v>
      </c>
      <c r="U398" s="13" t="n">
        <v>214.933</v>
      </c>
      <c r="V398" s="8" t="inlineStr">
        <is>
          <t>short-term + long-term</t>
        </is>
      </c>
      <c r="W398" s="13" t="n">
        <v>15.456</v>
      </c>
      <c r="X398" s="11" t="n">
        <v>8.704580745341614</v>
      </c>
      <c r="Y398" s="11" t="n">
        <v>4.152424242424242</v>
      </c>
      <c r="Z398" s="13" t="n"/>
      <c r="AA398" s="8" t="inlineStr">
        <is>
          <t>FRAMEWORK_NOT_APPLICABLE (financial sector)</t>
        </is>
      </c>
      <c r="AB398" s="10" t="n"/>
      <c r="AC398" s="10" t="n"/>
      <c r="AD398" s="12" t="n">
        <v>1788000000</v>
      </c>
    </row>
    <row r="399">
      <c r="A399" s="8" t="inlineStr">
        <is>
          <t>MS</t>
        </is>
      </c>
      <c r="B399" s="8" t="inlineStr">
        <is>
          <t>MORGAN STANLEY</t>
        </is>
      </c>
      <c r="C399" s="8" t="inlineStr">
        <is>
          <t>FINANCIAL</t>
        </is>
      </c>
      <c r="D399" s="8" t="n">
        <v>2018</v>
      </c>
      <c r="E399" s="8" t="inlineStr">
        <is>
          <t>2018-12-31</t>
        </is>
      </c>
      <c r="F399" s="8" t="inlineStr">
        <is>
          <t>0000895421-21-000286</t>
        </is>
      </c>
      <c r="G399" s="13" t="n"/>
      <c r="H399" s="13" t="n">
        <v>15.043</v>
      </c>
      <c r="I399" s="8" t="inlineStr">
        <is>
          <t>pretax_income + interest_expense</t>
        </is>
      </c>
      <c r="J399" s="13" t="n">
        <v>8.747999999999999</v>
      </c>
      <c r="K399" s="10" t="n">
        <v>0.2091305508587701</v>
      </c>
      <c r="L399" s="13" t="n">
        <v>11.89704912343152</v>
      </c>
      <c r="M399" s="13" t="n"/>
      <c r="N399" s="13" t="n"/>
      <c r="O399" s="10" t="n"/>
      <c r="P399" s="8" t="inlineStr">
        <is>
          <t>FRAMEWORK_NOT_APPLICABLE</t>
        </is>
      </c>
      <c r="Q399" s="10" t="n">
        <v>0.1109891713239912</v>
      </c>
      <c r="R399" s="10" t="n"/>
      <c r="S399" s="13" t="n">
        <v>80.246</v>
      </c>
      <c r="T399" s="13" t="n">
        <v>87.196</v>
      </c>
      <c r="U399" s="13" t="n">
        <v>212.811</v>
      </c>
      <c r="V399" s="8" t="inlineStr">
        <is>
          <t>short-term + long-term</t>
        </is>
      </c>
      <c r="W399" s="13" t="n">
        <v>16.887</v>
      </c>
      <c r="X399" s="11" t="n">
        <v>7.438562207615325</v>
      </c>
      <c r="Y399" s="11" t="n">
        <v>3.952443510246979</v>
      </c>
      <c r="Z399" s="13" t="n"/>
      <c r="AA399" s="8" t="inlineStr">
        <is>
          <t>FRAMEWORK_NOT_APPLICABLE (financial sector)</t>
        </is>
      </c>
      <c r="AB399" s="10" t="n"/>
      <c r="AC399" s="10" t="n"/>
      <c r="AD399" s="12" t="n">
        <v>1700000000</v>
      </c>
    </row>
    <row r="400">
      <c r="A400" s="8" t="inlineStr">
        <is>
          <t>MS</t>
        </is>
      </c>
      <c r="B400" s="8" t="inlineStr">
        <is>
          <t>MORGAN STANLEY</t>
        </is>
      </c>
      <c r="C400" s="8" t="inlineStr">
        <is>
          <t>FINANCIAL</t>
        </is>
      </c>
      <c r="D400" s="8" t="n">
        <v>2019</v>
      </c>
      <c r="E400" s="8" t="inlineStr">
        <is>
          <t>2019-12-31</t>
        </is>
      </c>
      <c r="F400" s="8" t="inlineStr">
        <is>
          <t>0000895421-22-000400</t>
        </is>
      </c>
      <c r="G400" s="13" t="n"/>
      <c r="H400" s="13" t="n">
        <v>15.995</v>
      </c>
      <c r="I400" s="8" t="inlineStr">
        <is>
          <t>pretax_income + interest_expense</t>
        </is>
      </c>
      <c r="J400" s="13" t="n">
        <v>9.042</v>
      </c>
      <c r="K400" s="10" t="n">
        <v>0.1826387045394213</v>
      </c>
      <c r="L400" s="13" t="n">
        <v>13.07369392089196</v>
      </c>
      <c r="M400" s="13" t="n"/>
      <c r="N400" s="13" t="n"/>
      <c r="O400" s="10" t="n"/>
      <c r="P400" s="8" t="inlineStr">
        <is>
          <t>FRAMEWORK_NOT_APPLICABLE</t>
        </is>
      </c>
      <c r="Q400" s="10" t="n">
        <v>0.1117710683272042</v>
      </c>
      <c r="R400" s="10" t="n"/>
      <c r="S400" s="13" t="n">
        <v>81.54900000000001</v>
      </c>
      <c r="T400" s="13" t="n">
        <v>82.17100000000001</v>
      </c>
      <c r="U400" s="13" t="n">
        <v>210.462</v>
      </c>
      <c r="V400" s="8" t="inlineStr">
        <is>
          <t>short-term + long-term</t>
        </is>
      </c>
      <c r="W400" s="13" t="n">
        <v>18.638</v>
      </c>
      <c r="X400" s="11" t="n">
        <v>6.883302929498873</v>
      </c>
      <c r="Y400" s="11" t="n">
        <v>3.407541542394546</v>
      </c>
      <c r="Z400" s="13" t="n"/>
      <c r="AA400" s="8" t="inlineStr">
        <is>
          <t>FRAMEWORK_NOT_APPLICABLE (financial sector)</t>
        </is>
      </c>
      <c r="AB400" s="10" t="n"/>
      <c r="AC400" s="10" t="n"/>
      <c r="AD400" s="12" t="n">
        <v>1594000000</v>
      </c>
    </row>
    <row r="401">
      <c r="A401" s="8" t="inlineStr">
        <is>
          <t>MS</t>
        </is>
      </c>
      <c r="B401" s="8" t="inlineStr">
        <is>
          <t>MORGAN STANLEY</t>
        </is>
      </c>
      <c r="C401" s="8" t="inlineStr">
        <is>
          <t>FINANCIAL</t>
        </is>
      </c>
      <c r="D401" s="8" t="n">
        <v>2020</v>
      </c>
      <c r="E401" s="8" t="inlineStr">
        <is>
          <t>2020-12-31</t>
        </is>
      </c>
      <c r="F401" s="8" t="inlineStr">
        <is>
          <t>0000895421-23-000284</t>
        </is>
      </c>
      <c r="G401" s="13" t="n"/>
      <c r="H401" s="13" t="n">
        <v>20.731</v>
      </c>
      <c r="I401" s="8" t="inlineStr">
        <is>
          <t>pretax_income + interest_expense</t>
        </is>
      </c>
      <c r="J401" s="13" t="n">
        <v>10.996</v>
      </c>
      <c r="K401" s="10" t="n">
        <v>0.2246497433763351</v>
      </c>
      <c r="L401" s="13" t="n">
        <v>16.0737861700652</v>
      </c>
      <c r="M401" s="13" t="n"/>
      <c r="N401" s="13" t="n"/>
      <c r="O401" s="10" t="n"/>
      <c r="P401" s="8" t="inlineStr">
        <is>
          <t>FRAMEWORK_NOT_APPLICABLE</t>
        </is>
      </c>
      <c r="Q401" s="10" t="n">
        <v>0.1199585447008127</v>
      </c>
      <c r="R401" s="10" t="n"/>
      <c r="S401" s="13" t="n">
        <v>101.781</v>
      </c>
      <c r="T401" s="13" t="n">
        <v>105.654</v>
      </c>
      <c r="U401" s="13" t="n">
        <v>237.629</v>
      </c>
      <c r="V401" s="8" t="inlineStr">
        <is>
          <t>short-term + long-term</t>
        </is>
      </c>
      <c r="W401" s="13" t="n">
        <v>24.5</v>
      </c>
      <c r="X401" s="11" t="n">
        <v>5.386734693877551</v>
      </c>
      <c r="Y401" s="11" t="n">
        <v>3.283858704261049</v>
      </c>
      <c r="Z401" s="13" t="n"/>
      <c r="AA401" s="8" t="inlineStr">
        <is>
          <t>FRAMEWORK_NOT_APPLICABLE (financial sector)</t>
        </is>
      </c>
      <c r="AB401" s="10" t="n"/>
      <c r="AC401" s="10" t="n"/>
      <c r="AD401" s="12" t="n">
        <v>1810000000</v>
      </c>
    </row>
    <row r="402">
      <c r="A402" s="8" t="inlineStr">
        <is>
          <t>MS</t>
        </is>
      </c>
      <c r="B402" s="8" t="inlineStr">
        <is>
          <t>MORGAN STANLEY</t>
        </is>
      </c>
      <c r="C402" s="8" t="inlineStr">
        <is>
          <t>FINANCIAL</t>
        </is>
      </c>
      <c r="D402" s="8" t="n">
        <v>2021</v>
      </c>
      <c r="E402" s="8" t="inlineStr">
        <is>
          <t>2021-12-31</t>
        </is>
      </c>
      <c r="F402" s="8" t="inlineStr">
        <is>
          <t>0000895421-24-000300</t>
        </is>
      </c>
      <c r="G402" s="13" t="n"/>
      <c r="H402" s="13" t="n">
        <v>27.713</v>
      </c>
      <c r="I402" s="8" t="inlineStr">
        <is>
          <t>pretax_income + interest_expense</t>
        </is>
      </c>
      <c r="J402" s="13" t="n">
        <v>15.034</v>
      </c>
      <c r="K402" s="10" t="n">
        <v>0.2312385600976205</v>
      </c>
      <c r="L402" s="13" t="n">
        <v>21.30468578401464</v>
      </c>
      <c r="M402" s="13" t="n"/>
      <c r="N402" s="13" t="n"/>
      <c r="O402" s="10" t="n"/>
      <c r="P402" s="8" t="inlineStr">
        <is>
          <t>FRAMEWORK_NOT_APPLICABLE</t>
        </is>
      </c>
      <c r="Q402" s="10" t="n">
        <v>0.1451004237001863</v>
      </c>
      <c r="R402" s="10" t="n"/>
      <c r="S402" s="13" t="n">
        <v>105.441</v>
      </c>
      <c r="T402" s="13" t="n">
        <v>127.725</v>
      </c>
      <c r="U402" s="13" t="n">
        <v>227.363</v>
      </c>
      <c r="V402" s="8" t="inlineStr">
        <is>
          <t>long-term only (no short-term debt tagged; read as nil)</t>
        </is>
      </c>
      <c r="W402" s="13" t="n">
        <v>31.929</v>
      </c>
      <c r="X402" s="11" t="n">
        <v>3.120611356447117</v>
      </c>
      <c r="Y402" s="11" t="n">
        <v>3.44474829086389</v>
      </c>
      <c r="Z402" s="13" t="n"/>
      <c r="AA402" s="8" t="inlineStr">
        <is>
          <t>FRAMEWORK_NOT_APPLICABLE (financial sector)</t>
        </is>
      </c>
      <c r="AB402" s="10" t="n"/>
      <c r="AC402" s="10" t="n"/>
      <c r="AD402" s="12" t="n">
        <v>1772000000</v>
      </c>
    </row>
    <row r="403">
      <c r="A403" s="8" t="inlineStr">
        <is>
          <t>MS</t>
        </is>
      </c>
      <c r="B403" s="8" t="inlineStr">
        <is>
          <t>MORGAN STANLEY</t>
        </is>
      </c>
      <c r="C403" s="8" t="inlineStr">
        <is>
          <t>FINANCIAL</t>
        </is>
      </c>
      <c r="D403" s="8" t="n">
        <v>2022</v>
      </c>
      <c r="E403" s="8" t="inlineStr">
        <is>
          <t>2022-12-31</t>
        </is>
      </c>
      <c r="F403" s="8" t="inlineStr">
        <is>
          <t>0000895421-25-000304</t>
        </is>
      </c>
      <c r="G403" s="13" t="n"/>
      <c r="H403" s="13" t="n">
        <v>23.416</v>
      </c>
      <c r="I403" s="8" t="inlineStr">
        <is>
          <t>pretax_income + interest_expense</t>
        </is>
      </c>
      <c r="J403" s="13" t="n">
        <v>11.029</v>
      </c>
      <c r="K403" s="10" t="n">
        <v>0.2065441124281354</v>
      </c>
      <c r="L403" s="13" t="n">
        <v>18.57956306338278</v>
      </c>
      <c r="M403" s="13" t="n"/>
      <c r="N403" s="13" t="n"/>
      <c r="O403" s="10" t="n"/>
      <c r="P403" s="8" t="inlineStr">
        <is>
          <t>FRAMEWORK_NOT_APPLICABLE</t>
        </is>
      </c>
      <c r="Q403" s="10" t="n">
        <v>0.107295385782802</v>
      </c>
      <c r="R403" s="10" t="n"/>
      <c r="S403" s="13" t="n">
        <v>100.141</v>
      </c>
      <c r="T403" s="13" t="n">
        <v>128.127</v>
      </c>
      <c r="U403" s="13" t="n">
        <v>233.867</v>
      </c>
      <c r="V403" s="8" t="inlineStr">
        <is>
          <t>long-term only (no short-term debt tagged; read as nil)</t>
        </is>
      </c>
      <c r="W403" s="13" t="n">
        <v>27.414</v>
      </c>
      <c r="X403" s="11" t="n">
        <v>3.857153279346319</v>
      </c>
      <c r="Y403" s="11" t="n">
        <v>2.510560737643401</v>
      </c>
      <c r="Z403" s="13" t="n"/>
      <c r="AA403" s="8" t="inlineStr">
        <is>
          <t>FRAMEWORK_NOT_APPLICABLE (financial sector)</t>
        </is>
      </c>
      <c r="AB403" s="10" t="n"/>
      <c r="AC403" s="10" t="n"/>
      <c r="AD403" s="12" t="n">
        <v>1675000000</v>
      </c>
    </row>
    <row r="404">
      <c r="A404" s="8" t="inlineStr">
        <is>
          <t>MS</t>
        </is>
      </c>
      <c r="B404" s="8" t="inlineStr">
        <is>
          <t>MORGAN STANLEY</t>
        </is>
      </c>
      <c r="C404" s="8" t="inlineStr">
        <is>
          <t>FINANCIAL</t>
        </is>
      </c>
      <c r="D404" s="8" t="n">
        <v>2023</v>
      </c>
      <c r="E404" s="8" t="inlineStr">
        <is>
          <t>2023-12-31</t>
        </is>
      </c>
      <c r="F404" s="8" t="inlineStr">
        <is>
          <t>0000895421-26-000086</t>
        </is>
      </c>
      <c r="G404" s="13" t="n"/>
      <c r="H404" s="13" t="n">
        <v>20.043</v>
      </c>
      <c r="I404" s="8" t="inlineStr">
        <is>
          <t>pretax_income + interest_expense</t>
        </is>
      </c>
      <c r="J404" s="13" t="n">
        <v>9.087</v>
      </c>
      <c r="K404" s="10" t="n">
        <v>0.2186574113265047</v>
      </c>
      <c r="L404" s="13" t="n">
        <v>15.66044950478287</v>
      </c>
      <c r="M404" s="13" t="n"/>
      <c r="N404" s="13" t="n"/>
      <c r="O404" s="10" t="n"/>
      <c r="P404" s="8" t="inlineStr">
        <is>
          <t>FRAMEWORK_NOT_APPLICABLE</t>
        </is>
      </c>
      <c r="Q404" s="10" t="n">
        <v>0.09124455891434338</v>
      </c>
      <c r="R404" s="10" t="n"/>
      <c r="S404" s="13" t="n">
        <v>99.038</v>
      </c>
      <c r="T404" s="13" t="n">
        <v>89.232</v>
      </c>
      <c r="U404" s="13" t="n">
        <v>260.544</v>
      </c>
      <c r="V404" s="8" t="inlineStr">
        <is>
          <t>long-term only (no short-term debt tagged; read as nil)</t>
        </is>
      </c>
      <c r="W404" s="13" t="n">
        <v>24.299</v>
      </c>
      <c r="X404" s="11" t="n">
        <v>7.050166673525659</v>
      </c>
      <c r="Y404" s="11" t="n">
        <v>2.435358444714459</v>
      </c>
      <c r="Z404" s="13" t="n"/>
      <c r="AA404" s="8" t="inlineStr">
        <is>
          <t>FRAMEWORK_NOT_APPLICABLE (financial sector)</t>
        </is>
      </c>
      <c r="AB404" s="10" t="n"/>
      <c r="AC404" s="10" t="n"/>
      <c r="AD404" s="12" t="n">
        <v>1627000000</v>
      </c>
    </row>
    <row r="405">
      <c r="A405" s="8" t="inlineStr">
        <is>
          <t>MS</t>
        </is>
      </c>
      <c r="B405" s="8" t="inlineStr">
        <is>
          <t>MORGAN STANLEY</t>
        </is>
      </c>
      <c r="C405" s="8" t="inlineStr">
        <is>
          <t>FINANCIAL</t>
        </is>
      </c>
      <c r="D405" s="8" t="n">
        <v>2024</v>
      </c>
      <c r="E405" s="8" t="inlineStr">
        <is>
          <t>2024-12-31</t>
        </is>
      </c>
      <c r="F405" s="8" t="inlineStr">
        <is>
          <t>0000895421-26-000086</t>
        </is>
      </c>
      <c r="G405" s="13" t="n"/>
      <c r="H405" s="13" t="n">
        <v>26.207</v>
      </c>
      <c r="I405" s="8" t="inlineStr">
        <is>
          <t>pretax_income + interest_expense</t>
        </is>
      </c>
      <c r="J405" s="13" t="n">
        <v>13.39</v>
      </c>
      <c r="K405" s="10" t="n">
        <v>0.2311320754716981</v>
      </c>
      <c r="L405" s="13" t="n">
        <v>20.14972169811321</v>
      </c>
      <c r="M405" s="13" t="n"/>
      <c r="N405" s="13" t="n"/>
      <c r="O405" s="10" t="n"/>
      <c r="P405" s="8" t="inlineStr">
        <is>
          <t>FRAMEWORK_NOT_APPLICABLE</t>
        </is>
      </c>
      <c r="Q405" s="10" t="n">
        <v>0.131565372465598</v>
      </c>
      <c r="R405" s="10" t="n"/>
      <c r="S405" s="13" t="n">
        <v>104.511</v>
      </c>
      <c r="T405" s="13" t="n">
        <v>105.386</v>
      </c>
      <c r="U405" s="13" t="n">
        <v>284.307</v>
      </c>
      <c r="V405" s="8" t="inlineStr">
        <is>
          <t>long-term only (no short-term debt tagged; read as nil)</t>
        </is>
      </c>
      <c r="W405" s="13" t="n">
        <v>31.368</v>
      </c>
      <c r="X405" s="11" t="n">
        <v>5.703933945422087</v>
      </c>
      <c r="Y405" s="11" t="n">
        <v>3.043432818487981</v>
      </c>
      <c r="Z405" s="13" t="n"/>
      <c r="AA405" s="8" t="inlineStr">
        <is>
          <t>FRAMEWORK_NOT_APPLICABLE (financial sector)</t>
        </is>
      </c>
      <c r="AB405" s="10" t="n"/>
      <c r="AC405" s="10" t="n"/>
      <c r="AD405" s="12" t="n">
        <v>1606653706</v>
      </c>
    </row>
    <row r="406">
      <c r="A406" s="8" t="inlineStr">
        <is>
          <t>MS</t>
        </is>
      </c>
      <c r="B406" s="8" t="inlineStr">
        <is>
          <t>MORGAN STANLEY</t>
        </is>
      </c>
      <c r="C406" s="8" t="inlineStr">
        <is>
          <t>FINANCIAL</t>
        </is>
      </c>
      <c r="D406" s="8" t="n">
        <v>2025</v>
      </c>
      <c r="E406" s="8" t="inlineStr">
        <is>
          <t>2025-12-31</t>
        </is>
      </c>
      <c r="F406" s="8" t="inlineStr">
        <is>
          <t>0000895421-26-000086</t>
        </is>
      </c>
      <c r="G406" s="13" t="n"/>
      <c r="H406" s="13" t="n">
        <v>32</v>
      </c>
      <c r="I406" s="8" t="inlineStr">
        <is>
          <t>pretax_income + interest_expense</t>
        </is>
      </c>
      <c r="J406" s="13" t="n">
        <v>16.861</v>
      </c>
      <c r="K406" s="10" t="n">
        <v>0.2245148947799945</v>
      </c>
      <c r="L406" s="13" t="n">
        <v>24.81552336704017</v>
      </c>
      <c r="M406" s="13" t="n"/>
      <c r="N406" s="13" t="n"/>
      <c r="O406" s="10" t="n"/>
      <c r="P406" s="8" t="inlineStr">
        <is>
          <t>FRAMEWORK_NOT_APPLICABLE</t>
        </is>
      </c>
      <c r="Q406" s="10" t="n">
        <v>0.1560170812841498</v>
      </c>
      <c r="R406" s="10" t="n"/>
      <c r="S406" s="13" t="n">
        <v>111.632</v>
      </c>
      <c r="T406" s="13" t="n">
        <v>111.695</v>
      </c>
      <c r="U406" s="13" t="n">
        <v>341.681</v>
      </c>
      <c r="V406" s="8" t="inlineStr">
        <is>
          <t>long-term only (no short-term debt tagged; read as nil)</t>
        </is>
      </c>
      <c r="W406" s="13" t="n">
        <v>36.658</v>
      </c>
      <c r="X406" s="11" t="n">
        <v>6.273828359430411</v>
      </c>
      <c r="Y406" s="11" t="n">
        <v>3.185347401951026</v>
      </c>
      <c r="Z406" s="13" t="n"/>
      <c r="AA406" s="8" t="inlineStr">
        <is>
          <t>FRAMEWORK_NOT_APPLICABLE (financial sector)</t>
        </is>
      </c>
      <c r="AB406" s="10" t="n"/>
      <c r="AC406" s="10" t="n"/>
      <c r="AD406" s="12" t="n">
        <v>1582834137</v>
      </c>
    </row>
    <row r="407">
      <c r="A407" s="8" t="inlineStr">
        <is>
          <t>PG</t>
        </is>
      </c>
      <c r="B407" s="8" t="inlineStr">
        <is>
          <t>PROCTER &amp; GAMBLE Co</t>
        </is>
      </c>
      <c r="C407" s="8" t="inlineStr">
        <is>
          <t>STANDARD</t>
        </is>
      </c>
      <c r="D407" s="8" t="n">
        <v>2015</v>
      </c>
      <c r="E407" s="8" t="inlineStr">
        <is>
          <t>2015-06-30</t>
        </is>
      </c>
      <c r="F407" s="8" t="inlineStr">
        <is>
          <t>0000080424-17-000047</t>
        </is>
      </c>
      <c r="G407" s="13" t="n"/>
      <c r="H407" s="13" t="n">
        <v>11.049</v>
      </c>
      <c r="I407" s="8" t="inlineStr">
        <is>
          <t>reported OperatingIncomeLoss (no interest expense tagged)</t>
        </is>
      </c>
      <c r="J407" s="13" t="n">
        <v>7.036</v>
      </c>
      <c r="K407" s="10" t="n">
        <v>0.21</v>
      </c>
      <c r="L407" s="13" t="n">
        <v>8.72871</v>
      </c>
      <c r="M407" s="13" t="n"/>
      <c r="N407" s="13" t="n"/>
      <c r="O407" s="10" t="n"/>
      <c r="P407" s="8" t="inlineStr">
        <is>
          <t>DATA_UNAVAILABLE</t>
        </is>
      </c>
      <c r="Q407" s="10" t="n">
        <v>0.111593973037272</v>
      </c>
      <c r="R407" s="10" t="n"/>
      <c r="S407" s="13" t="n">
        <v>63.05</v>
      </c>
      <c r="T407" s="13" t="n"/>
      <c r="U407" s="13" t="n">
        <v>30.345</v>
      </c>
      <c r="V407" s="8" t="inlineStr">
        <is>
          <t>short-term + long-term</t>
        </is>
      </c>
      <c r="W407" s="13" t="n">
        <v>14.183</v>
      </c>
      <c r="X407" s="11" t="n"/>
      <c r="Y407" s="11" t="n"/>
      <c r="Z407" s="13" t="n">
        <v>10.872</v>
      </c>
      <c r="AA407" s="8" t="inlineStr">
        <is>
          <t>operating cash flow - capex (working-capital swing already embedded)</t>
        </is>
      </c>
      <c r="AB407" s="10" t="n"/>
      <c r="AC407" s="10" t="n"/>
      <c r="AD407" s="12" t="n">
        <v>2883600000</v>
      </c>
    </row>
    <row r="408">
      <c r="A408" s="8" t="inlineStr">
        <is>
          <t>PG</t>
        </is>
      </c>
      <c r="B408" s="8" t="inlineStr">
        <is>
          <t>PROCTER &amp; GAMBLE Co</t>
        </is>
      </c>
      <c r="C408" s="8" t="inlineStr">
        <is>
          <t>STANDARD</t>
        </is>
      </c>
      <c r="D408" s="8" t="n">
        <v>2016</v>
      </c>
      <c r="E408" s="8" t="inlineStr">
        <is>
          <t>2016-06-30</t>
        </is>
      </c>
      <c r="F408" s="8" t="inlineStr">
        <is>
          <t>0000080424-18-000055</t>
        </is>
      </c>
      <c r="G408" s="13" t="n"/>
      <c r="H408" s="13" t="n">
        <v>13.441</v>
      </c>
      <c r="I408" s="8" t="inlineStr">
        <is>
          <t>reported OperatingIncomeLoss (no interest expense tagged)</t>
        </is>
      </c>
      <c r="J408" s="13" t="n">
        <v>10.508</v>
      </c>
      <c r="K408" s="10" t="n">
        <v>0.21</v>
      </c>
      <c r="L408" s="13" t="n">
        <v>10.61839</v>
      </c>
      <c r="M408" s="13" t="n"/>
      <c r="N408" s="13" t="n"/>
      <c r="O408" s="10" t="n"/>
      <c r="P408" s="8" t="inlineStr">
        <is>
          <t>DATA_UNAVAILABLE</t>
        </is>
      </c>
      <c r="Q408" s="10" t="n">
        <v>0.1736385944329233</v>
      </c>
      <c r="R408" s="10" t="n"/>
      <c r="S408" s="13" t="n">
        <v>57.983</v>
      </c>
      <c r="T408" s="13" t="n"/>
      <c r="U408" s="13" t="n">
        <v>30.598</v>
      </c>
      <c r="V408" s="8" t="inlineStr">
        <is>
          <t>short-term + long-term</t>
        </is>
      </c>
      <c r="W408" s="13" t="n">
        <v>16.519</v>
      </c>
      <c r="X408" s="11" t="n"/>
      <c r="Y408" s="11" t="n"/>
      <c r="Z408" s="13" t="n">
        <v>7.481</v>
      </c>
      <c r="AA408" s="8" t="inlineStr">
        <is>
          <t>net income + D&amp;A - capex - change in current assets less current liabilities; cash not tagged for both years, so the swing may still carry a cash movement</t>
        </is>
      </c>
      <c r="AB408" s="10" t="n"/>
      <c r="AC408" s="10" t="n"/>
      <c r="AD408" s="12" t="n">
        <v>2844400000</v>
      </c>
    </row>
    <row r="409">
      <c r="A409" s="8" t="inlineStr">
        <is>
          <t>PG</t>
        </is>
      </c>
      <c r="B409" s="8" t="inlineStr">
        <is>
          <t>PROCTER &amp; GAMBLE Co</t>
        </is>
      </c>
      <c r="C409" s="8" t="inlineStr">
        <is>
          <t>STANDARD</t>
        </is>
      </c>
      <c r="D409" s="8" t="n">
        <v>2017</v>
      </c>
      <c r="E409" s="8" t="inlineStr">
        <is>
          <t>2017-06-30</t>
        </is>
      </c>
      <c r="F409" s="8" t="inlineStr">
        <is>
          <t>0000080424-19-000050</t>
        </is>
      </c>
      <c r="G409" s="13" t="n">
        <v>65.05800000000001</v>
      </c>
      <c r="H409" s="13" t="n">
        <v>13.766</v>
      </c>
      <c r="I409" s="8" t="inlineStr">
        <is>
          <t>reported OperatingIncomeLoss (no interest expense tagged)</t>
        </is>
      </c>
      <c r="J409" s="13" t="n">
        <v>15.326</v>
      </c>
      <c r="K409" s="10" t="n">
        <v>0.21</v>
      </c>
      <c r="L409" s="13" t="n">
        <v>10.87514</v>
      </c>
      <c r="M409" s="13" t="n">
        <v>81.801</v>
      </c>
      <c r="N409" s="13" t="n">
        <v>81.801</v>
      </c>
      <c r="O409" s="10" t="n">
        <v>0.1329462965000428</v>
      </c>
      <c r="P409" s="8" t="inlineStr">
        <is>
          <t>OK</t>
        </is>
      </c>
      <c r="Q409" s="10" t="n">
        <v>0.2694420759311187</v>
      </c>
      <c r="R409" s="10" t="n">
        <v>0.136495779431076</v>
      </c>
      <c r="S409" s="13" t="n">
        <v>55.778</v>
      </c>
      <c r="T409" s="13" t="n">
        <v>5.569</v>
      </c>
      <c r="U409" s="13" t="n">
        <v>31.592</v>
      </c>
      <c r="V409" s="8" t="inlineStr">
        <is>
          <t>short-term + long-term</t>
        </is>
      </c>
      <c r="W409" s="13" t="n">
        <v>16.586</v>
      </c>
      <c r="X409" s="11" t="n">
        <v>1.568973833353431</v>
      </c>
      <c r="Y409" s="11" t="n"/>
      <c r="Z409" s="13" t="n">
        <v>25.158</v>
      </c>
      <c r="AA409" s="8" t="inlineStr">
        <is>
          <t>net income + D&amp;A - capex - change in current assets less current liabilities; cash not tagged for both years, so the swing may still carry a cash movement</t>
        </is>
      </c>
      <c r="AB409" s="10" t="n">
        <v>0.3867010974822466</v>
      </c>
      <c r="AC409" s="10" t="n">
        <v>0.2115958068185312</v>
      </c>
      <c r="AD409" s="12" t="n">
        <v>2740400000</v>
      </c>
    </row>
    <row r="410">
      <c r="A410" s="8" t="inlineStr">
        <is>
          <t>PG</t>
        </is>
      </c>
      <c r="B410" s="8" t="inlineStr">
        <is>
          <t>PROCTER &amp; GAMBLE Co</t>
        </is>
      </c>
      <c r="C410" s="8" t="inlineStr">
        <is>
          <t>STANDARD</t>
        </is>
      </c>
      <c r="D410" s="8" t="n">
        <v>2018</v>
      </c>
      <c r="E410" s="8" t="inlineStr">
        <is>
          <t>2018-06-30</t>
        </is>
      </c>
      <c r="F410" s="8" t="inlineStr">
        <is>
          <t>0000080424-20-000053</t>
        </is>
      </c>
      <c r="G410" s="13" t="n">
        <v>66.83199999999999</v>
      </c>
      <c r="H410" s="13" t="n">
        <v>13.363</v>
      </c>
      <c r="I410" s="8" t="inlineStr">
        <is>
          <t>reported OperatingIncomeLoss (no interest expense tagged)</t>
        </is>
      </c>
      <c r="J410" s="13" t="n">
        <v>9.75</v>
      </c>
      <c r="K410" s="10" t="n">
        <v>0.21</v>
      </c>
      <c r="L410" s="13" t="n">
        <v>10.55677</v>
      </c>
      <c r="M410" s="13" t="n">
        <v>81.59999999999999</v>
      </c>
      <c r="N410" s="13" t="n">
        <v>81.70050000000001</v>
      </c>
      <c r="O410" s="10" t="n">
        <v>0.1292130403118708</v>
      </c>
      <c r="P410" s="8" t="inlineStr">
        <is>
          <t>OK</t>
        </is>
      </c>
      <c r="Q410" s="10" t="n">
        <v>0.1794572109588537</v>
      </c>
      <c r="R410" s="10" t="n">
        <v>0.05024417064698286</v>
      </c>
      <c r="S410" s="13" t="n">
        <v>52.883</v>
      </c>
      <c r="T410" s="13" t="n">
        <v>2.569</v>
      </c>
      <c r="U410" s="13" t="n">
        <v>31.286</v>
      </c>
      <c r="V410" s="8" t="inlineStr">
        <is>
          <t>short-term + long-term</t>
        </is>
      </c>
      <c r="W410" s="13" t="n">
        <v>16.197</v>
      </c>
      <c r="X410" s="11" t="n">
        <v>1.77298265110823</v>
      </c>
      <c r="Y410" s="11" t="n"/>
      <c r="Z410" s="13" t="n">
        <v>10.199</v>
      </c>
      <c r="AA410" s="8" t="inlineStr">
        <is>
          <t>net income + D&amp;A - capex - change in operating working capital (cash and short-term debt excluded)</t>
        </is>
      </c>
      <c r="AB410" s="10" t="n">
        <v>0.1526065357912377</v>
      </c>
      <c r="AC410" s="10" t="n">
        <v>0.1999491261671056</v>
      </c>
      <c r="AD410" s="12" t="n">
        <v>2656700000</v>
      </c>
    </row>
    <row r="411">
      <c r="A411" s="8" t="inlineStr">
        <is>
          <t>PG</t>
        </is>
      </c>
      <c r="B411" s="8" t="inlineStr">
        <is>
          <t>PROCTER &amp; GAMBLE Co</t>
        </is>
      </c>
      <c r="C411" s="8" t="inlineStr">
        <is>
          <t>STANDARD</t>
        </is>
      </c>
      <c r="D411" s="8" t="n">
        <v>2019</v>
      </c>
      <c r="E411" s="8" t="inlineStr">
        <is>
          <t>2019-06-30</t>
        </is>
      </c>
      <c r="F411" s="8" t="inlineStr">
        <is>
          <t>0000080424-21-000100</t>
        </is>
      </c>
      <c r="G411" s="13" t="n">
        <v>67.684</v>
      </c>
      <c r="H411" s="13" t="n">
        <v>5.487</v>
      </c>
      <c r="I411" s="8" t="inlineStr">
        <is>
          <t>reported OperatingIncomeLoss (no interest expense tagged)</t>
        </is>
      </c>
      <c r="J411" s="13" t="n">
        <v>3.897</v>
      </c>
      <c r="K411" s="10" t="n">
        <v>0.21</v>
      </c>
      <c r="L411" s="13" t="n">
        <v>4.33473</v>
      </c>
      <c r="M411" s="13" t="n">
        <v>73.432</v>
      </c>
      <c r="N411" s="13" t="n">
        <v>77.51600000000001</v>
      </c>
      <c r="O411" s="10" t="n">
        <v>0.05592045513184375</v>
      </c>
      <c r="P411" s="8" t="inlineStr">
        <is>
          <t>OK</t>
        </is>
      </c>
      <c r="Q411" s="10" t="n">
        <v>0.07758157313212956</v>
      </c>
      <c r="R411" s="10" t="n">
        <v>0.02166111800028581</v>
      </c>
      <c r="S411" s="13" t="n">
        <v>47.579</v>
      </c>
      <c r="T411" s="13" t="n">
        <v>4.239</v>
      </c>
      <c r="U411" s="13" t="n">
        <v>30.092</v>
      </c>
      <c r="V411" s="8" t="inlineStr">
        <is>
          <t>short-term + long-term</t>
        </is>
      </c>
      <c r="W411" s="13" t="n">
        <v>8.311</v>
      </c>
      <c r="X411" s="11" t="n">
        <v>3.110696667067741</v>
      </c>
      <c r="Y411" s="11" t="n"/>
      <c r="Z411" s="13" t="n">
        <v>8.391</v>
      </c>
      <c r="AA411" s="8" t="inlineStr">
        <is>
          <t>net income + D&amp;A - capex - change in operating working capital (cash and short-term debt excluded)</t>
        </is>
      </c>
      <c r="AB411" s="10" t="n">
        <v>0.1239731694344306</v>
      </c>
      <c r="AC411" s="10" t="n">
        <v>0.08106790378819219</v>
      </c>
      <c r="AD411" s="12" t="n">
        <v>2539500000</v>
      </c>
    </row>
    <row r="412">
      <c r="A412" s="8" t="inlineStr">
        <is>
          <t>PG</t>
        </is>
      </c>
      <c r="B412" s="8" t="inlineStr">
        <is>
          <t>PROCTER &amp; GAMBLE Co</t>
        </is>
      </c>
      <c r="C412" s="8" t="inlineStr">
        <is>
          <t>STANDARD</t>
        </is>
      </c>
      <c r="D412" s="8" t="n">
        <v>2020</v>
      </c>
      <c r="E412" s="8" t="inlineStr">
        <is>
          <t>2020-06-30</t>
        </is>
      </c>
      <c r="F412" s="8" t="inlineStr">
        <is>
          <t>0000080424-22-000064</t>
        </is>
      </c>
      <c r="G412" s="13" t="n">
        <v>70.95</v>
      </c>
      <c r="H412" s="13" t="n">
        <v>15.706</v>
      </c>
      <c r="I412" s="8" t="inlineStr">
        <is>
          <t>reported OperatingIncomeLoss (no interest expense tagged)</t>
        </is>
      </c>
      <c r="J412" s="13" t="n">
        <v>13.027</v>
      </c>
      <c r="K412" s="10" t="n">
        <v>0.21</v>
      </c>
      <c r="L412" s="13" t="n">
        <v>12.40774</v>
      </c>
      <c r="M412" s="13" t="n">
        <v>65.417</v>
      </c>
      <c r="N412" s="13" t="n">
        <v>69.42449999999999</v>
      </c>
      <c r="O412" s="10" t="n">
        <v>0.1787227851839048</v>
      </c>
      <c r="P412" s="8" t="inlineStr">
        <is>
          <t>OK</t>
        </is>
      </c>
      <c r="Q412" s="10" t="n">
        <v>0.2758292132928211</v>
      </c>
      <c r="R412" s="10" t="n">
        <v>0.09710642810891623</v>
      </c>
      <c r="S412" s="13" t="n">
        <v>46.878</v>
      </c>
      <c r="T412" s="13" t="n">
        <v>16.181</v>
      </c>
      <c r="U412" s="13" t="n">
        <v>34.72</v>
      </c>
      <c r="V412" s="8" t="inlineStr">
        <is>
          <t>short-term + long-term</t>
        </is>
      </c>
      <c r="W412" s="13" t="n">
        <v>18.719</v>
      </c>
      <c r="X412" s="11" t="n">
        <v>0.9903841017148352</v>
      </c>
      <c r="Y412" s="11" t="n"/>
      <c r="Z412" s="13" t="n">
        <v>20.874</v>
      </c>
      <c r="AA412" s="8" t="inlineStr">
        <is>
          <t>net income + D&amp;A - capex - change in operating working capital (cash and short-term debt excluded)</t>
        </is>
      </c>
      <c r="AB412" s="10" t="n">
        <v>0.2942071881606765</v>
      </c>
      <c r="AC412" s="10" t="n">
        <v>0.2213671599718111</v>
      </c>
      <c r="AD412" s="12" t="n">
        <v>2625800000</v>
      </c>
    </row>
    <row r="413">
      <c r="A413" s="8" t="inlineStr">
        <is>
          <t>PG</t>
        </is>
      </c>
      <c r="B413" s="8" t="inlineStr">
        <is>
          <t>PROCTER &amp; GAMBLE Co</t>
        </is>
      </c>
      <c r="C413" s="8" t="inlineStr">
        <is>
          <t>STANDARD</t>
        </is>
      </c>
      <c r="D413" s="8" t="n">
        <v>2021</v>
      </c>
      <c r="E413" s="8" t="inlineStr">
        <is>
          <t>2021-06-30</t>
        </is>
      </c>
      <c r="F413" s="8" t="inlineStr">
        <is>
          <t>0000080424-23-000073</t>
        </is>
      </c>
      <c r="G413" s="13" t="n">
        <v>76.11799999999999</v>
      </c>
      <c r="H413" s="13" t="n">
        <v>17.986</v>
      </c>
      <c r="I413" s="8" t="inlineStr">
        <is>
          <t>reported OperatingIncomeLoss (no interest expense tagged)</t>
        </is>
      </c>
      <c r="J413" s="13" t="n">
        <v>14.306</v>
      </c>
      <c r="K413" s="10" t="n">
        <v>0.21</v>
      </c>
      <c r="L413" s="13" t="n">
        <v>14.20894</v>
      </c>
      <c r="M413" s="13" t="n">
        <v>68.354</v>
      </c>
      <c r="N413" s="13" t="n">
        <v>66.88549999999999</v>
      </c>
      <c r="O413" s="10" t="n">
        <v>0.2124367762818548</v>
      </c>
      <c r="P413" s="8" t="inlineStr">
        <is>
          <t>OK</t>
        </is>
      </c>
      <c r="Q413" s="10" t="n">
        <v>0.3059060000855322</v>
      </c>
      <c r="R413" s="10" t="n">
        <v>0.09346922380367739</v>
      </c>
      <c r="S413" s="13" t="n">
        <v>46.654</v>
      </c>
      <c r="T413" s="13" t="n">
        <v>10.288</v>
      </c>
      <c r="U413" s="13" t="n">
        <v>31.988</v>
      </c>
      <c r="V413" s="8" t="inlineStr">
        <is>
          <t>short-term + long-term</t>
        </is>
      </c>
      <c r="W413" s="13" t="n">
        <v>20.721</v>
      </c>
      <c r="X413" s="11" t="n">
        <v>1.047246754500265</v>
      </c>
      <c r="Y413" s="11" t="n"/>
      <c r="Z413" s="13" t="n">
        <v>15.707</v>
      </c>
      <c r="AA413" s="8" t="inlineStr">
        <is>
          <t>net income + D&amp;A - capex - change in operating working capital (cash and short-term debt excluded)</t>
        </is>
      </c>
      <c r="AB413" s="10" t="n">
        <v>0.2063506660711001</v>
      </c>
      <c r="AC413" s="10" t="n">
        <v>0.2362910218345201</v>
      </c>
      <c r="AD413" s="12" t="n">
        <v>2601000000</v>
      </c>
    </row>
    <row r="414">
      <c r="A414" s="8" t="inlineStr">
        <is>
          <t>PG</t>
        </is>
      </c>
      <c r="B414" s="8" t="inlineStr">
        <is>
          <t>PROCTER &amp; GAMBLE Co</t>
        </is>
      </c>
      <c r="C414" s="8" t="inlineStr">
        <is>
          <t>STANDARD</t>
        </is>
      </c>
      <c r="D414" s="8" t="n">
        <v>2022</v>
      </c>
      <c r="E414" s="8" t="inlineStr">
        <is>
          <t>2022-06-30</t>
        </is>
      </c>
      <c r="F414" s="8" t="inlineStr">
        <is>
          <t>0000080424-24-000083</t>
        </is>
      </c>
      <c r="G414" s="13" t="n">
        <v>80.187</v>
      </c>
      <c r="H414" s="13" t="n">
        <v>18.434</v>
      </c>
      <c r="I414" s="8" t="inlineStr">
        <is>
          <t>pretax_income + interest_expense</t>
        </is>
      </c>
      <c r="J414" s="13" t="n">
        <v>14.742</v>
      </c>
      <c r="K414" s="10" t="n">
        <v>0.1779383161989442</v>
      </c>
      <c r="L414" s="13" t="n">
        <v>15.15388507918866</v>
      </c>
      <c r="M414" s="13" t="n">
        <v>71.133</v>
      </c>
      <c r="N414" s="13" t="n">
        <v>69.7435</v>
      </c>
      <c r="O414" s="10" t="n">
        <v>0.217280249473982</v>
      </c>
      <c r="P414" s="8" t="inlineStr">
        <is>
          <t>OK</t>
        </is>
      </c>
      <c r="Q414" s="10" t="n">
        <v>0.3153099200068443</v>
      </c>
      <c r="R414" s="10" t="n">
        <v>0.09802967053286232</v>
      </c>
      <c r="S414" s="13" t="n">
        <v>46.854</v>
      </c>
      <c r="T414" s="13" t="n">
        <v>7.214</v>
      </c>
      <c r="U414" s="13" t="n">
        <v>31.493</v>
      </c>
      <c r="V414" s="8" t="inlineStr">
        <is>
          <t>short-term + long-term</t>
        </is>
      </c>
      <c r="W414" s="13" t="n">
        <v>21.241</v>
      </c>
      <c r="X414" s="11" t="n">
        <v>1.143025281295608</v>
      </c>
      <c r="Y414" s="11" t="n">
        <v>41.99088838268793</v>
      </c>
      <c r="Z414" s="13" t="n">
        <v>12.95</v>
      </c>
      <c r="AA414" s="8" t="inlineStr">
        <is>
          <t>net income + D&amp;A - capex - change in operating working capital (cash and short-term debt excluded)</t>
        </is>
      </c>
      <c r="AB414" s="10" t="n">
        <v>0.1614974995946974</v>
      </c>
      <c r="AC414" s="10" t="n">
        <v>0.2298876376470001</v>
      </c>
      <c r="AD414" s="12" t="n">
        <v>2539100000</v>
      </c>
    </row>
    <row r="415">
      <c r="A415" s="8" t="inlineStr">
        <is>
          <t>PG</t>
        </is>
      </c>
      <c r="B415" s="8" t="inlineStr">
        <is>
          <t>PROCTER &amp; GAMBLE Co</t>
        </is>
      </c>
      <c r="C415" s="8" t="inlineStr">
        <is>
          <t>STANDARD</t>
        </is>
      </c>
      <c r="D415" s="8" t="n">
        <v>2023</v>
      </c>
      <c r="E415" s="8" t="inlineStr">
        <is>
          <t>2023-06-30</t>
        </is>
      </c>
      <c r="F415" s="8" t="inlineStr">
        <is>
          <t>0000080424-25-000076</t>
        </is>
      </c>
      <c r="G415" s="13" t="n">
        <v>82.006</v>
      </c>
      <c r="H415" s="13" t="n">
        <v>19.109</v>
      </c>
      <c r="I415" s="8" t="inlineStr">
        <is>
          <t>pretax_income + interest_expense</t>
        </is>
      </c>
      <c r="J415" s="13" t="n">
        <v>14.653</v>
      </c>
      <c r="K415" s="10" t="n">
        <v>0.1969705225303765</v>
      </c>
      <c r="L415" s="13" t="n">
        <v>15.34509028496704</v>
      </c>
      <c r="M415" s="13" t="n">
        <v>73.426</v>
      </c>
      <c r="N415" s="13" t="n">
        <v>72.2795</v>
      </c>
      <c r="O415" s="10" t="n">
        <v>0.2123021089654333</v>
      </c>
      <c r="P415" s="8" t="inlineStr">
        <is>
          <t>OK</t>
        </is>
      </c>
      <c r="Q415" s="10" t="n">
        <v>0.3120348385310747</v>
      </c>
      <c r="R415" s="10" t="n">
        <v>0.09973272956564139</v>
      </c>
      <c r="S415" s="13" t="n">
        <v>47.065</v>
      </c>
      <c r="T415" s="13" t="n">
        <v>8.246</v>
      </c>
      <c r="U415" s="13" t="n">
        <v>34.607</v>
      </c>
      <c r="V415" s="8" t="inlineStr">
        <is>
          <t>short-term + long-term</t>
        </is>
      </c>
      <c r="W415" s="13" t="n">
        <v>21.823</v>
      </c>
      <c r="X415" s="11" t="n">
        <v>1.207945745314576</v>
      </c>
      <c r="Y415" s="11" t="n">
        <v>25.27645502645503</v>
      </c>
      <c r="Z415" s="13" t="n">
        <v>15.433</v>
      </c>
      <c r="AA415" s="8" t="inlineStr">
        <is>
          <t>net income + D&amp;A - capex - change in operating working capital (cash and short-term debt excluded)</t>
        </is>
      </c>
      <c r="AB415" s="10" t="n">
        <v>0.1881935468136478</v>
      </c>
      <c r="AC415" s="10" t="n">
        <v>0.2330195351559642</v>
      </c>
      <c r="AD415" s="12" t="n">
        <v>2483900000</v>
      </c>
    </row>
    <row r="416">
      <c r="A416" s="8" t="inlineStr">
        <is>
          <t>PG</t>
        </is>
      </c>
      <c r="B416" s="8" t="inlineStr">
        <is>
          <t>PROCTER &amp; GAMBLE Co</t>
        </is>
      </c>
      <c r="C416" s="8" t="inlineStr">
        <is>
          <t>STANDARD</t>
        </is>
      </c>
      <c r="D416" s="8" t="n">
        <v>2024</v>
      </c>
      <c r="E416" s="8" t="inlineStr">
        <is>
          <t>2024-06-30</t>
        </is>
      </c>
      <c r="F416" s="8" t="inlineStr">
        <is>
          <t>0000080424-26-000103</t>
        </is>
      </c>
      <c r="G416" s="13" t="n">
        <v>84.039</v>
      </c>
      <c r="H416" s="13" t="n">
        <v>19.686</v>
      </c>
      <c r="I416" s="8" t="inlineStr">
        <is>
          <t>pretax_income + interest_expense</t>
        </is>
      </c>
      <c r="J416" s="13" t="n">
        <v>14.879</v>
      </c>
      <c r="K416" s="10" t="n">
        <v>0.2018549117850861</v>
      </c>
      <c r="L416" s="13" t="n">
        <v>15.7122842065988</v>
      </c>
      <c r="M416" s="13" t="n">
        <v>73.53700000000001</v>
      </c>
      <c r="N416" s="13" t="n">
        <v>73.4815</v>
      </c>
      <c r="O416" s="10" t="n">
        <v>0.2138263944883922</v>
      </c>
      <c r="P416" s="8" t="inlineStr">
        <is>
          <t>OK</t>
        </is>
      </c>
      <c r="Q416" s="10" t="n">
        <v>0.3048225846103417</v>
      </c>
      <c r="R416" s="10" t="n">
        <v>0.09099619012194948</v>
      </c>
      <c r="S416" s="13" t="n">
        <v>50.559</v>
      </c>
      <c r="T416" s="13" t="n">
        <v>9.481999999999999</v>
      </c>
      <c r="U416" s="13" t="n">
        <v>32.46</v>
      </c>
      <c r="V416" s="8" t="inlineStr">
        <is>
          <t>short-term + long-term</t>
        </is>
      </c>
      <c r="W416" s="13" t="n">
        <v>22.582</v>
      </c>
      <c r="X416" s="11" t="n">
        <v>1.017536090691701</v>
      </c>
      <c r="Y416" s="11" t="n">
        <v>21.28216216216216</v>
      </c>
      <c r="Z416" s="13" t="n">
        <v>14.537</v>
      </c>
      <c r="AA416" s="8" t="inlineStr">
        <is>
          <t>net income + D&amp;A - capex - change in operating working capital (cash and short-term debt excluded)</t>
        </is>
      </c>
      <c r="AB416" s="10" t="n">
        <v>0.1729792120325087</v>
      </c>
      <c r="AC416" s="10" t="n">
        <v>0.2342483846785421</v>
      </c>
      <c r="AD416" s="12" t="n">
        <v>2471900000</v>
      </c>
    </row>
    <row r="417">
      <c r="A417" s="8" t="inlineStr">
        <is>
          <t>PG</t>
        </is>
      </c>
      <c r="B417" s="8" t="inlineStr">
        <is>
          <t>PROCTER &amp; GAMBLE Co</t>
        </is>
      </c>
      <c r="C417" s="8" t="inlineStr">
        <is>
          <t>STANDARD</t>
        </is>
      </c>
      <c r="D417" s="8" t="n">
        <v>2025</v>
      </c>
      <c r="E417" s="8" t="inlineStr">
        <is>
          <t>2025-06-30</t>
        </is>
      </c>
      <c r="F417" s="8" t="inlineStr">
        <is>
          <t>0000080424-26-000103</t>
        </is>
      </c>
      <c r="G417" s="13" t="n">
        <v>84.28400000000001</v>
      </c>
      <c r="H417" s="13" t="n">
        <v>21.074</v>
      </c>
      <c r="I417" s="8" t="inlineStr">
        <is>
          <t>pretax_income + interest_expense</t>
        </is>
      </c>
      <c r="J417" s="13" t="n">
        <v>15.974</v>
      </c>
      <c r="K417" s="10" t="n">
        <v>0.2034015966678237</v>
      </c>
      <c r="L417" s="13" t="n">
        <v>16.78751475182229</v>
      </c>
      <c r="M417" s="13" t="n">
        <v>77.236</v>
      </c>
      <c r="N417" s="13" t="n">
        <v>75.3865</v>
      </c>
      <c r="O417" s="10" t="n">
        <v>0.222685955069174</v>
      </c>
      <c r="P417" s="8" t="inlineStr">
        <is>
          <t>OK</t>
        </is>
      </c>
      <c r="Q417" s="10" t="n">
        <v>0.3106482696926383</v>
      </c>
      <c r="R417" s="10" t="n">
        <v>0.08796231462346432</v>
      </c>
      <c r="S417" s="13" t="n">
        <v>52.284</v>
      </c>
      <c r="T417" s="13" t="n">
        <v>9.555999999999999</v>
      </c>
      <c r="U417" s="13" t="n">
        <v>34.508</v>
      </c>
      <c r="V417" s="8" t="inlineStr">
        <is>
          <t>short-term + long-term</t>
        </is>
      </c>
      <c r="W417" s="13" t="n">
        <v>23.921</v>
      </c>
      <c r="X417" s="11" t="n">
        <v>1.043100204840935</v>
      </c>
      <c r="Y417" s="11" t="n">
        <v>23.2348401323043</v>
      </c>
      <c r="Z417" s="13" t="n">
        <v>14.548</v>
      </c>
      <c r="AA417" s="8" t="inlineStr">
        <is>
          <t>net income + D&amp;A - capex - change in operating working capital (cash and short-term debt excluded)</t>
        </is>
      </c>
      <c r="AB417" s="10" t="n">
        <v>0.1726069004793318</v>
      </c>
      <c r="AC417" s="10" t="n">
        <v>0.2500355939442836</v>
      </c>
      <c r="AD417" s="12" t="n">
        <v>2454400000</v>
      </c>
    </row>
    <row r="418">
      <c r="A418" s="8" t="inlineStr">
        <is>
          <t>PG</t>
        </is>
      </c>
      <c r="B418" s="8" t="inlineStr">
        <is>
          <t>PROCTER &amp; GAMBLE Co</t>
        </is>
      </c>
      <c r="C418" s="8" t="inlineStr">
        <is>
          <t>STANDARD</t>
        </is>
      </c>
      <c r="D418" s="8" t="n">
        <v>2026</v>
      </c>
      <c r="E418" s="8" t="inlineStr">
        <is>
          <t>2026-06-30</t>
        </is>
      </c>
      <c r="F418" s="8" t="inlineStr">
        <is>
          <t>0000080424-26-000103</t>
        </is>
      </c>
      <c r="G418" s="13" t="n">
        <v>87.032</v>
      </c>
      <c r="H418" s="13" t="n">
        <v>21.254</v>
      </c>
      <c r="I418" s="8" t="inlineStr">
        <is>
          <t>pretax_income + interest_expense</t>
        </is>
      </c>
      <c r="J418" s="13" t="n">
        <v>16.046</v>
      </c>
      <c r="K418" s="10" t="n">
        <v>0.2077342101388821</v>
      </c>
      <c r="L418" s="13" t="n">
        <v>16.8388170977082</v>
      </c>
      <c r="M418" s="13" t="n">
        <v>78.50700000000001</v>
      </c>
      <c r="N418" s="13" t="n">
        <v>77.8715</v>
      </c>
      <c r="O418" s="10" t="n">
        <v>0.2162385095665064</v>
      </c>
      <c r="P418" s="8" t="inlineStr">
        <is>
          <t>OK</t>
        </is>
      </c>
      <c r="Q418" s="10" t="n">
        <v>0.30106477789765</v>
      </c>
      <c r="R418" s="10" t="n">
        <v>0.08482626833114359</v>
      </c>
      <c r="S418" s="13" t="n">
        <v>54.311</v>
      </c>
      <c r="T418" s="13" t="n">
        <v>9.942</v>
      </c>
      <c r="U418" s="13" t="n">
        <v>34.138</v>
      </c>
      <c r="V418" s="8" t="inlineStr">
        <is>
          <t>short-term + long-term</t>
        </is>
      </c>
      <c r="W418" s="13" t="n">
        <v>24.414</v>
      </c>
      <c r="X418" s="11" t="n">
        <v>0.9910706971409847</v>
      </c>
      <c r="Y418" s="11" t="n">
        <v>24.23489167616876</v>
      </c>
      <c r="Z418" s="13" t="n">
        <v>15.22</v>
      </c>
      <c r="AA418" s="8" t="inlineStr">
        <is>
          <t>net income + D&amp;A - capex - change in operating working capital (cash and short-term debt excluded)</t>
        </is>
      </c>
      <c r="AB418" s="10" t="n">
        <v>0.1748782057174373</v>
      </c>
      <c r="AC418" s="10" t="n">
        <v>0.2442090265649416</v>
      </c>
      <c r="AD418" s="12" t="n">
        <v>2422500000</v>
      </c>
    </row>
    <row r="419">
      <c r="A419" s="8" t="inlineStr">
        <is>
          <t>MRK</t>
        </is>
      </c>
      <c r="B419" s="8" t="inlineStr">
        <is>
          <t>Merck &amp; Co., Inc.</t>
        </is>
      </c>
      <c r="C419" s="8" t="inlineStr">
        <is>
          <t>STANDARD</t>
        </is>
      </c>
      <c r="D419" s="8" t="n">
        <v>2014</v>
      </c>
      <c r="E419" s="8" t="inlineStr">
        <is>
          <t>2014-12-31</t>
        </is>
      </c>
      <c r="F419" s="8" t="inlineStr">
        <is>
          <t>0000310158-17-000010</t>
        </is>
      </c>
      <c r="G419" s="13" t="n"/>
      <c r="H419" s="13" t="n">
        <v>17.283</v>
      </c>
      <c r="I419" s="8" t="inlineStr">
        <is>
          <t>pretax_income only (no interest expense tagged)</t>
        </is>
      </c>
      <c r="J419" s="13" t="n">
        <v>11.92</v>
      </c>
      <c r="K419" s="10" t="n">
        <v>0.309494879361222</v>
      </c>
      <c r="L419" s="13" t="n">
        <v>11.934</v>
      </c>
      <c r="M419" s="13" t="n">
        <v>62.609</v>
      </c>
      <c r="N419" s="13" t="n">
        <v>62.609</v>
      </c>
      <c r="O419" s="10" t="n">
        <v>0.1906115734159625</v>
      </c>
      <c r="P419" s="8" t="inlineStr">
        <is>
          <t>OK</t>
        </is>
      </c>
      <c r="Q419" s="10" t="n">
        <v>0.2450305260344934</v>
      </c>
      <c r="R419" s="10" t="n">
        <v>0.05441895261853083</v>
      </c>
      <c r="S419" s="13" t="n">
        <v>48.647</v>
      </c>
      <c r="T419" s="13" t="n">
        <v>7.441</v>
      </c>
      <c r="U419" s="13" t="n">
        <v>21.403</v>
      </c>
      <c r="V419" s="8" t="inlineStr">
        <is>
          <t>short-term + long-term</t>
        </is>
      </c>
      <c r="W419" s="13" t="n">
        <v>19.783</v>
      </c>
      <c r="X419" s="11" t="n">
        <v>0.7057574685335894</v>
      </c>
      <c r="Y419" s="11" t="n"/>
      <c r="Z419" s="13" t="n"/>
      <c r="AA419" s="8" t="inlineStr">
        <is>
          <t>net income + D&amp;A - capex - change in no prior year</t>
        </is>
      </c>
      <c r="AB419" s="10" t="n"/>
      <c r="AC419" s="10" t="n"/>
      <c r="AD419" s="12" t="n">
        <v>2928000000</v>
      </c>
    </row>
    <row r="420">
      <c r="A420" s="8" t="inlineStr">
        <is>
          <t>MRK</t>
        </is>
      </c>
      <c r="B420" s="8" t="inlineStr">
        <is>
          <t>Merck &amp; Co., Inc.</t>
        </is>
      </c>
      <c r="C420" s="8" t="inlineStr">
        <is>
          <t>STANDARD</t>
        </is>
      </c>
      <c r="D420" s="8" t="n">
        <v>2015</v>
      </c>
      <c r="E420" s="8" t="inlineStr">
        <is>
          <t>2015-12-31</t>
        </is>
      </c>
      <c r="F420" s="8" t="inlineStr">
        <is>
          <t>0000310158-18-000005</t>
        </is>
      </c>
      <c r="G420" s="13" t="n"/>
      <c r="H420" s="13" t="n">
        <v>5.401</v>
      </c>
      <c r="I420" s="8" t="inlineStr">
        <is>
          <t>pretax_income only (no interest expense tagged)</t>
        </is>
      </c>
      <c r="J420" s="13" t="n">
        <v>4.442</v>
      </c>
      <c r="K420" s="10" t="n">
        <v>0.1744121458989076</v>
      </c>
      <c r="L420" s="13" t="n">
        <v>4.459</v>
      </c>
      <c r="M420" s="13" t="n">
        <v>62.564</v>
      </c>
      <c r="N420" s="13" t="n">
        <v>62.5865</v>
      </c>
      <c r="O420" s="10" t="n">
        <v>0.07124539637142195</v>
      </c>
      <c r="P420" s="8" t="inlineStr">
        <is>
          <t>OK</t>
        </is>
      </c>
      <c r="Q420" s="10" t="n">
        <v>0.09519625387096428</v>
      </c>
      <c r="R420" s="10" t="n">
        <v>0.02395085749954233</v>
      </c>
      <c r="S420" s="13" t="n">
        <v>44.676</v>
      </c>
      <c r="T420" s="13" t="n">
        <v>8.523999999999999</v>
      </c>
      <c r="U420" s="13" t="n">
        <v>26.412</v>
      </c>
      <c r="V420" s="8" t="inlineStr">
        <is>
          <t>short-term + long-term</t>
        </is>
      </c>
      <c r="W420" s="13" t="n">
        <v>7.001</v>
      </c>
      <c r="X420" s="11" t="n">
        <v>2.555063562348236</v>
      </c>
      <c r="Y420" s="11" t="n"/>
      <c r="Z420" s="13" t="n"/>
      <c r="AA420" s="8" t="inlineStr">
        <is>
          <t>net income + D&amp;A - capex - change in operating working capital (cash and short-term debt excluded)</t>
        </is>
      </c>
      <c r="AB420" s="10" t="n"/>
      <c r="AC420" s="10" t="n"/>
      <c r="AD420" s="12" t="n">
        <v>2841000000</v>
      </c>
    </row>
    <row r="421">
      <c r="A421" s="8" t="inlineStr">
        <is>
          <t>MRK</t>
        </is>
      </c>
      <c r="B421" s="8" t="inlineStr">
        <is>
          <t>Merck &amp; Co., Inc.</t>
        </is>
      </c>
      <c r="C421" s="8" t="inlineStr">
        <is>
          <t>STANDARD</t>
        </is>
      </c>
      <c r="D421" s="8" t="n">
        <v>2016</v>
      </c>
      <c r="E421" s="8" t="inlineStr">
        <is>
          <t>2016-12-31</t>
        </is>
      </c>
      <c r="F421" s="8" t="inlineStr">
        <is>
          <t>0000310158-19-000014</t>
        </is>
      </c>
      <c r="G421" s="13" t="n">
        <v>39.807</v>
      </c>
      <c r="H421" s="13" t="n">
        <v>4.659</v>
      </c>
      <c r="I421" s="8" t="inlineStr">
        <is>
          <t>pretax_income only (no interest expense tagged)</t>
        </is>
      </c>
      <c r="J421" s="13" t="n">
        <v>3.92</v>
      </c>
      <c r="K421" s="10" t="n">
        <v>0.1541103241038849</v>
      </c>
      <c r="L421" s="13" t="n">
        <v>3.941</v>
      </c>
      <c r="M421" s="13" t="n">
        <v>58.415</v>
      </c>
      <c r="N421" s="13" t="n">
        <v>60.4895</v>
      </c>
      <c r="O421" s="10" t="n">
        <v>0.065151803205515</v>
      </c>
      <c r="P421" s="8" t="inlineStr">
        <is>
          <t>OK</t>
        </is>
      </c>
      <c r="Q421" s="10" t="n">
        <v>0.09249209570100514</v>
      </c>
      <c r="R421" s="10" t="n">
        <v>0.02734029249549014</v>
      </c>
      <c r="S421" s="13" t="n">
        <v>40.088</v>
      </c>
      <c r="T421" s="13" t="n">
        <v>6.515</v>
      </c>
      <c r="U421" s="13" t="n">
        <v>24.842</v>
      </c>
      <c r="V421" s="8" t="inlineStr">
        <is>
          <t>short-term + long-term</t>
        </is>
      </c>
      <c r="W421" s="13" t="n">
        <v>6.259</v>
      </c>
      <c r="X421" s="11" t="n">
        <v>2.928103530915482</v>
      </c>
      <c r="Y421" s="11" t="n"/>
      <c r="Z421" s="13" t="n"/>
      <c r="AA421" s="8" t="inlineStr">
        <is>
          <t>net income + D&amp;A - capex - change in operating working capital (cash and short-term debt excluded)</t>
        </is>
      </c>
      <c r="AB421" s="10" t="n"/>
      <c r="AC421" s="10" t="n">
        <v>0.117039716632753</v>
      </c>
      <c r="AD421" s="12" t="n">
        <v>2787000000</v>
      </c>
    </row>
    <row r="422">
      <c r="A422" s="8" t="inlineStr">
        <is>
          <t>MRK</t>
        </is>
      </c>
      <c r="B422" s="8" t="inlineStr">
        <is>
          <t>Merck &amp; Co., Inc.</t>
        </is>
      </c>
      <c r="C422" s="8" t="inlineStr">
        <is>
          <t>STANDARD</t>
        </is>
      </c>
      <c r="D422" s="8" t="n">
        <v>2017</v>
      </c>
      <c r="E422" s="8" t="inlineStr">
        <is>
          <t>2017-12-31</t>
        </is>
      </c>
      <c r="F422" s="8" t="inlineStr">
        <is>
          <t>0000310158-20-000005</t>
        </is>
      </c>
      <c r="G422" s="13" t="n">
        <v>40.122</v>
      </c>
      <c r="H422" s="13" t="n">
        <v>6.521</v>
      </c>
      <c r="I422" s="8" t="inlineStr">
        <is>
          <t>pretax_income only (no interest expense tagged)</t>
        </is>
      </c>
      <c r="J422" s="13" t="n">
        <v>2.394</v>
      </c>
      <c r="K422" s="10" t="n">
        <v>0.4</v>
      </c>
      <c r="L422" s="13" t="n">
        <v>3.9126</v>
      </c>
      <c r="M422" s="13" t="n">
        <v>52.654</v>
      </c>
      <c r="N422" s="13" t="n">
        <v>55.5345</v>
      </c>
      <c r="O422" s="10" t="n">
        <v>0.07045350187721146</v>
      </c>
      <c r="P422" s="8" t="inlineStr">
        <is>
          <t>OK</t>
        </is>
      </c>
      <c r="Q422" s="10" t="n">
        <v>0.06433408577878104</v>
      </c>
      <c r="R422" s="10" t="n">
        <v>-0.006119416098430419</v>
      </c>
      <c r="S422" s="13" t="n">
        <v>34.336</v>
      </c>
      <c r="T422" s="13" t="n">
        <v>6.092</v>
      </c>
      <c r="U422" s="13" t="n">
        <v>24.41</v>
      </c>
      <c r="V422" s="8" t="inlineStr">
        <is>
          <t>short-term + long-term</t>
        </is>
      </c>
      <c r="W422" s="13" t="n">
        <v>8.021000000000001</v>
      </c>
      <c r="X422" s="11" t="n">
        <v>2.283755142750281</v>
      </c>
      <c r="Y422" s="11" t="n"/>
      <c r="Z422" s="13" t="n"/>
      <c r="AA422" s="8" t="inlineStr">
        <is>
          <t>net income + D&amp;A - capex - change in operating working capital (cash and short-term debt excluded)</t>
        </is>
      </c>
      <c r="AB422" s="10" t="n"/>
      <c r="AC422" s="10" t="n">
        <v>0.16252928567868</v>
      </c>
      <c r="AD422" s="12" t="n">
        <v>2748000000</v>
      </c>
    </row>
    <row r="423">
      <c r="A423" s="8" t="inlineStr">
        <is>
          <t>MRK</t>
        </is>
      </c>
      <c r="B423" s="8" t="inlineStr">
        <is>
          <t>Merck &amp; Co., Inc.</t>
        </is>
      </c>
      <c r="C423" s="8" t="inlineStr">
        <is>
          <t>STANDARD</t>
        </is>
      </c>
      <c r="D423" s="8" t="n">
        <v>2018</v>
      </c>
      <c r="E423" s="8" t="inlineStr">
        <is>
          <t>2018-12-31</t>
        </is>
      </c>
      <c r="F423" s="8" t="inlineStr">
        <is>
          <t>0000310158-21-000004</t>
        </is>
      </c>
      <c r="G423" s="13" t="n">
        <v>42.294</v>
      </c>
      <c r="H423" s="13" t="n">
        <v>8.701000000000001</v>
      </c>
      <c r="I423" s="8" t="inlineStr">
        <is>
          <t>pretax_income only (no interest expense tagged)</t>
        </is>
      </c>
      <c r="J423" s="13" t="n">
        <v>6.22</v>
      </c>
      <c r="K423" s="10" t="n">
        <v>0.2882427307206069</v>
      </c>
      <c r="L423" s="13" t="n">
        <v>6.193</v>
      </c>
      <c r="M423" s="13" t="n">
        <v>43.85</v>
      </c>
      <c r="N423" s="13" t="n">
        <v>48.252</v>
      </c>
      <c r="O423" s="10" t="n">
        <v>0.1283470115228384</v>
      </c>
      <c r="P423" s="8" t="inlineStr">
        <is>
          <t>OK</t>
        </is>
      </c>
      <c r="Q423" s="10" t="n">
        <v>0.2038108032832544</v>
      </c>
      <c r="R423" s="10" t="n">
        <v>0.07546379176041601</v>
      </c>
      <c r="S423" s="13" t="n">
        <v>26.701</v>
      </c>
      <c r="T423" s="13" t="n">
        <v>7.965</v>
      </c>
      <c r="U423" s="13" t="n">
        <v>25.114</v>
      </c>
      <c r="V423" s="8" t="inlineStr">
        <is>
          <t>short-term + long-term</t>
        </is>
      </c>
      <c r="W423" s="13" t="n">
        <v>10.117</v>
      </c>
      <c r="X423" s="11" t="n">
        <v>1.695067707818523</v>
      </c>
      <c r="Y423" s="11" t="n"/>
      <c r="Z423" s="13" t="n"/>
      <c r="AA423" s="8" t="inlineStr">
        <is>
          <t>net income + D&amp;A - capex - change in operating working capital (cash and short-term debt excluded)</t>
        </is>
      </c>
      <c r="AB423" s="10" t="n"/>
      <c r="AC423" s="10" t="n">
        <v>0.2057265806024495</v>
      </c>
      <c r="AD423" s="12" t="n">
        <v>2679000000</v>
      </c>
    </row>
    <row r="424">
      <c r="A424" s="8" t="inlineStr">
        <is>
          <t>MRK</t>
        </is>
      </c>
      <c r="B424" s="8" t="inlineStr">
        <is>
          <t>Merck &amp; Co., Inc.</t>
        </is>
      </c>
      <c r="C424" s="8" t="inlineStr">
        <is>
          <t>STANDARD</t>
        </is>
      </c>
      <c r="D424" s="8" t="n">
        <v>2019</v>
      </c>
      <c r="E424" s="8" t="inlineStr">
        <is>
          <t>2019-12-31</t>
        </is>
      </c>
      <c r="F424" s="8" t="inlineStr">
        <is>
          <t>0000310158-22-000003</t>
        </is>
      </c>
      <c r="G424" s="13" t="n">
        <v>39.121</v>
      </c>
      <c r="H424" s="13" t="n">
        <v>7.171</v>
      </c>
      <c r="I424" s="8" t="inlineStr">
        <is>
          <t>pretax_income only (no interest expense tagged)</t>
        </is>
      </c>
      <c r="J424" s="13" t="n">
        <v>9.843</v>
      </c>
      <c r="K424" s="10" t="n">
        <v>0.2182401338725422</v>
      </c>
      <c r="L424" s="13" t="n">
        <v>5.606</v>
      </c>
      <c r="M424" s="13" t="n">
        <v>42.577</v>
      </c>
      <c r="N424" s="13" t="n">
        <v>43.2135</v>
      </c>
      <c r="O424" s="10" t="n">
        <v>0.1297279785252294</v>
      </c>
      <c r="P424" s="8" t="inlineStr">
        <is>
          <t>OK</t>
        </is>
      </c>
      <c r="Q424" s="10" t="n">
        <v>0.3742016423357664</v>
      </c>
      <c r="R424" s="10" t="n">
        <v>0.244473663810537</v>
      </c>
      <c r="S424" s="13" t="n">
        <v>25.907</v>
      </c>
      <c r="T424" s="13" t="n">
        <v>9.676</v>
      </c>
      <c r="U424" s="13" t="n">
        <v>26.346</v>
      </c>
      <c r="V424" s="8" t="inlineStr">
        <is>
          <t>short-term + long-term</t>
        </is>
      </c>
      <c r="W424" s="13" t="n">
        <v>8.786</v>
      </c>
      <c r="X424" s="11" t="n">
        <v>1.897336671978147</v>
      </c>
      <c r="Y424" s="11" t="n"/>
      <c r="Z424" s="13" t="n"/>
      <c r="AA424" s="8" t="inlineStr">
        <is>
          <t>net income + D&amp;A - capex - change in operating working capital (cash and short-term debt excluded)</t>
        </is>
      </c>
      <c r="AB424" s="10" t="n"/>
      <c r="AC424" s="10" t="n">
        <v>0.1833030852994555</v>
      </c>
      <c r="AD424" s="12" t="n">
        <v>2580000000</v>
      </c>
    </row>
    <row r="425">
      <c r="A425" s="8" t="inlineStr">
        <is>
          <t>MRK</t>
        </is>
      </c>
      <c r="B425" s="8" t="inlineStr">
        <is>
          <t>Merck &amp; Co., Inc.</t>
        </is>
      </c>
      <c r="C425" s="8" t="inlineStr">
        <is>
          <t>STANDARD</t>
        </is>
      </c>
      <c r="D425" s="8" t="n">
        <v>2020</v>
      </c>
      <c r="E425" s="8" t="inlineStr">
        <is>
          <t>2020-12-31</t>
        </is>
      </c>
      <c r="F425" s="8" t="inlineStr">
        <is>
          <t>0001628280-23-005061</t>
        </is>
      </c>
      <c r="G425" s="13" t="n">
        <v>41.518</v>
      </c>
      <c r="H425" s="13" t="n">
        <v>5.863</v>
      </c>
      <c r="I425" s="8" t="inlineStr">
        <is>
          <t>pretax_income only (no interest expense tagged)</t>
        </is>
      </c>
      <c r="J425" s="13" t="n">
        <v>7.067</v>
      </c>
      <c r="K425" s="10" t="n">
        <v>0.228551935869009</v>
      </c>
      <c r="L425" s="13" t="n">
        <v>4.523</v>
      </c>
      <c r="M425" s="13" t="n">
        <v>49.058</v>
      </c>
      <c r="N425" s="13" t="n">
        <v>45.8175</v>
      </c>
      <c r="O425" s="10" t="n">
        <v>0.09871773885524091</v>
      </c>
      <c r="P425" s="8" t="inlineStr">
        <is>
          <t>OK</t>
        </is>
      </c>
      <c r="Q425" s="10" t="n">
        <v>0.2759253474933625</v>
      </c>
      <c r="R425" s="10" t="n">
        <v>0.1772076086381216</v>
      </c>
      <c r="S425" s="13" t="n">
        <v>25.317</v>
      </c>
      <c r="T425" s="13" t="n">
        <v>8.050000000000001</v>
      </c>
      <c r="U425" s="13" t="n">
        <v>31.791</v>
      </c>
      <c r="V425" s="8" t="inlineStr">
        <is>
          <t>short-term + long-term</t>
        </is>
      </c>
      <c r="W425" s="13" t="n">
        <v>7.532</v>
      </c>
      <c r="X425" s="11" t="n">
        <v>3.152018056293149</v>
      </c>
      <c r="Y425" s="11" t="n"/>
      <c r="Z425" s="13" t="n"/>
      <c r="AA425" s="8" t="inlineStr">
        <is>
          <t>net income + D&amp;A - capex - change in operating working capital (cash and short-term debt excluded)</t>
        </is>
      </c>
      <c r="AB425" s="10" t="n"/>
      <c r="AC425" s="10" t="n">
        <v>0.1412158581819934</v>
      </c>
      <c r="AD425" s="12" t="n">
        <v>2541000000</v>
      </c>
    </row>
    <row r="426">
      <c r="A426" s="8" t="inlineStr">
        <is>
          <t>MRK</t>
        </is>
      </c>
      <c r="B426" s="8" t="inlineStr">
        <is>
          <t>Merck &amp; Co., Inc.</t>
        </is>
      </c>
      <c r="C426" s="8" t="inlineStr">
        <is>
          <t>STANDARD</t>
        </is>
      </c>
      <c r="D426" s="8" t="n">
        <v>2021</v>
      </c>
      <c r="E426" s="8" t="inlineStr">
        <is>
          <t>2021-12-31</t>
        </is>
      </c>
      <c r="F426" s="8" t="inlineStr">
        <is>
          <t>0001628280-24-006850</t>
        </is>
      </c>
      <c r="G426" s="13" t="n">
        <v>48.704</v>
      </c>
      <c r="H426" s="13" t="n">
        <v>13.879</v>
      </c>
      <c r="I426" s="8" t="inlineStr">
        <is>
          <t>pretax_income only (no interest expense tagged)</t>
        </is>
      </c>
      <c r="J426" s="13" t="n">
        <v>13.049</v>
      </c>
      <c r="K426" s="10" t="n">
        <v>0.1095900281000072</v>
      </c>
      <c r="L426" s="13" t="n">
        <v>12.358</v>
      </c>
      <c r="M426" s="13" t="n">
        <v>63.19</v>
      </c>
      <c r="N426" s="13" t="n">
        <v>56.124</v>
      </c>
      <c r="O426" s="10" t="n">
        <v>0.2201910056303898</v>
      </c>
      <c r="P426" s="8" t="inlineStr">
        <is>
          <t>OK</t>
        </is>
      </c>
      <c r="Q426" s="10" t="n">
        <v>0.410985653769232</v>
      </c>
      <c r="R426" s="10" t="n">
        <v>0.1907946481388421</v>
      </c>
      <c r="S426" s="13" t="n">
        <v>38.184</v>
      </c>
      <c r="T426" s="13" t="n">
        <v>8.096</v>
      </c>
      <c r="U426" s="13" t="n">
        <v>33.102</v>
      </c>
      <c r="V426" s="8" t="inlineStr">
        <is>
          <t>short-term + long-term</t>
        </is>
      </c>
      <c r="W426" s="13" t="n">
        <v>15.457</v>
      </c>
      <c r="X426" s="11" t="n">
        <v>1.617778352849842</v>
      </c>
      <c r="Y426" s="11" t="n"/>
      <c r="Z426" s="13" t="n">
        <v>8.287000000000001</v>
      </c>
      <c r="AA426" s="8" t="inlineStr">
        <is>
          <t>net income + D&amp;A - capex - change in operating working capital (cash and short-term debt excluded)</t>
        </is>
      </c>
      <c r="AB426" s="10" t="n">
        <v>0.1701502956636005</v>
      </c>
      <c r="AC426" s="10" t="n">
        <v>0.2849663272010513</v>
      </c>
      <c r="AD426" s="12" t="n">
        <v>2538000000</v>
      </c>
    </row>
    <row r="427">
      <c r="A427" s="8" t="inlineStr">
        <is>
          <t>MRK</t>
        </is>
      </c>
      <c r="B427" s="8" t="inlineStr">
        <is>
          <t>Merck &amp; Co., Inc.</t>
        </is>
      </c>
      <c r="C427" s="8" t="inlineStr">
        <is>
          <t>STANDARD</t>
        </is>
      </c>
      <c r="D427" s="8" t="n">
        <v>2022</v>
      </c>
      <c r="E427" s="8" t="inlineStr">
        <is>
          <t>2022-12-31</t>
        </is>
      </c>
      <c r="F427" s="8" t="inlineStr">
        <is>
          <t>0001628280-25-007732</t>
        </is>
      </c>
      <c r="G427" s="13" t="n">
        <v>59.283</v>
      </c>
      <c r="H427" s="13" t="n">
        <v>17.406</v>
      </c>
      <c r="I427" s="8" t="inlineStr">
        <is>
          <t>pretax_income + interest_expense</t>
        </is>
      </c>
      <c r="J427" s="13" t="n">
        <v>14.519</v>
      </c>
      <c r="K427" s="10" t="n">
        <v>0.1166382875212844</v>
      </c>
      <c r="L427" s="13" t="n">
        <v>15.37579396740452</v>
      </c>
      <c r="M427" s="13" t="n">
        <v>63.988</v>
      </c>
      <c r="N427" s="13" t="n">
        <v>63.589</v>
      </c>
      <c r="O427" s="10" t="n">
        <v>0.2417995874664568</v>
      </c>
      <c r="P427" s="8" t="inlineStr">
        <is>
          <t>OK</t>
        </is>
      </c>
      <c r="Q427" s="10" t="n">
        <v>0.344971784971785</v>
      </c>
      <c r="R427" s="10" t="n">
        <v>0.1031721975053282</v>
      </c>
      <c r="S427" s="13" t="n">
        <v>45.991</v>
      </c>
      <c r="T427" s="13" t="n">
        <v>12.694</v>
      </c>
      <c r="U427" s="13" t="n">
        <v>30.691</v>
      </c>
      <c r="V427" s="8" t="inlineStr">
        <is>
          <t>short-term + long-term</t>
        </is>
      </c>
      <c r="W427" s="13" t="n">
        <v>19.23</v>
      </c>
      <c r="X427" s="11" t="n">
        <v>0.9358814352574103</v>
      </c>
      <c r="Y427" s="11" t="n">
        <v>18.09355509355509</v>
      </c>
      <c r="Z427" s="13" t="n">
        <v>11.93</v>
      </c>
      <c r="AA427" s="8" t="inlineStr">
        <is>
          <t>net income + D&amp;A - capex - change in operating working capital (cash and short-term debt excluded)</t>
        </is>
      </c>
      <c r="AB427" s="10" t="n">
        <v>0.2012381289745796</v>
      </c>
      <c r="AC427" s="10" t="n">
        <v>0.2936086230453924</v>
      </c>
      <c r="AD427" s="12" t="n">
        <v>2542000000</v>
      </c>
    </row>
    <row r="428">
      <c r="A428" s="8" t="inlineStr">
        <is>
          <t>MRK</t>
        </is>
      </c>
      <c r="B428" s="8" t="inlineStr">
        <is>
          <t>Merck &amp; Co., Inc.</t>
        </is>
      </c>
      <c r="C428" s="8" t="inlineStr">
        <is>
          <t>STANDARD</t>
        </is>
      </c>
      <c r="D428" s="8" t="n">
        <v>2023</v>
      </c>
      <c r="E428" s="8" t="inlineStr">
        <is>
          <t>2023-12-31</t>
        </is>
      </c>
      <c r="F428" s="8" t="inlineStr">
        <is>
          <t>0000310158-26-000063</t>
        </is>
      </c>
      <c r="G428" s="13" t="n">
        <v>60.115</v>
      </c>
      <c r="H428" s="13" t="n">
        <v>3.035</v>
      </c>
      <c r="I428" s="8" t="inlineStr">
        <is>
          <t>pretax_income + interest_expense</t>
        </is>
      </c>
      <c r="J428" s="13" t="n">
        <v>0.365</v>
      </c>
      <c r="K428" s="10" t="n">
        <v>0.4</v>
      </c>
      <c r="L428" s="13" t="n">
        <v>1.821</v>
      </c>
      <c r="M428" s="13" t="n">
        <v>65.795</v>
      </c>
      <c r="N428" s="13" t="n">
        <v>64.89149999999999</v>
      </c>
      <c r="O428" s="10" t="n">
        <v>0.02806222694805945</v>
      </c>
      <c r="P428" s="8" t="inlineStr">
        <is>
          <t>OK</t>
        </is>
      </c>
      <c r="Q428" s="10" t="n">
        <v>0.008734983008663188</v>
      </c>
      <c r="R428" s="10" t="n">
        <v>-0.01932724393939626</v>
      </c>
      <c r="S428" s="13" t="n">
        <v>37.581</v>
      </c>
      <c r="T428" s="13" t="n">
        <v>6.841</v>
      </c>
      <c r="U428" s="13" t="n">
        <v>35.055</v>
      </c>
      <c r="V428" s="8" t="inlineStr">
        <is>
          <t>short-term + long-term</t>
        </is>
      </c>
      <c r="W428" s="13" t="n">
        <v>4.863</v>
      </c>
      <c r="X428" s="11" t="n">
        <v>5.80176845568579</v>
      </c>
      <c r="Y428" s="11" t="n">
        <v>2.648342059336824</v>
      </c>
      <c r="Z428" s="13" t="n">
        <v>-1.94</v>
      </c>
      <c r="AA428" s="8" t="inlineStr">
        <is>
          <t>net income + D&amp;A - capex - change in operating working capital (cash and short-term debt excluded)</t>
        </is>
      </c>
      <c r="AB428" s="10" t="n">
        <v>-0.03227147966397738</v>
      </c>
      <c r="AC428" s="10" t="n">
        <v>0.05048656741245945</v>
      </c>
      <c r="AD428" s="12" t="n">
        <v>2547000000</v>
      </c>
    </row>
    <row r="429">
      <c r="A429" s="8" t="inlineStr">
        <is>
          <t>MRK</t>
        </is>
      </c>
      <c r="B429" s="8" t="inlineStr">
        <is>
          <t>Merck &amp; Co., Inc.</t>
        </is>
      </c>
      <c r="C429" s="8" t="inlineStr">
        <is>
          <t>STANDARD</t>
        </is>
      </c>
      <c r="D429" s="8" t="n">
        <v>2024</v>
      </c>
      <c r="E429" s="8" t="inlineStr">
        <is>
          <t>2024-12-31</t>
        </is>
      </c>
      <c r="F429" s="8" t="inlineStr">
        <is>
          <t>0000310158-26-000063</t>
        </is>
      </c>
      <c r="G429" s="13" t="n">
        <v>64.16800000000001</v>
      </c>
      <c r="H429" s="13" t="n">
        <v>21.207</v>
      </c>
      <c r="I429" s="8" t="inlineStr">
        <is>
          <t>pretax_income + interest_expense</t>
        </is>
      </c>
      <c r="J429" s="13" t="n">
        <v>17.117</v>
      </c>
      <c r="K429" s="10" t="n">
        <v>0.1405999197431782</v>
      </c>
      <c r="L429" s="13" t="n">
        <v>18.22529750200642</v>
      </c>
      <c r="M429" s="13" t="n">
        <v>70.182</v>
      </c>
      <c r="N429" s="13" t="n">
        <v>67.9885</v>
      </c>
      <c r="O429" s="10" t="n">
        <v>0.2680644153350408</v>
      </c>
      <c r="P429" s="8" t="inlineStr">
        <is>
          <t>OK</t>
        </is>
      </c>
      <c r="Q429" s="10" t="n">
        <v>0.4080625551290915</v>
      </c>
      <c r="R429" s="10" t="n">
        <v>0.1399981397940507</v>
      </c>
      <c r="S429" s="13" t="n">
        <v>46.313</v>
      </c>
      <c r="T429" s="13" t="n">
        <v>13.242</v>
      </c>
      <c r="U429" s="13" t="n">
        <v>37.111</v>
      </c>
      <c r="V429" s="8" t="inlineStr">
        <is>
          <t>short-term + long-term</t>
        </is>
      </c>
      <c r="W429" s="13" t="n">
        <v>23.311</v>
      </c>
      <c r="X429" s="11" t="n">
        <v>1.023937197031444</v>
      </c>
      <c r="Y429" s="11" t="n">
        <v>16.6852871754524</v>
      </c>
      <c r="Z429" s="13" t="n">
        <v>17.085</v>
      </c>
      <c r="AA429" s="8" t="inlineStr">
        <is>
          <t>net income + D&amp;A - capex - change in operating working capital (cash and short-term debt excluded)</t>
        </is>
      </c>
      <c r="AB429" s="10" t="n">
        <v>0.266254207704775</v>
      </c>
      <c r="AC429" s="10" t="n">
        <v>0.3304918339359182</v>
      </c>
      <c r="AD429" s="12" t="n">
        <v>2541000000</v>
      </c>
    </row>
    <row r="430">
      <c r="A430" s="8" t="inlineStr">
        <is>
          <t>MRK</t>
        </is>
      </c>
      <c r="B430" s="8" t="inlineStr">
        <is>
          <t>Merck &amp; Co., Inc.</t>
        </is>
      </c>
      <c r="C430" s="8" t="inlineStr">
        <is>
          <t>STANDARD</t>
        </is>
      </c>
      <c r="D430" s="8" t="n">
        <v>2025</v>
      </c>
      <c r="E430" s="8" t="inlineStr">
        <is>
          <t>2025-12-31</t>
        </is>
      </c>
      <c r="F430" s="8" t="inlineStr">
        <is>
          <t>0000310158-26-000063</t>
        </is>
      </c>
      <c r="G430" s="13" t="n">
        <v>65.011</v>
      </c>
      <c r="H430" s="13" t="n">
        <v>22.424</v>
      </c>
      <c r="I430" s="8" t="inlineStr">
        <is>
          <t>pretax_income + interest_expense</t>
        </is>
      </c>
      <c r="J430" s="13" t="n">
        <v>18.254</v>
      </c>
      <c r="K430" s="10" t="n">
        <v>0.1330991598234205</v>
      </c>
      <c r="L430" s="13" t="n">
        <v>19.43938444011962</v>
      </c>
      <c r="M430" s="13" t="n">
        <v>87.38</v>
      </c>
      <c r="N430" s="13" t="n">
        <v>78.78100000000001</v>
      </c>
      <c r="O430" s="10" t="n">
        <v>0.2467521920275145</v>
      </c>
      <c r="P430" s="8" t="inlineStr">
        <is>
          <t>OK</t>
        </is>
      </c>
      <c r="Q430" s="10" t="n">
        <v>0.3690696428390906</v>
      </c>
      <c r="R430" s="10" t="n">
        <v>0.1223174508115761</v>
      </c>
      <c r="S430" s="13" t="n">
        <v>52.606</v>
      </c>
      <c r="T430" s="13" t="n">
        <v>14.565</v>
      </c>
      <c r="U430" s="13" t="n">
        <v>49.339</v>
      </c>
      <c r="V430" s="8" t="inlineStr">
        <is>
          <t>short-term + long-term</t>
        </is>
      </c>
      <c r="W430" s="13" t="n">
        <v>25.469</v>
      </c>
      <c r="X430" s="11" t="n">
        <v>1.365346107032078</v>
      </c>
      <c r="Y430" s="11" t="n">
        <v>16.5246868091378</v>
      </c>
      <c r="Z430" s="13" t="n">
        <v>13.743</v>
      </c>
      <c r="AA430" s="8" t="inlineStr">
        <is>
          <t>net income + D&amp;A - capex - change in operating working capital (cash and short-term debt excluded)</t>
        </is>
      </c>
      <c r="AB430" s="10" t="n">
        <v>0.2113949946932058</v>
      </c>
      <c r="AC430" s="10" t="n">
        <v>0.3449262432511421</v>
      </c>
      <c r="AD430" s="12" t="n">
        <v>2507000000</v>
      </c>
    </row>
    <row r="431">
      <c r="A431" s="8" t="inlineStr">
        <is>
          <t>NFLX</t>
        </is>
      </c>
      <c r="B431" s="8" t="inlineStr">
        <is>
          <t>NETFLIX INC</t>
        </is>
      </c>
      <c r="C431" s="8" t="inlineStr">
        <is>
          <t>STANDARD</t>
        </is>
      </c>
      <c r="D431" s="8" t="n">
        <v>2014</v>
      </c>
      <c r="E431" s="8" t="inlineStr">
        <is>
          <t>2014-12-31</t>
        </is>
      </c>
      <c r="F431" s="8" t="inlineStr">
        <is>
          <t>0001628280-17-000496</t>
        </is>
      </c>
      <c r="G431" s="13" t="n">
        <v>5.504656</v>
      </c>
      <c r="H431" s="13" t="n">
        <v>0.402648</v>
      </c>
      <c r="I431" s="8" t="inlineStr">
        <is>
          <t>reported OperatingIncomeLoss (no interest expense tagged)</t>
        </is>
      </c>
      <c r="J431" s="13" t="n">
        <v>0.266799</v>
      </c>
      <c r="K431" s="10" t="n">
        <v>0.21</v>
      </c>
      <c r="L431" s="13" t="n">
        <v>0.31809192</v>
      </c>
      <c r="M431" s="13" t="n">
        <v>1.629949</v>
      </c>
      <c r="N431" s="13" t="n">
        <v>1.629949</v>
      </c>
      <c r="O431" s="10" t="n">
        <v>0.1951545232396842</v>
      </c>
      <c r="P431" s="8" t="inlineStr">
        <is>
          <t>OK</t>
        </is>
      </c>
      <c r="Q431" s="10" t="n">
        <v>0.1436172961520325</v>
      </c>
      <c r="R431" s="10" t="n">
        <v>-0.05153722708765168</v>
      </c>
      <c r="S431" s="13" t="n">
        <v>1.857708</v>
      </c>
      <c r="T431" s="13" t="n">
        <v>1.113608</v>
      </c>
      <c r="U431" s="13" t="n">
        <v>0.885849</v>
      </c>
      <c r="V431" s="8" t="inlineStr">
        <is>
          <t>long-term only (no short-term debt tagged; read as nil)</t>
        </is>
      </c>
      <c r="W431" s="13" t="n">
        <v>0.456676</v>
      </c>
      <c r="X431" s="11" t="n">
        <v>-0.4987321427007331</v>
      </c>
      <c r="Y431" s="11" t="n"/>
      <c r="Z431" s="13" t="n">
        <v>-0.053243</v>
      </c>
      <c r="AA431" s="8" t="inlineStr">
        <is>
          <t>operating cash flow - capex (working-capital swing already embedded)</t>
        </is>
      </c>
      <c r="AB431" s="10" t="n">
        <v>-0.009672357364383896</v>
      </c>
      <c r="AC431" s="10" t="n">
        <v>0.07314680517728991</v>
      </c>
      <c r="AD431" s="12" t="n">
        <v>29603762090</v>
      </c>
    </row>
    <row r="432">
      <c r="A432" s="8" t="inlineStr">
        <is>
          <t>NFLX</t>
        </is>
      </c>
      <c r="B432" s="8" t="inlineStr">
        <is>
          <t>NETFLIX INC</t>
        </is>
      </c>
      <c r="C432" s="8" t="inlineStr">
        <is>
          <t>STANDARD</t>
        </is>
      </c>
      <c r="D432" s="8" t="n">
        <v>2015</v>
      </c>
      <c r="E432" s="8" t="inlineStr">
        <is>
          <t>2015-12-31</t>
        </is>
      </c>
      <c r="F432" s="8" t="inlineStr">
        <is>
          <t>0001065280-18-000069</t>
        </is>
      </c>
      <c r="G432" s="13" t="n">
        <v>6.779511</v>
      </c>
      <c r="H432" s="13" t="n">
        <v>0.305826</v>
      </c>
      <c r="I432" s="8" t="inlineStr">
        <is>
          <t>reported OperatingIncomeLoss (no interest expense tagged)</t>
        </is>
      </c>
      <c r="J432" s="13" t="n">
        <v>0.122641</v>
      </c>
      <c r="K432" s="10" t="n">
        <v>0.21</v>
      </c>
      <c r="L432" s="13" t="n">
        <v>0.24160254</v>
      </c>
      <c r="M432" s="13" t="n">
        <v>2.785458</v>
      </c>
      <c r="N432" s="13" t="n">
        <v>2.2077035</v>
      </c>
      <c r="O432" s="10" t="n">
        <v>0.109436135785444</v>
      </c>
      <c r="P432" s="8" t="inlineStr">
        <is>
          <t>OK</t>
        </is>
      </c>
      <c r="Q432" s="10" t="n">
        <v>0.06010143259201977</v>
      </c>
      <c r="R432" s="10" t="n">
        <v>-0.04933470319342425</v>
      </c>
      <c r="S432" s="13" t="n">
        <v>2.223426</v>
      </c>
      <c r="T432" s="13" t="n">
        <v>1.80933</v>
      </c>
      <c r="U432" s="13" t="n">
        <v>2.371362</v>
      </c>
      <c r="V432" s="8" t="inlineStr">
        <is>
          <t>long-term only (no short-term debt tagged; read as nil)</t>
        </is>
      </c>
      <c r="W432" s="13" t="n">
        <v>0.368109</v>
      </c>
      <c r="X432" s="11" t="n">
        <v>1.526808635485685</v>
      </c>
      <c r="Y432" s="11" t="n"/>
      <c r="Z432" s="13" t="n">
        <v>0.151081</v>
      </c>
      <c r="AA432" s="8" t="inlineStr">
        <is>
          <t>net income + D&amp;A - capex - change in operating working capital (cash and short-term debt excluded)</t>
        </is>
      </c>
      <c r="AB432" s="10" t="n">
        <v>0.02228494061002335</v>
      </c>
      <c r="AC432" s="10" t="n">
        <v>0.04511033317889741</v>
      </c>
      <c r="AD432" s="12" t="n">
        <v>4279404400</v>
      </c>
    </row>
    <row r="433">
      <c r="A433" s="8" t="inlineStr">
        <is>
          <t>NFLX</t>
        </is>
      </c>
      <c r="B433" s="8" t="inlineStr">
        <is>
          <t>NETFLIX INC</t>
        </is>
      </c>
      <c r="C433" s="8" t="inlineStr">
        <is>
          <t>STANDARD</t>
        </is>
      </c>
      <c r="D433" s="8" t="n">
        <v>2016</v>
      </c>
      <c r="E433" s="8" t="inlineStr">
        <is>
          <t>2016-12-31</t>
        </is>
      </c>
      <c r="F433" s="8" t="inlineStr">
        <is>
          <t>0001065280-19-000043</t>
        </is>
      </c>
      <c r="G433" s="13" t="n">
        <v>8.830669</v>
      </c>
      <c r="H433" s="13" t="n">
        <v>0.379793</v>
      </c>
      <c r="I433" s="8" t="inlineStr">
        <is>
          <t>reported OperatingIncomeLoss (no interest expense tagged)</t>
        </is>
      </c>
      <c r="J433" s="13" t="n">
        <v>0.186678</v>
      </c>
      <c r="K433" s="10" t="n">
        <v>0.21</v>
      </c>
      <c r="L433" s="13" t="n">
        <v>0.30003647</v>
      </c>
      <c r="M433" s="13" t="n">
        <v>4.576535</v>
      </c>
      <c r="N433" s="13" t="n">
        <v>3.6809965</v>
      </c>
      <c r="O433" s="10" t="n">
        <v>0.08150957763746855</v>
      </c>
      <c r="P433" s="8" t="inlineStr">
        <is>
          <t>OK</t>
        </is>
      </c>
      <c r="Q433" s="10" t="n">
        <v>0.07614497067848799</v>
      </c>
      <c r="R433" s="10" t="n">
        <v>-0.005364606958980556</v>
      </c>
      <c r="S433" s="13" t="n">
        <v>2.6798</v>
      </c>
      <c r="T433" s="13" t="n">
        <v>1.467576</v>
      </c>
      <c r="U433" s="13" t="n">
        <v>3.364311</v>
      </c>
      <c r="V433" s="8" t="inlineStr">
        <is>
          <t>long-term only (no short-term debt tagged; read as nil)</t>
        </is>
      </c>
      <c r="W433" s="13" t="n">
        <v>0.437321</v>
      </c>
      <c r="X433" s="11" t="n">
        <v>4.337168807352037</v>
      </c>
      <c r="Y433" s="11" t="n"/>
      <c r="Z433" s="13" t="n">
        <v>0.563381</v>
      </c>
      <c r="AA433" s="8" t="inlineStr">
        <is>
          <t>net income + D&amp;A - capex - change in operating working capital (cash and short-term debt excluded)</t>
        </is>
      </c>
      <c r="AB433" s="10" t="n">
        <v>0.06379822412095845</v>
      </c>
      <c r="AC433" s="10" t="n">
        <v>0.04300840627137083</v>
      </c>
      <c r="AD433" s="12" t="n">
        <v>4300542120</v>
      </c>
    </row>
    <row r="434">
      <c r="A434" s="8" t="inlineStr">
        <is>
          <t>NFLX</t>
        </is>
      </c>
      <c r="B434" s="8" t="inlineStr">
        <is>
          <t>NETFLIX INC</t>
        </is>
      </c>
      <c r="C434" s="8" t="inlineStr">
        <is>
          <t>STANDARD</t>
        </is>
      </c>
      <c r="D434" s="8" t="n">
        <v>2017</v>
      </c>
      <c r="E434" s="8" t="inlineStr">
        <is>
          <t>2017-12-31</t>
        </is>
      </c>
      <c r="F434" s="8" t="inlineStr">
        <is>
          <t>0001065280-20-000040</t>
        </is>
      </c>
      <c r="G434" s="13" t="n">
        <v>11.692713</v>
      </c>
      <c r="H434" s="13" t="n">
        <v>0.838679</v>
      </c>
      <c r="I434" s="8" t="inlineStr">
        <is>
          <t>reported OperatingIncomeLoss (no interest expense tagged)</t>
        </is>
      </c>
      <c r="J434" s="13" t="n">
        <v>0.558929</v>
      </c>
      <c r="K434" s="10" t="n">
        <v>0.21</v>
      </c>
      <c r="L434" s="13" t="n">
        <v>0.66255641</v>
      </c>
      <c r="M434" s="13" t="n">
        <v>7.258593</v>
      </c>
      <c r="N434" s="13" t="n">
        <v>5.917564</v>
      </c>
      <c r="O434" s="10" t="n">
        <v>0.11196438433112</v>
      </c>
      <c r="P434" s="8" t="inlineStr">
        <is>
          <t>OK</t>
        </is>
      </c>
      <c r="Q434" s="10" t="n">
        <v>0.1785214882215149</v>
      </c>
      <c r="R434" s="10" t="n">
        <v>0.06655710389039483</v>
      </c>
      <c r="S434" s="13" t="n">
        <v>3.581956</v>
      </c>
      <c r="T434" s="13" t="n">
        <v>2.822795</v>
      </c>
      <c r="U434" s="13" t="n">
        <v>6.499432</v>
      </c>
      <c r="V434" s="8" t="inlineStr">
        <is>
          <t>long-term only (no short-term debt tagged; read as nil)</t>
        </is>
      </c>
      <c r="W434" s="13" t="n">
        <v>0.91059</v>
      </c>
      <c r="X434" s="11" t="n">
        <v>4.037642627307569</v>
      </c>
      <c r="Y434" s="11" t="n"/>
      <c r="Z434" s="13" t="n">
        <v>0.742729</v>
      </c>
      <c r="AA434" s="8" t="inlineStr">
        <is>
          <t>net income + D&amp;A - capex - change in operating working capital (cash and short-term debt excluded)</t>
        </is>
      </c>
      <c r="AB434" s="10" t="n">
        <v>0.06352067308929929</v>
      </c>
      <c r="AC434" s="10" t="n">
        <v>0.07172663863382261</v>
      </c>
      <c r="AD434" s="12" t="n">
        <v>4333926860</v>
      </c>
    </row>
    <row r="435">
      <c r="A435" s="8" t="inlineStr">
        <is>
          <t>NFLX</t>
        </is>
      </c>
      <c r="B435" s="8" t="inlineStr">
        <is>
          <t>NETFLIX INC</t>
        </is>
      </c>
      <c r="C435" s="8" t="inlineStr">
        <is>
          <t>STANDARD</t>
        </is>
      </c>
      <c r="D435" s="8" t="n">
        <v>2018</v>
      </c>
      <c r="E435" s="8" t="inlineStr">
        <is>
          <t>2018-12-31</t>
        </is>
      </c>
      <c r="F435" s="8" t="inlineStr">
        <is>
          <t>0001065280-21-000040</t>
        </is>
      </c>
      <c r="G435" s="13" t="n">
        <v>15.794341</v>
      </c>
      <c r="H435" s="13" t="n">
        <v>1.605226</v>
      </c>
      <c r="I435" s="8" t="inlineStr">
        <is>
          <t>reported OperatingIncomeLoss (no interest expense tagged)</t>
        </is>
      </c>
      <c r="J435" s="13" t="n">
        <v>1.211242</v>
      </c>
      <c r="K435" s="10" t="n">
        <v>0.21</v>
      </c>
      <c r="L435" s="13" t="n">
        <v>1.26812854</v>
      </c>
      <c r="M435" s="13" t="n">
        <v>11.80434</v>
      </c>
      <c r="N435" s="13" t="n">
        <v>9.531466500000001</v>
      </c>
      <c r="O435" s="10" t="n">
        <v>0.133046529618501</v>
      </c>
      <c r="P435" s="8" t="inlineStr">
        <is>
          <t>OK</t>
        </is>
      </c>
      <c r="Q435" s="10" t="n">
        <v>0.2746355995161847</v>
      </c>
      <c r="R435" s="10" t="n">
        <v>0.1415890698976837</v>
      </c>
      <c r="S435" s="13" t="n">
        <v>5.238765</v>
      </c>
      <c r="T435" s="13" t="n">
        <v>3.794483</v>
      </c>
      <c r="U435" s="13" t="n">
        <v>10.360058</v>
      </c>
      <c r="V435" s="8" t="inlineStr">
        <is>
          <t>long-term only (no short-term debt tagged; read as nil)</t>
        </is>
      </c>
      <c r="W435" s="13" t="n">
        <v>1.688383</v>
      </c>
      <c r="X435" s="11" t="n">
        <v>3.888676325217679</v>
      </c>
      <c r="Y435" s="11" t="n"/>
      <c r="Z435" s="13" t="n">
        <v>1.088988</v>
      </c>
      <c r="AA435" s="8" t="inlineStr">
        <is>
          <t>net income + D&amp;A - capex - change in operating working capital (cash and short-term debt excluded)</t>
        </is>
      </c>
      <c r="AB435" s="10" t="n">
        <v>0.06894798586405093</v>
      </c>
      <c r="AC435" s="10" t="n">
        <v>0.1016329836110288</v>
      </c>
      <c r="AD435" s="12" t="n">
        <v>4365985970</v>
      </c>
    </row>
    <row r="436">
      <c r="A436" s="8" t="inlineStr">
        <is>
          <t>NFLX</t>
        </is>
      </c>
      <c r="B436" s="8" t="inlineStr">
        <is>
          <t>NETFLIX INC</t>
        </is>
      </c>
      <c r="C436" s="8" t="inlineStr">
        <is>
          <t>STANDARD</t>
        </is>
      </c>
      <c r="D436" s="8" t="n">
        <v>2019</v>
      </c>
      <c r="E436" s="8" t="inlineStr">
        <is>
          <t>2019-12-31</t>
        </is>
      </c>
      <c r="F436" s="8" t="inlineStr">
        <is>
          <t>0001065280-22-000036</t>
        </is>
      </c>
      <c r="G436" s="13" t="n">
        <v>20.156447</v>
      </c>
      <c r="H436" s="13" t="n">
        <v>2.604254</v>
      </c>
      <c r="I436" s="8" t="inlineStr">
        <is>
          <t>reported OperatingIncomeLoss (no interest expense tagged)</t>
        </is>
      </c>
      <c r="J436" s="13" t="n">
        <v>1.866916</v>
      </c>
      <c r="K436" s="10" t="n">
        <v>0.09471053436787634</v>
      </c>
      <c r="L436" s="13" t="n">
        <v>2.357603712030321</v>
      </c>
      <c r="M436" s="13" t="n">
        <v>17.32298</v>
      </c>
      <c r="N436" s="13" t="n">
        <v>14.56366</v>
      </c>
      <c r="O436" s="10" t="n">
        <v>0.1618826388442411</v>
      </c>
      <c r="P436" s="8" t="inlineStr">
        <is>
          <t>OK</t>
        </is>
      </c>
      <c r="Q436" s="10" t="n">
        <v>0.2912296011160508</v>
      </c>
      <c r="R436" s="10" t="n">
        <v>0.1293469622718097</v>
      </c>
      <c r="S436" s="13" t="n">
        <v>7.582157</v>
      </c>
      <c r="T436" s="13" t="n">
        <v>5.018437</v>
      </c>
      <c r="U436" s="13" t="n">
        <v>14.75926</v>
      </c>
      <c r="V436" s="8" t="inlineStr">
        <is>
          <t>short-term + long-term</t>
        </is>
      </c>
      <c r="W436" s="13" t="n">
        <v>2.707833</v>
      </c>
      <c r="X436" s="11" t="n">
        <v>3.597276124487736</v>
      </c>
      <c r="Y436" s="11" t="n"/>
      <c r="Z436" s="13" t="n">
        <v>6.825421</v>
      </c>
      <c r="AA436" s="8" t="inlineStr">
        <is>
          <t>net income + D&amp;A - capex - change in operating working capital (cash and short-term debt excluded)</t>
        </is>
      </c>
      <c r="AB436" s="10" t="n">
        <v>0.3386222284115846</v>
      </c>
      <c r="AC436" s="10" t="n">
        <v>0.129202036450174</v>
      </c>
      <c r="AD436" s="12" t="n">
        <v>4388066490</v>
      </c>
    </row>
    <row r="437">
      <c r="A437" s="8" t="inlineStr">
        <is>
          <t>NFLX</t>
        </is>
      </c>
      <c r="B437" s="8" t="inlineStr">
        <is>
          <t>NETFLIX INC</t>
        </is>
      </c>
      <c r="C437" s="8" t="inlineStr">
        <is>
          <t>STANDARD</t>
        </is>
      </c>
      <c r="D437" s="8" t="n">
        <v>2020</v>
      </c>
      <c r="E437" s="8" t="inlineStr">
        <is>
          <t>2020-12-31</t>
        </is>
      </c>
      <c r="F437" s="8" t="inlineStr">
        <is>
          <t>0001065280-23-000035</t>
        </is>
      </c>
      <c r="G437" s="13" t="n">
        <v>24.996056</v>
      </c>
      <c r="H437" s="13" t="n">
        <v>4.585289</v>
      </c>
      <c r="I437" s="8" t="inlineStr">
        <is>
          <t>reported OperatingIncomeLoss (no interest expense tagged)</t>
        </is>
      </c>
      <c r="J437" s="13" t="n">
        <v>2.761395</v>
      </c>
      <c r="K437" s="10" t="n">
        <v>0.1368884732487765</v>
      </c>
      <c r="L437" s="13" t="n">
        <v>3.957615789385591</v>
      </c>
      <c r="M437" s="13" t="n">
        <v>19.168663</v>
      </c>
      <c r="N437" s="13" t="n">
        <v>18.2458215</v>
      </c>
      <c r="O437" s="10" t="n">
        <v>0.2169053220972041</v>
      </c>
      <c r="P437" s="8" t="inlineStr">
        <is>
          <t>OK</t>
        </is>
      </c>
      <c r="Q437" s="10" t="n">
        <v>0.2961694868189914</v>
      </c>
      <c r="R437" s="10" t="n">
        <v>0.07926416472178735</v>
      </c>
      <c r="S437" s="13" t="n">
        <v>11.06524</v>
      </c>
      <c r="T437" s="13" t="n">
        <v>8.205550000000001</v>
      </c>
      <c r="U437" s="13" t="n">
        <v>16.308973</v>
      </c>
      <c r="V437" s="8" t="inlineStr">
        <is>
          <t>short-term + long-term</t>
        </is>
      </c>
      <c r="W437" s="13" t="n">
        <v>4.700999</v>
      </c>
      <c r="X437" s="11" t="n">
        <v>1.723766161192547</v>
      </c>
      <c r="Y437" s="11" t="n"/>
      <c r="Z437" s="13" t="n">
        <v>2.43343</v>
      </c>
      <c r="AA437" s="8" t="inlineStr">
        <is>
          <t>net income + D&amp;A - capex - change in operating working capital (cash and short-term debt excluded)</t>
        </is>
      </c>
      <c r="AB437" s="10" t="n">
        <v>0.09735255833960366</v>
      </c>
      <c r="AC437" s="10" t="n">
        <v>0.1834404995732127</v>
      </c>
      <c r="AD437" s="12" t="n">
        <v>4428952610</v>
      </c>
    </row>
    <row r="438">
      <c r="A438" s="8" t="inlineStr">
        <is>
          <t>NFLX</t>
        </is>
      </c>
      <c r="B438" s="8" t="inlineStr">
        <is>
          <t>NETFLIX INC</t>
        </is>
      </c>
      <c r="C438" s="8" t="inlineStr">
        <is>
          <t>STANDARD</t>
        </is>
      </c>
      <c r="D438" s="8" t="n">
        <v>2021</v>
      </c>
      <c r="E438" s="8" t="inlineStr">
        <is>
          <t>2021-12-31</t>
        </is>
      </c>
      <c r="F438" s="8" t="inlineStr">
        <is>
          <t>0001065280-24-000030</t>
        </is>
      </c>
      <c r="G438" s="13" t="n">
        <v>29.697844</v>
      </c>
      <c r="H438" s="13" t="n">
        <v>6.194509</v>
      </c>
      <c r="I438" s="8" t="inlineStr">
        <is>
          <t>reported OperatingIncomeLoss (no interest expense tagged)</t>
        </is>
      </c>
      <c r="J438" s="13" t="n">
        <v>5.116228</v>
      </c>
      <c r="K438" s="10" t="n">
        <v>0.1239490125431007</v>
      </c>
      <c r="L438" s="13" t="n">
        <v>5.426705726260651</v>
      </c>
      <c r="M438" s="13" t="n">
        <v>25.214339</v>
      </c>
      <c r="N438" s="13" t="n">
        <v>22.191501</v>
      </c>
      <c r="O438" s="10" t="n">
        <v>0.2445398229827108</v>
      </c>
      <c r="P438" s="8" t="inlineStr">
        <is>
          <t>OK</t>
        </is>
      </c>
      <c r="Q438" s="10" t="n">
        <v>0.3801839366217927</v>
      </c>
      <c r="R438" s="10" t="n">
        <v>0.1356441136390818</v>
      </c>
      <c r="S438" s="13" t="n">
        <v>15.849248</v>
      </c>
      <c r="T438" s="13" t="n">
        <v>6.027804</v>
      </c>
      <c r="U438" s="13" t="n">
        <v>15.392895</v>
      </c>
      <c r="V438" s="8" t="inlineStr">
        <is>
          <t>short-term + long-term</t>
        </is>
      </c>
      <c r="W438" s="13" t="n">
        <v>6.402921</v>
      </c>
      <c r="X438" s="11" t="n">
        <v>1.462627916227609</v>
      </c>
      <c r="Y438" s="11" t="n"/>
      <c r="Z438" s="13" t="n">
        <v>4.7973</v>
      </c>
      <c r="AA438" s="8" t="inlineStr">
        <is>
          <t>net income + D&amp;A - capex - change in operating working capital (cash and short-term debt excluded)</t>
        </is>
      </c>
      <c r="AB438" s="10" t="n">
        <v>0.1615369789133514</v>
      </c>
      <c r="AC438" s="10" t="n">
        <v>0.2085844682866541</v>
      </c>
      <c r="AD438" s="12" t="n">
        <v>4439631070</v>
      </c>
    </row>
    <row r="439">
      <c r="A439" s="8" t="inlineStr">
        <is>
          <t>NFLX</t>
        </is>
      </c>
      <c r="B439" s="8" t="inlineStr">
        <is>
          <t>NETFLIX INC</t>
        </is>
      </c>
      <c r="C439" s="8" t="inlineStr">
        <is>
          <t>STANDARD</t>
        </is>
      </c>
      <c r="D439" s="8" t="n">
        <v>2022</v>
      </c>
      <c r="E439" s="8" t="inlineStr">
        <is>
          <t>2022-12-31</t>
        </is>
      </c>
      <c r="F439" s="8" t="inlineStr">
        <is>
          <t>0001065280-25-000044</t>
        </is>
      </c>
      <c r="G439" s="13" t="n">
        <v>31.61555</v>
      </c>
      <c r="H439" s="13" t="n">
        <v>5.970141</v>
      </c>
      <c r="I439" s="8" t="inlineStr">
        <is>
          <t>pretax_income + interest_expense</t>
        </is>
      </c>
      <c r="J439" s="13" t="n">
        <v>4.491924</v>
      </c>
      <c r="K439" s="10" t="n">
        <v>0.1466594629220873</v>
      </c>
      <c r="L439" s="13" t="n">
        <v>5.094563327370866</v>
      </c>
      <c r="M439" s="13" t="n">
        <v>29.983301</v>
      </c>
      <c r="N439" s="13" t="n">
        <v>27.59882</v>
      </c>
      <c r="O439" s="10" t="n">
        <v>0.1845935198450828</v>
      </c>
      <c r="P439" s="8" t="inlineStr">
        <is>
          <t>OK</t>
        </is>
      </c>
      <c r="Q439" s="10" t="n">
        <v>0.2452817346189655</v>
      </c>
      <c r="R439" s="10" t="n">
        <v>0.06068821477388278</v>
      </c>
      <c r="S439" s="13" t="n">
        <v>20.777401</v>
      </c>
      <c r="T439" s="13" t="n">
        <v>5.147176</v>
      </c>
      <c r="U439" s="13" t="n">
        <v>14.353076</v>
      </c>
      <c r="V439" s="8" t="inlineStr">
        <is>
          <t>short-term + long-term</t>
        </is>
      </c>
      <c r="W439" s="13" t="n">
        <v>6.306823</v>
      </c>
      <c r="X439" s="11" t="n">
        <v>1.459673119096572</v>
      </c>
      <c r="Y439" s="11" t="n">
        <v>8.453751847887037</v>
      </c>
      <c r="Z439" s="13" t="n">
        <v>2.485432</v>
      </c>
      <c r="AA439" s="8" t="inlineStr">
        <is>
          <t>net income + D&amp;A - capex - change in operating working capital (cash and short-term debt excluded)</t>
        </is>
      </c>
      <c r="AB439" s="10" t="n">
        <v>0.07861422622728373</v>
      </c>
      <c r="AC439" s="10" t="n">
        <v>0.1888355888162629</v>
      </c>
      <c r="AD439" s="12" t="n">
        <v>4453467760</v>
      </c>
    </row>
    <row r="440">
      <c r="A440" s="8" t="inlineStr">
        <is>
          <t>NFLX</t>
        </is>
      </c>
      <c r="B440" s="8" t="inlineStr">
        <is>
          <t>NETFLIX INC</t>
        </is>
      </c>
      <c r="C440" s="8" t="inlineStr">
        <is>
          <t>STANDARD</t>
        </is>
      </c>
      <c r="D440" s="8" t="n">
        <v>2023</v>
      </c>
      <c r="E440" s="8" t="inlineStr">
        <is>
          <t>2023-12-31</t>
        </is>
      </c>
      <c r="F440" s="8" t="inlineStr">
        <is>
          <t>0001065280-26-000034</t>
        </is>
      </c>
      <c r="G440" s="13" t="n">
        <v>33.723297</v>
      </c>
      <c r="H440" s="13" t="n">
        <v>6.905231</v>
      </c>
      <c r="I440" s="8" t="inlineStr">
        <is>
          <t>pretax_income + interest_expense</t>
        </is>
      </c>
      <c r="J440" s="13" t="n">
        <v>5.40799</v>
      </c>
      <c r="K440" s="10" t="n">
        <v>0.1285032967227764</v>
      </c>
      <c r="L440" s="13" t="n">
        <v>6.017886051867686</v>
      </c>
      <c r="M440" s="13" t="n">
        <v>28.014661</v>
      </c>
      <c r="N440" s="13" t="n">
        <v>28.998981</v>
      </c>
      <c r="O440" s="10" t="n">
        <v>0.2075206039780393</v>
      </c>
      <c r="P440" s="8" t="inlineStr">
        <is>
          <t>OK</t>
        </is>
      </c>
      <c r="Q440" s="10" t="n">
        <v>0.26147209739931</v>
      </c>
      <c r="R440" s="10" t="n">
        <v>0.05395149342127067</v>
      </c>
      <c r="S440" s="13" t="n">
        <v>20.588313</v>
      </c>
      <c r="T440" s="13" t="n">
        <v>7.116913</v>
      </c>
      <c r="U440" s="13" t="n">
        <v>14.543261</v>
      </c>
      <c r="V440" s="8" t="inlineStr">
        <is>
          <t>short-term + long-term</t>
        </is>
      </c>
      <c r="W440" s="13" t="n">
        <v>7.262178</v>
      </c>
      <c r="X440" s="11" t="n">
        <v>1.02260616580866</v>
      </c>
      <c r="Y440" s="11" t="n">
        <v>9.867068385570127</v>
      </c>
      <c r="Z440" s="13" t="n">
        <v>7.264299</v>
      </c>
      <c r="AA440" s="8" t="inlineStr">
        <is>
          <t>net income + D&amp;A - capex - change in operating working capital (cash and short-term debt excluded)</t>
        </is>
      </c>
      <c r="AB440" s="10" t="n">
        <v>0.2154089204267305</v>
      </c>
      <c r="AC440" s="10" t="n">
        <v>0.2047614442917607</v>
      </c>
      <c r="AD440" s="12" t="n">
        <v>4327595840</v>
      </c>
    </row>
    <row r="441">
      <c r="A441" s="8" t="inlineStr">
        <is>
          <t>NFLX</t>
        </is>
      </c>
      <c r="B441" s="8" t="inlineStr">
        <is>
          <t>NETFLIX INC</t>
        </is>
      </c>
      <c r="C441" s="8" t="inlineStr">
        <is>
          <t>STANDARD</t>
        </is>
      </c>
      <c r="D441" s="8" t="n">
        <v>2024</v>
      </c>
      <c r="E441" s="8" t="inlineStr">
        <is>
          <t>2024-12-31</t>
        </is>
      </c>
      <c r="F441" s="8" t="inlineStr">
        <is>
          <t>0001065280-26-000034</t>
        </is>
      </c>
      <c r="G441" s="13" t="n">
        <v>39.000966</v>
      </c>
      <c r="H441" s="13" t="n">
        <v>10.68439</v>
      </c>
      <c r="I441" s="8" t="inlineStr">
        <is>
          <t>pretax_income + interest_expense</t>
        </is>
      </c>
      <c r="J441" s="13" t="n">
        <v>8.711631000000001</v>
      </c>
      <c r="K441" s="10" t="n">
        <v>0.1258347542966811</v>
      </c>
      <c r="L441" s="13" t="n">
        <v>9.339922409540083</v>
      </c>
      <c r="M441" s="13" t="n">
        <v>32.521638</v>
      </c>
      <c r="N441" s="13" t="n">
        <v>30.2681495</v>
      </c>
      <c r="O441" s="10" t="n">
        <v>0.3085726271287276</v>
      </c>
      <c r="P441" s="8" t="inlineStr">
        <is>
          <t>OK</t>
        </is>
      </c>
      <c r="Q441" s="10" t="n">
        <v>0.3843489835409429</v>
      </c>
      <c r="R441" s="10" t="n">
        <v>0.07577635641221531</v>
      </c>
      <c r="S441" s="13" t="n">
        <v>24.743567</v>
      </c>
      <c r="T441" s="13" t="n">
        <v>7.804733</v>
      </c>
      <c r="U441" s="13" t="n">
        <v>15.582804</v>
      </c>
      <c r="V441" s="8" t="inlineStr">
        <is>
          <t>short-term + long-term</t>
        </is>
      </c>
      <c r="W441" s="13" t="n">
        <v>11.013304</v>
      </c>
      <c r="X441" s="11" t="n">
        <v>0.7062431945944651</v>
      </c>
      <c r="Y441" s="11" t="n">
        <v>14.86558986438636</v>
      </c>
      <c r="Z441" s="13" t="n">
        <v>6.616717</v>
      </c>
      <c r="AA441" s="8" t="inlineStr">
        <is>
          <t>net income + D&amp;A - capex - change in operating working capital (cash and short-term debt excluded)</t>
        </is>
      </c>
      <c r="AB441" s="10" t="n">
        <v>0.1696552080274114</v>
      </c>
      <c r="AC441" s="10" t="n">
        <v>0.2739519323700854</v>
      </c>
      <c r="AD441" s="12" t="n">
        <v>42775710000</v>
      </c>
    </row>
    <row r="442">
      <c r="A442" s="8" t="inlineStr">
        <is>
          <t>NFLX</t>
        </is>
      </c>
      <c r="B442" s="8" t="inlineStr">
        <is>
          <t>NETFLIX INC</t>
        </is>
      </c>
      <c r="C442" s="8" t="inlineStr">
        <is>
          <t>STANDARD</t>
        </is>
      </c>
      <c r="D442" s="8" t="n">
        <v>2025</v>
      </c>
      <c r="E442" s="8" t="inlineStr">
        <is>
          <t>2025-12-31</t>
        </is>
      </c>
      <c r="F442" s="8" t="inlineStr">
        <is>
          <t>0001065280-26-000034</t>
        </is>
      </c>
      <c r="G442" s="13" t="n">
        <v>45.183036</v>
      </c>
      <c r="H442" s="13" t="n">
        <v>13.499062</v>
      </c>
      <c r="I442" s="8" t="inlineStr">
        <is>
          <t>pretax_income + interest_expense</t>
        </is>
      </c>
      <c r="J442" s="13" t="n">
        <v>10.981201</v>
      </c>
      <c r="K442" s="10" t="n">
        <v>0.1368712031988551</v>
      </c>
      <c r="L442" s="13" t="n">
        <v>11.65142914200406</v>
      </c>
      <c r="M442" s="13" t="n">
        <v>32.044643</v>
      </c>
      <c r="N442" s="13" t="n">
        <v>32.2831405</v>
      </c>
      <c r="O442" s="10" t="n">
        <v>0.3609137451173332</v>
      </c>
      <c r="P442" s="8" t="inlineStr">
        <is>
          <t>OK</t>
        </is>
      </c>
      <c r="Q442" s="10" t="n">
        <v>0.4276247294659141</v>
      </c>
      <c r="R442" s="10" t="n">
        <v>0.06671098434858086</v>
      </c>
      <c r="S442" s="13" t="n">
        <v>26.615488</v>
      </c>
      <c r="T442" s="13" t="n">
        <v>9.033681</v>
      </c>
      <c r="U442" s="13" t="n">
        <v>14.462836</v>
      </c>
      <c r="V442" s="8" t="inlineStr">
        <is>
          <t>short-term + long-term</t>
        </is>
      </c>
      <c r="W442" s="13" t="n">
        <v>13.832451</v>
      </c>
      <c r="X442" s="11" t="n">
        <v>0.3924940706459036</v>
      </c>
      <c r="Y442" s="11" t="n">
        <v>17.38427322249553</v>
      </c>
      <c r="Z442" s="13" t="n">
        <v>12.946624</v>
      </c>
      <c r="AA442" s="8" t="inlineStr">
        <is>
          <t>net income + D&amp;A - capex - change in operating working capital (cash and short-term debt excluded)</t>
        </is>
      </c>
      <c r="AB442" s="10" t="n">
        <v>0.2865372747417858</v>
      </c>
      <c r="AC442" s="10" t="n">
        <v>0.2987639431754874</v>
      </c>
      <c r="AD442" s="12" t="n">
        <v>4222162150</v>
      </c>
    </row>
    <row r="443">
      <c r="A443" s="8" t="inlineStr">
        <is>
          <t>GS</t>
        </is>
      </c>
      <c r="B443" s="8" t="inlineStr">
        <is>
          <t>GOLDMAN SACHS GROUP INC</t>
        </is>
      </c>
      <c r="C443" s="8" t="inlineStr">
        <is>
          <t>FINANCIAL</t>
        </is>
      </c>
      <c r="D443" s="8" t="n">
        <v>2014</v>
      </c>
      <c r="E443" s="8" t="inlineStr">
        <is>
          <t>2014-12-31</t>
        </is>
      </c>
      <c r="F443" s="8" t="inlineStr">
        <is>
          <t>0001193125-17-056804</t>
        </is>
      </c>
      <c r="G443" s="13" t="n"/>
      <c r="H443" s="13" t="n">
        <v>17.914</v>
      </c>
      <c r="I443" s="8" t="inlineStr">
        <is>
          <t>pretax_income + interest_expense</t>
        </is>
      </c>
      <c r="J443" s="13" t="n">
        <v>8.477</v>
      </c>
      <c r="K443" s="10" t="n">
        <v>0.3139920692724771</v>
      </c>
      <c r="L443" s="13" t="n">
        <v>12.28914607105284</v>
      </c>
      <c r="M443" s="13" t="n"/>
      <c r="N443" s="13" t="n"/>
      <c r="O443" s="10" t="n"/>
      <c r="P443" s="8" t="inlineStr">
        <is>
          <t>FRAMEWORK_NOT_APPLICABLE</t>
        </is>
      </c>
      <c r="Q443" s="10" t="n">
        <v>0.1023829365798278</v>
      </c>
      <c r="R443" s="10" t="n"/>
      <c r="S443" s="13" t="n">
        <v>82.797</v>
      </c>
      <c r="T443" s="13" t="n">
        <v>75.02500000000001</v>
      </c>
      <c r="U443" s="13" t="n">
        <v>178.927</v>
      </c>
      <c r="V443" s="8" t="inlineStr">
        <is>
          <t>short-term + long-term</t>
        </is>
      </c>
      <c r="W443" s="13" t="n">
        <v>19.251</v>
      </c>
      <c r="X443" s="11" t="n">
        <v>5.397226118123734</v>
      </c>
      <c r="Y443" s="11" t="n">
        <v>3.223681842720893</v>
      </c>
      <c r="Z443" s="13" t="n"/>
      <c r="AA443" s="8" t="inlineStr">
        <is>
          <t>FRAMEWORK_NOT_APPLICABLE (financial sector)</t>
        </is>
      </c>
      <c r="AB443" s="10" t="n"/>
      <c r="AC443" s="10" t="n"/>
      <c r="AD443" s="12" t="n">
        <v>430259102</v>
      </c>
    </row>
    <row r="444">
      <c r="A444" s="8" t="inlineStr">
        <is>
          <t>GS</t>
        </is>
      </c>
      <c r="B444" s="8" t="inlineStr">
        <is>
          <t>GOLDMAN SACHS GROUP INC</t>
        </is>
      </c>
      <c r="C444" s="8" t="inlineStr">
        <is>
          <t>FINANCIAL</t>
        </is>
      </c>
      <c r="D444" s="8" t="n">
        <v>2015</v>
      </c>
      <c r="E444" s="8" t="inlineStr">
        <is>
          <t>2015-12-31</t>
        </is>
      </c>
      <c r="F444" s="8" t="inlineStr">
        <is>
          <t>0001193125-18-056383</t>
        </is>
      </c>
      <c r="G444" s="13" t="n"/>
      <c r="H444" s="13" t="n">
        <v>14.166</v>
      </c>
      <c r="I444" s="8" t="inlineStr">
        <is>
          <t>pretax_income + interest_expense</t>
        </is>
      </c>
      <c r="J444" s="13" t="n">
        <v>6.083</v>
      </c>
      <c r="K444" s="10" t="n">
        <v>0.3070175438596491</v>
      </c>
      <c r="L444" s="13" t="n">
        <v>9.81678947368421</v>
      </c>
      <c r="M444" s="13" t="n"/>
      <c r="N444" s="13" t="n"/>
      <c r="O444" s="10" t="n"/>
      <c r="P444" s="8" t="inlineStr">
        <is>
          <t>FRAMEWORK_NOT_APPLICABLE</t>
        </is>
      </c>
      <c r="Q444" s="10" t="n">
        <v>0.07176522636779237</v>
      </c>
      <c r="R444" s="10" t="n"/>
      <c r="S444" s="13" t="n">
        <v>86.72799999999999</v>
      </c>
      <c r="T444" s="13" t="n">
        <v>93.43899999999999</v>
      </c>
      <c r="U444" s="13" t="n">
        <v>190.192</v>
      </c>
      <c r="V444" s="8" t="inlineStr">
        <is>
          <t>short-term + long-term</t>
        </is>
      </c>
      <c r="W444" s="13" t="n">
        <v>15.157</v>
      </c>
      <c r="X444" s="11" t="n">
        <v>6.383387213828594</v>
      </c>
      <c r="Y444" s="11" t="n">
        <v>2.629175946547884</v>
      </c>
      <c r="Z444" s="13" t="n"/>
      <c r="AA444" s="8" t="inlineStr">
        <is>
          <t>FRAMEWORK_NOT_APPLICABLE (financial sector)</t>
        </is>
      </c>
      <c r="AB444" s="10" t="n"/>
      <c r="AC444" s="10" t="n"/>
      <c r="AD444" s="12" t="n">
        <v>419480736</v>
      </c>
    </row>
    <row r="445">
      <c r="A445" s="8" t="inlineStr">
        <is>
          <t>GS</t>
        </is>
      </c>
      <c r="B445" s="8" t="inlineStr">
        <is>
          <t>GOLDMAN SACHS GROUP INC</t>
        </is>
      </c>
      <c r="C445" s="8" t="inlineStr">
        <is>
          <t>FINANCIAL</t>
        </is>
      </c>
      <c r="D445" s="8" t="n">
        <v>2016</v>
      </c>
      <c r="E445" s="8" t="inlineStr">
        <is>
          <t>2016-12-31</t>
        </is>
      </c>
      <c r="F445" s="8" t="inlineStr">
        <is>
          <t>0001193125-19-050198</t>
        </is>
      </c>
      <c r="G445" s="13" t="n"/>
      <c r="H445" s="13" t="n">
        <v>17.408</v>
      </c>
      <c r="I445" s="8" t="inlineStr">
        <is>
          <t>pretax_income + interest_expense</t>
        </is>
      </c>
      <c r="J445" s="13" t="n">
        <v>7.398</v>
      </c>
      <c r="K445" s="10" t="n">
        <v>0.2820263975155279</v>
      </c>
      <c r="L445" s="13" t="n">
        <v>12.49848447204969</v>
      </c>
      <c r="M445" s="13" t="n"/>
      <c r="N445" s="13" t="n"/>
      <c r="O445" s="10" t="n"/>
      <c r="P445" s="8" t="inlineStr">
        <is>
          <t>FRAMEWORK_NOT_APPLICABLE</t>
        </is>
      </c>
      <c r="Q445" s="10" t="n">
        <v>0.08522010586277005</v>
      </c>
      <c r="R445" s="10" t="n"/>
      <c r="S445" s="13" t="n">
        <v>86.893</v>
      </c>
      <c r="T445" s="13" t="n">
        <v>121.711</v>
      </c>
      <c r="U445" s="13" t="n">
        <v>201.528</v>
      </c>
      <c r="V445" s="8" t="inlineStr">
        <is>
          <t>short-term + long-term</t>
        </is>
      </c>
      <c r="W445" s="13" t="n">
        <v>18.406</v>
      </c>
      <c r="X445" s="11" t="n">
        <v>4.336466369662067</v>
      </c>
      <c r="Y445" s="11" t="n">
        <v>2.45045045045045</v>
      </c>
      <c r="Z445" s="13" t="n"/>
      <c r="AA445" s="8" t="inlineStr">
        <is>
          <t>FRAMEWORK_NOT_APPLICABLE (financial sector)</t>
        </is>
      </c>
      <c r="AB445" s="10" t="n"/>
      <c r="AC445" s="10" t="n"/>
      <c r="AD445" s="12" t="n">
        <v>392632230</v>
      </c>
    </row>
    <row r="446">
      <c r="A446" s="8" t="inlineStr">
        <is>
          <t>GS</t>
        </is>
      </c>
      <c r="B446" s="8" t="inlineStr">
        <is>
          <t>GOLDMAN SACHS GROUP INC</t>
        </is>
      </c>
      <c r="C446" s="8" t="inlineStr">
        <is>
          <t>FINANCIAL</t>
        </is>
      </c>
      <c r="D446" s="8" t="n">
        <v>2017</v>
      </c>
      <c r="E446" s="8" t="inlineStr">
        <is>
          <t>2017-12-31</t>
        </is>
      </c>
      <c r="F446" s="8" t="inlineStr">
        <is>
          <t>0001193125-20-043853</t>
        </is>
      </c>
      <c r="G446" s="13" t="n"/>
      <c r="H446" s="13" t="n">
        <v>21.313</v>
      </c>
      <c r="I446" s="8" t="inlineStr">
        <is>
          <t>pretax_income + interest_expense</t>
        </is>
      </c>
      <c r="J446" s="13" t="n">
        <v>4.286</v>
      </c>
      <c r="K446" s="10" t="n">
        <v>0.4</v>
      </c>
      <c r="L446" s="13" t="n">
        <v>12.7878</v>
      </c>
      <c r="M446" s="13" t="n"/>
      <c r="N446" s="13" t="n"/>
      <c r="O446" s="10" t="n"/>
      <c r="P446" s="8" t="inlineStr">
        <is>
          <t>FRAMEWORK_NOT_APPLICABLE</t>
        </is>
      </c>
      <c r="Q446" s="10" t="n">
        <v>0.05068110869359568</v>
      </c>
      <c r="R446" s="10" t="n"/>
      <c r="S446" s="13" t="n">
        <v>82.24299999999999</v>
      </c>
      <c r="T446" s="13" t="n">
        <v>110.051</v>
      </c>
      <c r="U446" s="13" t="n">
        <v>231.438</v>
      </c>
      <c r="V446" s="8" t="inlineStr">
        <is>
          <t>short-term + long-term</t>
        </is>
      </c>
      <c r="W446" s="13" t="n">
        <v>22.465</v>
      </c>
      <c r="X446" s="11" t="n">
        <v>5.403383040284887</v>
      </c>
      <c r="Y446" s="11" t="n">
        <v>2.093409291818093</v>
      </c>
      <c r="Z446" s="13" t="n"/>
      <c r="AA446" s="8" t="inlineStr">
        <is>
          <t>FRAMEWORK_NOT_APPLICABLE (financial sector)</t>
        </is>
      </c>
      <c r="AB446" s="10" t="n"/>
      <c r="AC446" s="10" t="n"/>
      <c r="AD446" s="12" t="n">
        <v>374808805</v>
      </c>
    </row>
    <row r="447">
      <c r="A447" s="8" t="inlineStr">
        <is>
          <t>GS</t>
        </is>
      </c>
      <c r="B447" s="8" t="inlineStr">
        <is>
          <t>GOLDMAN SACHS GROUP INC</t>
        </is>
      </c>
      <c r="C447" s="8" t="inlineStr">
        <is>
          <t>FINANCIAL</t>
        </is>
      </c>
      <c r="D447" s="8" t="n">
        <v>2018</v>
      </c>
      <c r="E447" s="8" t="inlineStr">
        <is>
          <t>2018-12-31</t>
        </is>
      </c>
      <c r="F447" s="8" t="inlineStr">
        <is>
          <t>0001193125-21-049380</t>
        </is>
      </c>
      <c r="G447" s="13" t="n"/>
      <c r="H447" s="13" t="n">
        <v>28.393</v>
      </c>
      <c r="I447" s="8" t="inlineStr">
        <is>
          <t>pretax_income + interest_expense</t>
        </is>
      </c>
      <c r="J447" s="13" t="n">
        <v>10.459</v>
      </c>
      <c r="K447" s="10" t="n">
        <v>0.1620062494992388</v>
      </c>
      <c r="L447" s="13" t="n">
        <v>23.79315655796811</v>
      </c>
      <c r="M447" s="13" t="n"/>
      <c r="N447" s="13" t="n"/>
      <c r="O447" s="10" t="n"/>
      <c r="P447" s="8" t="inlineStr">
        <is>
          <t>FRAMEWORK_NOT_APPLICABLE</t>
        </is>
      </c>
      <c r="Q447" s="10" t="n">
        <v>0.1213144036931357</v>
      </c>
      <c r="R447" s="10" t="n"/>
      <c r="S447" s="13" t="n">
        <v>90.185</v>
      </c>
      <c r="T447" s="13" t="n">
        <v>130.547</v>
      </c>
      <c r="U447" s="13" t="n">
        <v>238.145</v>
      </c>
      <c r="V447" s="8" t="inlineStr">
        <is>
          <t>short-term + long-term</t>
        </is>
      </c>
      <c r="W447" s="13" t="n">
        <v>29.721</v>
      </c>
      <c r="X447" s="11" t="n">
        <v>3.620268497022308</v>
      </c>
      <c r="Y447" s="11" t="n">
        <v>1.784376571141277</v>
      </c>
      <c r="Z447" s="13" t="n"/>
      <c r="AA447" s="8" t="inlineStr">
        <is>
          <t>FRAMEWORK_NOT_APPLICABLE (financial sector)</t>
        </is>
      </c>
      <c r="AB447" s="10" t="n"/>
      <c r="AC447" s="10" t="n"/>
      <c r="AD447" s="12" t="n">
        <v>367741973</v>
      </c>
    </row>
    <row r="448">
      <c r="A448" s="8" t="inlineStr">
        <is>
          <t>GS</t>
        </is>
      </c>
      <c r="B448" s="8" t="inlineStr">
        <is>
          <t>GOLDMAN SACHS GROUP INC</t>
        </is>
      </c>
      <c r="C448" s="8" t="inlineStr">
        <is>
          <t>FINANCIAL</t>
        </is>
      </c>
      <c r="D448" s="8" t="n">
        <v>2019</v>
      </c>
      <c r="E448" s="8" t="inlineStr">
        <is>
          <t>2019-12-31</t>
        </is>
      </c>
      <c r="F448" s="8" t="inlineStr">
        <is>
          <t>0001193125-22-052682</t>
        </is>
      </c>
      <c r="G448" s="13" t="n"/>
      <c r="H448" s="13" t="n">
        <v>27.959</v>
      </c>
      <c r="I448" s="8" t="inlineStr">
        <is>
          <t>pretax_income + interest_expense</t>
        </is>
      </c>
      <c r="J448" s="13" t="n">
        <v>8.465999999999999</v>
      </c>
      <c r="K448" s="10" t="n">
        <v>0.2000377964660304</v>
      </c>
      <c r="L448" s="13" t="n">
        <v>22.36614324860625</v>
      </c>
      <c r="M448" s="13" t="n"/>
      <c r="N448" s="13" t="n"/>
      <c r="O448" s="10" t="n"/>
      <c r="P448" s="8" t="inlineStr">
        <is>
          <t>FRAMEWORK_NOT_APPLICABLE</t>
        </is>
      </c>
      <c r="Q448" s="10" t="n">
        <v>0.09383208645054032</v>
      </c>
      <c r="R448" s="10" t="n"/>
      <c r="S448" s="13" t="n">
        <v>90.265</v>
      </c>
      <c r="T448" s="13" t="n">
        <v>133.546</v>
      </c>
      <c r="U448" s="13" t="n">
        <v>1.837</v>
      </c>
      <c r="V448" s="8" t="inlineStr">
        <is>
          <t>short-term only (no long-term debt tagged; read as nil)</t>
        </is>
      </c>
      <c r="W448" s="13" t="n">
        <v>29.663</v>
      </c>
      <c r="X448" s="11" t="n">
        <v>-4.440177999528031</v>
      </c>
      <c r="Y448" s="11" t="n">
        <v>1.60905847145488</v>
      </c>
      <c r="Z448" s="13" t="n"/>
      <c r="AA448" s="8" t="inlineStr">
        <is>
          <t>FRAMEWORK_NOT_APPLICABLE (financial sector)</t>
        </is>
      </c>
      <c r="AB448" s="10" t="n"/>
      <c r="AC448" s="10" t="n"/>
      <c r="AD448" s="12" t="n">
        <v>347343184</v>
      </c>
    </row>
    <row r="449">
      <c r="A449" s="8" t="inlineStr">
        <is>
          <t>GS</t>
        </is>
      </c>
      <c r="B449" s="8" t="inlineStr">
        <is>
          <t>GOLDMAN SACHS GROUP INC</t>
        </is>
      </c>
      <c r="C449" s="8" t="inlineStr">
        <is>
          <t>FINANCIAL</t>
        </is>
      </c>
      <c r="D449" s="8" t="n">
        <v>2020</v>
      </c>
      <c r="E449" s="8" t="inlineStr">
        <is>
          <t>2020-12-31</t>
        </is>
      </c>
      <c r="F449" s="8" t="inlineStr">
        <is>
          <t>0000886982-23-000003</t>
        </is>
      </c>
      <c r="G449" s="13" t="n"/>
      <c r="H449" s="13" t="n">
        <v>21.417</v>
      </c>
      <c r="I449" s="8" t="inlineStr">
        <is>
          <t>pretax_income + interest_expense</t>
        </is>
      </c>
      <c r="J449" s="13" t="n">
        <v>9.459</v>
      </c>
      <c r="K449" s="10" t="n">
        <v>0.2420065710393461</v>
      </c>
      <c r="L449" s="13" t="n">
        <v>16.23394526805033</v>
      </c>
      <c r="M449" s="13" t="n"/>
      <c r="N449" s="13" t="n"/>
      <c r="O449" s="10" t="n"/>
      <c r="P449" s="8" t="inlineStr">
        <is>
          <t>FRAMEWORK_NOT_APPLICABLE</t>
        </is>
      </c>
      <c r="Q449" s="10" t="n">
        <v>0.101602066628356</v>
      </c>
      <c r="R449" s="10" t="n"/>
      <c r="S449" s="13" t="n">
        <v>95.932</v>
      </c>
      <c r="T449" s="13" t="n">
        <v>155.842</v>
      </c>
      <c r="U449" s="13" t="n">
        <v>2.048</v>
      </c>
      <c r="V449" s="8" t="inlineStr">
        <is>
          <t>short-term only (no long-term debt tagged; read as nil)</t>
        </is>
      </c>
      <c r="W449" s="13" t="n">
        <v>23.319</v>
      </c>
      <c r="X449" s="11" t="n">
        <v>-6.595222779707535</v>
      </c>
      <c r="Y449" s="11" t="n">
        <v>2.396173640635489</v>
      </c>
      <c r="Z449" s="13" t="n"/>
      <c r="AA449" s="8" t="inlineStr">
        <is>
          <t>FRAMEWORK_NOT_APPLICABLE (financial sector)</t>
        </is>
      </c>
      <c r="AB449" s="10" t="n"/>
      <c r="AC449" s="10" t="n"/>
      <c r="AD449" s="12" t="n">
        <v>344088725</v>
      </c>
    </row>
    <row r="450">
      <c r="A450" s="8" t="inlineStr">
        <is>
          <t>GS</t>
        </is>
      </c>
      <c r="B450" s="8" t="inlineStr">
        <is>
          <t>GOLDMAN SACHS GROUP INC</t>
        </is>
      </c>
      <c r="C450" s="8" t="inlineStr">
        <is>
          <t>FINANCIAL</t>
        </is>
      </c>
      <c r="D450" s="8" t="n">
        <v>2021</v>
      </c>
      <c r="E450" s="8" t="inlineStr">
        <is>
          <t>2021-12-31</t>
        </is>
      </c>
      <c r="F450" s="8" t="inlineStr">
        <is>
          <t>0000886982-24-000006</t>
        </is>
      </c>
      <c r="G450" s="13" t="n"/>
      <c r="H450" s="13" t="n">
        <v>32.694</v>
      </c>
      <c r="I450" s="8" t="inlineStr">
        <is>
          <t>pretax_income + interest_expense</t>
        </is>
      </c>
      <c r="J450" s="13" t="n">
        <v>21.635</v>
      </c>
      <c r="K450" s="10" t="n">
        <v>0.2000073953557166</v>
      </c>
      <c r="L450" s="13" t="n">
        <v>26.1549582162402</v>
      </c>
      <c r="M450" s="13" t="n"/>
      <c r="N450" s="13" t="n"/>
      <c r="O450" s="10" t="n"/>
      <c r="P450" s="8" t="inlineStr">
        <is>
          <t>FRAMEWORK_NOT_APPLICABLE</t>
        </is>
      </c>
      <c r="Q450" s="10" t="n">
        <v>0.2101934343090869</v>
      </c>
      <c r="R450" s="10" t="n"/>
      <c r="S450" s="13" t="n">
        <v>109.926</v>
      </c>
      <c r="T450" s="13" t="n">
        <v>261.036</v>
      </c>
      <c r="U450" s="13" t="n">
        <v>2.034</v>
      </c>
      <c r="V450" s="8" t="inlineStr">
        <is>
          <t>short-term only (no long-term debt tagged; read as nil)</t>
        </is>
      </c>
      <c r="W450" s="13" t="n">
        <v>34.709</v>
      </c>
      <c r="X450" s="11" t="n">
        <v>-7.462099167362932</v>
      </c>
      <c r="Y450" s="11" t="n">
        <v>5.786548672566371</v>
      </c>
      <c r="Z450" s="13" t="n"/>
      <c r="AA450" s="8" t="inlineStr">
        <is>
          <t>FRAMEWORK_NOT_APPLICABLE (financial sector)</t>
        </is>
      </c>
      <c r="AB450" s="10" t="n"/>
      <c r="AC450" s="10" t="n"/>
      <c r="AD450" s="12" t="n">
        <v>333573254</v>
      </c>
    </row>
    <row r="451">
      <c r="A451" s="8" t="inlineStr">
        <is>
          <t>GS</t>
        </is>
      </c>
      <c r="B451" s="8" t="inlineStr">
        <is>
          <t>GOLDMAN SACHS GROUP INC</t>
        </is>
      </c>
      <c r="C451" s="8" t="inlineStr">
        <is>
          <t>FINANCIAL</t>
        </is>
      </c>
      <c r="D451" s="8" t="n">
        <v>2022</v>
      </c>
      <c r="E451" s="8" t="inlineStr">
        <is>
          <t>2022-12-31</t>
        </is>
      </c>
      <c r="F451" s="8" t="inlineStr">
        <is>
          <t>0000886982-25-000005</t>
        </is>
      </c>
      <c r="G451" s="13" t="n"/>
      <c r="H451" s="13" t="n">
        <v>34.832</v>
      </c>
      <c r="I451" s="8" t="inlineStr">
        <is>
          <t>pretax_income + interest_expense</t>
        </is>
      </c>
      <c r="J451" s="13" t="n">
        <v>11.261</v>
      </c>
      <c r="K451" s="10" t="n">
        <v>0.1649859113154382</v>
      </c>
      <c r="L451" s="13" t="n">
        <v>29.08521073706065</v>
      </c>
      <c r="M451" s="13" t="n"/>
      <c r="N451" s="13" t="n"/>
      <c r="O451" s="10" t="n"/>
      <c r="P451" s="8" t="inlineStr">
        <is>
          <t>FRAMEWORK_NOT_APPLICABLE</t>
        </is>
      </c>
      <c r="Q451" s="10" t="n">
        <v>0.09916562094093301</v>
      </c>
      <c r="R451" s="10" t="n"/>
      <c r="S451" s="13" t="n">
        <v>117.189</v>
      </c>
      <c r="T451" s="13" t="n">
        <v>241.825</v>
      </c>
      <c r="U451" s="13" t="n">
        <v>2.225</v>
      </c>
      <c r="V451" s="8" t="inlineStr">
        <is>
          <t>short-term only (no long-term debt tagged; read as nil)</t>
        </is>
      </c>
      <c r="W451" s="13" t="n">
        <v>37.287</v>
      </c>
      <c r="X451" s="11" t="n">
        <v>-6.425832059430901</v>
      </c>
      <c r="Y451" s="11" t="n">
        <v>1.63178112995409</v>
      </c>
      <c r="Z451" s="13" t="n"/>
      <c r="AA451" s="8" t="inlineStr">
        <is>
          <t>FRAMEWORK_NOT_APPLICABLE (financial sector)</t>
        </is>
      </c>
      <c r="AB451" s="10" t="n"/>
      <c r="AC451" s="10" t="n"/>
      <c r="AD451" s="12" t="n">
        <v>334918639</v>
      </c>
    </row>
    <row r="452">
      <c r="A452" s="8" t="inlineStr">
        <is>
          <t>GS</t>
        </is>
      </c>
      <c r="B452" s="8" t="inlineStr">
        <is>
          <t>GOLDMAN SACHS GROUP INC</t>
        </is>
      </c>
      <c r="C452" s="8" t="inlineStr">
        <is>
          <t>FINANCIAL</t>
        </is>
      </c>
      <c r="D452" s="8" t="n">
        <v>2023</v>
      </c>
      <c r="E452" s="8" t="inlineStr">
        <is>
          <t>2023-12-31</t>
        </is>
      </c>
      <c r="F452" s="8" t="inlineStr">
        <is>
          <t>0000886982-26-000091</t>
        </is>
      </c>
      <c r="G452" s="13" t="n"/>
      <c r="H452" s="13" t="n">
        <v>72.90300000000001</v>
      </c>
      <c r="I452" s="8" t="inlineStr">
        <is>
          <t>pretax_income + interest_expense</t>
        </is>
      </c>
      <c r="J452" s="13" t="n">
        <v>8.516</v>
      </c>
      <c r="K452" s="10" t="n">
        <v>0.2070025142005773</v>
      </c>
      <c r="L452" s="13" t="n">
        <v>57.81189570723531</v>
      </c>
      <c r="M452" s="13" t="n"/>
      <c r="N452" s="13" t="n"/>
      <c r="O452" s="10" t="n"/>
      <c r="P452" s="8" t="inlineStr">
        <is>
          <t>FRAMEWORK_NOT_APPLICABLE</t>
        </is>
      </c>
      <c r="Q452" s="10" t="n">
        <v>0.07275709757618734</v>
      </c>
      <c r="R452" s="10" t="n"/>
      <c r="S452" s="13" t="n">
        <v>116.905</v>
      </c>
      <c r="T452" s="13" t="n">
        <v>241.577</v>
      </c>
      <c r="U452" s="13" t="n">
        <v>2.298</v>
      </c>
      <c r="V452" s="8" t="inlineStr">
        <is>
          <t>short-term only (no long-term debt tagged; read as nil)</t>
        </is>
      </c>
      <c r="W452" s="13" t="n">
        <v>77.759</v>
      </c>
      <c r="X452" s="11" t="n">
        <v>-3.0771872066256</v>
      </c>
      <c r="Y452" s="11" t="n">
        <v>1.172752718615276</v>
      </c>
      <c r="Z452" s="13" t="n"/>
      <c r="AA452" s="8" t="inlineStr">
        <is>
          <t>FRAMEWORK_NOT_APPLICABLE (financial sector)</t>
        </is>
      </c>
      <c r="AB452" s="10" t="n"/>
      <c r="AC452" s="10" t="n"/>
      <c r="AD452" s="12" t="n">
        <v>323376354</v>
      </c>
    </row>
    <row r="453">
      <c r="A453" s="8" t="inlineStr">
        <is>
          <t>GS</t>
        </is>
      </c>
      <c r="B453" s="8" t="inlineStr">
        <is>
          <t>GOLDMAN SACHS GROUP INC</t>
        </is>
      </c>
      <c r="C453" s="8" t="inlineStr">
        <is>
          <t>FINANCIAL</t>
        </is>
      </c>
      <c r="D453" s="8" t="n">
        <v>2024</v>
      </c>
      <c r="E453" s="8" t="inlineStr">
        <is>
          <t>2024-12-31</t>
        </is>
      </c>
      <c r="F453" s="8" t="inlineStr">
        <is>
          <t>0000886982-26-000091</t>
        </is>
      </c>
      <c r="G453" s="13" t="n"/>
      <c r="H453" s="13" t="n">
        <v>91.738</v>
      </c>
      <c r="I453" s="8" t="inlineStr">
        <is>
          <t>pretax_income + interest_expense</t>
        </is>
      </c>
      <c r="J453" s="13" t="n">
        <v>14.276</v>
      </c>
      <c r="K453" s="10" t="n">
        <v>0.2240039136815785</v>
      </c>
      <c r="L453" s="13" t="n">
        <v>71.18832896667935</v>
      </c>
      <c r="M453" s="13" t="n"/>
      <c r="N453" s="13" t="n"/>
      <c r="O453" s="10" t="n"/>
      <c r="P453" s="8" t="inlineStr">
        <is>
          <t>FRAMEWORK_NOT_APPLICABLE</t>
        </is>
      </c>
      <c r="Q453" s="10" t="n">
        <v>0.1195139409211347</v>
      </c>
      <c r="R453" s="10" t="n"/>
      <c r="S453" s="13" t="n">
        <v>121.996</v>
      </c>
      <c r="T453" s="13" t="n">
        <v>182.092</v>
      </c>
      <c r="U453" s="13" t="n">
        <v>2.058</v>
      </c>
      <c r="V453" s="8" t="inlineStr">
        <is>
          <t>short-term only (no long-term debt tagged; read as nil)</t>
        </is>
      </c>
      <c r="W453" s="13" t="n">
        <v>94.13</v>
      </c>
      <c r="X453" s="11" t="n">
        <v>-1.912610219908637</v>
      </c>
      <c r="Y453" s="11" t="n">
        <v>1.250841957431723</v>
      </c>
      <c r="Z453" s="13" t="n"/>
      <c r="AA453" s="8" t="inlineStr">
        <is>
          <t>FRAMEWORK_NOT_APPLICABLE (financial sector)</t>
        </is>
      </c>
      <c r="AB453" s="10" t="n"/>
      <c r="AC453" s="10" t="n"/>
      <c r="AD453" s="12" t="n">
        <v>310653708</v>
      </c>
    </row>
    <row r="454">
      <c r="A454" s="8" t="inlineStr">
        <is>
          <t>GS</t>
        </is>
      </c>
      <c r="B454" s="8" t="inlineStr">
        <is>
          <t>GOLDMAN SACHS GROUP INC</t>
        </is>
      </c>
      <c r="C454" s="8" t="inlineStr">
        <is>
          <t>FINANCIAL</t>
        </is>
      </c>
      <c r="D454" s="8" t="n">
        <v>2025</v>
      </c>
      <c r="E454" s="8" t="inlineStr">
        <is>
          <t>2025-12-31</t>
        </is>
      </c>
      <c r="F454" s="8" t="inlineStr">
        <is>
          <t>0000886982-26-000091</t>
        </is>
      </c>
      <c r="G454" s="13" t="n"/>
      <c r="H454" s="13" t="n">
        <v>88.666</v>
      </c>
      <c r="I454" s="8" t="inlineStr">
        <is>
          <t>pretax_income + interest_expense</t>
        </is>
      </c>
      <c r="J454" s="13" t="n">
        <v>17.176</v>
      </c>
      <c r="K454" s="10" t="n">
        <v>0.2139849899322716</v>
      </c>
      <c r="L454" s="13" t="n">
        <v>69.69280688266521</v>
      </c>
      <c r="M454" s="13" t="n"/>
      <c r="N454" s="13" t="n"/>
      <c r="O454" s="10" t="n"/>
      <c r="P454" s="8" t="inlineStr">
        <is>
          <t>FRAMEWORK_NOT_APPLICABLE</t>
        </is>
      </c>
      <c r="Q454" s="10" t="n">
        <v>0.1390949434744582</v>
      </c>
      <c r="R454" s="10" t="n"/>
      <c r="S454" s="13" t="n">
        <v>124.972</v>
      </c>
      <c r="T454" s="13" t="n">
        <v>164.259</v>
      </c>
      <c r="U454" s="13" t="n"/>
      <c r="V454" s="8" t="inlineStr">
        <is>
          <t>DATA_UNAVAILABLE</t>
        </is>
      </c>
      <c r="W454" s="13" t="n">
        <v>90.848</v>
      </c>
      <c r="X454" s="11" t="n"/>
      <c r="Y454" s="11" t="n">
        <v>1.327057203580088</v>
      </c>
      <c r="Z454" s="13" t="n"/>
      <c r="AA454" s="8" t="inlineStr">
        <is>
          <t>FRAMEWORK_NOT_APPLICABLE (financial sector)</t>
        </is>
      </c>
      <c r="AB454" s="10" t="n"/>
      <c r="AC454" s="10" t="n"/>
      <c r="AD454" s="12" t="n">
        <v>296476742</v>
      </c>
    </row>
    <row r="455">
      <c r="A455" s="8" t="inlineStr">
        <is>
          <t>RTX</t>
        </is>
      </c>
      <c r="B455" s="8" t="inlineStr">
        <is>
          <t>RTX Corp</t>
        </is>
      </c>
      <c r="C455" s="8" t="inlineStr">
        <is>
          <t>STANDARD</t>
        </is>
      </c>
      <c r="D455" s="8" t="n">
        <v>2014</v>
      </c>
      <c r="E455" s="8" t="inlineStr">
        <is>
          <t>2014-12-31</t>
        </is>
      </c>
      <c r="F455" s="8" t="inlineStr">
        <is>
          <t>0000101829-17-000007</t>
        </is>
      </c>
      <c r="G455" s="13" t="n"/>
      <c r="H455" s="13" t="n">
        <v>9.593</v>
      </c>
      <c r="I455" s="8" t="inlineStr">
        <is>
          <t>pretax_income + interest_expense</t>
        </is>
      </c>
      <c r="J455" s="13" t="n">
        <v>6.22</v>
      </c>
      <c r="K455" s="10" t="n">
        <v>0.2575757575757576</v>
      </c>
      <c r="L455" s="13" t="n">
        <v>7.122075757575758</v>
      </c>
      <c r="M455" s="13" t="n">
        <v>43.894</v>
      </c>
      <c r="N455" s="13" t="n">
        <v>43.894</v>
      </c>
      <c r="O455" s="10" t="n">
        <v>0.1622562481791534</v>
      </c>
      <c r="P455" s="8" t="inlineStr">
        <is>
          <t>OK</t>
        </is>
      </c>
      <c r="Q455" s="10" t="n">
        <v>0.199275942716176</v>
      </c>
      <c r="R455" s="10" t="n">
        <v>0.03701969453702258</v>
      </c>
      <c r="S455" s="13" t="n">
        <v>31.213</v>
      </c>
      <c r="T455" s="13" t="n">
        <v>5.229</v>
      </c>
      <c r="U455" s="13" t="n">
        <v>17.91</v>
      </c>
      <c r="V455" s="8" t="inlineStr">
        <is>
          <t>short-term + long-term</t>
        </is>
      </c>
      <c r="W455" s="13" t="n">
        <v>11.413</v>
      </c>
      <c r="X455" s="11" t="n">
        <v>1.111101375624288</v>
      </c>
      <c r="Y455" s="11" t="n">
        <v>10.88876276958002</v>
      </c>
      <c r="Z455" s="13" t="n"/>
      <c r="AA455" s="8" t="inlineStr">
        <is>
          <t>net income + D&amp;A - capex - change in no prior year</t>
        </is>
      </c>
      <c r="AB455" s="10" t="n"/>
      <c r="AC455" s="10" t="n"/>
      <c r="AD455" s="12" t="n">
        <v>911600000</v>
      </c>
    </row>
    <row r="456">
      <c r="A456" s="8" t="inlineStr">
        <is>
          <t>RTX</t>
        </is>
      </c>
      <c r="B456" s="8" t="inlineStr">
        <is>
          <t>RTX Corp</t>
        </is>
      </c>
      <c r="C456" s="8" t="inlineStr">
        <is>
          <t>STANDARD</t>
        </is>
      </c>
      <c r="D456" s="8" t="n">
        <v>2015</v>
      </c>
      <c r="E456" s="8" t="inlineStr">
        <is>
          <t>2015-12-31</t>
        </is>
      </c>
      <c r="F456" s="8" t="inlineStr">
        <is>
          <t>0000101829-18-000005</t>
        </is>
      </c>
      <c r="G456" s="13" t="n"/>
      <c r="H456" s="13" t="n">
        <v>7.291</v>
      </c>
      <c r="I456" s="8" t="inlineStr">
        <is>
          <t>pretax_income + interest_expense</t>
        </is>
      </c>
      <c r="J456" s="13" t="n">
        <v>7.608</v>
      </c>
      <c r="K456" s="10" t="n">
        <v>0.3264264728622236</v>
      </c>
      <c r="L456" s="13" t="n">
        <v>4.911024586361528</v>
      </c>
      <c r="M456" s="13" t="n">
        <v>40.529</v>
      </c>
      <c r="N456" s="13" t="n">
        <v>42.2115</v>
      </c>
      <c r="O456" s="10" t="n">
        <v>0.1163432852744282</v>
      </c>
      <c r="P456" s="8" t="inlineStr">
        <is>
          <t>OK</t>
        </is>
      </c>
      <c r="Q456" s="10" t="n">
        <v>0.2597872667360981</v>
      </c>
      <c r="R456" s="10" t="n">
        <v>0.1434439814616699</v>
      </c>
      <c r="S456" s="13" t="n">
        <v>27.358</v>
      </c>
      <c r="T456" s="13" t="n">
        <v>7.075</v>
      </c>
      <c r="U456" s="13" t="n">
        <v>20.246</v>
      </c>
      <c r="V456" s="8" t="inlineStr">
        <is>
          <t>short-term + long-term</t>
        </is>
      </c>
      <c r="W456" s="13" t="n">
        <v>9.154</v>
      </c>
      <c r="X456" s="11" t="n">
        <v>1.438824557570461</v>
      </c>
      <c r="Y456" s="11" t="n">
        <v>8.848300970873787</v>
      </c>
      <c r="Z456" s="13" t="n"/>
      <c r="AA456" s="8" t="inlineStr">
        <is>
          <t>net income + D&amp;A - capex - change in operating working capital (cash and short-term debt excluded)</t>
        </is>
      </c>
      <c r="AB456" s="10" t="n"/>
      <c r="AC456" s="10" t="n"/>
      <c r="AD456" s="12" t="n">
        <v>883200000</v>
      </c>
    </row>
    <row r="457">
      <c r="A457" s="8" t="inlineStr">
        <is>
          <t>RTX</t>
        </is>
      </c>
      <c r="B457" s="8" t="inlineStr">
        <is>
          <t>RTX Corp</t>
        </is>
      </c>
      <c r="C457" s="8" t="inlineStr">
        <is>
          <t>STANDARD</t>
        </is>
      </c>
      <c r="D457" s="8" t="n">
        <v>2016</v>
      </c>
      <c r="E457" s="8" t="inlineStr">
        <is>
          <t>2016-12-31</t>
        </is>
      </c>
      <c r="F457" s="8" t="inlineStr">
        <is>
          <t>0000101829-19-000007</t>
        </is>
      </c>
      <c r="G457" s="13" t="n"/>
      <c r="H457" s="13" t="n">
        <v>8.172000000000001</v>
      </c>
      <c r="I457" s="8" t="inlineStr">
        <is>
          <t>pretax_income + interest_expense</t>
        </is>
      </c>
      <c r="J457" s="13" t="n">
        <v>5.055</v>
      </c>
      <c r="K457" s="10" t="n">
        <v>0.2379083134725922</v>
      </c>
      <c r="L457" s="13" t="n">
        <v>6.227813262301977</v>
      </c>
      <c r="M457" s="13" t="n">
        <v>42.72</v>
      </c>
      <c r="N457" s="13" t="n">
        <v>41.6245</v>
      </c>
      <c r="O457" s="10" t="n">
        <v>0.1496189326550944</v>
      </c>
      <c r="P457" s="8" t="inlineStr">
        <is>
          <t>OK</t>
        </is>
      </c>
      <c r="Q457" s="10" t="n">
        <v>0.1840289786482698</v>
      </c>
      <c r="R457" s="10" t="n">
        <v>0.03441004599317543</v>
      </c>
      <c r="S457" s="13" t="n">
        <v>27.579</v>
      </c>
      <c r="T457" s="13" t="n">
        <v>7.157</v>
      </c>
      <c r="U457" s="13" t="n">
        <v>22.298</v>
      </c>
      <c r="V457" s="8" t="inlineStr">
        <is>
          <t>short-term + long-term</t>
        </is>
      </c>
      <c r="W457" s="13" t="n">
        <v>10.134</v>
      </c>
      <c r="X457" s="11" t="n">
        <v>1.494079336885731</v>
      </c>
      <c r="Y457" s="11" t="n">
        <v>7.865255052935515</v>
      </c>
      <c r="Z457" s="13" t="n"/>
      <c r="AA457" s="8" t="inlineStr">
        <is>
          <t>net income + D&amp;A - capex - change in operating working capital (cash and short-term debt excluded)</t>
        </is>
      </c>
      <c r="AB457" s="10" t="n"/>
      <c r="AC457" s="10" t="n"/>
      <c r="AD457" s="12" t="n">
        <v>826100000</v>
      </c>
    </row>
    <row r="458">
      <c r="A458" s="8" t="inlineStr">
        <is>
          <t>RTX</t>
        </is>
      </c>
      <c r="B458" s="8" t="inlineStr">
        <is>
          <t>RTX Corp</t>
        </is>
      </c>
      <c r="C458" s="8" t="inlineStr">
        <is>
          <t>STANDARD</t>
        </is>
      </c>
      <c r="D458" s="8" t="n">
        <v>2017</v>
      </c>
      <c r="E458" s="8" t="inlineStr">
        <is>
          <t>2017-12-31</t>
        </is>
      </c>
      <c r="F458" s="8" t="inlineStr">
        <is>
          <t>0000101829-20-000013</t>
        </is>
      </c>
      <c r="G458" s="13" t="n"/>
      <c r="H458" s="13" t="n">
        <v>8.672000000000001</v>
      </c>
      <c r="I458" s="8" t="inlineStr">
        <is>
          <t>pretax_income + interest_expense</t>
        </is>
      </c>
      <c r="J458" s="13" t="n">
        <v>4.552</v>
      </c>
      <c r="K458" s="10" t="n">
        <v>0.3662243977843617</v>
      </c>
      <c r="L458" s="13" t="n">
        <v>5.496102022414015</v>
      </c>
      <c r="M458" s="13" t="n">
        <v>46.006</v>
      </c>
      <c r="N458" s="13" t="n">
        <v>44.363</v>
      </c>
      <c r="O458" s="10" t="n">
        <v>0.1238893226881413</v>
      </c>
      <c r="P458" s="8" t="inlineStr">
        <is>
          <t>OK</t>
        </is>
      </c>
      <c r="Q458" s="10" t="n">
        <v>0.1591914529017818</v>
      </c>
      <c r="R458" s="10" t="n">
        <v>0.03530213021364045</v>
      </c>
      <c r="S458" s="13" t="n">
        <v>29.61</v>
      </c>
      <c r="T458" s="13" t="n">
        <v>8.984999999999999</v>
      </c>
      <c r="U458" s="13" t="n">
        <v>25.381</v>
      </c>
      <c r="V458" s="8" t="inlineStr">
        <is>
          <t>short-term + long-term</t>
        </is>
      </c>
      <c r="W458" s="13" t="n">
        <v>10.812</v>
      </c>
      <c r="X458" s="11" t="n">
        <v>1.516463189049205</v>
      </c>
      <c r="Y458" s="11" t="n">
        <v>9.540154015401541</v>
      </c>
      <c r="Z458" s="13" t="n"/>
      <c r="AA458" s="8" t="inlineStr">
        <is>
          <t>net income + D&amp;A - capex - change in operating working capital (cash and short-term debt excluded)</t>
        </is>
      </c>
      <c r="AB458" s="10" t="n"/>
      <c r="AC458" s="10" t="n"/>
      <c r="AD458" s="12" t="n">
        <v>799100000</v>
      </c>
    </row>
    <row r="459">
      <c r="A459" s="8" t="inlineStr">
        <is>
          <t>RTX</t>
        </is>
      </c>
      <c r="B459" s="8" t="inlineStr">
        <is>
          <t>RTX Corp</t>
        </is>
      </c>
      <c r="C459" s="8" t="inlineStr">
        <is>
          <t>STANDARD</t>
        </is>
      </c>
      <c r="D459" s="8" t="n">
        <v>2018</v>
      </c>
      <c r="E459" s="8" t="inlineStr">
        <is>
          <t>2018-12-31</t>
        </is>
      </c>
      <c r="F459" s="8" t="inlineStr">
        <is>
          <t>0000101829-21-000008</t>
        </is>
      </c>
      <c r="G459" s="13" t="n"/>
      <c r="H459" s="13" t="n">
        <v>3.536</v>
      </c>
      <c r="I459" s="8" t="inlineStr">
        <is>
          <t>pretax_income + interest_expense</t>
        </is>
      </c>
      <c r="J459" s="13" t="n">
        <v>5.269</v>
      </c>
      <c r="K459" s="10" t="n">
        <v>0.4</v>
      </c>
      <c r="L459" s="13" t="n">
        <v>2.1216</v>
      </c>
      <c r="M459" s="13" t="n">
        <v>77.414</v>
      </c>
      <c r="N459" s="13" t="n">
        <v>61.71</v>
      </c>
      <c r="O459" s="10" t="n">
        <v>0.0343801652892562</v>
      </c>
      <c r="P459" s="8" t="inlineStr">
        <is>
          <t>OK</t>
        </is>
      </c>
      <c r="Q459" s="10" t="n">
        <v>0.1548430704126014</v>
      </c>
      <c r="R459" s="10" t="n">
        <v>0.1204629051233452</v>
      </c>
      <c r="S459" s="13" t="n">
        <v>38.446</v>
      </c>
      <c r="T459" s="13" t="n">
        <v>3.693</v>
      </c>
      <c r="U459" s="13" t="n">
        <v>42.661</v>
      </c>
      <c r="V459" s="8" t="inlineStr">
        <is>
          <t>short-term + long-term</t>
        </is>
      </c>
      <c r="W459" s="13" t="n">
        <v>5.432</v>
      </c>
      <c r="X459" s="11" t="n">
        <v>7.17378497790869</v>
      </c>
      <c r="Y459" s="11" t="n">
        <v>3.426356589147287</v>
      </c>
      <c r="Z459" s="13" t="n"/>
      <c r="AA459" s="8" t="inlineStr">
        <is>
          <t>net income + D&amp;A - capex - change in operating working capital (cash and short-term debt excluded)</t>
        </is>
      </c>
      <c r="AB459" s="10" t="n"/>
      <c r="AC459" s="10" t="n"/>
      <c r="AD459" s="12" t="n">
        <v>810100000</v>
      </c>
    </row>
    <row r="460">
      <c r="A460" s="8" t="inlineStr">
        <is>
          <t>RTX</t>
        </is>
      </c>
      <c r="B460" s="8" t="inlineStr">
        <is>
          <t>RTX Corp</t>
        </is>
      </c>
      <c r="C460" s="8" t="inlineStr">
        <is>
          <t>STANDARD</t>
        </is>
      </c>
      <c r="D460" s="8" t="n">
        <v>2019</v>
      </c>
      <c r="E460" s="8" t="inlineStr">
        <is>
          <t>2019-12-31</t>
        </is>
      </c>
      <c r="F460" s="8" t="inlineStr">
        <is>
          <t>0000101829-22-000005</t>
        </is>
      </c>
      <c r="G460" s="13" t="n"/>
      <c r="H460" s="13" t="n">
        <v>5.743</v>
      </c>
      <c r="I460" s="8" t="inlineStr">
        <is>
          <t>pretax_income + interest_expense</t>
        </is>
      </c>
      <c r="J460" s="13" t="n">
        <v>5.537</v>
      </c>
      <c r="K460" s="10" t="n">
        <v>0.1013969171483622</v>
      </c>
      <c r="L460" s="13" t="n">
        <v>5.160677504816956</v>
      </c>
      <c r="M460" s="13" t="n">
        <v>76.831</v>
      </c>
      <c r="N460" s="13" t="n">
        <v>77.1225</v>
      </c>
      <c r="O460" s="10" t="n">
        <v>0.06691532957070837</v>
      </c>
      <c r="P460" s="8" t="inlineStr">
        <is>
          <t>OK</t>
        </is>
      </c>
      <c r="Q460" s="10" t="n">
        <v>0.1380453752181501</v>
      </c>
      <c r="R460" s="10" t="n">
        <v>0.07113004564744171</v>
      </c>
      <c r="S460" s="13" t="n">
        <v>41.774</v>
      </c>
      <c r="T460" s="13" t="n">
        <v>4.937</v>
      </c>
      <c r="U460" s="13" t="n">
        <v>39.994</v>
      </c>
      <c r="V460" s="8" t="inlineStr">
        <is>
          <t>short-term + long-term</t>
        </is>
      </c>
      <c r="W460" s="13" t="n">
        <v>8.451000000000001</v>
      </c>
      <c r="X460" s="11" t="n">
        <v>4.14826647733996</v>
      </c>
      <c r="Y460" s="11" t="n">
        <v>3.609679446888749</v>
      </c>
      <c r="Z460" s="13" t="n">
        <v>-4.051</v>
      </c>
      <c r="AA460" s="8" t="inlineStr">
        <is>
          <t>net income + D&amp;A - capex - change in operating working capital (cash and short-term debt excluded)</t>
        </is>
      </c>
      <c r="AB460" s="10" t="n"/>
      <c r="AC460" s="10" t="n"/>
      <c r="AD460" s="12" t="n">
        <v>863900000</v>
      </c>
    </row>
    <row r="461">
      <c r="A461" s="8" t="inlineStr">
        <is>
          <t>RTX</t>
        </is>
      </c>
      <c r="B461" s="8" t="inlineStr">
        <is>
          <t>RTX Corp</t>
        </is>
      </c>
      <c r="C461" s="8" t="inlineStr">
        <is>
          <t>STANDARD</t>
        </is>
      </c>
      <c r="D461" s="8" t="n">
        <v>2020</v>
      </c>
      <c r="E461" s="8" t="inlineStr">
        <is>
          <t>2020-12-31</t>
        </is>
      </c>
      <c r="F461" s="8" t="inlineStr">
        <is>
          <t>0000101829-23-000009</t>
        </is>
      </c>
      <c r="G461" s="13" t="n"/>
      <c r="H461" s="13" t="n">
        <v>-0.987</v>
      </c>
      <c r="I461" s="8" t="inlineStr">
        <is>
          <t>pretax_income + interest_expense</t>
        </is>
      </c>
      <c r="J461" s="13" t="n">
        <v>-3.519</v>
      </c>
      <c r="K461" s="10" t="n">
        <v>0.21</v>
      </c>
      <c r="L461" s="13" t="n">
        <v>-0.77973</v>
      </c>
      <c r="M461" s="13" t="n">
        <v>94.634</v>
      </c>
      <c r="N461" s="13" t="n">
        <v>85.7325</v>
      </c>
      <c r="O461" s="10" t="n">
        <v>-0.00909491733006736</v>
      </c>
      <c r="P461" s="8" t="inlineStr">
        <is>
          <t>OK</t>
        </is>
      </c>
      <c r="Q461" s="10" t="n">
        <v>-0.06177097869875457</v>
      </c>
      <c r="R461" s="10" t="n">
        <v>-0.05267606136868722</v>
      </c>
      <c r="S461" s="13" t="n">
        <v>72.163</v>
      </c>
      <c r="T461" s="13" t="n">
        <v>8.802</v>
      </c>
      <c r="U461" s="13" t="n">
        <v>31.273</v>
      </c>
      <c r="V461" s="8" t="inlineStr">
        <is>
          <t>short-term + long-term</t>
        </is>
      </c>
      <c r="W461" s="13" t="n">
        <v>3.169</v>
      </c>
      <c r="X461" s="11" t="n">
        <v>7.090880403912906</v>
      </c>
      <c r="Y461" s="11" t="n">
        <v>-0.7225475841874085</v>
      </c>
      <c r="Z461" s="13" t="n">
        <v>12.208</v>
      </c>
      <c r="AA461" s="8" t="inlineStr">
        <is>
          <t>net income + D&amp;A - capex - change in operating working capital (cash and short-term debt excluded)</t>
        </is>
      </c>
      <c r="AB461" s="10" t="n"/>
      <c r="AC461" s="10" t="n"/>
      <c r="AD461" s="12" t="n">
        <v>1357800000</v>
      </c>
    </row>
    <row r="462">
      <c r="A462" s="8" t="inlineStr">
        <is>
          <t>RTX</t>
        </is>
      </c>
      <c r="B462" s="8" t="inlineStr">
        <is>
          <t>RTX Corp</t>
        </is>
      </c>
      <c r="C462" s="8" t="inlineStr">
        <is>
          <t>STANDARD</t>
        </is>
      </c>
      <c r="D462" s="8" t="n">
        <v>2021</v>
      </c>
      <c r="E462" s="8" t="inlineStr">
        <is>
          <t>2021-12-31</t>
        </is>
      </c>
      <c r="F462" s="8" t="inlineStr">
        <is>
          <t>0000101829-24-000008</t>
        </is>
      </c>
      <c r="G462" s="13" t="n">
        <v>64.38800000000001</v>
      </c>
      <c r="H462" s="13" t="n">
        <v>6.431</v>
      </c>
      <c r="I462" s="8" t="inlineStr">
        <is>
          <t>pretax_income + interest_expense</t>
        </is>
      </c>
      <c r="J462" s="13" t="n">
        <v>3.864</v>
      </c>
      <c r="K462" s="10" t="n">
        <v>0.188686631434723</v>
      </c>
      <c r="L462" s="13" t="n">
        <v>5.217556273243296</v>
      </c>
      <c r="M462" s="13" t="n">
        <v>96.697</v>
      </c>
      <c r="N462" s="13" t="n">
        <v>95.66549999999999</v>
      </c>
      <c r="O462" s="10" t="n">
        <v>0.05453958086502757</v>
      </c>
      <c r="P462" s="8" t="inlineStr">
        <is>
          <t>OK</t>
        </is>
      </c>
      <c r="Q462" s="10" t="n">
        <v>0.05321177985416337</v>
      </c>
      <c r="R462" s="10" t="n">
        <v>-0.001327801010864209</v>
      </c>
      <c r="S462" s="13" t="n">
        <v>73.068</v>
      </c>
      <c r="T462" s="13" t="n">
        <v>7.832</v>
      </c>
      <c r="U462" s="13" t="n">
        <v>31.461</v>
      </c>
      <c r="V462" s="8" t="inlineStr">
        <is>
          <t>short-term + long-term</t>
        </is>
      </c>
      <c r="W462" s="13" t="n">
        <v>10.988</v>
      </c>
      <c r="X462" s="11" t="n">
        <v>2.150436840189297</v>
      </c>
      <c r="Y462" s="11" t="n">
        <v>4.864599092284418</v>
      </c>
      <c r="Z462" s="13" t="n">
        <v>6.357</v>
      </c>
      <c r="AA462" s="8" t="inlineStr">
        <is>
          <t>net income + D&amp;A - capex - change in operating working capital (cash and short-term debt excluded)</t>
        </is>
      </c>
      <c r="AB462" s="10" t="n">
        <v>0.09872957693980244</v>
      </c>
      <c r="AC462" s="10" t="n">
        <v>0.09987885941479779</v>
      </c>
      <c r="AD462" s="12" t="n">
        <v>1508500000</v>
      </c>
    </row>
    <row r="463">
      <c r="A463" s="8" t="inlineStr">
        <is>
          <t>RTX</t>
        </is>
      </c>
      <c r="B463" s="8" t="inlineStr">
        <is>
          <t>RTX Corp</t>
        </is>
      </c>
      <c r="C463" s="8" t="inlineStr">
        <is>
          <t>STANDARD</t>
        </is>
      </c>
      <c r="D463" s="8" t="n">
        <v>2022</v>
      </c>
      <c r="E463" s="8" t="inlineStr">
        <is>
          <t>2022-12-31</t>
        </is>
      </c>
      <c r="F463" s="8" t="inlineStr">
        <is>
          <t>0000101829-25-000005</t>
        </is>
      </c>
      <c r="G463" s="13" t="n">
        <v>67.074</v>
      </c>
      <c r="H463" s="13" t="n">
        <v>7.393</v>
      </c>
      <c r="I463" s="8" t="inlineStr">
        <is>
          <t>pretax_income + interest_expense</t>
        </is>
      </c>
      <c r="J463" s="13" t="n">
        <v>5.197</v>
      </c>
      <c r="K463" s="10" t="n">
        <v>0.1291482752983489</v>
      </c>
      <c r="L463" s="13" t="n">
        <v>6.438206800719307</v>
      </c>
      <c r="M463" s="13" t="n">
        <v>97.73099999999999</v>
      </c>
      <c r="N463" s="13" t="n">
        <v>97.214</v>
      </c>
      <c r="O463" s="10" t="n">
        <v>0.06622715658978447</v>
      </c>
      <c r="P463" s="8" t="inlineStr">
        <is>
          <t>OK</t>
        </is>
      </c>
      <c r="Q463" s="10" t="n">
        <v>0.07133836650652024</v>
      </c>
      <c r="R463" s="10" t="n">
        <v>0.005111209916735776</v>
      </c>
      <c r="S463" s="13" t="n">
        <v>72.63200000000001</v>
      </c>
      <c r="T463" s="13" t="n">
        <v>6.22</v>
      </c>
      <c r="U463" s="13" t="n">
        <v>31.319</v>
      </c>
      <c r="V463" s="8" t="inlineStr">
        <is>
          <t>short-term + long-term</t>
        </is>
      </c>
      <c r="W463" s="13" t="n">
        <v>11.501</v>
      </c>
      <c r="X463" s="11" t="n">
        <v>2.182331971132945</v>
      </c>
      <c r="Y463" s="11" t="n">
        <v>5.793887147335423</v>
      </c>
      <c r="Z463" s="13" t="n">
        <v>8.186</v>
      </c>
      <c r="AA463" s="8" t="inlineStr">
        <is>
          <t>net income + D&amp;A - capex - change in operating working capital (cash and short-term debt excluded)</t>
        </is>
      </c>
      <c r="AB463" s="10" t="n">
        <v>0.1220443092703581</v>
      </c>
      <c r="AC463" s="10" t="n">
        <v>0.1102215463517906</v>
      </c>
      <c r="AD463" s="12" t="n">
        <v>1485900000</v>
      </c>
    </row>
    <row r="464">
      <c r="A464" s="8" t="inlineStr">
        <is>
          <t>RTX</t>
        </is>
      </c>
      <c r="B464" s="8" t="inlineStr">
        <is>
          <t>RTX Corp</t>
        </is>
      </c>
      <c r="C464" s="8" t="inlineStr">
        <is>
          <t>STANDARD</t>
        </is>
      </c>
      <c r="D464" s="8" t="n">
        <v>2023</v>
      </c>
      <c r="E464" s="8" t="inlineStr">
        <is>
          <t>2023-12-31</t>
        </is>
      </c>
      <c r="F464" s="8" t="inlineStr">
        <is>
          <t>0000101829-26-000006</t>
        </is>
      </c>
      <c r="G464" s="13" t="n">
        <v>68.92</v>
      </c>
      <c r="H464" s="13" t="n">
        <v>5.341</v>
      </c>
      <c r="I464" s="8" t="inlineStr">
        <is>
          <t>pretax_income + interest_expense</t>
        </is>
      </c>
      <c r="J464" s="13" t="n">
        <v>3.195</v>
      </c>
      <c r="K464" s="10" t="n">
        <v>0.118873826903024</v>
      </c>
      <c r="L464" s="13" t="n">
        <v>4.706094890510949</v>
      </c>
      <c r="M464" s="13" t="n">
        <v>95.755</v>
      </c>
      <c r="N464" s="13" t="n">
        <v>96.74299999999999</v>
      </c>
      <c r="O464" s="10" t="n">
        <v>0.04864532721241795</v>
      </c>
      <c r="P464" s="8" t="inlineStr">
        <is>
          <t>OK</t>
        </is>
      </c>
      <c r="Q464" s="10" t="n">
        <v>0.04825190666767349</v>
      </c>
      <c r="R464" s="10" t="n">
        <v>-0.0003934205447444564</v>
      </c>
      <c r="S464" s="13" t="n">
        <v>59.798</v>
      </c>
      <c r="T464" s="13" t="n">
        <v>6.587</v>
      </c>
      <c r="U464" s="13" t="n">
        <v>42.544</v>
      </c>
      <c r="V464" s="8" t="inlineStr">
        <is>
          <t>short-term + long-term</t>
        </is>
      </c>
      <c r="W464" s="13" t="n">
        <v>9.552</v>
      </c>
      <c r="X464" s="11" t="n">
        <v>3.764342546063652</v>
      </c>
      <c r="Y464" s="11" t="n">
        <v>3.548837209302325</v>
      </c>
      <c r="Z464" s="13" t="n">
        <v>7.467</v>
      </c>
      <c r="AA464" s="8" t="inlineStr">
        <is>
          <t>net income + D&amp;A - capex - change in operating working capital (cash and short-term debt excluded)</t>
        </is>
      </c>
      <c r="AB464" s="10" t="n">
        <v>0.1083430063842136</v>
      </c>
      <c r="AC464" s="10" t="n">
        <v>0.07749564712710388</v>
      </c>
      <c r="AD464" s="12" t="n">
        <v>1435400000</v>
      </c>
    </row>
    <row r="465">
      <c r="A465" s="8" t="inlineStr">
        <is>
          <t>RTX</t>
        </is>
      </c>
      <c r="B465" s="8" t="inlineStr">
        <is>
          <t>RTX Corp</t>
        </is>
      </c>
      <c r="C465" s="8" t="inlineStr">
        <is>
          <t>STANDARD</t>
        </is>
      </c>
      <c r="D465" s="8" t="n">
        <v>2024</v>
      </c>
      <c r="E465" s="8" t="inlineStr">
        <is>
          <t>2024-12-31</t>
        </is>
      </c>
      <c r="F465" s="8" t="inlineStr">
        <is>
          <t>0000101829-26-000006</t>
        </is>
      </c>
      <c r="G465" s="13" t="n">
        <v>80.738</v>
      </c>
      <c r="H465" s="13" t="n">
        <v>8.055999999999999</v>
      </c>
      <c r="I465" s="8" t="inlineStr">
        <is>
          <t>pretax_income + interest_expense</t>
        </is>
      </c>
      <c r="J465" s="13" t="n">
        <v>4.774</v>
      </c>
      <c r="K465" s="10" t="n">
        <v>0.1906683887633193</v>
      </c>
      <c r="L465" s="13" t="n">
        <v>6.519975460122699</v>
      </c>
      <c r="M465" s="13" t="n">
        <v>93.48699999999999</v>
      </c>
      <c r="N465" s="13" t="n">
        <v>94.621</v>
      </c>
      <c r="O465" s="10" t="n">
        <v>0.0689062201849769</v>
      </c>
      <c r="P465" s="8" t="inlineStr">
        <is>
          <t>OK</t>
        </is>
      </c>
      <c r="Q465" s="10" t="n">
        <v>0.07959717891858546</v>
      </c>
      <c r="R465" s="10" t="n">
        <v>0.01069095873360856</v>
      </c>
      <c r="S465" s="13" t="n">
        <v>60.156</v>
      </c>
      <c r="T465" s="13" t="n">
        <v>5.578</v>
      </c>
      <c r="U465" s="13" t="n">
        <v>38.909</v>
      </c>
      <c r="V465" s="8" t="inlineStr">
        <is>
          <t>short-term + long-term</t>
        </is>
      </c>
      <c r="W465" s="13" t="n">
        <v>12.42</v>
      </c>
      <c r="X465" s="11" t="n">
        <v>2.68365539452496</v>
      </c>
      <c r="Y465" s="11" t="n">
        <v>4.326530612244898</v>
      </c>
      <c r="Z465" s="13" t="n">
        <v>7.532</v>
      </c>
      <c r="AA465" s="8" t="inlineStr">
        <is>
          <t>net income + D&amp;A - capex - change in operating working capital (cash and short-term debt excluded)</t>
        </is>
      </c>
      <c r="AB465" s="10" t="n">
        <v>0.09328940523669152</v>
      </c>
      <c r="AC465" s="10" t="n">
        <v>0.09977953380068864</v>
      </c>
      <c r="AD465" s="12" t="n">
        <v>1343600000</v>
      </c>
    </row>
    <row r="466">
      <c r="A466" s="8" t="inlineStr">
        <is>
          <t>RTX</t>
        </is>
      </c>
      <c r="B466" s="8" t="inlineStr">
        <is>
          <t>RTX Corp</t>
        </is>
      </c>
      <c r="C466" s="8" t="inlineStr">
        <is>
          <t>STANDARD</t>
        </is>
      </c>
      <c r="D466" s="8" t="n">
        <v>2025</v>
      </c>
      <c r="E466" s="8" t="inlineStr">
        <is>
          <t>2025-12-31</t>
        </is>
      </c>
      <c r="F466" s="8" t="inlineStr">
        <is>
          <t>0000101829-26-000006</t>
        </is>
      </c>
      <c r="G466" s="13" t="n">
        <v>88.60299999999999</v>
      </c>
      <c r="H466" s="13" t="n">
        <v>9.300000000000001</v>
      </c>
      <c r="I466" s="8" t="inlineStr">
        <is>
          <t>reported OperatingIncomeLoss (no interest expense tagged)</t>
        </is>
      </c>
      <c r="J466" s="13" t="n">
        <v>6.732</v>
      </c>
      <c r="K466" s="10" t="n">
        <v>0.1905416237260964</v>
      </c>
      <c r="L466" s="13" t="n">
        <v>7.527962899347304</v>
      </c>
      <c r="M466" s="13" t="n">
        <v>92.30200000000001</v>
      </c>
      <c r="N466" s="13" t="n">
        <v>92.89449999999999</v>
      </c>
      <c r="O466" s="10" t="n">
        <v>0.0810377675680186</v>
      </c>
      <c r="P466" s="8" t="inlineStr">
        <is>
          <t>OK</t>
        </is>
      </c>
      <c r="Q466" s="10" t="n">
        <v>0.1073675648519549</v>
      </c>
      <c r="R466" s="10" t="n">
        <v>0.02632979728393632</v>
      </c>
      <c r="S466" s="13" t="n">
        <v>65.245</v>
      </c>
      <c r="T466" s="13" t="n">
        <v>7.435</v>
      </c>
      <c r="U466" s="13" t="n">
        <v>34.492</v>
      </c>
      <c r="V466" s="8" t="inlineStr">
        <is>
          <t>short-term + long-term</t>
        </is>
      </c>
      <c r="W466" s="13" t="n">
        <v>13.678</v>
      </c>
      <c r="X466" s="11" t="n">
        <v>1.978140078958912</v>
      </c>
      <c r="Y466" s="11" t="n"/>
      <c r="Z466" s="13" t="n">
        <v>8.404999999999999</v>
      </c>
      <c r="AA466" s="8" t="inlineStr">
        <is>
          <t>net income + D&amp;A - capex - change in operating working capital (cash and short-term debt excluded)</t>
        </is>
      </c>
      <c r="AB466" s="10" t="n">
        <v>0.09486134780989357</v>
      </c>
      <c r="AC466" s="10" t="n">
        <v>0.1049625859169554</v>
      </c>
      <c r="AD466" s="12" t="n">
        <v>1356400000</v>
      </c>
    </row>
    <row r="467">
      <c r="A467" s="8" t="inlineStr">
        <is>
          <t>PANW</t>
        </is>
      </c>
      <c r="B467" s="8" t="inlineStr">
        <is>
          <t>Palo Alto Networks Inc</t>
        </is>
      </c>
      <c r="C467" s="8" t="inlineStr">
        <is>
          <t>STANDARD</t>
        </is>
      </c>
      <c r="D467" s="8" t="n">
        <v>2014</v>
      </c>
      <c r="E467" s="8" t="inlineStr">
        <is>
          <t>2014-07-31</t>
        </is>
      </c>
      <c r="F467" s="8" t="inlineStr">
        <is>
          <t>0001327567-16-000064</t>
        </is>
      </c>
      <c r="G467" s="13" t="n"/>
      <c r="H467" s="13" t="n">
        <v>-0.2153</v>
      </c>
      <c r="I467" s="8" t="inlineStr">
        <is>
          <t>reported OperatingIncomeLoss (no interest expense tagged)</t>
        </is>
      </c>
      <c r="J467" s="13" t="n">
        <v>-0.2265</v>
      </c>
      <c r="K467" s="10" t="n">
        <v>0.21</v>
      </c>
      <c r="L467" s="13" t="n">
        <v>-0.170087</v>
      </c>
      <c r="M467" s="13" t="n">
        <v>0.281658</v>
      </c>
      <c r="N467" s="13" t="n">
        <v>0.281658</v>
      </c>
      <c r="O467" s="10" t="n">
        <v>-0.6038777524515547</v>
      </c>
      <c r="P467" s="8" t="inlineStr">
        <is>
          <t>OK</t>
        </is>
      </c>
      <c r="Q467" s="10" t="n">
        <v>-0.4833722094058043</v>
      </c>
      <c r="R467" s="10" t="n">
        <v>0.1205055430457504</v>
      </c>
      <c r="S467" s="13" t="n">
        <v>0.468583</v>
      </c>
      <c r="T467" s="13" t="n">
        <v>0.6538</v>
      </c>
      <c r="U467" s="13" t="n">
        <v>0.466875</v>
      </c>
      <c r="V467" s="8" t="inlineStr">
        <is>
          <t>short-term + long-term</t>
        </is>
      </c>
      <c r="W467" s="13" t="n">
        <v>-0.1959</v>
      </c>
      <c r="X467" s="11" t="n">
        <v>0.9541858090862685</v>
      </c>
      <c r="Y467" s="11" t="n">
        <v>-119.6111111111111</v>
      </c>
      <c r="Z467" s="13" t="n">
        <v>0.0523</v>
      </c>
      <c r="AA467" s="8" t="inlineStr">
        <is>
          <t>operating cash flow - capex (working-capital swing already embedded)</t>
        </is>
      </c>
      <c r="AB467" s="10" t="n"/>
      <c r="AC467" s="10" t="n"/>
      <c r="AD467" s="12" t="n">
        <v>477114000</v>
      </c>
    </row>
    <row r="468">
      <c r="A468" s="8" t="inlineStr">
        <is>
          <t>PANW</t>
        </is>
      </c>
      <c r="B468" s="8" t="inlineStr">
        <is>
          <t>Palo Alto Networks Inc</t>
        </is>
      </c>
      <c r="C468" s="8" t="inlineStr">
        <is>
          <t>STANDARD</t>
        </is>
      </c>
      <c r="D468" s="8" t="n">
        <v>2015</v>
      </c>
      <c r="E468" s="8" t="inlineStr">
        <is>
          <t>2015-07-31</t>
        </is>
      </c>
      <c r="F468" s="8" t="inlineStr">
        <is>
          <t>0001327567-17-000027</t>
        </is>
      </c>
      <c r="G468" s="13" t="n"/>
      <c r="H468" s="13" t="n">
        <v>-0.0998</v>
      </c>
      <c r="I468" s="8" t="inlineStr">
        <is>
          <t>reported OperatingIncomeLoss (no interest expense tagged)</t>
        </is>
      </c>
      <c r="J468" s="13" t="n">
        <v>-0.1313</v>
      </c>
      <c r="K468" s="10" t="n">
        <v>0.21</v>
      </c>
      <c r="L468" s="13" t="n">
        <v>-0.078842</v>
      </c>
      <c r="M468" s="13" t="n">
        <v>1.0863</v>
      </c>
      <c r="N468" s="13" t="n">
        <v>0.683979</v>
      </c>
      <c r="O468" s="10" t="n">
        <v>-0.1152696208509326</v>
      </c>
      <c r="P468" s="8" t="inlineStr">
        <is>
          <t>OK</t>
        </is>
      </c>
      <c r="Q468" s="10" t="n">
        <v>-0.2745474828094174</v>
      </c>
      <c r="R468" s="10" t="n">
        <v>-0.1592778619584849</v>
      </c>
      <c r="S468" s="13" t="n">
        <v>0.4879</v>
      </c>
      <c r="T468" s="13" t="n">
        <v>0.3758</v>
      </c>
      <c r="U468" s="13" t="n">
        <v>0.9742</v>
      </c>
      <c r="V468" s="8" t="inlineStr">
        <is>
          <t>short-term + long-term</t>
        </is>
      </c>
      <c r="W468" s="13" t="n">
        <v>-0.0709</v>
      </c>
      <c r="X468" s="11" t="n">
        <v>-8.440056417489421</v>
      </c>
      <c r="Y468" s="11" t="n">
        <v>-4.475336322869955</v>
      </c>
      <c r="Z468" s="13" t="n">
        <v>-0.332945</v>
      </c>
      <c r="AA468" s="8" t="inlineStr">
        <is>
          <t>net income + D&amp;A - capex - change in operating working capital (cash and short-term debt excluded)</t>
        </is>
      </c>
      <c r="AB468" s="10" t="n"/>
      <c r="AC468" s="10" t="n"/>
      <c r="AD468" s="12" t="n">
        <v>508800000</v>
      </c>
    </row>
    <row r="469">
      <c r="A469" s="8" t="inlineStr">
        <is>
          <t>PANW</t>
        </is>
      </c>
      <c r="B469" s="8" t="inlineStr">
        <is>
          <t>Palo Alto Networks Inc</t>
        </is>
      </c>
      <c r="C469" s="8" t="inlineStr">
        <is>
          <t>STANDARD</t>
        </is>
      </c>
      <c r="D469" s="8" t="n">
        <v>2016</v>
      </c>
      <c r="E469" s="8" t="inlineStr">
        <is>
          <t>2016-07-31</t>
        </is>
      </c>
      <c r="F469" s="8" t="inlineStr">
        <is>
          <t>0001327567-18-000024</t>
        </is>
      </c>
      <c r="G469" s="13" t="n"/>
      <c r="H469" s="13" t="n">
        <v>-0.1489</v>
      </c>
      <c r="I469" s="8" t="inlineStr">
        <is>
          <t>pretax_income + interest_expense</t>
        </is>
      </c>
      <c r="J469" s="13" t="n">
        <v>-0.1927</v>
      </c>
      <c r="K469" s="10" t="n">
        <v>0.21</v>
      </c>
      <c r="L469" s="13" t="n">
        <v>-0.117631</v>
      </c>
      <c r="M469" s="13" t="n">
        <v>0.6607</v>
      </c>
      <c r="N469" s="13" t="n">
        <v>0.8735000000000001</v>
      </c>
      <c r="O469" s="10" t="n">
        <v>-0.134666285060103</v>
      </c>
      <c r="P469" s="8" t="inlineStr">
        <is>
          <t>OK</t>
        </is>
      </c>
      <c r="Q469" s="10" t="n">
        <v>-0.2787098640439687</v>
      </c>
      <c r="R469" s="10" t="n">
        <v>-0.1440435789838657</v>
      </c>
      <c r="S469" s="13" t="n">
        <v>0.8949</v>
      </c>
      <c r="T469" s="13" t="n">
        <v>0.7344000000000001</v>
      </c>
      <c r="U469" s="13" t="n">
        <v>0.5002</v>
      </c>
      <c r="V469" s="8" t="inlineStr">
        <is>
          <t>short-term + long-term</t>
        </is>
      </c>
      <c r="W469" s="13" t="n">
        <v>-0.1061</v>
      </c>
      <c r="X469" s="11" t="n">
        <v>2.207351555136663</v>
      </c>
      <c r="Y469" s="11" t="n">
        <v>-6.363247863247863</v>
      </c>
      <c r="Z469" s="13" t="n">
        <v>-0.2621</v>
      </c>
      <c r="AA469" s="8" t="inlineStr">
        <is>
          <t>net income + D&amp;A - capex - change in operating working capital (cash and short-term debt excluded)</t>
        </is>
      </c>
      <c r="AB469" s="10" t="n"/>
      <c r="AC469" s="10" t="n"/>
      <c r="AD469" s="12" t="n">
        <v>543000000</v>
      </c>
    </row>
    <row r="470">
      <c r="A470" s="8" t="inlineStr">
        <is>
          <t>PANW</t>
        </is>
      </c>
      <c r="B470" s="8" t="inlineStr">
        <is>
          <t>Palo Alto Networks Inc</t>
        </is>
      </c>
      <c r="C470" s="8" t="inlineStr">
        <is>
          <t>STANDARD</t>
        </is>
      </c>
      <c r="D470" s="8" t="n">
        <v>2017</v>
      </c>
      <c r="E470" s="8" t="inlineStr">
        <is>
          <t>2017-07-31</t>
        </is>
      </c>
      <c r="F470" s="8" t="inlineStr">
        <is>
          <t>0001327567-19-000032</t>
        </is>
      </c>
      <c r="G470" s="13" t="n">
        <v>1.7551</v>
      </c>
      <c r="H470" s="13" t="n">
        <v>-0.1556</v>
      </c>
      <c r="I470" s="8" t="inlineStr">
        <is>
          <t>pretax_income + interest_expense</t>
        </is>
      </c>
      <c r="J470" s="13" t="n">
        <v>-0.203</v>
      </c>
      <c r="K470" s="10" t="n">
        <v>0.21</v>
      </c>
      <c r="L470" s="13" t="n">
        <v>-0.122924</v>
      </c>
      <c r="M470" s="13" t="n">
        <v>0.54</v>
      </c>
      <c r="N470" s="13" t="n">
        <v>0.6003500000000001</v>
      </c>
      <c r="O470" s="10" t="n">
        <v>-0.2047538935620888</v>
      </c>
      <c r="P470" s="8" t="inlineStr">
        <is>
          <t>OK</t>
        </is>
      </c>
      <c r="Q470" s="10" t="n">
        <v>-0.2453913569054095</v>
      </c>
      <c r="R470" s="10" t="n">
        <v>-0.04063746334332072</v>
      </c>
      <c r="S470" s="13" t="n">
        <v>0.7596000000000001</v>
      </c>
      <c r="T470" s="13" t="n">
        <v>0.7443</v>
      </c>
      <c r="U470" s="13" t="n">
        <v>0.5247000000000001</v>
      </c>
      <c r="V470" s="8" t="inlineStr">
        <is>
          <t>short-term + long-term</t>
        </is>
      </c>
      <c r="W470" s="13" t="n">
        <v>-0.0958</v>
      </c>
      <c r="X470" s="11" t="n">
        <v>2.292275574112735</v>
      </c>
      <c r="Y470" s="11" t="n">
        <v>-6.351020408163265</v>
      </c>
      <c r="Z470" s="13" t="n">
        <v>-0.1445</v>
      </c>
      <c r="AA470" s="8" t="inlineStr">
        <is>
          <t>net income + D&amp;A - capex - change in operating working capital (cash and short-term debt excluded)</t>
        </is>
      </c>
      <c r="AB470" s="10" t="n">
        <v>-0.08233149108312916</v>
      </c>
      <c r="AC470" s="10" t="n">
        <v>-0.088655917041764</v>
      </c>
      <c r="AD470" s="12" t="n">
        <v>549000000</v>
      </c>
    </row>
    <row r="471">
      <c r="A471" s="8" t="inlineStr">
        <is>
          <t>PANW</t>
        </is>
      </c>
      <c r="B471" s="8" t="inlineStr">
        <is>
          <t>Palo Alto Networks Inc</t>
        </is>
      </c>
      <c r="C471" s="8" t="inlineStr">
        <is>
          <t>STANDARD</t>
        </is>
      </c>
      <c r="D471" s="8" t="n">
        <v>2018</v>
      </c>
      <c r="E471" s="8" t="inlineStr">
        <is>
          <t>2018-07-31</t>
        </is>
      </c>
      <c r="F471" s="8" t="inlineStr">
        <is>
          <t>0001327567-20-000032</t>
        </is>
      </c>
      <c r="G471" s="13" t="n">
        <v>2.2736</v>
      </c>
      <c r="H471" s="13" t="n">
        <v>-0.07580000000000001</v>
      </c>
      <c r="I471" s="8" t="inlineStr">
        <is>
          <t>pretax_income + interest_expense</t>
        </is>
      </c>
      <c r="J471" s="13" t="n">
        <v>-0.1222</v>
      </c>
      <c r="K471" s="10" t="n">
        <v>0.21</v>
      </c>
      <c r="L471" s="13" t="n">
        <v>-0.059882</v>
      </c>
      <c r="M471" s="13" t="n">
        <v>1.1239</v>
      </c>
      <c r="N471" s="13" t="n">
        <v>0.83195</v>
      </c>
      <c r="O471" s="10" t="n">
        <v>-0.07197788328625518</v>
      </c>
      <c r="P471" s="8" t="inlineStr">
        <is>
          <t>OK</t>
        </is>
      </c>
      <c r="Q471" s="10" t="n">
        <v>-0.127298296786291</v>
      </c>
      <c r="R471" s="10" t="n">
        <v>-0.05532041350003578</v>
      </c>
      <c r="S471" s="13" t="n">
        <v>1.1603</v>
      </c>
      <c r="T471" s="13" t="n">
        <v>2.5069</v>
      </c>
      <c r="U471" s="13" t="n">
        <v>2.4705</v>
      </c>
      <c r="V471" s="8" t="inlineStr">
        <is>
          <t>short-term + long-term</t>
        </is>
      </c>
      <c r="W471" s="13" t="n">
        <v>0.0206</v>
      </c>
      <c r="X471" s="11" t="n">
        <v>-1.766990291262136</v>
      </c>
      <c r="Y471" s="11" t="n">
        <v>-2.569491525423729</v>
      </c>
      <c r="Z471" s="13" t="n">
        <v>-0.1874</v>
      </c>
      <c r="AA471" s="8" t="inlineStr">
        <is>
          <t>net income + D&amp;A - capex - change in operating working capital (cash and short-term debt excluded)</t>
        </is>
      </c>
      <c r="AB471" s="10" t="n">
        <v>-0.08242434904996482</v>
      </c>
      <c r="AC471" s="10" t="n">
        <v>-0.03333919774806474</v>
      </c>
      <c r="AD471" s="12" t="n">
        <v>561600000</v>
      </c>
    </row>
    <row r="472">
      <c r="A472" s="8" t="inlineStr">
        <is>
          <t>PANW</t>
        </is>
      </c>
      <c r="B472" s="8" t="inlineStr">
        <is>
          <t>Palo Alto Networks Inc</t>
        </is>
      </c>
      <c r="C472" s="8" t="inlineStr">
        <is>
          <t>STANDARD</t>
        </is>
      </c>
      <c r="D472" s="8" t="n">
        <v>2019</v>
      </c>
      <c r="E472" s="8" t="inlineStr">
        <is>
          <t>2019-07-31</t>
        </is>
      </c>
      <c r="F472" s="8" t="inlineStr">
        <is>
          <t>0001327567-21-000029</t>
        </is>
      </c>
      <c r="G472" s="13" t="n">
        <v>2.8996</v>
      </c>
      <c r="H472" s="13" t="n">
        <v>0.0083</v>
      </c>
      <c r="I472" s="8" t="inlineStr">
        <is>
          <t>pretax_income + interest_expense</t>
        </is>
      </c>
      <c r="J472" s="13" t="n">
        <v>-0.0819</v>
      </c>
      <c r="K472" s="10" t="n">
        <v>0.21</v>
      </c>
      <c r="L472" s="13" t="n">
        <v>0.006557</v>
      </c>
      <c r="M472" s="13" t="n">
        <v>2.0549</v>
      </c>
      <c r="N472" s="13" t="n">
        <v>1.5894</v>
      </c>
      <c r="O472" s="10" t="n">
        <v>0.004125456146973701</v>
      </c>
      <c r="P472" s="8" t="inlineStr">
        <is>
          <t>OK</t>
        </is>
      </c>
      <c r="Q472" s="10" t="n">
        <v>-0.05963736983907376</v>
      </c>
      <c r="R472" s="10" t="n">
        <v>-0.06376282598604746</v>
      </c>
      <c r="S472" s="13" t="n">
        <v>1.5863</v>
      </c>
      <c r="T472" s="13" t="n">
        <v>0.9614</v>
      </c>
      <c r="U472" s="13" t="n">
        <v>1.43</v>
      </c>
      <c r="V472" s="8" t="inlineStr">
        <is>
          <t>short-term + long-term</t>
        </is>
      </c>
      <c r="W472" s="13" t="n">
        <v>0.1621</v>
      </c>
      <c r="X472" s="11" t="n">
        <v>2.89080814312153</v>
      </c>
      <c r="Y472" s="11" t="n">
        <v>0.1001206272617612</v>
      </c>
      <c r="Z472" s="13" t="n">
        <v>-0.6291</v>
      </c>
      <c r="AA472" s="8" t="inlineStr">
        <is>
          <t>net income + D&amp;A - capex - change in operating working capital (cash and short-term debt excluded)</t>
        </is>
      </c>
      <c r="AB472" s="10" t="n">
        <v>-0.216960960132432</v>
      </c>
      <c r="AC472" s="10" t="n">
        <v>0.002862463788108705</v>
      </c>
      <c r="AD472" s="12" t="n">
        <v>580800000</v>
      </c>
    </row>
    <row r="473">
      <c r="A473" s="8" t="inlineStr">
        <is>
          <t>PANW</t>
        </is>
      </c>
      <c r="B473" s="8" t="inlineStr">
        <is>
          <t>Palo Alto Networks Inc</t>
        </is>
      </c>
      <c r="C473" s="8" t="inlineStr">
        <is>
          <t>STANDARD</t>
        </is>
      </c>
      <c r="D473" s="8" t="n">
        <v>2020</v>
      </c>
      <c r="E473" s="8" t="inlineStr">
        <is>
          <t>2020-07-31</t>
        </is>
      </c>
      <c r="F473" s="8" t="inlineStr">
        <is>
          <t>0001327567-22-000028</t>
        </is>
      </c>
      <c r="G473" s="13" t="n">
        <v>3.4084</v>
      </c>
      <c r="H473" s="13" t="n">
        <v>-0.1441</v>
      </c>
      <c r="I473" s="8" t="inlineStr">
        <is>
          <t>pretax_income + interest_expense</t>
        </is>
      </c>
      <c r="J473" s="13" t="n">
        <v>-0.267</v>
      </c>
      <c r="K473" s="10" t="n">
        <v>0.21</v>
      </c>
      <c r="L473" s="13" t="n">
        <v>-0.113839</v>
      </c>
      <c r="M473" s="13" t="n">
        <v>1.2279</v>
      </c>
      <c r="N473" s="13" t="n">
        <v>1.6414</v>
      </c>
      <c r="O473" s="10" t="n">
        <v>-0.06935481905690265</v>
      </c>
      <c r="P473" s="8" t="inlineStr">
        <is>
          <t>OK</t>
        </is>
      </c>
      <c r="Q473" s="10" t="n">
        <v>-0.1986533239090808</v>
      </c>
      <c r="R473" s="10" t="n">
        <v>-0.1292985048521781</v>
      </c>
      <c r="S473" s="13" t="n">
        <v>1.1018</v>
      </c>
      <c r="T473" s="13" t="n">
        <v>2.958</v>
      </c>
      <c r="U473" s="13" t="n">
        <v>3.0841</v>
      </c>
      <c r="V473" s="8" t="inlineStr">
        <is>
          <t>short-term + long-term</t>
        </is>
      </c>
      <c r="W473" s="13" t="n">
        <v>0.062</v>
      </c>
      <c r="X473" s="11" t="n">
        <v>2.033870967741935</v>
      </c>
      <c r="Y473" s="11" t="n">
        <v>-1.643101482326112</v>
      </c>
      <c r="Z473" s="13" t="n">
        <v>0.8953</v>
      </c>
      <c r="AA473" s="8" t="inlineStr">
        <is>
          <t>net income + D&amp;A - capex - change in operating working capital (cash and short-term debt excluded)</t>
        </is>
      </c>
      <c r="AB473" s="10" t="n">
        <v>0.2626745687125924</v>
      </c>
      <c r="AC473" s="10" t="n">
        <v>-0.04227790165473536</v>
      </c>
      <c r="AD473" s="12" t="n">
        <v>577800000</v>
      </c>
    </row>
    <row r="474">
      <c r="A474" s="8" t="inlineStr">
        <is>
          <t>PANW</t>
        </is>
      </c>
      <c r="B474" s="8" t="inlineStr">
        <is>
          <t>Palo Alto Networks Inc</t>
        </is>
      </c>
      <c r="C474" s="8" t="inlineStr">
        <is>
          <t>STANDARD</t>
        </is>
      </c>
      <c r="D474" s="8" t="n">
        <v>2021</v>
      </c>
      <c r="E474" s="8" t="inlineStr">
        <is>
          <t>2021-07-31</t>
        </is>
      </c>
      <c r="F474" s="8" t="inlineStr">
        <is>
          <t>0001327567-23-000024</t>
        </is>
      </c>
      <c r="G474" s="13" t="n">
        <v>4.2561</v>
      </c>
      <c r="H474" s="13" t="n">
        <v>-0.3019</v>
      </c>
      <c r="I474" s="8" t="inlineStr">
        <is>
          <t>pretax_income + interest_expense</t>
        </is>
      </c>
      <c r="J474" s="13" t="n">
        <v>-0.4989</v>
      </c>
      <c r="K474" s="10" t="n">
        <v>0.21</v>
      </c>
      <c r="L474" s="13" t="n">
        <v>-0.238501</v>
      </c>
      <c r="M474" s="13" t="n">
        <v>3.5442</v>
      </c>
      <c r="N474" s="13" t="n">
        <v>2.38605</v>
      </c>
      <c r="O474" s="10" t="n">
        <v>-0.09995641331908384</v>
      </c>
      <c r="P474" s="8" t="inlineStr">
        <is>
          <t>OK</t>
        </is>
      </c>
      <c r="Q474" s="10" t="n">
        <v>-0.5746702758739849</v>
      </c>
      <c r="R474" s="10" t="n">
        <v>-0.4747138625549011</v>
      </c>
      <c r="S474" s="13" t="n">
        <v>0.6345</v>
      </c>
      <c r="T474" s="13" t="n">
        <v>1.8742</v>
      </c>
      <c r="U474" s="13" t="n">
        <v>4.7839</v>
      </c>
      <c r="V474" s="8" t="inlineStr">
        <is>
          <t>short-term + long-term</t>
        </is>
      </c>
      <c r="W474" s="13" t="n">
        <v>-0.0415</v>
      </c>
      <c r="X474" s="11" t="n">
        <v>-70.11325301204819</v>
      </c>
      <c r="Y474" s="11" t="n">
        <v>-1.851011649294911</v>
      </c>
      <c r="Z474" s="13" t="n">
        <v>-0.0893</v>
      </c>
      <c r="AA474" s="8" t="inlineStr">
        <is>
          <t>net income + D&amp;A - capex - change in operating working capital (cash and short-term debt excluded)</t>
        </is>
      </c>
      <c r="AB474" s="10" t="n">
        <v>-0.02098164986724936</v>
      </c>
      <c r="AC474" s="10" t="n">
        <v>-0.07093348370574</v>
      </c>
      <c r="AD474" s="12" t="n">
        <v>583800000</v>
      </c>
    </row>
    <row r="475">
      <c r="A475" s="8" t="inlineStr">
        <is>
          <t>PANW</t>
        </is>
      </c>
      <c r="B475" s="8" t="inlineStr">
        <is>
          <t>Palo Alto Networks Inc</t>
        </is>
      </c>
      <c r="C475" s="8" t="inlineStr">
        <is>
          <t>STANDARD</t>
        </is>
      </c>
      <c r="D475" s="8" t="n">
        <v>2022</v>
      </c>
      <c r="E475" s="8" t="inlineStr">
        <is>
          <t>2022-07-31</t>
        </is>
      </c>
      <c r="F475" s="8" t="inlineStr">
        <is>
          <t>0001327567-24-000029</t>
        </is>
      </c>
      <c r="G475" s="13" t="n">
        <v>5.5015</v>
      </c>
      <c r="H475" s="13" t="n">
        <v>-0.1798</v>
      </c>
      <c r="I475" s="8" t="inlineStr">
        <is>
          <t>pretax_income + interest_expense</t>
        </is>
      </c>
      <c r="J475" s="13" t="n">
        <v>-0.267</v>
      </c>
      <c r="K475" s="10" t="n">
        <v>0.21</v>
      </c>
      <c r="L475" s="13" t="n">
        <v>-0.142042</v>
      </c>
      <c r="M475" s="13" t="n">
        <v>5.4451</v>
      </c>
      <c r="N475" s="13" t="n">
        <v>4.49465</v>
      </c>
      <c r="O475" s="10" t="n">
        <v>-0.03160246070328056</v>
      </c>
      <c r="P475" s="8" t="inlineStr">
        <is>
          <t>OK</t>
        </is>
      </c>
      <c r="Q475" s="10" t="n">
        <v>-0.6323268206039077</v>
      </c>
      <c r="R475" s="10" t="n">
        <v>-0.6007243599006271</v>
      </c>
      <c r="S475" s="13" t="n">
        <v>0.21</v>
      </c>
      <c r="T475" s="13" t="n">
        <v>2.1185</v>
      </c>
      <c r="U475" s="13" t="n">
        <v>7.3536</v>
      </c>
      <c r="V475" s="8" t="inlineStr">
        <is>
          <t>short-term + long-term</t>
        </is>
      </c>
      <c r="W475" s="13" t="n">
        <v>0.1028</v>
      </c>
      <c r="X475" s="11" t="n">
        <v>50.92509727626459</v>
      </c>
      <c r="Y475" s="11" t="n">
        <v>-6.562043795620438</v>
      </c>
      <c r="Z475" s="13" t="n">
        <v>-0.6298</v>
      </c>
      <c r="AA475" s="8" t="inlineStr">
        <is>
          <t>net income + D&amp;A - capex - change in operating working capital (cash and short-term debt excluded)</t>
        </is>
      </c>
      <c r="AB475" s="10" t="n">
        <v>-0.1144778696719077</v>
      </c>
      <c r="AC475" s="10" t="n">
        <v>-0.032681995819322</v>
      </c>
      <c r="AD475" s="12" t="n">
        <v>1792800000</v>
      </c>
    </row>
    <row r="476">
      <c r="A476" s="8" t="inlineStr">
        <is>
          <t>PANW</t>
        </is>
      </c>
      <c r="B476" s="8" t="inlineStr">
        <is>
          <t>Palo Alto Networks Inc</t>
        </is>
      </c>
      <c r="C476" s="8" t="inlineStr">
        <is>
          <t>STANDARD</t>
        </is>
      </c>
      <c r="D476" s="8" t="n">
        <v>2023</v>
      </c>
      <c r="E476" s="8" t="inlineStr">
        <is>
          <t>2023-07-31</t>
        </is>
      </c>
      <c r="F476" s="8" t="inlineStr">
        <is>
          <t>0001327567-25-000027</t>
        </is>
      </c>
      <c r="G476" s="13" t="n">
        <v>6.8927</v>
      </c>
      <c r="H476" s="13" t="n">
        <v>0.5921</v>
      </c>
      <c r="I476" s="8" t="inlineStr">
        <is>
          <t>pretax_income + interest_expense</t>
        </is>
      </c>
      <c r="J476" s="13" t="n">
        <v>0.4397</v>
      </c>
      <c r="K476" s="10" t="n">
        <v>0.2235564188592619</v>
      </c>
      <c r="L476" s="13" t="n">
        <v>0.4597322443934311</v>
      </c>
      <c r="M476" s="13" t="n">
        <v>4.5961</v>
      </c>
      <c r="N476" s="13" t="n">
        <v>5.0206</v>
      </c>
      <c r="O476" s="10" t="n">
        <v>0.09156918384126023</v>
      </c>
      <c r="P476" s="8" t="inlineStr">
        <is>
          <t>OK</t>
        </is>
      </c>
      <c r="Q476" s="10" t="n">
        <v>0.4490400326797386</v>
      </c>
      <c r="R476" s="10" t="n">
        <v>0.3574708488384784</v>
      </c>
      <c r="S476" s="13" t="n">
        <v>1.7484</v>
      </c>
      <c r="T476" s="13" t="n">
        <v>1.1353</v>
      </c>
      <c r="U476" s="13" t="n">
        <v>3.983</v>
      </c>
      <c r="V476" s="8" t="inlineStr">
        <is>
          <t>short-term + long-term</t>
        </is>
      </c>
      <c r="W476" s="13" t="n">
        <v>0.8743</v>
      </c>
      <c r="X476" s="11" t="n">
        <v>3.257119981699645</v>
      </c>
      <c r="Y476" s="11" t="n">
        <v>22.94961240310078</v>
      </c>
      <c r="Z476" s="13" t="n">
        <v>1.0758</v>
      </c>
      <c r="AA476" s="8" t="inlineStr">
        <is>
          <t>net income + D&amp;A - capex - change in operating working capital (cash and short-term debt excluded)</t>
        </is>
      </c>
      <c r="AB476" s="10" t="n">
        <v>0.1560781696577539</v>
      </c>
      <c r="AC476" s="10" t="n">
        <v>0.08590247653314376</v>
      </c>
      <c r="AD476" s="12" t="n">
        <v>616600000</v>
      </c>
    </row>
    <row r="477">
      <c r="A477" s="8" t="inlineStr">
        <is>
          <t>PANW</t>
        </is>
      </c>
      <c r="B477" s="8" t="inlineStr">
        <is>
          <t>Palo Alto Networks Inc</t>
        </is>
      </c>
      <c r="C477" s="8" t="inlineStr">
        <is>
          <t>STANDARD</t>
        </is>
      </c>
      <c r="D477" s="8" t="n">
        <v>2024</v>
      </c>
      <c r="E477" s="8" t="inlineStr">
        <is>
          <t>2024-07-31</t>
        </is>
      </c>
      <c r="F477" s="8" t="inlineStr">
        <is>
          <t>0001327567-25-000027</t>
        </is>
      </c>
      <c r="G477" s="13" t="n">
        <v>8.0275</v>
      </c>
      <c r="H477" s="13" t="n">
        <v>0.9966</v>
      </c>
      <c r="I477" s="8" t="inlineStr">
        <is>
          <t>pretax_income + interest_expense</t>
        </is>
      </c>
      <c r="J477" s="13" t="n">
        <v>2.5776</v>
      </c>
      <c r="K477" s="10" t="n">
        <v>0.05</v>
      </c>
      <c r="L477" s="13" t="n">
        <v>0.94677</v>
      </c>
      <c r="M477" s="13" t="n">
        <v>4.5984</v>
      </c>
      <c r="N477" s="13" t="n">
        <v>4.59725</v>
      </c>
      <c r="O477" s="10" t="n">
        <v>0.2059426831257817</v>
      </c>
      <c r="P477" s="8" t="inlineStr">
        <is>
          <t>OK</t>
        </is>
      </c>
      <c r="Q477" s="10" t="n">
        <v>0.7451756985299431</v>
      </c>
      <c r="R477" s="10" t="n">
        <v>0.5392330154041615</v>
      </c>
      <c r="S477" s="13" t="n">
        <v>5.1697</v>
      </c>
      <c r="T477" s="13" t="n">
        <v>1.5352</v>
      </c>
      <c r="U477" s="13" t="n">
        <v>0.9639</v>
      </c>
      <c r="V477" s="8" t="inlineStr">
        <is>
          <t>short-term only (no long-term debt tagged; read as nil)</t>
        </is>
      </c>
      <c r="W477" s="13" t="n">
        <v>1.2799</v>
      </c>
      <c r="X477" s="11" t="n">
        <v>-0.4463629971091492</v>
      </c>
      <c r="Y477" s="11" t="n">
        <v>120.0722891566265</v>
      </c>
      <c r="Z477" s="13" t="n">
        <v>3.2751</v>
      </c>
      <c r="AA477" s="8" t="inlineStr">
        <is>
          <t>net income + D&amp;A - capex - change in operating working capital (cash and short-term debt excluded)</t>
        </is>
      </c>
      <c r="AB477" s="10" t="n">
        <v>0.4079850513858611</v>
      </c>
      <c r="AC477" s="10" t="n">
        <v>0.1241482404235441</v>
      </c>
      <c r="AD477" s="12" t="n">
        <v>1300400000</v>
      </c>
    </row>
    <row r="478">
      <c r="A478" s="8" t="inlineStr">
        <is>
          <t>PANW</t>
        </is>
      </c>
      <c r="B478" s="8" t="inlineStr">
        <is>
          <t>Palo Alto Networks Inc</t>
        </is>
      </c>
      <c r="C478" s="8" t="inlineStr">
        <is>
          <t>STANDARD</t>
        </is>
      </c>
      <c r="D478" s="8" t="n">
        <v>2025</v>
      </c>
      <c r="E478" s="8" t="inlineStr">
        <is>
          <t>2025-07-31</t>
        </is>
      </c>
      <c r="F478" s="8" t="inlineStr">
        <is>
          <t>0001327567-25-000027</t>
        </is>
      </c>
      <c r="G478" s="13" t="n">
        <v>9.221500000000001</v>
      </c>
      <c r="H478" s="13" t="n">
        <v>1.5987</v>
      </c>
      <c r="I478" s="8" t="inlineStr">
        <is>
          <t>pretax_income + interest_expense</t>
        </is>
      </c>
      <c r="J478" s="13" t="n">
        <v>1.1339</v>
      </c>
      <c r="K478" s="10" t="n">
        <v>0.2894027699442251</v>
      </c>
      <c r="L478" s="13" t="n">
        <v>1.136031791690167</v>
      </c>
      <c r="M478" s="13" t="n">
        <v>5.5558</v>
      </c>
      <c r="N478" s="13" t="n">
        <v>5.0771</v>
      </c>
      <c r="O478" s="10" t="n">
        <v>0.2237560401981776</v>
      </c>
      <c r="P478" s="8" t="inlineStr">
        <is>
          <t>OK</t>
        </is>
      </c>
      <c r="Q478" s="10" t="n">
        <v>0.1745253615102239</v>
      </c>
      <c r="R478" s="10" t="n">
        <v>-0.04923067868795369</v>
      </c>
      <c r="S478" s="13" t="n">
        <v>7.8244</v>
      </c>
      <c r="T478" s="13" t="n">
        <v>2.2686</v>
      </c>
      <c r="U478" s="13" t="n">
        <v>0</v>
      </c>
      <c r="V478" s="8" t="inlineStr">
        <is>
          <t>short-term only (no long-term debt tagged; read as nil)</t>
        </is>
      </c>
      <c r="W478" s="13" t="n">
        <v>1.9421</v>
      </c>
      <c r="X478" s="11" t="n">
        <v>-1.168116986766902</v>
      </c>
      <c r="Y478" s="11" t="n">
        <v>532.9</v>
      </c>
      <c r="Z478" s="13" t="n">
        <v>2.5606</v>
      </c>
      <c r="AA478" s="8" t="inlineStr">
        <is>
          <t>net income + D&amp;A - capex - change in operating working capital (cash and short-term debt excluded)</t>
        </is>
      </c>
      <c r="AB478" s="10" t="n">
        <v>0.2776771674890202</v>
      </c>
      <c r="AC478" s="10" t="n">
        <v>0.173366588949737</v>
      </c>
      <c r="AD478" s="12" t="n">
        <v>667900000</v>
      </c>
    </row>
    <row r="479">
      <c r="A479" s="8" t="inlineStr">
        <is>
          <t>PM</t>
        </is>
      </c>
      <c r="B479" s="8" t="inlineStr">
        <is>
          <t>Philip Morris International Inc.</t>
        </is>
      </c>
      <c r="C479" s="8" t="inlineStr">
        <is>
          <t>STANDARD</t>
        </is>
      </c>
      <c r="D479" s="8" t="n">
        <v>2014</v>
      </c>
      <c r="E479" s="8" t="inlineStr">
        <is>
          <t>2014-12-31</t>
        </is>
      </c>
      <c r="F479" s="8" t="inlineStr">
        <is>
          <t>0001413329-17-000014</t>
        </is>
      </c>
      <c r="G479" s="13" t="n"/>
      <c r="H479" s="13" t="n">
        <v>11.702</v>
      </c>
      <c r="I479" s="8" t="inlineStr">
        <is>
          <t>reported OperatingIncomeLoss (no interest expense tagged)</t>
        </is>
      </c>
      <c r="J479" s="13" t="n">
        <v>7.493</v>
      </c>
      <c r="K479" s="10" t="n">
        <v>0.2907981220657277</v>
      </c>
      <c r="L479" s="13" t="n">
        <v>8.299080375586854</v>
      </c>
      <c r="M479" s="13" t="n">
        <v>13.826</v>
      </c>
      <c r="N479" s="13" t="n">
        <v>13.826</v>
      </c>
      <c r="O479" s="10" t="n">
        <v>0.6002517268614823</v>
      </c>
      <c r="P479" s="8" t="inlineStr">
        <is>
          <t>OK</t>
        </is>
      </c>
      <c r="Q479" s="10" t="n">
        <v>-0.5933169688811466</v>
      </c>
      <c r="R479" s="10" t="n">
        <v>-1.193568695742629</v>
      </c>
      <c r="S479" s="13" t="n">
        <v>-12.629</v>
      </c>
      <c r="T479" s="13" t="n">
        <v>1.682</v>
      </c>
      <c r="U479" s="13" t="n">
        <v>28.137</v>
      </c>
      <c r="V479" s="8" t="inlineStr">
        <is>
          <t>short-term + long-term</t>
        </is>
      </c>
      <c r="W479" s="13" t="n">
        <v>12.498</v>
      </c>
      <c r="X479" s="11" t="n">
        <v>2.11673867818851</v>
      </c>
      <c r="Y479" s="11" t="n"/>
      <c r="Z479" s="13" t="n">
        <v>6.586</v>
      </c>
      <c r="AA479" s="8" t="inlineStr">
        <is>
          <t>operating cash flow - capex (working-capital swing already embedded)</t>
        </is>
      </c>
      <c r="AB479" s="10" t="n"/>
      <c r="AC479" s="10" t="n"/>
      <c r="AD479" s="12" t="n"/>
    </row>
    <row r="480">
      <c r="A480" s="8" t="inlineStr">
        <is>
          <t>PM</t>
        </is>
      </c>
      <c r="B480" s="8" t="inlineStr">
        <is>
          <t>Philip Morris International Inc.</t>
        </is>
      </c>
      <c r="C480" s="8" t="inlineStr">
        <is>
          <t>STANDARD</t>
        </is>
      </c>
      <c r="D480" s="8" t="n">
        <v>2015</v>
      </c>
      <c r="E480" s="8" t="inlineStr">
        <is>
          <t>2015-12-31</t>
        </is>
      </c>
      <c r="F480" s="8" t="inlineStr">
        <is>
          <t>0001413329-18-000007</t>
        </is>
      </c>
      <c r="G480" s="13" t="n"/>
      <c r="H480" s="13" t="n">
        <v>10.623</v>
      </c>
      <c r="I480" s="8" t="inlineStr">
        <is>
          <t>reported OperatingIncomeLoss (no interest expense tagged)</t>
        </is>
      </c>
      <c r="J480" s="13" t="n">
        <v>6.873</v>
      </c>
      <c r="K480" s="10" t="n">
        <v>0.2795631825273011</v>
      </c>
      <c r="L480" s="13" t="n">
        <v>7.653200312012481</v>
      </c>
      <c r="M480" s="13" t="n">
        <v>9.414</v>
      </c>
      <c r="N480" s="13" t="n">
        <v>11.62</v>
      </c>
      <c r="O480" s="10" t="n">
        <v>0.6586230905346369</v>
      </c>
      <c r="P480" s="8" t="inlineStr">
        <is>
          <t>OK</t>
        </is>
      </c>
      <c r="Q480" s="10" t="n">
        <v>-0.5312874425076335</v>
      </c>
      <c r="R480" s="10" t="n">
        <v>-1.18991053304227</v>
      </c>
      <c r="S480" s="13" t="n">
        <v>-13.244</v>
      </c>
      <c r="T480" s="13" t="n">
        <v>3.417</v>
      </c>
      <c r="U480" s="13" t="n">
        <v>26.075</v>
      </c>
      <c r="V480" s="8" t="inlineStr">
        <is>
          <t>short-term + long-term</t>
        </is>
      </c>
      <c r="W480" s="13" t="n">
        <v>11.295</v>
      </c>
      <c r="X480" s="11" t="n">
        <v>2.006020362992475</v>
      </c>
      <c r="Y480" s="11" t="n"/>
      <c r="Z480" s="13" t="n">
        <v>8.657</v>
      </c>
      <c r="AA480" s="8" t="inlineStr">
        <is>
          <t>net income + D&amp;A - capex - change in operating working capital (cash and short-term debt excluded)</t>
        </is>
      </c>
      <c r="AB480" s="10" t="n"/>
      <c r="AC480" s="10" t="n"/>
      <c r="AD480" s="12" t="n">
        <v>1549000000</v>
      </c>
    </row>
    <row r="481">
      <c r="A481" s="8" t="inlineStr">
        <is>
          <t>PM</t>
        </is>
      </c>
      <c r="B481" s="8" t="inlineStr">
        <is>
          <t>Philip Morris International Inc.</t>
        </is>
      </c>
      <c r="C481" s="8" t="inlineStr">
        <is>
          <t>STANDARD</t>
        </is>
      </c>
      <c r="D481" s="8" t="n">
        <v>2016</v>
      </c>
      <c r="E481" s="8" t="inlineStr">
        <is>
          <t>2016-12-31</t>
        </is>
      </c>
      <c r="F481" s="8" t="inlineStr">
        <is>
          <t>0001413329-19-000007</t>
        </is>
      </c>
      <c r="G481" s="13" t="n">
        <v>26.685</v>
      </c>
      <c r="H481" s="13" t="n">
        <v>10.903</v>
      </c>
      <c r="I481" s="8" t="inlineStr">
        <is>
          <t>reported OperatingIncomeLoss (no interest expense tagged)</t>
        </is>
      </c>
      <c r="J481" s="13" t="n">
        <v>6.967</v>
      </c>
      <c r="K481" s="10" t="n">
        <v>0.2789197904070939</v>
      </c>
      <c r="L481" s="13" t="n">
        <v>7.861937525191455</v>
      </c>
      <c r="M481" s="13" t="n">
        <v>9.567</v>
      </c>
      <c r="N481" s="13" t="n">
        <v>9.490500000000001</v>
      </c>
      <c r="O481" s="10" t="n">
        <v>0.8284007718446293</v>
      </c>
      <c r="P481" s="8" t="inlineStr">
        <is>
          <t>OK</t>
        </is>
      </c>
      <c r="Q481" s="10" t="n">
        <v>-0.5373283973469073</v>
      </c>
      <c r="R481" s="10" t="n">
        <v>-1.365729169191537</v>
      </c>
      <c r="S481" s="13" t="n">
        <v>-12.688</v>
      </c>
      <c r="T481" s="13" t="n">
        <v>4.239</v>
      </c>
      <c r="U481" s="13" t="n">
        <v>26.494</v>
      </c>
      <c r="V481" s="8" t="inlineStr">
        <is>
          <t>short-term + long-term</t>
        </is>
      </c>
      <c r="W481" s="13" t="n">
        <v>11.572</v>
      </c>
      <c r="X481" s="11" t="n">
        <v>1.923176633252679</v>
      </c>
      <c r="Y481" s="11" t="n"/>
      <c r="Z481" s="13" t="n">
        <v>6.745</v>
      </c>
      <c r="AA481" s="8" t="inlineStr">
        <is>
          <t>net income + D&amp;A - capex - change in operating working capital (cash and short-term debt excluded)</t>
        </is>
      </c>
      <c r="AB481" s="10" t="n">
        <v>0.2527637249391044</v>
      </c>
      <c r="AC481" s="10" t="n">
        <v>0.408581600149897</v>
      </c>
      <c r="AD481" s="12" t="n">
        <v>1551000000</v>
      </c>
    </row>
    <row r="482">
      <c r="A482" s="8" t="inlineStr">
        <is>
          <t>PM</t>
        </is>
      </c>
      <c r="B482" s="8" t="inlineStr">
        <is>
          <t>Philip Morris International Inc.</t>
        </is>
      </c>
      <c r="C482" s="8" t="inlineStr">
        <is>
          <t>STANDARD</t>
        </is>
      </c>
      <c r="D482" s="8" t="n">
        <v>2017</v>
      </c>
      <c r="E482" s="8" t="inlineStr">
        <is>
          <t>2017-12-31</t>
        </is>
      </c>
      <c r="F482" s="8" t="inlineStr">
        <is>
          <t>0001413329-20-000007</t>
        </is>
      </c>
      <c r="G482" s="13" t="n">
        <v>28.748</v>
      </c>
      <c r="H482" s="13" t="n">
        <v>11.581</v>
      </c>
      <c r="I482" s="8" t="inlineStr">
        <is>
          <t>reported OperatingIncomeLoss (no interest expense tagged)</t>
        </is>
      </c>
      <c r="J482" s="13" t="n">
        <v>6.035</v>
      </c>
      <c r="K482" s="10" t="n">
        <v>0.4</v>
      </c>
      <c r="L482" s="13" t="n">
        <v>6.9486</v>
      </c>
      <c r="M482" s="13" t="n">
        <v>11.3</v>
      </c>
      <c r="N482" s="13" t="n">
        <v>10.4335</v>
      </c>
      <c r="O482" s="10" t="n">
        <v>0.6659893611923132</v>
      </c>
      <c r="P482" s="8" t="inlineStr">
        <is>
          <t>OK</t>
        </is>
      </c>
      <c r="Q482" s="10" t="n">
        <v>-0.487204327117139</v>
      </c>
      <c r="R482" s="10" t="n">
        <v>-1.153193688309452</v>
      </c>
      <c r="S482" s="13" t="n">
        <v>-12.086</v>
      </c>
      <c r="T482" s="13" t="n">
        <v>8.446999999999999</v>
      </c>
      <c r="U482" s="13" t="n">
        <v>31.833</v>
      </c>
      <c r="V482" s="8" t="inlineStr">
        <is>
          <t>short-term + long-term</t>
        </is>
      </c>
      <c r="W482" s="13" t="n">
        <v>12.368</v>
      </c>
      <c r="X482" s="11" t="n">
        <v>1.890847347994825</v>
      </c>
      <c r="Y482" s="11" t="n"/>
      <c r="Z482" s="13" t="n">
        <v>5.135</v>
      </c>
      <c r="AA482" s="8" t="inlineStr">
        <is>
          <t>net income + D&amp;A - capex - change in operating working capital (cash and short-term debt excluded)</t>
        </is>
      </c>
      <c r="AB482" s="10" t="n">
        <v>0.1786211214693196</v>
      </c>
      <c r="AC482" s="10" t="n">
        <v>0.4028454153332406</v>
      </c>
      <c r="AD482" s="12" t="n">
        <v>1553000000</v>
      </c>
    </row>
    <row r="483">
      <c r="A483" s="8" t="inlineStr">
        <is>
          <t>PM</t>
        </is>
      </c>
      <c r="B483" s="8" t="inlineStr">
        <is>
          <t>Philip Morris International Inc.</t>
        </is>
      </c>
      <c r="C483" s="8" t="inlineStr">
        <is>
          <t>STANDARD</t>
        </is>
      </c>
      <c r="D483" s="8" t="n">
        <v>2018</v>
      </c>
      <c r="E483" s="8" t="inlineStr">
        <is>
          <t>2018-12-31</t>
        </is>
      </c>
      <c r="F483" s="8" t="inlineStr">
        <is>
          <t>0001413329-21-000007</t>
        </is>
      </c>
      <c r="G483" s="13" t="n">
        <v>29.625</v>
      </c>
      <c r="H483" s="13" t="n">
        <v>11.377</v>
      </c>
      <c r="I483" s="8" t="inlineStr">
        <is>
          <t>reported OperatingIncomeLoss (no interest expense tagged)</t>
        </is>
      </c>
      <c r="J483" s="13" t="n">
        <v>7.911</v>
      </c>
      <c r="K483" s="10" t="n">
        <v>0.2291256676974979</v>
      </c>
      <c r="L483" s="13" t="n">
        <v>8.770237278605567</v>
      </c>
      <c r="M483" s="13" t="n">
        <v>8.653</v>
      </c>
      <c r="N483" s="13" t="n">
        <v>9.9765</v>
      </c>
      <c r="O483" s="10" t="n">
        <v>0.8790895883932808</v>
      </c>
      <c r="P483" s="8" t="inlineStr">
        <is>
          <t>OK</t>
        </is>
      </c>
      <c r="Q483" s="10" t="n">
        <v>-0.6446119372580974</v>
      </c>
      <c r="R483" s="10" t="n">
        <v>-1.523701525651378</v>
      </c>
      <c r="S483" s="13" t="n">
        <v>-12.459</v>
      </c>
      <c r="T483" s="13" t="n">
        <v>6.593</v>
      </c>
      <c r="U483" s="13" t="n">
        <v>27.705</v>
      </c>
      <c r="V483" s="8" t="inlineStr">
        <is>
          <t>short-term + long-term</t>
        </is>
      </c>
      <c r="W483" s="13" t="n">
        <v>12.284</v>
      </c>
      <c r="X483" s="11" t="n">
        <v>1.718658417453598</v>
      </c>
      <c r="Y483" s="11" t="n"/>
      <c r="Z483" s="13" t="n">
        <v>8.678000000000001</v>
      </c>
      <c r="AA483" s="8" t="inlineStr">
        <is>
          <t>net income + D&amp;A - capex - change in operating working capital (cash and short-term debt excluded)</t>
        </is>
      </c>
      <c r="AB483" s="10" t="n">
        <v>0.2929282700421941</v>
      </c>
      <c r="AC483" s="10" t="n">
        <v>0.3840337552742616</v>
      </c>
      <c r="AD483" s="12" t="n">
        <v>1555000000</v>
      </c>
    </row>
    <row r="484">
      <c r="A484" s="8" t="inlineStr">
        <is>
          <t>PM</t>
        </is>
      </c>
      <c r="B484" s="8" t="inlineStr">
        <is>
          <t>Philip Morris International Inc.</t>
        </is>
      </c>
      <c r="C484" s="8" t="inlineStr">
        <is>
          <t>STANDARD</t>
        </is>
      </c>
      <c r="D484" s="8" t="n">
        <v>2019</v>
      </c>
      <c r="E484" s="8" t="inlineStr">
        <is>
          <t>2019-12-31</t>
        </is>
      </c>
      <c r="F484" s="8" t="inlineStr">
        <is>
          <t>0001413329-22-000011</t>
        </is>
      </c>
      <c r="G484" s="13" t="n">
        <v>29.805</v>
      </c>
      <c r="H484" s="13" t="n">
        <v>10.531</v>
      </c>
      <c r="I484" s="8" t="inlineStr">
        <is>
          <t>reported OperatingIncomeLoss (no interest expense tagged)</t>
        </is>
      </c>
      <c r="J484" s="13" t="n">
        <v>7.185</v>
      </c>
      <c r="K484" s="10" t="n">
        <v>0.232273095623987</v>
      </c>
      <c r="L484" s="13" t="n">
        <v>8.084932029983792</v>
      </c>
      <c r="M484" s="13" t="n">
        <v>8.555999999999999</v>
      </c>
      <c r="N484" s="13" t="n">
        <v>8.6045</v>
      </c>
      <c r="O484" s="10" t="n">
        <v>0.9396167156701485</v>
      </c>
      <c r="P484" s="8" t="inlineStr">
        <is>
          <t>OK</t>
        </is>
      </c>
      <c r="Q484" s="10" t="n">
        <v>-0.5978532201697454</v>
      </c>
      <c r="R484" s="10" t="n">
        <v>-1.537469935839894</v>
      </c>
      <c r="S484" s="13" t="n">
        <v>-11.577</v>
      </c>
      <c r="T484" s="13" t="n">
        <v>6.861</v>
      </c>
      <c r="U484" s="13" t="n">
        <v>26.994</v>
      </c>
      <c r="V484" s="8" t="inlineStr">
        <is>
          <t>short-term + long-term</t>
        </is>
      </c>
      <c r="W484" s="13" t="n">
        <v>11.429</v>
      </c>
      <c r="X484" s="11" t="n">
        <v>1.76157144107096</v>
      </c>
      <c r="Y484" s="11" t="n"/>
      <c r="Z484" s="13" t="n">
        <v>8.461</v>
      </c>
      <c r="AA484" s="8" t="inlineStr">
        <is>
          <t>net income + D&amp;A - capex - change in operating working capital (cash and short-term debt excluded)</t>
        </is>
      </c>
      <c r="AB484" s="10" t="n">
        <v>0.2838785438684784</v>
      </c>
      <c r="AC484" s="10" t="n">
        <v>0.3533299781915786</v>
      </c>
      <c r="AD484" s="12" t="n">
        <v>1556000000</v>
      </c>
    </row>
    <row r="485">
      <c r="A485" s="8" t="inlineStr">
        <is>
          <t>PM</t>
        </is>
      </c>
      <c r="B485" s="8" t="inlineStr">
        <is>
          <t>Philip Morris International Inc.</t>
        </is>
      </c>
      <c r="C485" s="8" t="inlineStr">
        <is>
          <t>STANDARD</t>
        </is>
      </c>
      <c r="D485" s="8" t="n">
        <v>2020</v>
      </c>
      <c r="E485" s="8" t="inlineStr">
        <is>
          <t>2020-12-31</t>
        </is>
      </c>
      <c r="F485" s="8" t="inlineStr">
        <is>
          <t>0001413329-23-000025</t>
        </is>
      </c>
      <c r="G485" s="13" t="n">
        <v>28.694</v>
      </c>
      <c r="H485" s="13" t="n">
        <v>11.668</v>
      </c>
      <c r="I485" s="8" t="inlineStr">
        <is>
          <t>reported OperatingIncomeLoss (no interest expense tagged)</t>
        </is>
      </c>
      <c r="J485" s="13" t="n">
        <v>8.055999999999999</v>
      </c>
      <c r="K485" s="10" t="n">
        <v>0.2170181685383</v>
      </c>
      <c r="L485" s="13" t="n">
        <v>9.135832009495115</v>
      </c>
      <c r="M485" s="13" t="n">
        <v>8.565</v>
      </c>
      <c r="N485" s="13" t="n">
        <v>8.560499999999999</v>
      </c>
      <c r="O485" s="10" t="n">
        <v>1.067207757665454</v>
      </c>
      <c r="P485" s="8" t="inlineStr">
        <is>
          <t>OK</t>
        </is>
      </c>
      <c r="Q485" s="10" t="n">
        <v>-0.6673293571901922</v>
      </c>
      <c r="R485" s="10" t="n">
        <v>-1.734537114855646</v>
      </c>
      <c r="S485" s="13" t="n">
        <v>-12.567</v>
      </c>
      <c r="T485" s="13" t="n">
        <v>7.28</v>
      </c>
      <c r="U485" s="13" t="n">
        <v>28.412</v>
      </c>
      <c r="V485" s="8" t="inlineStr">
        <is>
          <t>short-term + long-term</t>
        </is>
      </c>
      <c r="W485" s="13" t="n">
        <v>12.576</v>
      </c>
      <c r="X485" s="11" t="n">
        <v>1.680343511450382</v>
      </c>
      <c r="Y485" s="11" t="n"/>
      <c r="Z485" s="13" t="n">
        <v>8.679</v>
      </c>
      <c r="AA485" s="8" t="inlineStr">
        <is>
          <t>net income + D&amp;A - capex - change in operating working capital (cash and short-term debt excluded)</t>
        </is>
      </c>
      <c r="AB485" s="10" t="n">
        <v>0.3024674147905486</v>
      </c>
      <c r="AC485" s="10" t="n">
        <v>0.4066355335610232</v>
      </c>
      <c r="AD485" s="12" t="n">
        <v>1558000000</v>
      </c>
    </row>
    <row r="486">
      <c r="A486" s="8" t="inlineStr">
        <is>
          <t>PM</t>
        </is>
      </c>
      <c r="B486" s="8" t="inlineStr">
        <is>
          <t>Philip Morris International Inc.</t>
        </is>
      </c>
      <c r="C486" s="8" t="inlineStr">
        <is>
          <t>STANDARD</t>
        </is>
      </c>
      <c r="D486" s="8" t="n">
        <v>2021</v>
      </c>
      <c r="E486" s="8" t="inlineStr">
        <is>
          <t>2021-12-31</t>
        </is>
      </c>
      <c r="F486" s="8" t="inlineStr">
        <is>
          <t>0001413329-24-000013</t>
        </is>
      </c>
      <c r="G486" s="13" t="n">
        <v>31.405</v>
      </c>
      <c r="H486" s="13" t="n">
        <v>12.975</v>
      </c>
      <c r="I486" s="8" t="inlineStr">
        <is>
          <t>reported OperatingIncomeLoss (no interest expense tagged)</t>
        </is>
      </c>
      <c r="J486" s="13" t="n">
        <v>9.109</v>
      </c>
      <c r="K486" s="10" t="n">
        <v>0.2183616742969261</v>
      </c>
      <c r="L486" s="13" t="n">
        <v>10.14175727599738</v>
      </c>
      <c r="M486" s="13" t="n">
        <v>10.406</v>
      </c>
      <c r="N486" s="13" t="n">
        <v>9.4855</v>
      </c>
      <c r="O486" s="10" t="n">
        <v>1.06918531189683</v>
      </c>
      <c r="P486" s="8" t="inlineStr">
        <is>
          <t>OK</t>
        </is>
      </c>
      <c r="Q486" s="10" t="n">
        <v>-0.8035107837515988</v>
      </c>
      <c r="R486" s="10" t="n">
        <v>-1.872696095648429</v>
      </c>
      <c r="S486" s="13" t="n">
        <v>-10.106</v>
      </c>
      <c r="T486" s="13" t="n">
        <v>4.496</v>
      </c>
      <c r="U486" s="13" t="n">
        <v>25.008</v>
      </c>
      <c r="V486" s="8" t="inlineStr">
        <is>
          <t>short-term + long-term</t>
        </is>
      </c>
      <c r="W486" s="13" t="n">
        <v>13.877</v>
      </c>
      <c r="X486" s="11" t="n">
        <v>1.478129278662535</v>
      </c>
      <c r="Y486" s="11" t="n"/>
      <c r="Z486" s="13" t="n">
        <v>9.913</v>
      </c>
      <c r="AA486" s="8" t="inlineStr">
        <is>
          <t>net income + D&amp;A - capex - change in operating working capital (cash and short-term debt excluded)</t>
        </is>
      </c>
      <c r="AB486" s="10" t="n">
        <v>0.3156503741442446</v>
      </c>
      <c r="AC486" s="10" t="n">
        <v>0.4131507721700366</v>
      </c>
      <c r="AD486" s="12" t="n">
        <v>1559000000</v>
      </c>
    </row>
    <row r="487">
      <c r="A487" s="8" t="inlineStr">
        <is>
          <t>PM</t>
        </is>
      </c>
      <c r="B487" s="8" t="inlineStr">
        <is>
          <t>Philip Morris International Inc.</t>
        </is>
      </c>
      <c r="C487" s="8" t="inlineStr">
        <is>
          <t>STANDARD</t>
        </is>
      </c>
      <c r="D487" s="8" t="n">
        <v>2022</v>
      </c>
      <c r="E487" s="8" t="inlineStr">
        <is>
          <t>2022-12-31</t>
        </is>
      </c>
      <c r="F487" s="8" t="inlineStr">
        <is>
          <t>0001413329-25-000013</t>
        </is>
      </c>
      <c r="G487" s="13" t="n">
        <v>31.762</v>
      </c>
      <c r="H487" s="13" t="n">
        <v>12.402</v>
      </c>
      <c r="I487" s="8" t="inlineStr">
        <is>
          <t>pretax_income + interest_expense</t>
        </is>
      </c>
      <c r="J487" s="13" t="n">
        <v>9.048</v>
      </c>
      <c r="K487" s="10" t="n">
        <v>0.1928829293450232</v>
      </c>
      <c r="L487" s="13" t="n">
        <v>10.00986591026302</v>
      </c>
      <c r="M487" s="13" t="n">
        <v>28.348</v>
      </c>
      <c r="N487" s="13" t="n">
        <v>19.377</v>
      </c>
      <c r="O487" s="10" t="n">
        <v>0.5165849156351873</v>
      </c>
      <c r="P487" s="8" t="inlineStr">
        <is>
          <t>OK</t>
        </is>
      </c>
      <c r="Q487" s="10" t="n">
        <v>-0.9492734616796936</v>
      </c>
      <c r="R487" s="10" t="n">
        <v>-1.465858377314881</v>
      </c>
      <c r="S487" s="13" t="n">
        <v>-8.957000000000001</v>
      </c>
      <c r="T487" s="13" t="n">
        <v>3.207</v>
      </c>
      <c r="U487" s="13" t="n">
        <v>40.512</v>
      </c>
      <c r="V487" s="8" t="inlineStr">
        <is>
          <t>short-term + long-term</t>
        </is>
      </c>
      <c r="W487" s="13" t="n">
        <v>13.32</v>
      </c>
      <c r="X487" s="11" t="n">
        <v>2.800675675675676</v>
      </c>
      <c r="Y487" s="11" t="n">
        <v>16.1484375</v>
      </c>
      <c r="Z487" s="13" t="n">
        <v>8.367000000000001</v>
      </c>
      <c r="AA487" s="8" t="inlineStr">
        <is>
          <t>net income + D&amp;A - capex - change in operating working capital (cash and short-term debt excluded)</t>
        </is>
      </c>
      <c r="AB487" s="10" t="n">
        <v>0.2634279957181538</v>
      </c>
      <c r="AC487" s="10" t="n">
        <v>0.3904665953025628</v>
      </c>
      <c r="AD487" s="12" t="n">
        <v>1552000000</v>
      </c>
    </row>
    <row r="488">
      <c r="A488" s="8" t="inlineStr">
        <is>
          <t>PM</t>
        </is>
      </c>
      <c r="B488" s="8" t="inlineStr">
        <is>
          <t>Philip Morris International Inc.</t>
        </is>
      </c>
      <c r="C488" s="8" t="inlineStr">
        <is>
          <t>STANDARD</t>
        </is>
      </c>
      <c r="D488" s="8" t="n">
        <v>2023</v>
      </c>
      <c r="E488" s="8" t="inlineStr">
        <is>
          <t>2023-12-31</t>
        </is>
      </c>
      <c r="F488" s="8" t="inlineStr">
        <is>
          <t>0001628280-26-005939</t>
        </is>
      </c>
      <c r="G488" s="13" t="n">
        <v>35.174</v>
      </c>
      <c r="H488" s="13" t="n">
        <v>11.976</v>
      </c>
      <c r="I488" s="8" t="inlineStr">
        <is>
          <t>pretax_income + interest_expense</t>
        </is>
      </c>
      <c r="J488" s="13" t="n">
        <v>7.813</v>
      </c>
      <c r="K488" s="10" t="n">
        <v>0.2238277511961722</v>
      </c>
      <c r="L488" s="13" t="n">
        <v>9.295438851674641</v>
      </c>
      <c r="M488" s="13" t="n">
        <v>28.926</v>
      </c>
      <c r="N488" s="13" t="n">
        <v>28.637</v>
      </c>
      <c r="O488" s="10" t="n">
        <v>0.3245954133350086</v>
      </c>
      <c r="P488" s="8" t="inlineStr">
        <is>
          <t>OK</t>
        </is>
      </c>
      <c r="Q488" s="10" t="n">
        <v>-0.7742542859974234</v>
      </c>
      <c r="R488" s="10" t="n">
        <v>-1.098849699332432</v>
      </c>
      <c r="S488" s="13" t="n">
        <v>-11.225</v>
      </c>
      <c r="T488" s="13" t="n">
        <v>3.06</v>
      </c>
      <c r="U488" s="13" t="n">
        <v>43.211</v>
      </c>
      <c r="V488" s="8" t="inlineStr">
        <is>
          <t>short-term + long-term</t>
        </is>
      </c>
      <c r="W488" s="13" t="n">
        <v>12.877</v>
      </c>
      <c r="X488" s="11" t="n">
        <v>3.118039916129533</v>
      </c>
      <c r="Y488" s="11" t="n">
        <v>7.847968545216252</v>
      </c>
      <c r="Z488" s="13" t="n">
        <v>9.826000000000001</v>
      </c>
      <c r="AA488" s="8" t="inlineStr">
        <is>
          <t>net income + D&amp;A - capex - change in operating working capital (cash and short-term debt excluded)</t>
        </is>
      </c>
      <c r="AB488" s="10" t="n">
        <v>0.2793540683459373</v>
      </c>
      <c r="AC488" s="10" t="n">
        <v>0.3404787627224655</v>
      </c>
      <c r="AD488" s="12" t="n">
        <v>1553000000</v>
      </c>
    </row>
    <row r="489">
      <c r="A489" s="8" t="inlineStr">
        <is>
          <t>PM</t>
        </is>
      </c>
      <c r="B489" s="8" t="inlineStr">
        <is>
          <t>Philip Morris International Inc.</t>
        </is>
      </c>
      <c r="C489" s="8" t="inlineStr">
        <is>
          <t>STANDARD</t>
        </is>
      </c>
      <c r="D489" s="8" t="n">
        <v>2024</v>
      </c>
      <c r="E489" s="8" t="inlineStr">
        <is>
          <t>2024-12-31</t>
        </is>
      </c>
      <c r="F489" s="8" t="inlineStr">
        <is>
          <t>0001628280-26-005939</t>
        </is>
      </c>
      <c r="G489" s="13" t="n">
        <v>37.878</v>
      </c>
      <c r="H489" s="13" t="n">
        <v>13.962</v>
      </c>
      <c r="I489" s="8" t="inlineStr">
        <is>
          <t>pretax_income + interest_expense</t>
        </is>
      </c>
      <c r="J489" s="13" t="n">
        <v>7.057</v>
      </c>
      <c r="K489" s="10" t="n">
        <v>0.2473153537175178</v>
      </c>
      <c r="L489" s="13" t="n">
        <v>10.50898303139602</v>
      </c>
      <c r="M489" s="13" t="n">
        <v>26.337</v>
      </c>
      <c r="N489" s="13" t="n">
        <v>27.6315</v>
      </c>
      <c r="O489" s="10" t="n">
        <v>0.3803261868301039</v>
      </c>
      <c r="P489" s="8" t="inlineStr">
        <is>
          <t>OK</t>
        </is>
      </c>
      <c r="Q489" s="10" t="n">
        <v>-0.6143199129488575</v>
      </c>
      <c r="R489" s="10" t="n">
        <v>-0.9946460997789613</v>
      </c>
      <c r="S489" s="13" t="n">
        <v>-11.75</v>
      </c>
      <c r="T489" s="13" t="n">
        <v>4.216</v>
      </c>
      <c r="U489" s="13" t="n">
        <v>42.303</v>
      </c>
      <c r="V489" s="8" t="inlineStr">
        <is>
          <t>short-term + long-term</t>
        </is>
      </c>
      <c r="W489" s="13" t="n">
        <v>14.914</v>
      </c>
      <c r="X489" s="11" t="n">
        <v>2.553774976532118</v>
      </c>
      <c r="Y489" s="11" t="n">
        <v>7.919455473624503</v>
      </c>
      <c r="Z489" s="13" t="n">
        <v>5.669</v>
      </c>
      <c r="AA489" s="8" t="inlineStr">
        <is>
          <t>net income + D&amp;A - capex - change in operating working capital (cash and short-term debt excluded)</t>
        </is>
      </c>
      <c r="AB489" s="10" t="n">
        <v>0.1496647130260309</v>
      </c>
      <c r="AC489" s="10" t="n">
        <v>0.368604466972913</v>
      </c>
      <c r="AD489" s="12" t="n">
        <v>1556000000</v>
      </c>
    </row>
    <row r="490">
      <c r="A490" s="8" t="inlineStr">
        <is>
          <t>PM</t>
        </is>
      </c>
      <c r="B490" s="8" t="inlineStr">
        <is>
          <t>Philip Morris International Inc.</t>
        </is>
      </c>
      <c r="C490" s="8" t="inlineStr">
        <is>
          <t>STANDARD</t>
        </is>
      </c>
      <c r="D490" s="8" t="n">
        <v>2025</v>
      </c>
      <c r="E490" s="8" t="inlineStr">
        <is>
          <t>2025-12-31</t>
        </is>
      </c>
      <c r="F490" s="8" t="inlineStr">
        <is>
          <t>0001628280-26-005939</t>
        </is>
      </c>
      <c r="G490" s="13" t="n">
        <v>40.648</v>
      </c>
      <c r="H490" s="13" t="n">
        <v>15.467</v>
      </c>
      <c r="I490" s="8" t="inlineStr">
        <is>
          <t>pretax_income + interest_expense</t>
        </is>
      </c>
      <c r="J490" s="13" t="n">
        <v>11.348</v>
      </c>
      <c r="K490" s="10" t="n">
        <v>0.1971902017291066</v>
      </c>
      <c r="L490" s="13" t="n">
        <v>12.41705914985591</v>
      </c>
      <c r="M490" s="13" t="n">
        <v>30.436</v>
      </c>
      <c r="N490" s="13" t="n">
        <v>28.3865</v>
      </c>
      <c r="O490" s="10" t="n">
        <v>0.4374283250790308</v>
      </c>
      <c r="P490" s="8" t="inlineStr">
        <is>
          <t>OK</t>
        </is>
      </c>
      <c r="Q490" s="10" t="n">
        <v>-1.043782192788815</v>
      </c>
      <c r="R490" s="10" t="n">
        <v>-1.481210517867846</v>
      </c>
      <c r="S490" s="13" t="n">
        <v>-9.994</v>
      </c>
      <c r="T490" s="13" t="n">
        <v>4.872</v>
      </c>
      <c r="U490" s="13" t="n">
        <v>45.302</v>
      </c>
      <c r="V490" s="8" t="inlineStr">
        <is>
          <t>short-term + long-term</t>
        </is>
      </c>
      <c r="W490" s="13" t="n">
        <v>16.46</v>
      </c>
      <c r="X490" s="11" t="n">
        <v>2.456257594167679</v>
      </c>
      <c r="Y490" s="11" t="n">
        <v>9.74606175173283</v>
      </c>
      <c r="Z490" s="13" t="n">
        <v>9.715999999999999</v>
      </c>
      <c r="AA490" s="8" t="inlineStr">
        <is>
          <t>net income + D&amp;A - capex - change in operating working capital (cash and short-term debt excluded)</t>
        </is>
      </c>
      <c r="AB490" s="10" t="n">
        <v>0.2390277504428262</v>
      </c>
      <c r="AC490" s="10" t="n">
        <v>0.3805107262349931</v>
      </c>
      <c r="AD490" s="12" t="n">
        <v>1558000000</v>
      </c>
    </row>
    <row r="491">
      <c r="A491" s="8" t="inlineStr">
        <is>
          <t>DELL</t>
        </is>
      </c>
      <c r="B491" s="8" t="inlineStr">
        <is>
          <t>Dell Technologies Inc.</t>
        </is>
      </c>
      <c r="C491" s="8" t="inlineStr">
        <is>
          <t>STANDARD</t>
        </is>
      </c>
      <c r="D491" s="8" t="n">
        <v>2014</v>
      </c>
      <c r="E491" s="8" t="inlineStr">
        <is>
          <t>2015-01-30</t>
        </is>
      </c>
      <c r="F491" s="8" t="inlineStr">
        <is>
          <t>0001571996-17-000004</t>
        </is>
      </c>
      <c r="G491" s="13" t="n"/>
      <c r="H491" s="13" t="n">
        <v>-0.316</v>
      </c>
      <c r="I491" s="8" t="inlineStr">
        <is>
          <t>reported OperatingIncomeLoss (no interest expense tagged)</t>
        </is>
      </c>
      <c r="J491" s="13" t="n">
        <v>-1.221</v>
      </c>
      <c r="K491" s="10" t="n">
        <v>0.21</v>
      </c>
      <c r="L491" s="13" t="n">
        <v>-0.24964</v>
      </c>
      <c r="M491" s="13" t="n"/>
      <c r="N491" s="13" t="n"/>
      <c r="O491" s="10" t="n"/>
      <c r="P491" s="8" t="inlineStr">
        <is>
          <t>DATA_UNAVAILABLE</t>
        </is>
      </c>
      <c r="Q491" s="10" t="n"/>
      <c r="R491" s="10" t="n"/>
      <c r="S491" s="13" t="n"/>
      <c r="T491" s="13" t="n">
        <v>5.398</v>
      </c>
      <c r="U491" s="13" t="n"/>
      <c r="V491" s="8" t="inlineStr">
        <is>
          <t>DATA_UNAVAILABLE</t>
        </is>
      </c>
      <c r="W491" s="13" t="n">
        <v>2.661</v>
      </c>
      <c r="X491" s="11" t="n"/>
      <c r="Y491" s="11" t="n"/>
      <c r="Z491" s="13" t="n">
        <v>2.073</v>
      </c>
      <c r="AA491" s="8" t="inlineStr">
        <is>
          <t>operating cash flow - capex (working-capital swing already embedded)</t>
        </is>
      </c>
      <c r="AB491" s="10" t="n"/>
      <c r="AC491" s="10" t="n"/>
      <c r="AD491" s="12" t="n"/>
    </row>
    <row r="492">
      <c r="A492" s="8" t="inlineStr">
        <is>
          <t>DELL</t>
        </is>
      </c>
      <c r="B492" s="8" t="inlineStr">
        <is>
          <t>Dell Technologies Inc.</t>
        </is>
      </c>
      <c r="C492" s="8" t="inlineStr">
        <is>
          <t>STANDARD</t>
        </is>
      </c>
      <c r="D492" s="8" t="n">
        <v>2015</v>
      </c>
      <c r="E492" s="8" t="inlineStr">
        <is>
          <t>2016-01-29</t>
        </is>
      </c>
      <c r="F492" s="8" t="inlineStr">
        <is>
          <t>0001571996-18-000004</t>
        </is>
      </c>
      <c r="G492" s="13" t="n"/>
      <c r="H492" s="13" t="n">
        <v>-0.514</v>
      </c>
      <c r="I492" s="8" t="inlineStr">
        <is>
          <t>reported OperatingIncomeLoss (no interest expense tagged)</t>
        </is>
      </c>
      <c r="J492" s="13" t="n">
        <v>-1.104</v>
      </c>
      <c r="K492" s="10" t="n">
        <v>0.21</v>
      </c>
      <c r="L492" s="13" t="n">
        <v>-0.40606</v>
      </c>
      <c r="M492" s="13" t="n">
        <v>8.775</v>
      </c>
      <c r="N492" s="13" t="n">
        <v>8.775</v>
      </c>
      <c r="O492" s="10" t="n">
        <v>-0.04627464387464388</v>
      </c>
      <c r="P492" s="8" t="inlineStr">
        <is>
          <t>OK</t>
        </is>
      </c>
      <c r="Q492" s="10" t="n">
        <v>-0.7530695770804912</v>
      </c>
      <c r="R492" s="10" t="n">
        <v>-0.7067949332058473</v>
      </c>
      <c r="S492" s="13" t="n">
        <v>1.466</v>
      </c>
      <c r="T492" s="13" t="n">
        <v>6.322</v>
      </c>
      <c r="U492" s="13" t="n">
        <v>13.631</v>
      </c>
      <c r="V492" s="8" t="inlineStr">
        <is>
          <t>short-term + long-term</t>
        </is>
      </c>
      <c r="W492" s="13" t="n">
        <v>2.358</v>
      </c>
      <c r="X492" s="11" t="n">
        <v>3.099660729431722</v>
      </c>
      <c r="Y492" s="11" t="n"/>
      <c r="Z492" s="13" t="n">
        <v>1.68</v>
      </c>
      <c r="AA492" s="8" t="inlineStr">
        <is>
          <t>operating cash flow - capex (working-capital swing already embedded)</t>
        </is>
      </c>
      <c r="AB492" s="10" t="n"/>
      <c r="AC492" s="10" t="n"/>
      <c r="AD492" s="12" t="n">
        <v>405000000</v>
      </c>
    </row>
    <row r="493">
      <c r="A493" s="8" t="inlineStr">
        <is>
          <t>DELL</t>
        </is>
      </c>
      <c r="B493" s="8" t="inlineStr">
        <is>
          <t>Dell Technologies Inc.</t>
        </is>
      </c>
      <c r="C493" s="8" t="inlineStr">
        <is>
          <t>STANDARD</t>
        </is>
      </c>
      <c r="D493" s="8" t="n">
        <v>2016</v>
      </c>
      <c r="E493" s="8" t="inlineStr">
        <is>
          <t>2017-02-03</t>
        </is>
      </c>
      <c r="F493" s="8" t="inlineStr">
        <is>
          <t>0001571996-19-000008</t>
        </is>
      </c>
      <c r="G493" s="13" t="n">
        <v>62.164</v>
      </c>
      <c r="H493" s="13" t="n">
        <v>-2.39</v>
      </c>
      <c r="I493" s="8" t="inlineStr">
        <is>
          <t>reported OperatingIncomeLoss (no interest expense tagged)</t>
        </is>
      </c>
      <c r="J493" s="13" t="n">
        <v>-1.167</v>
      </c>
      <c r="K493" s="10" t="n">
        <v>0.21</v>
      </c>
      <c r="L493" s="13" t="n">
        <v>-1.8881</v>
      </c>
      <c r="M493" s="13" t="n">
        <v>53.159</v>
      </c>
      <c r="N493" s="13" t="n">
        <v>30.967</v>
      </c>
      <c r="O493" s="10" t="n">
        <v>-0.06097135660541867</v>
      </c>
      <c r="P493" s="8" t="inlineStr">
        <is>
          <t>OK</t>
        </is>
      </c>
      <c r="Q493" s="10" t="n">
        <v>-0.1586783601876402</v>
      </c>
      <c r="R493" s="10" t="n">
        <v>-0.09770700358222156</v>
      </c>
      <c r="S493" s="13" t="n">
        <v>13.243</v>
      </c>
      <c r="T493" s="13" t="n">
        <v>9.474</v>
      </c>
      <c r="U493" s="13" t="n">
        <v>49.39</v>
      </c>
      <c r="V493" s="8" t="inlineStr">
        <is>
          <t>short-term + long-term</t>
        </is>
      </c>
      <c r="W493" s="13" t="n">
        <v>2.548</v>
      </c>
      <c r="X493" s="11" t="n">
        <v>15.66562009419152</v>
      </c>
      <c r="Y493" s="11" t="n"/>
      <c r="Z493" s="13" t="n">
        <v>8.500999999999999</v>
      </c>
      <c r="AA493" s="8" t="inlineStr">
        <is>
          <t>net income + D&amp;A - capex - change in operating working capital (cash and short-term debt excluded)</t>
        </is>
      </c>
      <c r="AB493" s="10" t="n">
        <v>0.1367511743131073</v>
      </c>
      <c r="AC493" s="10" t="n">
        <v>-0.03844668940222637</v>
      </c>
      <c r="AD493" s="12" t="n">
        <v>778000000</v>
      </c>
    </row>
    <row r="494">
      <c r="A494" s="8" t="inlineStr">
        <is>
          <t>DELL</t>
        </is>
      </c>
      <c r="B494" s="8" t="inlineStr">
        <is>
          <t>Dell Technologies Inc.</t>
        </is>
      </c>
      <c r="C494" s="8" t="inlineStr">
        <is>
          <t>STANDARD</t>
        </is>
      </c>
      <c r="D494" s="8" t="n">
        <v>2017</v>
      </c>
      <c r="E494" s="8" t="inlineStr">
        <is>
          <t>2018-02-02</t>
        </is>
      </c>
      <c r="F494" s="8" t="inlineStr">
        <is>
          <t>0001571996-20-000017</t>
        </is>
      </c>
      <c r="G494" s="13" t="n">
        <v>79.04000000000001</v>
      </c>
      <c r="H494" s="13" t="n">
        <v>-2.416</v>
      </c>
      <c r="I494" s="8" t="inlineStr">
        <is>
          <t>reported OperatingIncomeLoss (no interest expense tagged)</t>
        </is>
      </c>
      <c r="J494" s="13" t="n">
        <v>-2.849</v>
      </c>
      <c r="K494" s="10" t="n">
        <v>0.21</v>
      </c>
      <c r="L494" s="13" t="n">
        <v>-1.90864</v>
      </c>
      <c r="M494" s="13" t="n">
        <v>49.648</v>
      </c>
      <c r="N494" s="13" t="n">
        <v>51.4035</v>
      </c>
      <c r="O494" s="10" t="n">
        <v>-0.03713054558541733</v>
      </c>
      <c r="P494" s="8" t="inlineStr">
        <is>
          <t>OK</t>
        </is>
      </c>
      <c r="Q494" s="10" t="n">
        <v>-0.2282669657879978</v>
      </c>
      <c r="R494" s="10" t="n">
        <v>-0.1911364202025804</v>
      </c>
      <c r="S494" s="13" t="n">
        <v>11.719</v>
      </c>
      <c r="T494" s="13" t="n">
        <v>13.942</v>
      </c>
      <c r="U494" s="13" t="n">
        <v>51.871</v>
      </c>
      <c r="V494" s="8" t="inlineStr">
        <is>
          <t>short-term + long-term</t>
        </is>
      </c>
      <c r="W494" s="13" t="n">
        <v>6.218</v>
      </c>
      <c r="X494" s="11" t="n">
        <v>6.099871341267288</v>
      </c>
      <c r="Y494" s="11" t="n"/>
      <c r="Z494" s="13" t="n">
        <v>5.646</v>
      </c>
      <c r="AA494" s="8" t="inlineStr">
        <is>
          <t>net income + D&amp;A - capex - change in operating working capital (cash and short-term debt excluded)</t>
        </is>
      </c>
      <c r="AB494" s="10" t="n">
        <v>0.07143218623481781</v>
      </c>
      <c r="AC494" s="10" t="n">
        <v>-0.0305668016194332</v>
      </c>
      <c r="AD494" s="12" t="n">
        <v>769000000</v>
      </c>
    </row>
    <row r="495">
      <c r="A495" s="8" t="inlineStr">
        <is>
          <t>DELL</t>
        </is>
      </c>
      <c r="B495" s="8" t="inlineStr">
        <is>
          <t>Dell Technologies Inc.</t>
        </is>
      </c>
      <c r="C495" s="8" t="inlineStr">
        <is>
          <t>STANDARD</t>
        </is>
      </c>
      <c r="D495" s="8" t="n">
        <v>2018</v>
      </c>
      <c r="E495" s="8" t="inlineStr">
        <is>
          <t>2019-02-01</t>
        </is>
      </c>
      <c r="F495" s="8" t="inlineStr">
        <is>
          <t>0001571996-21-000007</t>
        </is>
      </c>
      <c r="G495" s="13" t="n">
        <v>90.621</v>
      </c>
      <c r="H495" s="13" t="n">
        <v>-0.191</v>
      </c>
      <c r="I495" s="8" t="inlineStr">
        <is>
          <t>reported OperatingIncomeLoss (no interest expense tagged)</t>
        </is>
      </c>
      <c r="J495" s="13" t="n">
        <v>-2.31</v>
      </c>
      <c r="K495" s="10" t="n">
        <v>0.21</v>
      </c>
      <c r="L495" s="13" t="n">
        <v>-0.15089</v>
      </c>
      <c r="M495" s="13" t="n">
        <v>38.08</v>
      </c>
      <c r="N495" s="13" t="n">
        <v>43.864</v>
      </c>
      <c r="O495" s="10" t="n">
        <v>-0.003439950756884917</v>
      </c>
      <c r="P495" s="8" t="inlineStr">
        <is>
          <t>OK</t>
        </is>
      </c>
      <c r="Q495" s="10" t="n">
        <v>-0.7759489418878065</v>
      </c>
      <c r="R495" s="10" t="n">
        <v>-0.7725089911309215</v>
      </c>
      <c r="S495" s="13" t="n">
        <v>-5.765</v>
      </c>
      <c r="T495" s="13" t="n">
        <v>9.676</v>
      </c>
      <c r="U495" s="13" t="n">
        <v>53.521</v>
      </c>
      <c r="V495" s="8" t="inlineStr">
        <is>
          <t>short-term + long-term</t>
        </is>
      </c>
      <c r="W495" s="13" t="n">
        <v>7.555</v>
      </c>
      <c r="X495" s="11" t="n">
        <v>5.803441429516877</v>
      </c>
      <c r="Y495" s="11" t="n"/>
      <c r="Z495" s="13" t="n">
        <v>6.549</v>
      </c>
      <c r="AA495" s="8" t="inlineStr">
        <is>
          <t>net income + D&amp;A - capex - change in operating working capital (cash and short-term debt excluded)</t>
        </is>
      </c>
      <c r="AB495" s="10" t="n">
        <v>0.07226801734697255</v>
      </c>
      <c r="AC495" s="10" t="n">
        <v>-0.002107679235497291</v>
      </c>
      <c r="AD495" s="12" t="n">
        <v>719000000</v>
      </c>
    </row>
    <row r="496">
      <c r="A496" s="8" t="inlineStr">
        <is>
          <t>DELL</t>
        </is>
      </c>
      <c r="B496" s="8" t="inlineStr">
        <is>
          <t>Dell Technologies Inc.</t>
        </is>
      </c>
      <c r="C496" s="8" t="inlineStr">
        <is>
          <t>STANDARD</t>
        </is>
      </c>
      <c r="D496" s="8" t="n">
        <v>2019</v>
      </c>
      <c r="E496" s="8" t="inlineStr">
        <is>
          <t>2020-01-31</t>
        </is>
      </c>
      <c r="F496" s="8" t="inlineStr">
        <is>
          <t>0001571996-22-000009</t>
        </is>
      </c>
      <c r="G496" s="13" t="n">
        <v>84.815</v>
      </c>
      <c r="H496" s="13" t="n">
        <v>2.366</v>
      </c>
      <c r="I496" s="8" t="inlineStr">
        <is>
          <t>reported OperatingIncomeLoss (no interest expense tagged)</t>
        </is>
      </c>
      <c r="J496" s="13" t="n">
        <v>4.616</v>
      </c>
      <c r="K496" s="10" t="n">
        <v>0.21</v>
      </c>
      <c r="L496" s="13" t="n">
        <v>1.86914</v>
      </c>
      <c r="M496" s="13" t="n">
        <v>41.18</v>
      </c>
      <c r="N496" s="13" t="n">
        <v>39.63</v>
      </c>
      <c r="O496" s="10" t="n">
        <v>0.04716477416098915</v>
      </c>
      <c r="P496" s="8" t="inlineStr">
        <is>
          <t>OK</t>
        </is>
      </c>
      <c r="Q496" s="10" t="n">
        <v>-1.257937048644229</v>
      </c>
      <c r="R496" s="10" t="n">
        <v>-1.305101822805218</v>
      </c>
      <c r="S496" s="13" t="n">
        <v>-1.574</v>
      </c>
      <c r="T496" s="13" t="n">
        <v>9.302</v>
      </c>
      <c r="U496" s="13" t="n">
        <v>52.056</v>
      </c>
      <c r="V496" s="8" t="inlineStr">
        <is>
          <t>short-term + long-term</t>
        </is>
      </c>
      <c r="W496" s="13" t="n">
        <v>8.509</v>
      </c>
      <c r="X496" s="11" t="n">
        <v>5.024562228228934</v>
      </c>
      <c r="Y496" s="11" t="n"/>
      <c r="Z496" s="13" t="n">
        <v>11.146</v>
      </c>
      <c r="AA496" s="8" t="inlineStr">
        <is>
          <t>net income + D&amp;A - capex - change in operating working capital (cash and short-term debt excluded)</t>
        </is>
      </c>
      <c r="AB496" s="10" t="n">
        <v>0.1314154335907564</v>
      </c>
      <c r="AC496" s="10" t="n">
        <v>0.02789600896067913</v>
      </c>
      <c r="AD496" s="12" t="n">
        <v>743000000</v>
      </c>
    </row>
    <row r="497">
      <c r="A497" s="8" t="inlineStr">
        <is>
          <t>DELL</t>
        </is>
      </c>
      <c r="B497" s="8" t="inlineStr">
        <is>
          <t>Dell Technologies Inc.</t>
        </is>
      </c>
      <c r="C497" s="8" t="inlineStr">
        <is>
          <t>STANDARD</t>
        </is>
      </c>
      <c r="D497" s="8" t="n">
        <v>2020</v>
      </c>
      <c r="E497" s="8" t="inlineStr">
        <is>
          <t>2021-01-29</t>
        </is>
      </c>
      <c r="F497" s="8" t="inlineStr">
        <is>
          <t>0001571996-23-000007</t>
        </is>
      </c>
      <c r="G497" s="13" t="n">
        <v>86.67</v>
      </c>
      <c r="H497" s="13" t="n">
        <v>3.685</v>
      </c>
      <c r="I497" s="8" t="inlineStr">
        <is>
          <t>reported OperatingIncomeLoss (no interest expense tagged)</t>
        </is>
      </c>
      <c r="J497" s="13" t="n">
        <v>3.25</v>
      </c>
      <c r="K497" s="10" t="n">
        <v>0.05</v>
      </c>
      <c r="L497" s="13" t="n">
        <v>3.50075</v>
      </c>
      <c r="M497" s="13" t="n">
        <v>32.193</v>
      </c>
      <c r="N497" s="13" t="n">
        <v>36.6865</v>
      </c>
      <c r="O497" s="10" t="n">
        <v>0.09542338462377169</v>
      </c>
      <c r="P497" s="8" t="inlineStr">
        <is>
          <t>OK</t>
        </is>
      </c>
      <c r="Q497" s="10" t="n">
        <v>7.18232044198895</v>
      </c>
      <c r="R497" s="10" t="n">
        <v>7.086897057365179</v>
      </c>
      <c r="S497" s="13" t="n">
        <v>2.479</v>
      </c>
      <c r="T497" s="13" t="n">
        <v>9.507999999999999</v>
      </c>
      <c r="U497" s="13" t="n">
        <v>39.222</v>
      </c>
      <c r="V497" s="8" t="inlineStr">
        <is>
          <t>short-term + long-term</t>
        </is>
      </c>
      <c r="W497" s="13" t="n">
        <v>9.074999999999999</v>
      </c>
      <c r="X497" s="11" t="n">
        <v>3.274269972451791</v>
      </c>
      <c r="Y497" s="11" t="n"/>
      <c r="Z497" s="13" t="n">
        <v>3.121</v>
      </c>
      <c r="AA497" s="8" t="inlineStr">
        <is>
          <t>net income + D&amp;A - capex - change in operating working capital (cash and short-term debt excluded)</t>
        </is>
      </c>
      <c r="AB497" s="10" t="n">
        <v>0.03601015345563632</v>
      </c>
      <c r="AC497" s="10" t="n">
        <v>0.04251759547709703</v>
      </c>
      <c r="AD497" s="12" t="n">
        <v>753000000</v>
      </c>
    </row>
    <row r="498">
      <c r="A498" s="8" t="inlineStr">
        <is>
          <t>DELL</t>
        </is>
      </c>
      <c r="B498" s="8" t="inlineStr">
        <is>
          <t>Dell Technologies Inc.</t>
        </is>
      </c>
      <c r="C498" s="8" t="inlineStr">
        <is>
          <t>STANDARD</t>
        </is>
      </c>
      <c r="D498" s="8" t="n">
        <v>2021</v>
      </c>
      <c r="E498" s="8" t="inlineStr">
        <is>
          <t>2022-01-28</t>
        </is>
      </c>
      <c r="F498" s="8" t="inlineStr">
        <is>
          <t>0001571996-24-000036</t>
        </is>
      </c>
      <c r="G498" s="13" t="n">
        <v>101.197</v>
      </c>
      <c r="H498" s="13" t="n">
        <v>4.659</v>
      </c>
      <c r="I498" s="8" t="inlineStr">
        <is>
          <t>reported OperatingIncomeLoss (no interest expense tagged)</t>
        </is>
      </c>
      <c r="J498" s="13" t="n">
        <v>5.563</v>
      </c>
      <c r="K498" s="10" t="n">
        <v>0.1656255276042546</v>
      </c>
      <c r="L498" s="13" t="n">
        <v>3.887350666891777</v>
      </c>
      <c r="M498" s="13" t="n">
        <v>15.792</v>
      </c>
      <c r="N498" s="13" t="n">
        <v>23.9925</v>
      </c>
      <c r="O498" s="10" t="n">
        <v>0.1620235768215808</v>
      </c>
      <c r="P498" s="8" t="inlineStr">
        <is>
          <t>OK</t>
        </is>
      </c>
      <c r="Q498" s="10" t="n">
        <v>14.01259445843829</v>
      </c>
      <c r="R498" s="10" t="n">
        <v>13.85057088161671</v>
      </c>
      <c r="S498" s="13" t="n">
        <v>-1.685</v>
      </c>
      <c r="T498" s="13" t="n">
        <v>9.477</v>
      </c>
      <c r="U498" s="13" t="n">
        <v>26.954</v>
      </c>
      <c r="V498" s="8" t="inlineStr">
        <is>
          <t>short-term + long-term</t>
        </is>
      </c>
      <c r="W498" s="13" t="n">
        <v>9.210000000000001</v>
      </c>
      <c r="X498" s="11" t="n">
        <v>1.897611292073833</v>
      </c>
      <c r="Y498" s="11" t="n"/>
      <c r="Z498" s="13" t="n">
        <v>8.442</v>
      </c>
      <c r="AA498" s="8" t="inlineStr">
        <is>
          <t>net income + D&amp;A - capex - change in operating working capital (cash and short-term debt excluded)</t>
        </is>
      </c>
      <c r="AB498" s="10" t="n">
        <v>0.08342144529976185</v>
      </c>
      <c r="AC498" s="10" t="n">
        <v>0.04603891419706118</v>
      </c>
      <c r="AD498" s="12" t="n">
        <v>757000000</v>
      </c>
    </row>
    <row r="499">
      <c r="A499" s="8" t="inlineStr">
        <is>
          <t>DELL</t>
        </is>
      </c>
      <c r="B499" s="8" t="inlineStr">
        <is>
          <t>Dell Technologies Inc.</t>
        </is>
      </c>
      <c r="C499" s="8" t="inlineStr">
        <is>
          <t>STANDARD</t>
        </is>
      </c>
      <c r="D499" s="8" t="n">
        <v>2022</v>
      </c>
      <c r="E499" s="8" t="inlineStr">
        <is>
          <t>2023-02-03</t>
        </is>
      </c>
      <c r="F499" s="8" t="inlineStr">
        <is>
          <t>0001571996-25-000034</t>
        </is>
      </c>
      <c r="G499" s="13" t="n">
        <v>102.301</v>
      </c>
      <c r="H499" s="13" t="n">
        <v>4.447</v>
      </c>
      <c r="I499" s="8" t="inlineStr">
        <is>
          <t>pretax_income + interest_expense</t>
        </is>
      </c>
      <c r="J499" s="13" t="n">
        <v>2.442</v>
      </c>
      <c r="K499" s="10" t="n">
        <v>0.2489922480620155</v>
      </c>
      <c r="L499" s="13" t="n">
        <v>3.339731472868217</v>
      </c>
      <c r="M499" s="13" t="n">
        <v>17.859</v>
      </c>
      <c r="N499" s="13" t="n">
        <v>16.8255</v>
      </c>
      <c r="O499" s="10" t="n">
        <v>0.1984922571613454</v>
      </c>
      <c r="P499" s="8" t="inlineStr">
        <is>
          <t>OK</t>
        </is>
      </c>
      <c r="Q499" s="10" t="n">
        <v>-1.016018306636156</v>
      </c>
      <c r="R499" s="10" t="n">
        <v>-1.214510563797501</v>
      </c>
      <c r="S499" s="13" t="n">
        <v>-3.122</v>
      </c>
      <c r="T499" s="13" t="n">
        <v>8.606999999999999</v>
      </c>
      <c r="U499" s="13" t="n">
        <v>29.588</v>
      </c>
      <c r="V499" s="8" t="inlineStr">
        <is>
          <t>short-term + long-term</t>
        </is>
      </c>
      <c r="W499" s="13" t="n">
        <v>7.603</v>
      </c>
      <c r="X499" s="11" t="n">
        <v>2.759568591345522</v>
      </c>
      <c r="Y499" s="11" t="n">
        <v>3.63911620294599</v>
      </c>
      <c r="Z499" s="13" t="n">
        <v>-0.908</v>
      </c>
      <c r="AA499" s="8" t="inlineStr">
        <is>
          <t>net income + D&amp;A - capex - change in operating working capital (cash and short-term debt excluded)</t>
        </is>
      </c>
      <c r="AB499" s="10" t="n">
        <v>-0.008875768565312168</v>
      </c>
      <c r="AC499" s="10" t="n">
        <v>0.04346976080390221</v>
      </c>
      <c r="AD499" s="12" t="n">
        <v>716000000</v>
      </c>
    </row>
    <row r="500">
      <c r="A500" s="8" t="inlineStr">
        <is>
          <t>DELL</t>
        </is>
      </c>
      <c r="B500" s="8" t="inlineStr">
        <is>
          <t>Dell Technologies Inc.</t>
        </is>
      </c>
      <c r="C500" s="8" t="inlineStr">
        <is>
          <t>STANDARD</t>
        </is>
      </c>
      <c r="D500" s="8" t="n">
        <v>2023</v>
      </c>
      <c r="E500" s="8" t="inlineStr">
        <is>
          <t>2024-02-02</t>
        </is>
      </c>
      <c r="F500" s="8" t="inlineStr">
        <is>
          <t>0001571996-26-000008</t>
        </is>
      </c>
      <c r="G500" s="13" t="n">
        <v>88.425</v>
      </c>
      <c r="H500" s="13" t="n">
        <v>5.588</v>
      </c>
      <c r="I500" s="8" t="inlineStr">
        <is>
          <t>pretax_income + interest_expense</t>
        </is>
      </c>
      <c r="J500" s="13" t="n">
        <v>3.388</v>
      </c>
      <c r="K500" s="10" t="n">
        <v>0.1749449473941767</v>
      </c>
      <c r="L500" s="13" t="n">
        <v>4.610407633961341</v>
      </c>
      <c r="M500" s="13" t="n">
        <v>16.401</v>
      </c>
      <c r="N500" s="13" t="n">
        <v>17.13</v>
      </c>
      <c r="O500" s="10" t="n">
        <v>0.2691423020409422</v>
      </c>
      <c r="P500" s="8" t="inlineStr">
        <is>
          <t>OK</t>
        </is>
      </c>
      <c r="Q500" s="10" t="n">
        <v>-1.266778837165825</v>
      </c>
      <c r="R500" s="10" t="n">
        <v>-1.535921139206768</v>
      </c>
      <c r="S500" s="13" t="n">
        <v>-2.227</v>
      </c>
      <c r="T500" s="13" t="n">
        <v>7.366</v>
      </c>
      <c r="U500" s="13" t="n">
        <v>25.994</v>
      </c>
      <c r="V500" s="8" t="inlineStr">
        <is>
          <t>short-term + long-term</t>
        </is>
      </c>
      <c r="W500" s="13" t="n">
        <v>8.891</v>
      </c>
      <c r="X500" s="11" t="n">
        <v>2.09515240130469</v>
      </c>
      <c r="Y500" s="11" t="n">
        <v>3.722851432378414</v>
      </c>
      <c r="Z500" s="13" t="n">
        <v>5.352</v>
      </c>
      <c r="AA500" s="8" t="inlineStr">
        <is>
          <t>net income + D&amp;A - capex - change in operating working capital (cash and short-term debt excluded)</t>
        </is>
      </c>
      <c r="AB500" s="10" t="n">
        <v>0.06052586938083121</v>
      </c>
      <c r="AC500" s="10" t="n">
        <v>0.0631947978512864</v>
      </c>
      <c r="AD500" s="12" t="n">
        <v>705000000</v>
      </c>
    </row>
    <row r="501">
      <c r="A501" s="8" t="inlineStr">
        <is>
          <t>DELL</t>
        </is>
      </c>
      <c r="B501" s="8" t="inlineStr">
        <is>
          <t>Dell Technologies Inc.</t>
        </is>
      </c>
      <c r="C501" s="8" t="inlineStr">
        <is>
          <t>STANDARD</t>
        </is>
      </c>
      <c r="D501" s="8" t="n">
        <v>2024</v>
      </c>
      <c r="E501" s="8" t="inlineStr">
        <is>
          <t>2025-01-31</t>
        </is>
      </c>
      <c r="F501" s="8" t="inlineStr">
        <is>
          <t>0001571996-26-000008</t>
        </is>
      </c>
      <c r="G501" s="13" t="n">
        <v>95.56699999999999</v>
      </c>
      <c r="H501" s="13" t="n">
        <v>6.442</v>
      </c>
      <c r="I501" s="8" t="inlineStr">
        <is>
          <t>pretax_income + interest_expense</t>
        </is>
      </c>
      <c r="J501" s="13" t="n">
        <v>4.592</v>
      </c>
      <c r="K501" s="10" t="n">
        <v>0.09350237717908082</v>
      </c>
      <c r="L501" s="13" t="n">
        <v>5.839657686212361</v>
      </c>
      <c r="M501" s="13" t="n">
        <v>19.452</v>
      </c>
      <c r="N501" s="13" t="n">
        <v>17.9265</v>
      </c>
      <c r="O501" s="10" t="n">
        <v>0.3257555956942159</v>
      </c>
      <c r="P501" s="8" t="inlineStr">
        <is>
          <t>OK</t>
        </is>
      </c>
      <c r="Q501" s="10" t="n">
        <v>-2.476139121056889</v>
      </c>
      <c r="R501" s="10" t="n">
        <v>-2.801894716751105</v>
      </c>
      <c r="S501" s="13" t="n">
        <v>-1.482</v>
      </c>
      <c r="T501" s="13" t="n">
        <v>3.633</v>
      </c>
      <c r="U501" s="13" t="n">
        <v>24.567</v>
      </c>
      <c r="V501" s="8" t="inlineStr">
        <is>
          <t>short-term + long-term</t>
        </is>
      </c>
      <c r="W501" s="13" t="n">
        <v>9.565</v>
      </c>
      <c r="X501" s="11" t="n">
        <v>2.188604286461056</v>
      </c>
      <c r="Y501" s="11" t="n">
        <v>4.621233859397417</v>
      </c>
      <c r="Z501" s="13" t="n">
        <v>1.036</v>
      </c>
      <c r="AA501" s="8" t="inlineStr">
        <is>
          <t>net income + D&amp;A - capex - change in operating working capital (cash and short-term debt excluded)</t>
        </is>
      </c>
      <c r="AB501" s="10" t="n">
        <v>0.01084056211872299</v>
      </c>
      <c r="AC501" s="10" t="n">
        <v>0.067408205761403</v>
      </c>
      <c r="AD501" s="12" t="n">
        <v>696000000</v>
      </c>
    </row>
    <row r="502">
      <c r="A502" s="8" t="inlineStr">
        <is>
          <t>DELL</t>
        </is>
      </c>
      <c r="B502" s="8" t="inlineStr">
        <is>
          <t>Dell Technologies Inc.</t>
        </is>
      </c>
      <c r="C502" s="8" t="inlineStr">
        <is>
          <t>STANDARD</t>
        </is>
      </c>
      <c r="D502" s="8" t="n">
        <v>2025</v>
      </c>
      <c r="E502" s="8" t="inlineStr">
        <is>
          <t>2026-01-30</t>
        </is>
      </c>
      <c r="F502" s="8" t="inlineStr">
        <is>
          <t>0001571996-26-000008</t>
        </is>
      </c>
      <c r="G502" s="13" t="n">
        <v>113.538</v>
      </c>
      <c r="H502" s="13" t="n">
        <v>8.823</v>
      </c>
      <c r="I502" s="8" t="inlineStr">
        <is>
          <t>pretax_income + interest_expense</t>
        </is>
      </c>
      <c r="J502" s="13" t="n">
        <v>5.936</v>
      </c>
      <c r="K502" s="10" t="n">
        <v>0.1827068704392124</v>
      </c>
      <c r="L502" s="13" t="n">
        <v>7.210977282114829</v>
      </c>
      <c r="M502" s="13" t="n">
        <v>17.505</v>
      </c>
      <c r="N502" s="13" t="n">
        <v>18.4785</v>
      </c>
      <c r="O502" s="10" t="n">
        <v>0.390236073388794</v>
      </c>
      <c r="P502" s="8" t="inlineStr">
        <is>
          <t>OK</t>
        </is>
      </c>
      <c r="Q502" s="10" t="n">
        <v>-3.004048582995952</v>
      </c>
      <c r="R502" s="10" t="n">
        <v>-3.394284656384746</v>
      </c>
      <c r="S502" s="13" t="n">
        <v>-2.47</v>
      </c>
      <c r="T502" s="13" t="n">
        <v>11.528</v>
      </c>
      <c r="U502" s="13" t="n">
        <v>31.503</v>
      </c>
      <c r="V502" s="8" t="inlineStr">
        <is>
          <t>short-term + long-term</t>
        </is>
      </c>
      <c r="W502" s="13" t="n">
        <v>11.852</v>
      </c>
      <c r="X502" s="11" t="n">
        <v>1.685369557880527</v>
      </c>
      <c r="Y502" s="11" t="n">
        <v>5.655769230769231</v>
      </c>
      <c r="Z502" s="13" t="n">
        <v>6.81</v>
      </c>
      <c r="AA502" s="8" t="inlineStr">
        <is>
          <t>net income + D&amp;A - capex - change in operating working capital (cash and short-term debt excluded)</t>
        </is>
      </c>
      <c r="AB502" s="10" t="n">
        <v>0.05997991861755535</v>
      </c>
      <c r="AC502" s="10" t="n">
        <v>0.07770966548644506</v>
      </c>
      <c r="AD502" s="12" t="n">
        <v>652000000</v>
      </c>
    </row>
    <row r="503">
      <c r="A503" s="8" t="inlineStr">
        <is>
          <t>WFC</t>
        </is>
      </c>
      <c r="B503" s="8" t="inlineStr">
        <is>
          <t>WELLS FARGO &amp; COMPANY/MN</t>
        </is>
      </c>
      <c r="C503" s="8" t="inlineStr">
        <is>
          <t>FINANCIAL</t>
        </is>
      </c>
      <c r="D503" s="8" t="n">
        <v>2014</v>
      </c>
      <c r="E503" s="8" t="inlineStr">
        <is>
          <t>2014-12-31</t>
        </is>
      </c>
      <c r="F503" s="8" t="inlineStr">
        <is>
          <t>0000072971-17-000278</t>
        </is>
      </c>
      <c r="G503" s="13" t="n"/>
      <c r="H503" s="13" t="n">
        <v>34.297</v>
      </c>
      <c r="I503" s="8" t="inlineStr">
        <is>
          <t>pretax_income + interest_expense</t>
        </is>
      </c>
      <c r="J503" s="13" t="n">
        <v>23.057</v>
      </c>
      <c r="K503" s="10" t="n">
        <v>0.30390682588825</v>
      </c>
      <c r="L503" s="13" t="n">
        <v>23.87390759251069</v>
      </c>
      <c r="M503" s="13" t="n"/>
      <c r="N503" s="13" t="n"/>
      <c r="O503" s="10" t="n"/>
      <c r="P503" s="8" t="inlineStr">
        <is>
          <t>FRAMEWORK_NOT_APPLICABLE</t>
        </is>
      </c>
      <c r="Q503" s="10" t="n">
        <v>0.1250420295671226</v>
      </c>
      <c r="R503" s="10" t="n"/>
      <c r="S503" s="13" t="n">
        <v>184.394</v>
      </c>
      <c r="T503" s="13" t="n"/>
      <c r="U503" s="13" t="n">
        <v>247.461</v>
      </c>
      <c r="V503" s="8" t="inlineStr">
        <is>
          <t>short-term + long-term</t>
        </is>
      </c>
      <c r="W503" s="13" t="n">
        <v>36.812</v>
      </c>
      <c r="X503" s="11" t="n"/>
      <c r="Y503" s="11" t="n">
        <v>89.782722513089</v>
      </c>
      <c r="Z503" s="13" t="n"/>
      <c r="AA503" s="8" t="inlineStr">
        <is>
          <t>FRAMEWORK_NOT_APPLICABLE (financial sector)</t>
        </is>
      </c>
      <c r="AB503" s="10" t="n"/>
      <c r="AC503" s="10" t="n"/>
      <c r="AD503" s="12" t="n">
        <v>5324400000</v>
      </c>
    </row>
    <row r="504">
      <c r="A504" s="8" t="inlineStr">
        <is>
          <t>WFC</t>
        </is>
      </c>
      <c r="B504" s="8" t="inlineStr">
        <is>
          <t>WELLS FARGO &amp; COMPANY/MN</t>
        </is>
      </c>
      <c r="C504" s="8" t="inlineStr">
        <is>
          <t>FINANCIAL</t>
        </is>
      </c>
      <c r="D504" s="8" t="n">
        <v>2015</v>
      </c>
      <c r="E504" s="8" t="inlineStr">
        <is>
          <t>2015-12-31</t>
        </is>
      </c>
      <c r="F504" s="8" t="inlineStr">
        <is>
          <t>0000072971-18-000272</t>
        </is>
      </c>
      <c r="G504" s="13" t="n"/>
      <c r="H504" s="13" t="n">
        <v>33.998</v>
      </c>
      <c r="I504" s="8" t="inlineStr">
        <is>
          <t>pretax_income + interest_expense</t>
        </is>
      </c>
      <c r="J504" s="13" t="n">
        <v>22.894</v>
      </c>
      <c r="K504" s="10" t="n">
        <v>0.3081061799589787</v>
      </c>
      <c r="L504" s="13" t="n">
        <v>23.52300609375465</v>
      </c>
      <c r="M504" s="13" t="n"/>
      <c r="N504" s="13" t="n"/>
      <c r="O504" s="10" t="n"/>
      <c r="P504" s="8" t="inlineStr">
        <is>
          <t>FRAMEWORK_NOT_APPLICABLE</t>
        </is>
      </c>
      <c r="Q504" s="10" t="n">
        <v>0.1213274261245601</v>
      </c>
      <c r="R504" s="10" t="n"/>
      <c r="S504" s="13" t="n">
        <v>192.998</v>
      </c>
      <c r="T504" s="13" t="n">
        <v>239.52</v>
      </c>
      <c r="U504" s="13" t="n">
        <v>297.064</v>
      </c>
      <c r="V504" s="8" t="inlineStr">
        <is>
          <t>short-term + long-term</t>
        </is>
      </c>
      <c r="W504" s="13" t="n">
        <v>37.286</v>
      </c>
      <c r="X504" s="11" t="n">
        <v>1.543313844338358</v>
      </c>
      <c r="Y504" s="11" t="n">
        <v>95.23249299719888</v>
      </c>
      <c r="Z504" s="13" t="n"/>
      <c r="AA504" s="8" t="inlineStr">
        <is>
          <t>FRAMEWORK_NOT_APPLICABLE (financial sector)</t>
        </is>
      </c>
      <c r="AB504" s="10" t="n"/>
      <c r="AC504" s="10" t="n"/>
      <c r="AD504" s="12" t="n">
        <v>5209800000</v>
      </c>
    </row>
    <row r="505">
      <c r="A505" s="8" t="inlineStr">
        <is>
          <t>WFC</t>
        </is>
      </c>
      <c r="B505" s="8" t="inlineStr">
        <is>
          <t>WELLS FARGO &amp; COMPANY/MN</t>
        </is>
      </c>
      <c r="C505" s="8" t="inlineStr">
        <is>
          <t>FINANCIAL</t>
        </is>
      </c>
      <c r="D505" s="8" t="n">
        <v>2016</v>
      </c>
      <c r="E505" s="8" t="inlineStr">
        <is>
          <t>2016-12-31</t>
        </is>
      </c>
      <c r="F505" s="8" t="inlineStr">
        <is>
          <t>0000072971-19-000227</t>
        </is>
      </c>
      <c r="G505" s="13" t="n">
        <v>88.267</v>
      </c>
      <c r="H505" s="13" t="n">
        <v>32.474</v>
      </c>
      <c r="I505" s="8" t="inlineStr">
        <is>
          <t>pretax_income + interest_expense</t>
        </is>
      </c>
      <c r="J505" s="13" t="n">
        <v>21.938</v>
      </c>
      <c r="K505" s="10" t="n">
        <v>0.3136674968866749</v>
      </c>
      <c r="L505" s="13" t="n">
        <v>22.28796170610212</v>
      </c>
      <c r="M505" s="13" t="n"/>
      <c r="N505" s="13" t="n"/>
      <c r="O505" s="10" t="n"/>
      <c r="P505" s="8" t="inlineStr">
        <is>
          <t>FRAMEWORK_NOT_APPLICABLE</t>
        </is>
      </c>
      <c r="Q505" s="10" t="n">
        <v>0.1117634921888333</v>
      </c>
      <c r="R505" s="10" t="n"/>
      <c r="S505" s="13" t="n">
        <v>199.581</v>
      </c>
      <c r="T505" s="13" t="n">
        <v>221.4</v>
      </c>
      <c r="U505" s="13" t="n">
        <v>351.858</v>
      </c>
      <c r="V505" s="8" t="inlineStr">
        <is>
          <t>short-term + long-term</t>
        </is>
      </c>
      <c r="W505" s="13" t="n">
        <v>37.444</v>
      </c>
      <c r="X505" s="11" t="n">
        <v>3.484082897126375</v>
      </c>
      <c r="Y505" s="11" t="n">
        <v>91.73446327683615</v>
      </c>
      <c r="Z505" s="13" t="n"/>
      <c r="AA505" s="8" t="inlineStr">
        <is>
          <t>FRAMEWORK_NOT_APPLICABLE (financial sector)</t>
        </is>
      </c>
      <c r="AB505" s="10" t="n"/>
      <c r="AC505" s="10" t="n">
        <v>0.3679064656100242</v>
      </c>
      <c r="AD505" s="12" t="n">
        <v>5108300000</v>
      </c>
    </row>
    <row r="506">
      <c r="A506" s="8" t="inlineStr">
        <is>
          <t>WFC</t>
        </is>
      </c>
      <c r="B506" s="8" t="inlineStr">
        <is>
          <t>WELLS FARGO &amp; COMPANY/MN</t>
        </is>
      </c>
      <c r="C506" s="8" t="inlineStr">
        <is>
          <t>FINANCIAL</t>
        </is>
      </c>
      <c r="D506" s="8" t="n">
        <v>2017</v>
      </c>
      <c r="E506" s="8" t="inlineStr">
        <is>
          <t>2017-12-31</t>
        </is>
      </c>
      <c r="F506" s="8" t="inlineStr">
        <is>
          <t>0000072971-20-000217</t>
        </is>
      </c>
      <c r="G506" s="13" t="n">
        <v>88.389</v>
      </c>
      <c r="H506" s="13" t="n">
        <v>27.801</v>
      </c>
      <c r="I506" s="8" t="inlineStr">
        <is>
          <t>pretax_income + interest_expense</t>
        </is>
      </c>
      <c r="J506" s="13" t="n">
        <v>22.183</v>
      </c>
      <c r="K506" s="10" t="n">
        <v>0.1796033166526647</v>
      </c>
      <c r="L506" s="13" t="n">
        <v>22.80784819373927</v>
      </c>
      <c r="M506" s="13" t="n"/>
      <c r="N506" s="13" t="n"/>
      <c r="O506" s="10" t="n"/>
      <c r="P506" s="8" t="inlineStr">
        <is>
          <t>FRAMEWORK_NOT_APPLICABLE</t>
        </is>
      </c>
      <c r="Q506" s="10" t="n">
        <v>0.1091368872642473</v>
      </c>
      <c r="R506" s="10" t="n"/>
      <c r="S506" s="13" t="n">
        <v>206.936</v>
      </c>
      <c r="T506" s="13" t="n">
        <v>215.947</v>
      </c>
      <c r="U506" s="13" t="n">
        <v>328.276</v>
      </c>
      <c r="V506" s="8" t="inlineStr">
        <is>
          <t>short-term + long-term</t>
        </is>
      </c>
      <c r="W506" s="13" t="n">
        <v>33.207</v>
      </c>
      <c r="X506" s="11" t="n">
        <v>3.382690396603126</v>
      </c>
      <c r="Y506" s="11" t="n">
        <v>65.56839622641509</v>
      </c>
      <c r="Z506" s="13" t="n"/>
      <c r="AA506" s="8" t="inlineStr">
        <is>
          <t>FRAMEWORK_NOT_APPLICABLE (financial sector)</t>
        </is>
      </c>
      <c r="AB506" s="10" t="n"/>
      <c r="AC506" s="10" t="n">
        <v>0.3145300885856838</v>
      </c>
      <c r="AD506" s="12" t="n">
        <v>5017300000</v>
      </c>
    </row>
    <row r="507">
      <c r="A507" s="8" t="inlineStr">
        <is>
          <t>WFC</t>
        </is>
      </c>
      <c r="B507" s="8" t="inlineStr">
        <is>
          <t>WELLS FARGO &amp; COMPANY/MN</t>
        </is>
      </c>
      <c r="C507" s="8" t="inlineStr">
        <is>
          <t>FINANCIAL</t>
        </is>
      </c>
      <c r="D507" s="8" t="n">
        <v>2018</v>
      </c>
      <c r="E507" s="8" t="inlineStr">
        <is>
          <t>2018-12-31</t>
        </is>
      </c>
      <c r="F507" s="8" t="inlineStr">
        <is>
          <t>0000072971-21-000197</t>
        </is>
      </c>
      <c r="G507" s="13" t="n">
        <v>86.408</v>
      </c>
      <c r="H507" s="13" t="n">
        <v>29.148</v>
      </c>
      <c r="I507" s="8" t="inlineStr">
        <is>
          <t>pretax_income + interest_expense</t>
        </is>
      </c>
      <c r="J507" s="13" t="n">
        <v>22.393</v>
      </c>
      <c r="K507" s="10" t="n">
        <v>0.1984021304926764</v>
      </c>
      <c r="L507" s="13" t="n">
        <v>23.36497470039947</v>
      </c>
      <c r="M507" s="13" t="n"/>
      <c r="N507" s="13" t="n"/>
      <c r="O507" s="10" t="n"/>
      <c r="P507" s="8" t="inlineStr">
        <is>
          <t>FRAMEWORK_NOT_APPLICABLE</t>
        </is>
      </c>
      <c r="Q507" s="10" t="n">
        <v>0.1111033931858438</v>
      </c>
      <c r="R507" s="10" t="n"/>
      <c r="S507" s="13" t="n">
        <v>196.166</v>
      </c>
      <c r="T507" s="13" t="n">
        <v>173.287</v>
      </c>
      <c r="U507" s="13" t="n">
        <v>334.831</v>
      </c>
      <c r="V507" s="8" t="inlineStr">
        <is>
          <t>short-term + long-term</t>
        </is>
      </c>
      <c r="W507" s="13" t="n">
        <v>34.741</v>
      </c>
      <c r="X507" s="11" t="n">
        <v>4.649952505684926</v>
      </c>
      <c r="Y507" s="11" t="n">
        <v>47.78360655737705</v>
      </c>
      <c r="Z507" s="13" t="n"/>
      <c r="AA507" s="8" t="inlineStr">
        <is>
          <t>FRAMEWORK_NOT_APPLICABLE (financial sector)</t>
        </is>
      </c>
      <c r="AB507" s="10" t="n"/>
      <c r="AC507" s="10" t="n">
        <v>0.3373298768632534</v>
      </c>
      <c r="AD507" s="12" t="n">
        <v>4838400000</v>
      </c>
    </row>
    <row r="508">
      <c r="A508" s="8" t="inlineStr">
        <is>
          <t>WFC</t>
        </is>
      </c>
      <c r="B508" s="8" t="inlineStr">
        <is>
          <t>WELLS FARGO &amp; COMPANY/MN</t>
        </is>
      </c>
      <c r="C508" s="8" t="inlineStr">
        <is>
          <t>FINANCIAL</t>
        </is>
      </c>
      <c r="D508" s="8" t="n">
        <v>2019</v>
      </c>
      <c r="E508" s="8" t="inlineStr">
        <is>
          <t>2019-12-31</t>
        </is>
      </c>
      <c r="F508" s="8" t="inlineStr">
        <is>
          <t>0000072971-22-000096</t>
        </is>
      </c>
      <c r="G508" s="13" t="n">
        <v>85.063</v>
      </c>
      <c r="H508" s="13" t="n">
        <v>26.518</v>
      </c>
      <c r="I508" s="8" t="inlineStr">
        <is>
          <t>pretax_income + interest_expense</t>
        </is>
      </c>
      <c r="J508" s="13" t="n">
        <v>19.715</v>
      </c>
      <c r="K508" s="10" t="n">
        <v>0.2218585127276928</v>
      </c>
      <c r="L508" s="13" t="n">
        <v>20.63475595948704</v>
      </c>
      <c r="M508" s="13" t="n"/>
      <c r="N508" s="13" t="n"/>
      <c r="O508" s="10" t="n"/>
      <c r="P508" s="8" t="inlineStr">
        <is>
          <t>FRAMEWORK_NOT_APPLICABLE</t>
        </is>
      </c>
      <c r="Q508" s="10" t="n">
        <v>0.102866594314814</v>
      </c>
      <c r="R508" s="10" t="n"/>
      <c r="S508" s="13" t="n">
        <v>187.146</v>
      </c>
      <c r="T508" s="13" t="n">
        <v>141.25</v>
      </c>
      <c r="U508" s="13" t="n">
        <v>332.703</v>
      </c>
      <c r="V508" s="8" t="inlineStr">
        <is>
          <t>short-term + long-term</t>
        </is>
      </c>
      <c r="W508" s="13" t="n">
        <v>33.091</v>
      </c>
      <c r="X508" s="11" t="n">
        <v>5.785651687770089</v>
      </c>
      <c r="Y508" s="11" t="n">
        <v>48.12704174228675</v>
      </c>
      <c r="Z508" s="13" t="n"/>
      <c r="AA508" s="8" t="inlineStr">
        <is>
          <t>FRAMEWORK_NOT_APPLICABLE (financial sector)</t>
        </is>
      </c>
      <c r="AB508" s="10" t="n"/>
      <c r="AC508" s="10" t="n">
        <v>0.3117454122238811</v>
      </c>
      <c r="AD508" s="12" t="n">
        <v>4425400000</v>
      </c>
    </row>
    <row r="509">
      <c r="A509" s="8" t="inlineStr">
        <is>
          <t>WFC</t>
        </is>
      </c>
      <c r="B509" s="8" t="inlineStr">
        <is>
          <t>WELLS FARGO &amp; COMPANY/MN</t>
        </is>
      </c>
      <c r="C509" s="8" t="inlineStr">
        <is>
          <t>FINANCIAL</t>
        </is>
      </c>
      <c r="D509" s="8" t="n">
        <v>2020</v>
      </c>
      <c r="E509" s="8" t="inlineStr">
        <is>
          <t>2020-12-31</t>
        </is>
      </c>
      <c r="F509" s="8" t="inlineStr">
        <is>
          <t>0000072971-23-000071</t>
        </is>
      </c>
      <c r="G509" s="13" t="n"/>
      <c r="H509" s="13" t="n">
        <v>2.943</v>
      </c>
      <c r="I509" s="8" t="inlineStr">
        <is>
          <t>pretax_income + interest_expense</t>
        </is>
      </c>
      <c r="J509" s="13" t="n">
        <v>3.377</v>
      </c>
      <c r="K509" s="10" t="n">
        <v>0.05</v>
      </c>
      <c r="L509" s="13" t="n">
        <v>2.79585</v>
      </c>
      <c r="M509" s="13" t="n"/>
      <c r="N509" s="13" t="n"/>
      <c r="O509" s="10" t="n"/>
      <c r="P509" s="8" t="inlineStr">
        <is>
          <t>FRAMEWORK_NOT_APPLICABLE</t>
        </is>
      </c>
      <c r="Q509" s="10" t="n">
        <v>0.01816441023489482</v>
      </c>
      <c r="R509" s="10" t="n"/>
      <c r="S509" s="13" t="n">
        <v>184.68</v>
      </c>
      <c r="T509" s="13" t="n">
        <v>264.612</v>
      </c>
      <c r="U509" s="13" t="n">
        <v>271.949</v>
      </c>
      <c r="V509" s="8" t="inlineStr">
        <is>
          <t>short-term + long-term</t>
        </is>
      </c>
      <c r="W509" s="13" t="n">
        <v>11.162</v>
      </c>
      <c r="X509" s="11" t="n">
        <v>0.6573194767962731</v>
      </c>
      <c r="Y509" s="11" t="n">
        <v>6.719178082191781</v>
      </c>
      <c r="Z509" s="13" t="n"/>
      <c r="AA509" s="8" t="inlineStr">
        <is>
          <t>FRAMEWORK_NOT_APPLICABLE (financial sector)</t>
        </is>
      </c>
      <c r="AB509" s="10" t="n"/>
      <c r="AC509" s="10" t="n"/>
      <c r="AD509" s="12" t="n">
        <v>4134200000</v>
      </c>
    </row>
    <row r="510">
      <c r="A510" s="8" t="inlineStr">
        <is>
          <t>WFC</t>
        </is>
      </c>
      <c r="B510" s="8" t="inlineStr">
        <is>
          <t>WELLS FARGO &amp; COMPANY/MN</t>
        </is>
      </c>
      <c r="C510" s="8" t="inlineStr">
        <is>
          <t>FINANCIAL</t>
        </is>
      </c>
      <c r="D510" s="8" t="n">
        <v>2021</v>
      </c>
      <c r="E510" s="8" t="inlineStr">
        <is>
          <t>2021-12-31</t>
        </is>
      </c>
      <c r="F510" s="8" t="inlineStr">
        <is>
          <t>0000072971-24-000064</t>
        </is>
      </c>
      <c r="G510" s="13" t="n"/>
      <c r="H510" s="13" t="n">
        <v>29.958</v>
      </c>
      <c r="I510" s="8" t="inlineStr">
        <is>
          <t>pretax_income + interest_expense</t>
        </is>
      </c>
      <c r="J510" s="13" t="n">
        <v>22.109</v>
      </c>
      <c r="K510" s="10" t="n">
        <v>0.1949734465379021</v>
      </c>
      <c r="L510" s="13" t="n">
        <v>24.11698548861753</v>
      </c>
      <c r="M510" s="13" t="n"/>
      <c r="N510" s="13" t="n"/>
      <c r="O510" s="10" t="n"/>
      <c r="P510" s="8" t="inlineStr">
        <is>
          <t>FRAMEWORK_NOT_APPLICABLE</t>
        </is>
      </c>
      <c r="Q510" s="10" t="n">
        <v>0.1187742756912696</v>
      </c>
      <c r="R510" s="10" t="n"/>
      <c r="S510" s="13" t="n">
        <v>187.606</v>
      </c>
      <c r="T510" s="13" t="n">
        <v>234.23</v>
      </c>
      <c r="U510" s="13" t="n">
        <v>195.098</v>
      </c>
      <c r="V510" s="8" t="inlineStr">
        <is>
          <t>short-term + long-term</t>
        </is>
      </c>
      <c r="W510" s="13" t="n">
        <v>37.848</v>
      </c>
      <c r="X510" s="11" t="n">
        <v>-1.033925174381737</v>
      </c>
      <c r="Y510" s="11" t="n">
        <v>75.84303797468354</v>
      </c>
      <c r="Z510" s="13" t="n"/>
      <c r="AA510" s="8" t="inlineStr">
        <is>
          <t>FRAMEWORK_NOT_APPLICABLE (financial sector)</t>
        </is>
      </c>
      <c r="AB510" s="10" t="n"/>
      <c r="AC510" s="10" t="n"/>
      <c r="AD510" s="12" t="n">
        <v>4096200000</v>
      </c>
    </row>
    <row r="511">
      <c r="A511" s="8" t="inlineStr">
        <is>
          <t>WFC</t>
        </is>
      </c>
      <c r="B511" s="8" t="inlineStr">
        <is>
          <t>WELLS FARGO &amp; COMPANY/MN</t>
        </is>
      </c>
      <c r="C511" s="8" t="inlineStr">
        <is>
          <t>FINANCIAL</t>
        </is>
      </c>
      <c r="D511" s="8" t="n">
        <v>2022</v>
      </c>
      <c r="E511" s="8" t="inlineStr">
        <is>
          <t>2022-12-31</t>
        </is>
      </c>
      <c r="F511" s="8" t="inlineStr">
        <is>
          <t>0000072971-25-000066</t>
        </is>
      </c>
      <c r="G511" s="13" t="n"/>
      <c r="H511" s="13" t="n">
        <v>16.267</v>
      </c>
      <c r="I511" s="8" t="inlineStr">
        <is>
          <t>pretax_income + interest_expense</t>
        </is>
      </c>
      <c r="J511" s="13" t="n">
        <v>13.677</v>
      </c>
      <c r="K511" s="10" t="n">
        <v>0.1440271290549619</v>
      </c>
      <c r="L511" s="13" t="n">
        <v>13.92411069166293</v>
      </c>
      <c r="M511" s="13" t="n"/>
      <c r="N511" s="13" t="n"/>
      <c r="O511" s="10" t="n"/>
      <c r="P511" s="8" t="inlineStr">
        <is>
          <t>FRAMEWORK_NOT_APPLICABLE</t>
        </is>
      </c>
      <c r="Q511" s="10" t="n">
        <v>0.07436526902153967</v>
      </c>
      <c r="R511" s="10" t="n"/>
      <c r="S511" s="13" t="n">
        <v>180.227</v>
      </c>
      <c r="T511" s="13" t="n">
        <v>159.157</v>
      </c>
      <c r="U511" s="13" t="n">
        <v>226.015</v>
      </c>
      <c r="V511" s="8" t="inlineStr">
        <is>
          <t>short-term + long-term</t>
        </is>
      </c>
      <c r="W511" s="13" t="n">
        <v>23.099</v>
      </c>
      <c r="X511" s="11" t="n">
        <v>2.894411013463786</v>
      </c>
      <c r="Y511" s="11" t="n">
        <v>25.49686520376175</v>
      </c>
      <c r="Z511" s="13" t="n"/>
      <c r="AA511" s="8" t="inlineStr">
        <is>
          <t>FRAMEWORK_NOT_APPLICABLE (financial sector)</t>
        </is>
      </c>
      <c r="AB511" s="10" t="n"/>
      <c r="AC511" s="10" t="n"/>
      <c r="AD511" s="12" t="n">
        <v>3837000000</v>
      </c>
    </row>
    <row r="512">
      <c r="A512" s="8" t="inlineStr">
        <is>
          <t>WFC</t>
        </is>
      </c>
      <c r="B512" s="8" t="inlineStr">
        <is>
          <t>WELLS FARGO &amp; COMPANY/MN</t>
        </is>
      </c>
      <c r="C512" s="8" t="inlineStr">
        <is>
          <t>FINANCIAL</t>
        </is>
      </c>
      <c r="D512" s="8" t="n">
        <v>2023</v>
      </c>
      <c r="E512" s="8" t="inlineStr">
        <is>
          <t>2023-12-31</t>
        </is>
      </c>
      <c r="F512" s="8" t="inlineStr">
        <is>
          <t>0000072971-26-000133</t>
        </is>
      </c>
      <c r="G512" s="13" t="n"/>
      <c r="H512" s="13" t="n">
        <v>22.348</v>
      </c>
      <c r="I512" s="8" t="inlineStr">
        <is>
          <t>pretax_income + interest_expense</t>
        </is>
      </c>
      <c r="J512" s="13" t="n">
        <v>19.142</v>
      </c>
      <c r="K512" s="10" t="n">
        <v>0.1204936217415419</v>
      </c>
      <c r="L512" s="13" t="n">
        <v>19.65520854132002</v>
      </c>
      <c r="M512" s="13" t="n"/>
      <c r="N512" s="13" t="n"/>
      <c r="O512" s="10" t="n"/>
      <c r="P512" s="8" t="inlineStr">
        <is>
          <t>FRAMEWORK_NOT_APPLICABLE</t>
        </is>
      </c>
      <c r="Q512" s="10" t="n">
        <v>0.1046119542466158</v>
      </c>
      <c r="R512" s="10" t="n"/>
      <c r="S512" s="13" t="n">
        <v>185.735</v>
      </c>
      <c r="T512" s="13" t="n">
        <v>236.052</v>
      </c>
      <c r="U512" s="13" t="n">
        <v>297.147</v>
      </c>
      <c r="V512" s="8" t="inlineStr">
        <is>
          <t>short-term + long-term</t>
        </is>
      </c>
      <c r="W512" s="13" t="n">
        <v>28.619</v>
      </c>
      <c r="X512" s="11" t="n">
        <v>2.134770606939446</v>
      </c>
      <c r="Y512" s="11" t="n">
        <v>31.3876404494382</v>
      </c>
      <c r="Z512" s="13" t="n"/>
      <c r="AA512" s="8" t="inlineStr">
        <is>
          <t>FRAMEWORK_NOT_APPLICABLE (financial sector)</t>
        </is>
      </c>
      <c r="AB512" s="10" t="n"/>
      <c r="AC512" s="10" t="n"/>
      <c r="AD512" s="12" t="n">
        <v>3720400000</v>
      </c>
    </row>
    <row r="513">
      <c r="A513" s="8" t="inlineStr">
        <is>
          <t>WFC</t>
        </is>
      </c>
      <c r="B513" s="8" t="inlineStr">
        <is>
          <t>WELLS FARGO &amp; COMPANY/MN</t>
        </is>
      </c>
      <c r="C513" s="8" t="inlineStr">
        <is>
          <t>FINANCIAL</t>
        </is>
      </c>
      <c r="D513" s="8" t="n">
        <v>2024</v>
      </c>
      <c r="E513" s="8" t="inlineStr">
        <is>
          <t>2024-12-31</t>
        </is>
      </c>
      <c r="F513" s="8" t="inlineStr">
        <is>
          <t>0000072971-26-000133</t>
        </is>
      </c>
      <c r="G513" s="13" t="n"/>
      <c r="H513" s="13" t="n">
        <v>24.134</v>
      </c>
      <c r="I513" s="8" t="inlineStr">
        <is>
          <t>pretax_income + interest_expense</t>
        </is>
      </c>
      <c r="J513" s="13" t="n">
        <v>19.722</v>
      </c>
      <c r="K513" s="10" t="n">
        <v>0.1454802259887006</v>
      </c>
      <c r="L513" s="13" t="n">
        <v>20.6229802259887</v>
      </c>
      <c r="M513" s="13" t="n"/>
      <c r="N513" s="13" t="n"/>
      <c r="O513" s="10" t="n"/>
      <c r="P513" s="8" t="inlineStr">
        <is>
          <t>FRAMEWORK_NOT_APPLICABLE</t>
        </is>
      </c>
      <c r="Q513" s="10" t="n">
        <v>0.1081087007167231</v>
      </c>
      <c r="R513" s="10" t="n"/>
      <c r="S513" s="13" t="n">
        <v>179.12</v>
      </c>
      <c r="T513" s="13" t="n">
        <v>201.902</v>
      </c>
      <c r="U513" s="13" t="n">
        <v>175.782</v>
      </c>
      <c r="V513" s="8" t="inlineStr">
        <is>
          <t>short-term + long-term</t>
        </is>
      </c>
      <c r="W513" s="13" t="n">
        <v>31.692</v>
      </c>
      <c r="X513" s="11" t="n">
        <v>-0.8241827590559132</v>
      </c>
      <c r="Y513" s="11" t="n">
        <v>31.34285714285714</v>
      </c>
      <c r="Z513" s="13" t="n"/>
      <c r="AA513" s="8" t="inlineStr">
        <is>
          <t>FRAMEWORK_NOT_APPLICABLE (financial sector)</t>
        </is>
      </c>
      <c r="AB513" s="10" t="n"/>
      <c r="AC513" s="10" t="n"/>
      <c r="AD513" s="12" t="n">
        <v>3467600000</v>
      </c>
    </row>
    <row r="514">
      <c r="A514" s="8" t="inlineStr">
        <is>
          <t>WFC</t>
        </is>
      </c>
      <c r="B514" s="8" t="inlineStr">
        <is>
          <t>WELLS FARGO &amp; COMPANY/MN</t>
        </is>
      </c>
      <c r="C514" s="8" t="inlineStr">
        <is>
          <t>FINANCIAL</t>
        </is>
      </c>
      <c r="D514" s="8" t="n">
        <v>2025</v>
      </c>
      <c r="E514" s="8" t="inlineStr">
        <is>
          <t>2025-12-31</t>
        </is>
      </c>
      <c r="F514" s="8" t="inlineStr">
        <is>
          <t>0000072971-26-000133</t>
        </is>
      </c>
      <c r="G514" s="13" t="n"/>
      <c r="H514" s="13" t="n">
        <v>26.363</v>
      </c>
      <c r="I514" s="8" t="inlineStr">
        <is>
          <t>pretax_income + interest_expense</t>
        </is>
      </c>
      <c r="J514" s="13" t="n">
        <v>21.338</v>
      </c>
      <c r="K514" s="10" t="n">
        <v>0.1524266835985555</v>
      </c>
      <c r="L514" s="13" t="n">
        <v>22.34457534029128</v>
      </c>
      <c r="M514" s="13" t="n"/>
      <c r="N514" s="13" t="n"/>
      <c r="O514" s="10" t="n"/>
      <c r="P514" s="8" t="inlineStr">
        <is>
          <t>FRAMEWORK_NOT_APPLICABLE</t>
        </is>
      </c>
      <c r="Q514" s="10" t="n">
        <v>0.1184664540288754</v>
      </c>
      <c r="R514" s="10" t="n"/>
      <c r="S514" s="13" t="n">
        <v>181.117</v>
      </c>
      <c r="T514" s="13" t="n">
        <v>172.593</v>
      </c>
      <c r="U514" s="13" t="n">
        <v>193.035</v>
      </c>
      <c r="V514" s="8" t="inlineStr">
        <is>
          <t>short-term + long-term</t>
        </is>
      </c>
      <c r="W514" s="13" t="n">
        <v>34.076</v>
      </c>
      <c r="X514" s="11" t="n">
        <v>0.5998943537973941</v>
      </c>
      <c r="Y514" s="11" t="n">
        <v>22.64862542955326</v>
      </c>
      <c r="Z514" s="13" t="n"/>
      <c r="AA514" s="8" t="inlineStr">
        <is>
          <t>FRAMEWORK_NOT_APPLICABLE (financial sector)</t>
        </is>
      </c>
      <c r="AB514" s="10" t="n"/>
      <c r="AC514" s="10" t="n"/>
      <c r="AD514" s="12" t="n">
        <v>3242300000</v>
      </c>
    </row>
    <row r="515">
      <c r="A515" s="8" t="inlineStr">
        <is>
          <t>GEV</t>
        </is>
      </c>
      <c r="B515" s="8" t="inlineStr">
        <is>
          <t>GE Vernova Inc.</t>
        </is>
      </c>
      <c r="C515" s="8" t="inlineStr">
        <is>
          <t>STANDARD</t>
        </is>
      </c>
      <c r="D515" s="8" t="n">
        <v>2022</v>
      </c>
      <c r="E515" s="8" t="inlineStr">
        <is>
          <t>2022-12-31</t>
        </is>
      </c>
      <c r="F515" s="8" t="inlineStr">
        <is>
          <t>0001996810-25-000011</t>
        </is>
      </c>
      <c r="G515" s="13" t="n">
        <v>29.654</v>
      </c>
      <c r="H515" s="13" t="n">
        <v>-2.881</v>
      </c>
      <c r="I515" s="8" t="inlineStr">
        <is>
          <t>reported OperatingIncomeLoss (no interest expense tagged)</t>
        </is>
      </c>
      <c r="J515" s="13" t="n">
        <v>-2.736</v>
      </c>
      <c r="K515" s="10" t="n">
        <v>0.21</v>
      </c>
      <c r="L515" s="13" t="n">
        <v>-2.27599</v>
      </c>
      <c r="M515" s="13" t="n"/>
      <c r="N515" s="13" t="n"/>
      <c r="O515" s="10" t="n"/>
      <c r="P515" s="8" t="inlineStr">
        <is>
          <t>DATA_UNAVAILABLE</t>
        </is>
      </c>
      <c r="Q515" s="10" t="n">
        <v>-0.2357198242439907</v>
      </c>
      <c r="R515" s="10" t="n"/>
      <c r="S515" s="13" t="n">
        <v>11.607</v>
      </c>
      <c r="T515" s="13" t="n">
        <v>2.067</v>
      </c>
      <c r="U515" s="13" t="n"/>
      <c r="V515" s="8" t="inlineStr">
        <is>
          <t>DATA_UNAVAILABLE</t>
        </is>
      </c>
      <c r="W515" s="13" t="n">
        <v>-2.102</v>
      </c>
      <c r="X515" s="11" t="n"/>
      <c r="Y515" s="11" t="n"/>
      <c r="Z515" s="13" t="n">
        <v>-0.627</v>
      </c>
      <c r="AA515" s="8" t="inlineStr">
        <is>
          <t>operating cash flow - capex (working-capital swing already embedded)</t>
        </is>
      </c>
      <c r="AB515" s="10" t="n">
        <v>-0.02114385917582788</v>
      </c>
      <c r="AC515" s="10" t="n">
        <v>-0.09715384096580562</v>
      </c>
      <c r="AD515" s="12" t="n">
        <v>274000000</v>
      </c>
    </row>
    <row r="516">
      <c r="A516" s="8" t="inlineStr">
        <is>
          <t>GEV</t>
        </is>
      </c>
      <c r="B516" s="8" t="inlineStr">
        <is>
          <t>GE Vernova Inc.</t>
        </is>
      </c>
      <c r="C516" s="8" t="inlineStr">
        <is>
          <t>STANDARD</t>
        </is>
      </c>
      <c r="D516" s="8" t="n">
        <v>2023</v>
      </c>
      <c r="E516" s="8" t="inlineStr">
        <is>
          <t>2023-12-31</t>
        </is>
      </c>
      <c r="F516" s="8" t="inlineStr">
        <is>
          <t>0001996810-26-000015</t>
        </is>
      </c>
      <c r="G516" s="13" t="n">
        <v>33.239</v>
      </c>
      <c r="H516" s="13" t="n">
        <v>-0.923</v>
      </c>
      <c r="I516" s="8" t="inlineStr">
        <is>
          <t>reported OperatingIncomeLoss (no interest expense tagged)</t>
        </is>
      </c>
      <c r="J516" s="13" t="n">
        <v>-0.438</v>
      </c>
      <c r="K516" s="10" t="n">
        <v>0.21</v>
      </c>
      <c r="L516" s="13" t="n">
        <v>-0.72917</v>
      </c>
      <c r="M516" s="13" t="n">
        <v>4.325</v>
      </c>
      <c r="N516" s="13" t="n">
        <v>4.325</v>
      </c>
      <c r="O516" s="10" t="n">
        <v>-0.1685942196531792</v>
      </c>
      <c r="P516" s="8" t="inlineStr">
        <is>
          <t>OK</t>
        </is>
      </c>
      <c r="Q516" s="10" t="n">
        <v>-0.0438284885175364</v>
      </c>
      <c r="R516" s="10" t="n">
        <v>0.1247657311356428</v>
      </c>
      <c r="S516" s="13" t="n">
        <v>8.380000000000001</v>
      </c>
      <c r="T516" s="13" t="n">
        <v>4.2</v>
      </c>
      <c r="U516" s="13" t="n">
        <v>0.145</v>
      </c>
      <c r="V516" s="8" t="inlineStr">
        <is>
          <t>short-term only (no long-term debt tagged; read as nil)</t>
        </is>
      </c>
      <c r="W516" s="13" t="n">
        <v>-0.199</v>
      </c>
      <c r="X516" s="11" t="n">
        <v>20.37688442211055</v>
      </c>
      <c r="Y516" s="11" t="n"/>
      <c r="Z516" s="13" t="n">
        <v>0.442</v>
      </c>
      <c r="AA516" s="8" t="inlineStr">
        <is>
          <t>operating cash flow - capex (working-capital swing already embedded)</t>
        </is>
      </c>
      <c r="AB516" s="10" t="n">
        <v>0.01329763229940732</v>
      </c>
      <c r="AC516" s="10" t="n">
        <v>-0.02776858509582117</v>
      </c>
      <c r="AD516" s="12" t="n">
        <v>274000000</v>
      </c>
    </row>
    <row r="517">
      <c r="A517" s="8" t="inlineStr">
        <is>
          <t>GEV</t>
        </is>
      </c>
      <c r="B517" s="8" t="inlineStr">
        <is>
          <t>GE Vernova Inc.</t>
        </is>
      </c>
      <c r="C517" s="8" t="inlineStr">
        <is>
          <t>STANDARD</t>
        </is>
      </c>
      <c r="D517" s="8" t="n">
        <v>2024</v>
      </c>
      <c r="E517" s="8" t="inlineStr">
        <is>
          <t>2024-12-31</t>
        </is>
      </c>
      <c r="F517" s="8" t="inlineStr">
        <is>
          <t>0001996810-26-000015</t>
        </is>
      </c>
      <c r="G517" s="13" t="n">
        <v>34.935</v>
      </c>
      <c r="H517" s="13" t="n">
        <v>0.471</v>
      </c>
      <c r="I517" s="8" t="inlineStr">
        <is>
          <t>reported OperatingIncomeLoss (no interest expense tagged)</t>
        </is>
      </c>
      <c r="J517" s="13" t="n">
        <v>1.552</v>
      </c>
      <c r="K517" s="10" t="n">
        <v>0.3759007205764612</v>
      </c>
      <c r="L517" s="13" t="n">
        <v>0.2939507606084868</v>
      </c>
      <c r="M517" s="13" t="n">
        <v>2.448</v>
      </c>
      <c r="N517" s="13" t="n">
        <v>3.3865</v>
      </c>
      <c r="O517" s="10" t="n">
        <v>0.08680075612239385</v>
      </c>
      <c r="P517" s="8" t="inlineStr">
        <is>
          <t>UNSTABLE_MINIMAL_INVESTED_CAPITAL</t>
        </is>
      </c>
      <c r="Q517" s="10" t="n">
        <v>0.1636009065514152</v>
      </c>
      <c r="R517" s="10" t="n">
        <v>0.07680015042902133</v>
      </c>
      <c r="S517" s="13" t="n">
        <v>10.593</v>
      </c>
      <c r="T517" s="13" t="n">
        <v>8.205</v>
      </c>
      <c r="U517" s="13" t="n">
        <v>0.06</v>
      </c>
      <c r="V517" s="8" t="inlineStr">
        <is>
          <t>short-term only (no long-term debt tagged; read as nil)</t>
        </is>
      </c>
      <c r="W517" s="13" t="n">
        <v>1.366</v>
      </c>
      <c r="X517" s="11" t="n">
        <v>-5.962664714494876</v>
      </c>
      <c r="Y517" s="11" t="n"/>
      <c r="Z517" s="13" t="n">
        <v>1.308</v>
      </c>
      <c r="AA517" s="8" t="inlineStr">
        <is>
          <t>net income + D&amp;A - capex - change in operating working capital (cash and short-term debt excluded)</t>
        </is>
      </c>
      <c r="AB517" s="10" t="n">
        <v>0.03744096178617432</v>
      </c>
      <c r="AC517" s="10" t="n">
        <v>0.01348218119364534</v>
      </c>
      <c r="AD517" s="12" t="n">
        <v>278000000</v>
      </c>
    </row>
    <row r="518">
      <c r="A518" s="8" t="inlineStr">
        <is>
          <t>GEV</t>
        </is>
      </c>
      <c r="B518" s="8" t="inlineStr">
        <is>
          <t>GE Vernova Inc.</t>
        </is>
      </c>
      <c r="C518" s="8" t="inlineStr">
        <is>
          <t>STANDARD</t>
        </is>
      </c>
      <c r="D518" s="8" t="n">
        <v>2025</v>
      </c>
      <c r="E518" s="8" t="inlineStr">
        <is>
          <t>2025-12-31</t>
        </is>
      </c>
      <c r="F518" s="8" t="inlineStr">
        <is>
          <t>0001996810-26-000015</t>
        </is>
      </c>
      <c r="G518" s="13" t="n">
        <v>38.068</v>
      </c>
      <c r="H518" s="13" t="n">
        <v>1.388</v>
      </c>
      <c r="I518" s="8" t="inlineStr">
        <is>
          <t>reported OperatingIncomeLoss (no interest expense tagged)</t>
        </is>
      </c>
      <c r="J518" s="13" t="n">
        <v>4.884</v>
      </c>
      <c r="K518" s="10" t="n">
        <v>0.05</v>
      </c>
      <c r="L518" s="13" t="n">
        <v>1.3186</v>
      </c>
      <c r="M518" s="13" t="n">
        <v>3.511</v>
      </c>
      <c r="N518" s="13" t="n">
        <v>2.9795</v>
      </c>
      <c r="O518" s="10" t="n">
        <v>0.4425574760865917</v>
      </c>
      <c r="P518" s="8" t="inlineStr">
        <is>
          <t>UNSTABLE_MINIMAL_INVESTED_CAPITAL</t>
        </is>
      </c>
      <c r="Q518" s="10" t="n">
        <v>0.4267552099261654</v>
      </c>
      <c r="R518" s="10" t="n">
        <v>-0.01580226616042629</v>
      </c>
      <c r="S518" s="13" t="n">
        <v>12.296</v>
      </c>
      <c r="T518" s="13" t="n">
        <v>8.848000000000001</v>
      </c>
      <c r="U518" s="13" t="n">
        <v>0.063</v>
      </c>
      <c r="V518" s="8" t="inlineStr">
        <is>
          <t>short-term only (no long-term debt tagged; read as nil)</t>
        </is>
      </c>
      <c r="W518" s="13" t="n">
        <v>2.003</v>
      </c>
      <c r="X518" s="11" t="n">
        <v>-4.385921118322516</v>
      </c>
      <c r="Y518" s="11" t="n"/>
      <c r="Z518" s="13" t="n">
        <v>8.086</v>
      </c>
      <c r="AA518" s="8" t="inlineStr">
        <is>
          <t>net income + D&amp;A - capex - change in operating working capital (cash and short-term debt excluded)</t>
        </is>
      </c>
      <c r="AB518" s="10" t="n">
        <v>0.2124093727014816</v>
      </c>
      <c r="AC518" s="10" t="n">
        <v>0.03646106966481034</v>
      </c>
      <c r="AD518" s="12" t="n">
        <v>276000000</v>
      </c>
    </row>
    <row r="519">
      <c r="A519" s="8" t="inlineStr">
        <is>
          <t>TXN</t>
        </is>
      </c>
      <c r="B519" s="8" t="inlineStr">
        <is>
          <t>TEXAS INSTRUMENTS INC</t>
        </is>
      </c>
      <c r="C519" s="8" t="inlineStr">
        <is>
          <t>STANDARD</t>
        </is>
      </c>
      <c r="D519" s="8" t="n">
        <v>2014</v>
      </c>
      <c r="E519" s="8" t="inlineStr">
        <is>
          <t>2014-12-31</t>
        </is>
      </c>
      <c r="F519" s="8" t="inlineStr">
        <is>
          <t>0001564590-17-002142</t>
        </is>
      </c>
      <c r="G519" s="13" t="n"/>
      <c r="H519" s="13" t="n">
        <v>3.968</v>
      </c>
      <c r="I519" s="8" t="inlineStr">
        <is>
          <t>pretax_income + interest_expense</t>
        </is>
      </c>
      <c r="J519" s="13" t="n">
        <v>2.821</v>
      </c>
      <c r="K519" s="10" t="n">
        <v>0.2718120805369127</v>
      </c>
      <c r="L519" s="13" t="n">
        <v>2.88944966442953</v>
      </c>
      <c r="M519" s="13" t="n">
        <v>13.822</v>
      </c>
      <c r="N519" s="13" t="n">
        <v>13.822</v>
      </c>
      <c r="O519" s="10" t="n">
        <v>0.2090471468983888</v>
      </c>
      <c r="P519" s="8" t="inlineStr">
        <is>
          <t>OK</t>
        </is>
      </c>
      <c r="Q519" s="10" t="n">
        <v>0.2715110683349374</v>
      </c>
      <c r="R519" s="10" t="n">
        <v>0.06246392143654864</v>
      </c>
      <c r="S519" s="13" t="n">
        <v>10.39</v>
      </c>
      <c r="T519" s="13" t="n">
        <v>1.199</v>
      </c>
      <c r="U519" s="13" t="n">
        <v>4.631</v>
      </c>
      <c r="V519" s="8" t="inlineStr">
        <is>
          <t>short-term + long-term</t>
        </is>
      </c>
      <c r="W519" s="13" t="n">
        <v>4.818</v>
      </c>
      <c r="X519" s="11" t="n">
        <v>0.7123287671232876</v>
      </c>
      <c r="Y519" s="11" t="n">
        <v>42.21276595744681</v>
      </c>
      <c r="Z519" s="13" t="n"/>
      <c r="AA519" s="8" t="inlineStr">
        <is>
          <t>net income + D&amp;A - capex - change in no prior year</t>
        </is>
      </c>
      <c r="AB519" s="10" t="n"/>
      <c r="AC519" s="10" t="n"/>
      <c r="AD519" s="12" t="n">
        <v>1080000000</v>
      </c>
    </row>
    <row r="520">
      <c r="A520" s="8" t="inlineStr">
        <is>
          <t>TXN</t>
        </is>
      </c>
      <c r="B520" s="8" t="inlineStr">
        <is>
          <t>TEXAS INSTRUMENTS INC</t>
        </is>
      </c>
      <c r="C520" s="8" t="inlineStr">
        <is>
          <t>STANDARD</t>
        </is>
      </c>
      <c r="D520" s="8" t="n">
        <v>2015</v>
      </c>
      <c r="E520" s="8" t="inlineStr">
        <is>
          <t>2015-12-31</t>
        </is>
      </c>
      <c r="F520" s="8" t="inlineStr">
        <is>
          <t>0001564590-18-002832</t>
        </is>
      </c>
      <c r="G520" s="13" t="n"/>
      <c r="H520" s="13" t="n">
        <v>4.306</v>
      </c>
      <c r="I520" s="8" t="inlineStr">
        <is>
          <t>pretax_income + interest_expense</t>
        </is>
      </c>
      <c r="J520" s="13" t="n">
        <v>2.986</v>
      </c>
      <c r="K520" s="10" t="n">
        <v>0.2917457305502846</v>
      </c>
      <c r="L520" s="13" t="n">
        <v>3.049742884250474</v>
      </c>
      <c r="M520" s="13" t="n">
        <v>13.066</v>
      </c>
      <c r="N520" s="13" t="n">
        <v>13.444</v>
      </c>
      <c r="O520" s="10" t="n">
        <v>0.2268478789237187</v>
      </c>
      <c r="P520" s="8" t="inlineStr">
        <is>
          <t>OK</t>
        </is>
      </c>
      <c r="Q520" s="10" t="n">
        <v>0.2936664044059795</v>
      </c>
      <c r="R520" s="10" t="n">
        <v>0.0668185254822608</v>
      </c>
      <c r="S520" s="13" t="n">
        <v>9.946</v>
      </c>
      <c r="T520" s="13" t="n">
        <v>1</v>
      </c>
      <c r="U520" s="13" t="n">
        <v>4.12</v>
      </c>
      <c r="V520" s="8" t="inlineStr">
        <is>
          <t>short-term + long-term</t>
        </is>
      </c>
      <c r="W520" s="13" t="n">
        <v>5.072</v>
      </c>
      <c r="X520" s="11" t="n">
        <v>0.6151419558359621</v>
      </c>
      <c r="Y520" s="11" t="n">
        <v>47.84444444444444</v>
      </c>
      <c r="Z520" s="13" t="n">
        <v>3.247</v>
      </c>
      <c r="AA520" s="8" t="inlineStr">
        <is>
          <t>net income + D&amp;A - capex - change in operating working capital (cash and short-term debt excluded)</t>
        </is>
      </c>
      <c r="AB520" s="10" t="n"/>
      <c r="AC520" s="10" t="n"/>
      <c r="AD520" s="12" t="n">
        <v>1043000000</v>
      </c>
    </row>
    <row r="521">
      <c r="A521" s="8" t="inlineStr">
        <is>
          <t>TXN</t>
        </is>
      </c>
      <c r="B521" s="8" t="inlineStr">
        <is>
          <t>TEXAS INSTRUMENTS INC</t>
        </is>
      </c>
      <c r="C521" s="8" t="inlineStr">
        <is>
          <t>STANDARD</t>
        </is>
      </c>
      <c r="D521" s="8" t="n">
        <v>2016</v>
      </c>
      <c r="E521" s="8" t="inlineStr">
        <is>
          <t>2016-12-31</t>
        </is>
      </c>
      <c r="F521" s="8" t="inlineStr">
        <is>
          <t>0001564590-19-003839</t>
        </is>
      </c>
      <c r="G521" s="13" t="n">
        <v>13.37</v>
      </c>
      <c r="H521" s="13" t="n">
        <v>5.01</v>
      </c>
      <c r="I521" s="8" t="inlineStr">
        <is>
          <t>pretax_income + interest_expense</t>
        </is>
      </c>
      <c r="J521" s="13" t="n">
        <v>3.595</v>
      </c>
      <c r="K521" s="10" t="n">
        <v>0.2707910750507099</v>
      </c>
      <c r="L521" s="13" t="n">
        <v>3.653336713995944</v>
      </c>
      <c r="M521" s="13" t="n">
        <v>12.928</v>
      </c>
      <c r="N521" s="13" t="n">
        <v>12.997</v>
      </c>
      <c r="O521" s="10" t="n">
        <v>0.2810907681769595</v>
      </c>
      <c r="P521" s="8" t="inlineStr">
        <is>
          <t>OK</t>
        </is>
      </c>
      <c r="Q521" s="10" t="n">
        <v>0.3521230226749596</v>
      </c>
      <c r="R521" s="10" t="n">
        <v>0.07103225449800005</v>
      </c>
      <c r="S521" s="13" t="n">
        <v>10.473</v>
      </c>
      <c r="T521" s="13" t="n">
        <v>1.154</v>
      </c>
      <c r="U521" s="13" t="n">
        <v>3.609</v>
      </c>
      <c r="V521" s="8" t="inlineStr">
        <is>
          <t>short-term + long-term</t>
        </is>
      </c>
      <c r="W521" s="13" t="n">
        <v>5.615</v>
      </c>
      <c r="X521" s="11" t="n">
        <v>0.4372217275155832</v>
      </c>
      <c r="Y521" s="11" t="n">
        <v>62.625</v>
      </c>
      <c r="Z521" s="13" t="n">
        <v>3.518</v>
      </c>
      <c r="AA521" s="8" t="inlineStr">
        <is>
          <t>net income + D&amp;A - capex - change in operating working capital (cash and short-term debt excluded)</t>
        </is>
      </c>
      <c r="AB521" s="10" t="n">
        <v>0.2631264023934181</v>
      </c>
      <c r="AC521" s="10" t="n">
        <v>0.37471952131638</v>
      </c>
      <c r="AD521" s="12" t="n">
        <v>1021000000</v>
      </c>
    </row>
    <row r="522">
      <c r="A522" s="8" t="inlineStr">
        <is>
          <t>TXN</t>
        </is>
      </c>
      <c r="B522" s="8" t="inlineStr">
        <is>
          <t>TEXAS INSTRUMENTS INC</t>
        </is>
      </c>
      <c r="C522" s="8" t="inlineStr">
        <is>
          <t>STANDARD</t>
        </is>
      </c>
      <c r="D522" s="8" t="n">
        <v>2017</v>
      </c>
      <c r="E522" s="8" t="inlineStr">
        <is>
          <t>2017-12-31</t>
        </is>
      </c>
      <c r="F522" s="8" t="inlineStr">
        <is>
          <t>0000097476-20-000009</t>
        </is>
      </c>
      <c r="G522" s="13" t="n">
        <v>14.961</v>
      </c>
      <c r="H522" s="13" t="n">
        <v>6.158</v>
      </c>
      <c r="I522" s="8" t="inlineStr">
        <is>
          <t>pretax_income + interest_expense</t>
        </is>
      </c>
      <c r="J522" s="13" t="n">
        <v>3.682</v>
      </c>
      <c r="K522" s="10" t="n">
        <v>0.3944078947368421</v>
      </c>
      <c r="L522" s="13" t="n">
        <v>3.729236184210526</v>
      </c>
      <c r="M522" s="13" t="n">
        <v>12.758</v>
      </c>
      <c r="N522" s="13" t="n">
        <v>12.843</v>
      </c>
      <c r="O522" s="10" t="n">
        <v>0.2903711114389571</v>
      </c>
      <c r="P522" s="8" t="inlineStr">
        <is>
          <t>OK</t>
        </is>
      </c>
      <c r="Q522" s="10" t="n">
        <v>0.3538683325324363</v>
      </c>
      <c r="R522" s="10" t="n">
        <v>0.06349722109347922</v>
      </c>
      <c r="S522" s="13" t="n">
        <v>10.337</v>
      </c>
      <c r="T522" s="13" t="n">
        <v>1.656</v>
      </c>
      <c r="U522" s="13" t="n">
        <v>4.077</v>
      </c>
      <c r="V522" s="8" t="inlineStr">
        <is>
          <t>short-term + long-term</t>
        </is>
      </c>
      <c r="W522" s="13" t="n">
        <v>6.697</v>
      </c>
      <c r="X522" s="11" t="n">
        <v>0.3615051515604002</v>
      </c>
      <c r="Y522" s="11" t="n">
        <v>78.94871794871794</v>
      </c>
      <c r="Z522" s="13" t="n">
        <v>2.876</v>
      </c>
      <c r="AA522" s="8" t="inlineStr">
        <is>
          <t>net income + D&amp;A - capex - change in operating working capital (cash and short-term debt excluded)</t>
        </is>
      </c>
      <c r="AB522" s="10" t="n">
        <v>0.192233139496023</v>
      </c>
      <c r="AC522" s="10" t="n">
        <v>0.4116035024396765</v>
      </c>
      <c r="AD522" s="12" t="n">
        <v>1012000000</v>
      </c>
    </row>
    <row r="523">
      <c r="A523" s="8" t="inlineStr">
        <is>
          <t>TXN</t>
        </is>
      </c>
      <c r="B523" s="8" t="inlineStr">
        <is>
          <t>TEXAS INSTRUMENTS INC</t>
        </is>
      </c>
      <c r="C523" s="8" t="inlineStr">
        <is>
          <t>STANDARD</t>
        </is>
      </c>
      <c r="D523" s="8" t="n">
        <v>2018</v>
      </c>
      <c r="E523" s="8" t="inlineStr">
        <is>
          <t>2018-12-31</t>
        </is>
      </c>
      <c r="F523" s="8" t="inlineStr">
        <is>
          <t>0000097476-21-000006</t>
        </is>
      </c>
      <c r="G523" s="13" t="n">
        <v>15.784</v>
      </c>
      <c r="H523" s="13" t="n">
        <v>6.811</v>
      </c>
      <c r="I523" s="8" t="inlineStr">
        <is>
          <t>pretax_income + interest_expense</t>
        </is>
      </c>
      <c r="J523" s="13" t="n">
        <v>5.58</v>
      </c>
      <c r="K523" s="10" t="n">
        <v>0.1654202811845648</v>
      </c>
      <c r="L523" s="13" t="n">
        <v>5.684322464851929</v>
      </c>
      <c r="M523" s="13" t="n">
        <v>11.624</v>
      </c>
      <c r="N523" s="13" t="n">
        <v>12.191</v>
      </c>
      <c r="O523" s="10" t="n">
        <v>0.4662720420680773</v>
      </c>
      <c r="P523" s="8" t="inlineStr">
        <is>
          <t>OK</t>
        </is>
      </c>
      <c r="Q523" s="10" t="n">
        <v>0.5773110547824738</v>
      </c>
      <c r="R523" s="10" t="n">
        <v>0.1110390127143965</v>
      </c>
      <c r="S523" s="13" t="n">
        <v>8.994</v>
      </c>
      <c r="T523" s="13" t="n">
        <v>2.438</v>
      </c>
      <c r="U523" s="13" t="n">
        <v>5.068</v>
      </c>
      <c r="V523" s="8" t="inlineStr">
        <is>
          <t>short-term + long-term</t>
        </is>
      </c>
      <c r="W523" s="13" t="n">
        <v>7.401</v>
      </c>
      <c r="X523" s="11" t="n">
        <v>0.3553573841372787</v>
      </c>
      <c r="Y523" s="11" t="n">
        <v>54.488</v>
      </c>
      <c r="Z523" s="13" t="n">
        <v>6.425</v>
      </c>
      <c r="AA523" s="8" t="inlineStr">
        <is>
          <t>net income + D&amp;A - capex - change in operating working capital (cash and short-term debt excluded)</t>
        </is>
      </c>
      <c r="AB523" s="10" t="n">
        <v>0.4070577800304105</v>
      </c>
      <c r="AC523" s="10" t="n">
        <v>0.4315129244804866</v>
      </c>
      <c r="AD523" s="12" t="n">
        <v>990000000</v>
      </c>
    </row>
    <row r="524">
      <c r="A524" s="8" t="inlineStr">
        <is>
          <t>TXN</t>
        </is>
      </c>
      <c r="B524" s="8" t="inlineStr">
        <is>
          <t>TEXAS INSTRUMENTS INC</t>
        </is>
      </c>
      <c r="C524" s="8" t="inlineStr">
        <is>
          <t>STANDARD</t>
        </is>
      </c>
      <c r="D524" s="8" t="n">
        <v>2019</v>
      </c>
      <c r="E524" s="8" t="inlineStr">
        <is>
          <t>2019-12-31</t>
        </is>
      </c>
      <c r="F524" s="8" t="inlineStr">
        <is>
          <t>0000097476-22-000009</t>
        </is>
      </c>
      <c r="G524" s="13" t="n">
        <v>14.383</v>
      </c>
      <c r="H524" s="13" t="n">
        <v>5.898</v>
      </c>
      <c r="I524" s="8" t="inlineStr">
        <is>
          <t>pretax_income + interest_expense</t>
        </is>
      </c>
      <c r="J524" s="13" t="n">
        <v>5.017</v>
      </c>
      <c r="K524" s="10" t="n">
        <v>0.124127094972067</v>
      </c>
      <c r="L524" s="13" t="n">
        <v>5.165898393854749</v>
      </c>
      <c r="M524" s="13" t="n">
        <v>12.273</v>
      </c>
      <c r="N524" s="13" t="n">
        <v>11.9485</v>
      </c>
      <c r="O524" s="10" t="n">
        <v>0.4323470221245134</v>
      </c>
      <c r="P524" s="8" t="inlineStr">
        <is>
          <t>OK</t>
        </is>
      </c>
      <c r="Q524" s="10" t="n">
        <v>0.5605273448410704</v>
      </c>
      <c r="R524" s="10" t="n">
        <v>0.1281803227165569</v>
      </c>
      <c r="S524" s="13" t="n">
        <v>8.907</v>
      </c>
      <c r="T524" s="13" t="n">
        <v>2.437</v>
      </c>
      <c r="U524" s="13" t="n">
        <v>5.803</v>
      </c>
      <c r="V524" s="8" t="inlineStr">
        <is>
          <t>short-term + long-term</t>
        </is>
      </c>
      <c r="W524" s="13" t="n">
        <v>6.606</v>
      </c>
      <c r="X524" s="11" t="n">
        <v>0.5095367847411444</v>
      </c>
      <c r="Y524" s="11" t="n">
        <v>34.69411764705882</v>
      </c>
      <c r="Z524" s="13" t="n">
        <v>4.111</v>
      </c>
      <c r="AA524" s="8" t="inlineStr">
        <is>
          <t>net income + D&amp;A - capex - change in operating working capital (cash and short-term debt excluded)</t>
        </is>
      </c>
      <c r="AB524" s="10" t="n">
        <v>0.2858235416811514</v>
      </c>
      <c r="AC524" s="10" t="n">
        <v>0.410067440728638</v>
      </c>
      <c r="AD524" s="12" t="n">
        <v>952000000</v>
      </c>
    </row>
    <row r="525">
      <c r="A525" s="8" t="inlineStr">
        <is>
          <t>TXN</t>
        </is>
      </c>
      <c r="B525" s="8" t="inlineStr">
        <is>
          <t>TEXAS INSTRUMENTS INC</t>
        </is>
      </c>
      <c r="C525" s="8" t="inlineStr">
        <is>
          <t>STANDARD</t>
        </is>
      </c>
      <c r="D525" s="8" t="n">
        <v>2020</v>
      </c>
      <c r="E525" s="8" t="inlineStr">
        <is>
          <t>2020-12-31</t>
        </is>
      </c>
      <c r="F525" s="8" t="inlineStr">
        <is>
          <t>0000097476-23-000007</t>
        </is>
      </c>
      <c r="G525" s="13" t="n">
        <v>14.461</v>
      </c>
      <c r="H525" s="13" t="n">
        <v>6.207</v>
      </c>
      <c r="I525" s="8" t="inlineStr">
        <is>
          <t>pretax_income + interest_expense</t>
        </is>
      </c>
      <c r="J525" s="13" t="n">
        <v>5.595</v>
      </c>
      <c r="K525" s="10" t="n">
        <v>0.07013461858068805</v>
      </c>
      <c r="L525" s="13" t="n">
        <v>5.771674422469669</v>
      </c>
      <c r="M525" s="13" t="n">
        <v>12.878</v>
      </c>
      <c r="N525" s="13" t="n">
        <v>12.5755</v>
      </c>
      <c r="O525" s="10" t="n">
        <v>0.4589618243783284</v>
      </c>
      <c r="P525" s="8" t="inlineStr">
        <is>
          <t>OK</t>
        </is>
      </c>
      <c r="Q525" s="10" t="n">
        <v>0.618437050956118</v>
      </c>
      <c r="R525" s="10" t="n">
        <v>0.1594752265777896</v>
      </c>
      <c r="S525" s="13" t="n">
        <v>9.186999999999999</v>
      </c>
      <c r="T525" s="13" t="n">
        <v>3.107</v>
      </c>
      <c r="U525" s="13" t="n">
        <v>6.798</v>
      </c>
      <c r="V525" s="8" t="inlineStr">
        <is>
          <t>short-term + long-term</t>
        </is>
      </c>
      <c r="W525" s="13" t="n">
        <v>6.94</v>
      </c>
      <c r="X525" s="11" t="n">
        <v>0.5318443804034582</v>
      </c>
      <c r="Y525" s="11" t="n">
        <v>32.66842105263158</v>
      </c>
      <c r="Z525" s="13" t="n">
        <v>5.088</v>
      </c>
      <c r="AA525" s="8" t="inlineStr">
        <is>
          <t>net income + D&amp;A - capex - change in operating working capital (cash and short-term debt excluded)</t>
        </is>
      </c>
      <c r="AB525" s="10" t="n">
        <v>0.3518428877670977</v>
      </c>
      <c r="AC525" s="10" t="n">
        <v>0.4292234285319134</v>
      </c>
      <c r="AD525" s="12" t="n">
        <v>933000000</v>
      </c>
    </row>
    <row r="526">
      <c r="A526" s="8" t="inlineStr">
        <is>
          <t>TXN</t>
        </is>
      </c>
      <c r="B526" s="8" t="inlineStr">
        <is>
          <t>TEXAS INSTRUMENTS INC</t>
        </is>
      </c>
      <c r="C526" s="8" t="inlineStr">
        <is>
          <t>STANDARD</t>
        </is>
      </c>
      <c r="D526" s="8" t="n">
        <v>2021</v>
      </c>
      <c r="E526" s="8" t="inlineStr">
        <is>
          <t>2021-12-31</t>
        </is>
      </c>
      <c r="F526" s="8" t="inlineStr">
        <is>
          <t>0000097476-24-000007</t>
        </is>
      </c>
      <c r="G526" s="13" t="n">
        <v>18.344</v>
      </c>
      <c r="H526" s="13" t="n">
        <v>9.103</v>
      </c>
      <c r="I526" s="8" t="inlineStr">
        <is>
          <t>pretax_income + interest_expense</t>
        </is>
      </c>
      <c r="J526" s="13" t="n">
        <v>7.769</v>
      </c>
      <c r="K526" s="10" t="n">
        <v>0.1289382217737415</v>
      </c>
      <c r="L526" s="13" t="n">
        <v>7.929275367193632</v>
      </c>
      <c r="M526" s="13" t="n">
        <v>16.443</v>
      </c>
      <c r="N526" s="13" t="n">
        <v>14.6605</v>
      </c>
      <c r="O526" s="10" t="n">
        <v>0.5408598183686526</v>
      </c>
      <c r="P526" s="8" t="inlineStr">
        <is>
          <t>OK</t>
        </is>
      </c>
      <c r="Q526" s="10" t="n">
        <v>0.6899644760213144</v>
      </c>
      <c r="R526" s="10" t="n">
        <v>0.1491046576526618</v>
      </c>
      <c r="S526" s="13" t="n">
        <v>13.333</v>
      </c>
      <c r="T526" s="13" t="n">
        <v>4.631</v>
      </c>
      <c r="U526" s="13" t="n">
        <v>7.741</v>
      </c>
      <c r="V526" s="8" t="inlineStr">
        <is>
          <t>short-term + long-term</t>
        </is>
      </c>
      <c r="W526" s="13" t="n">
        <v>9.858000000000001</v>
      </c>
      <c r="X526" s="11" t="n">
        <v>0.3154798133495638</v>
      </c>
      <c r="Y526" s="11" t="n">
        <v>49.47282608695652</v>
      </c>
      <c r="Z526" s="13" t="n">
        <v>4.369</v>
      </c>
      <c r="AA526" s="8" t="inlineStr">
        <is>
          <t>net income + D&amp;A - capex - change in operating working capital (cash and short-term debt excluded)</t>
        </is>
      </c>
      <c r="AB526" s="10" t="n">
        <v>0.2381705189707806</v>
      </c>
      <c r="AC526" s="10" t="n">
        <v>0.496238552115133</v>
      </c>
      <c r="AD526" s="12" t="n">
        <v>936000000</v>
      </c>
    </row>
    <row r="527">
      <c r="A527" s="8" t="inlineStr">
        <is>
          <t>TXN</t>
        </is>
      </c>
      <c r="B527" s="8" t="inlineStr">
        <is>
          <t>TEXAS INSTRUMENTS INC</t>
        </is>
      </c>
      <c r="C527" s="8" t="inlineStr">
        <is>
          <t>STANDARD</t>
        </is>
      </c>
      <c r="D527" s="8" t="n">
        <v>2022</v>
      </c>
      <c r="E527" s="8" t="inlineStr">
        <is>
          <t>2022-12-31</t>
        </is>
      </c>
      <c r="F527" s="8" t="inlineStr">
        <is>
          <t>0000097476-25-000007</t>
        </is>
      </c>
      <c r="G527" s="13" t="n">
        <v>20.028</v>
      </c>
      <c r="H527" s="13" t="n">
        <v>10.246</v>
      </c>
      <c r="I527" s="8" t="inlineStr">
        <is>
          <t>pretax_income + interest_expense</t>
        </is>
      </c>
      <c r="J527" s="13" t="n">
        <v>8.749000000000001</v>
      </c>
      <c r="K527" s="10" t="n">
        <v>0.1278907496012759</v>
      </c>
      <c r="L527" s="13" t="n">
        <v>8.935631379585327</v>
      </c>
      <c r="M527" s="13" t="n">
        <v>20.262</v>
      </c>
      <c r="N527" s="13" t="n">
        <v>18.3525</v>
      </c>
      <c r="O527" s="10" t="n">
        <v>0.4868890548745581</v>
      </c>
      <c r="P527" s="8" t="inlineStr">
        <is>
          <t>OK</t>
        </is>
      </c>
      <c r="Q527" s="10" t="n">
        <v>0.6269437477606593</v>
      </c>
      <c r="R527" s="10" t="n">
        <v>0.1400546928861012</v>
      </c>
      <c r="S527" s="13" t="n">
        <v>14.577</v>
      </c>
      <c r="T527" s="13" t="n">
        <v>3.05</v>
      </c>
      <c r="U527" s="13" t="n">
        <v>8.734999999999999</v>
      </c>
      <c r="V527" s="8" t="inlineStr">
        <is>
          <t>short-term + long-term</t>
        </is>
      </c>
      <c r="W527" s="13" t="n">
        <v>11.171</v>
      </c>
      <c r="X527" s="11" t="n">
        <v>0.5089069913168024</v>
      </c>
      <c r="Y527" s="11" t="n">
        <v>47.87850467289719</v>
      </c>
      <c r="Z527" s="13" t="n">
        <v>5.376</v>
      </c>
      <c r="AA527" s="8" t="inlineStr">
        <is>
          <t>net income + D&amp;A - capex - change in operating working capital (cash and short-term debt excluded)</t>
        </is>
      </c>
      <c r="AB527" s="10" t="n">
        <v>0.268424206111444</v>
      </c>
      <c r="AC527" s="10" t="n">
        <v>0.5115837827042141</v>
      </c>
      <c r="AD527" s="12" t="n">
        <v>926000000</v>
      </c>
    </row>
    <row r="528">
      <c r="A528" s="8" t="inlineStr">
        <is>
          <t>TXN</t>
        </is>
      </c>
      <c r="B528" s="8" t="inlineStr">
        <is>
          <t>TEXAS INSTRUMENTS INC</t>
        </is>
      </c>
      <c r="C528" s="8" t="inlineStr">
        <is>
          <t>STANDARD</t>
        </is>
      </c>
      <c r="D528" s="8" t="n">
        <v>2023</v>
      </c>
      <c r="E528" s="8" t="inlineStr">
        <is>
          <t>2023-12-31</t>
        </is>
      </c>
      <c r="F528" s="8" t="inlineStr">
        <is>
          <t>0000097476-26-000059</t>
        </is>
      </c>
      <c r="G528" s="13" t="n">
        <v>17.519</v>
      </c>
      <c r="H528" s="13" t="n">
        <v>7.771</v>
      </c>
      <c r="I528" s="8" t="inlineStr">
        <is>
          <t>pretax_income + interest_expense</t>
        </is>
      </c>
      <c r="J528" s="13" t="n">
        <v>6.51</v>
      </c>
      <c r="K528" s="10" t="n">
        <v>0.1224049609059046</v>
      </c>
      <c r="L528" s="13" t="n">
        <v>6.819791048800216</v>
      </c>
      <c r="M528" s="13" t="n">
        <v>25.156</v>
      </c>
      <c r="N528" s="13" t="n">
        <v>22.709</v>
      </c>
      <c r="O528" s="10" t="n">
        <v>0.3003122572019999</v>
      </c>
      <c r="P528" s="8" t="inlineStr">
        <is>
          <t>OK</t>
        </is>
      </c>
      <c r="Q528" s="10" t="n">
        <v>0.4136747791828176</v>
      </c>
      <c r="R528" s="10" t="n">
        <v>0.1133625219808177</v>
      </c>
      <c r="S528" s="13" t="n">
        <v>16.897</v>
      </c>
      <c r="T528" s="13" t="n">
        <v>2.964</v>
      </c>
      <c r="U528" s="13" t="n">
        <v>11.223</v>
      </c>
      <c r="V528" s="8" t="inlineStr">
        <is>
          <t>short-term + long-term</t>
        </is>
      </c>
      <c r="W528" s="13" t="n">
        <v>8.946</v>
      </c>
      <c r="X528" s="11" t="n">
        <v>0.9232059020791415</v>
      </c>
      <c r="Y528" s="11" t="n">
        <v>22.01416430594901</v>
      </c>
      <c r="Z528" s="13" t="n">
        <v>1.663</v>
      </c>
      <c r="AA528" s="8" t="inlineStr">
        <is>
          <t>net income + D&amp;A - capex - change in operating working capital (cash and short-term debt excluded)</t>
        </is>
      </c>
      <c r="AB528" s="10" t="n">
        <v>0.09492550944688624</v>
      </c>
      <c r="AC528" s="10" t="n">
        <v>0.4435755465494606</v>
      </c>
      <c r="AD528" s="12" t="n">
        <v>916000000</v>
      </c>
    </row>
    <row r="529">
      <c r="A529" s="8" t="inlineStr">
        <is>
          <t>TXN</t>
        </is>
      </c>
      <c r="B529" s="8" t="inlineStr">
        <is>
          <t>TEXAS INSTRUMENTS INC</t>
        </is>
      </c>
      <c r="C529" s="8" t="inlineStr">
        <is>
          <t>STANDARD</t>
        </is>
      </c>
      <c r="D529" s="8" t="n">
        <v>2024</v>
      </c>
      <c r="E529" s="8" t="inlineStr">
        <is>
          <t>2024-12-31</t>
        </is>
      </c>
      <c r="F529" s="8" t="inlineStr">
        <is>
          <t>0000097476-26-000059</t>
        </is>
      </c>
      <c r="G529" s="13" t="n">
        <v>15.641</v>
      </c>
      <c r="H529" s="13" t="n">
        <v>5.961</v>
      </c>
      <c r="I529" s="8" t="inlineStr">
        <is>
          <t>pretax_income + interest_expense</t>
        </is>
      </c>
      <c r="J529" s="13" t="n">
        <v>4.799</v>
      </c>
      <c r="K529" s="10" t="n">
        <v>0.1199339812947002</v>
      </c>
      <c r="L529" s="13" t="n">
        <v>5.246073537502292</v>
      </c>
      <c r="M529" s="13" t="n">
        <v>27.299</v>
      </c>
      <c r="N529" s="13" t="n">
        <v>26.2275</v>
      </c>
      <c r="O529" s="10" t="n">
        <v>0.2000218677915277</v>
      </c>
      <c r="P529" s="8" t="inlineStr">
        <is>
          <t>OK</t>
        </is>
      </c>
      <c r="Q529" s="10" t="n">
        <v>0.2839644970414201</v>
      </c>
      <c r="R529" s="10" t="n">
        <v>0.08394262924989243</v>
      </c>
      <c r="S529" s="13" t="n">
        <v>16.903</v>
      </c>
      <c r="T529" s="13" t="n">
        <v>3.2</v>
      </c>
      <c r="U529" s="13" t="n">
        <v>13.596</v>
      </c>
      <c r="V529" s="8" t="inlineStr">
        <is>
          <t>short-term + long-term</t>
        </is>
      </c>
      <c r="W529" s="13" t="n">
        <v>7.469</v>
      </c>
      <c r="X529" s="11" t="n">
        <v>1.391886464051413</v>
      </c>
      <c r="Y529" s="11" t="n">
        <v>11.73425196850394</v>
      </c>
      <c r="Z529" s="13" t="n">
        <v>1.991</v>
      </c>
      <c r="AA529" s="8" t="inlineStr">
        <is>
          <t>net income + D&amp;A - capex - change in operating working capital (cash and short-term debt excluded)</t>
        </is>
      </c>
      <c r="AB529" s="10" t="n">
        <v>0.1272936513010677</v>
      </c>
      <c r="AC529" s="10" t="n">
        <v>0.3811137395307205</v>
      </c>
      <c r="AD529" s="12" t="n">
        <v>919000000</v>
      </c>
    </row>
    <row r="530">
      <c r="A530" s="8" t="inlineStr">
        <is>
          <t>TXN</t>
        </is>
      </c>
      <c r="B530" s="8" t="inlineStr">
        <is>
          <t>TEXAS INSTRUMENTS INC</t>
        </is>
      </c>
      <c r="C530" s="8" t="inlineStr">
        <is>
          <t>STANDARD</t>
        </is>
      </c>
      <c r="D530" s="8" t="n">
        <v>2025</v>
      </c>
      <c r="E530" s="8" t="inlineStr">
        <is>
          <t>2025-12-31</t>
        </is>
      </c>
      <c r="F530" s="8" t="inlineStr">
        <is>
          <t>0000097476-26-000059</t>
        </is>
      </c>
      <c r="G530" s="13" t="n">
        <v>17.682</v>
      </c>
      <c r="H530" s="13" t="n">
        <v>6.253</v>
      </c>
      <c r="I530" s="8" t="inlineStr">
        <is>
          <t>pretax_income + interest_expense</t>
        </is>
      </c>
      <c r="J530" s="13" t="n">
        <v>5.001</v>
      </c>
      <c r="K530" s="10" t="n">
        <v>0.1241681260945709</v>
      </c>
      <c r="L530" s="13" t="n">
        <v>5.476576707530648</v>
      </c>
      <c r="M530" s="13" t="n">
        <v>27.096</v>
      </c>
      <c r="N530" s="13" t="n">
        <v>27.1975</v>
      </c>
      <c r="O530" s="10" t="n">
        <v>0.2013632395452026</v>
      </c>
      <c r="P530" s="8" t="inlineStr">
        <is>
          <t>OK</t>
        </is>
      </c>
      <c r="Q530" s="10" t="n">
        <v>0.3014829997588618</v>
      </c>
      <c r="R530" s="10" t="n">
        <v>0.1001197602136592</v>
      </c>
      <c r="S530" s="13" t="n">
        <v>16.273</v>
      </c>
      <c r="T530" s="13" t="n">
        <v>3.225</v>
      </c>
      <c r="U530" s="13" t="n">
        <v>14.048</v>
      </c>
      <c r="V530" s="8" t="inlineStr">
        <is>
          <t>short-term + long-term</t>
        </is>
      </c>
      <c r="W530" s="13" t="n">
        <v>8.170999999999999</v>
      </c>
      <c r="X530" s="11" t="n">
        <v>1.324562477052992</v>
      </c>
      <c r="Y530" s="11" t="n">
        <v>11.51565377532228</v>
      </c>
      <c r="Z530" s="13" t="n">
        <v>3.436</v>
      </c>
      <c r="AA530" s="8" t="inlineStr">
        <is>
          <t>net income + D&amp;A - capex - change in operating working capital (cash and short-term debt excluded)</t>
        </is>
      </c>
      <c r="AB530" s="10" t="n">
        <v>0.1943219092862798</v>
      </c>
      <c r="AC530" s="10" t="n">
        <v>0.3536364664630698</v>
      </c>
      <c r="AD530" s="12" t="n">
        <v>913000000</v>
      </c>
    </row>
    <row r="531">
      <c r="A531" s="8" t="inlineStr">
        <is>
          <t>KLAC</t>
        </is>
      </c>
      <c r="B531" s="8" t="inlineStr">
        <is>
          <t>KLA CORP</t>
        </is>
      </c>
      <c r="C531" s="8" t="inlineStr">
        <is>
          <t>STANDARD</t>
        </is>
      </c>
      <c r="D531" s="8" t="n">
        <v>2015</v>
      </c>
      <c r="E531" s="8" t="inlineStr">
        <is>
          <t>2015-06-30</t>
        </is>
      </c>
      <c r="F531" s="8" t="inlineStr">
        <is>
          <t>0000319201-17-000034</t>
        </is>
      </c>
      <c r="G531" s="13" t="n"/>
      <c r="H531" s="13" t="n"/>
      <c r="I531" s="8" t="inlineStr">
        <is>
          <t>DATA_UNAVAILABLE</t>
        </is>
      </c>
      <c r="J531" s="13" t="n">
        <v>0.366158</v>
      </c>
      <c r="K531" s="10" t="n">
        <v>0.21</v>
      </c>
      <c r="L531" s="13" t="n"/>
      <c r="M531" s="13" t="n">
        <v>2.790811</v>
      </c>
      <c r="N531" s="13" t="n">
        <v>2.790811</v>
      </c>
      <c r="O531" s="10" t="n"/>
      <c r="P531" s="8" t="inlineStr">
        <is>
          <t>OK</t>
        </is>
      </c>
      <c r="Q531" s="10" t="n">
        <v>0.8688279917141033</v>
      </c>
      <c r="R531" s="10" t="n"/>
      <c r="S531" s="13" t="n">
        <v>0.421439</v>
      </c>
      <c r="T531" s="13" t="n">
        <v>0.838025</v>
      </c>
      <c r="U531" s="13" t="n">
        <v>3.207397</v>
      </c>
      <c r="V531" s="8" t="inlineStr">
        <is>
          <t>short-term + long-term</t>
        </is>
      </c>
      <c r="W531" s="13" t="n"/>
      <c r="X531" s="11" t="n"/>
      <c r="Y531" s="11" t="n"/>
      <c r="Z531" s="13" t="n">
        <v>0.560115</v>
      </c>
      <c r="AA531" s="8" t="inlineStr">
        <is>
          <t>operating cash flow - capex (working-capital swing already embedded)</t>
        </is>
      </c>
      <c r="AB531" s="10" t="n"/>
      <c r="AC531" s="10" t="n"/>
      <c r="AD531" s="12" t="n">
        <v>1578510000</v>
      </c>
    </row>
    <row r="532">
      <c r="A532" s="8" t="inlineStr">
        <is>
          <t>KLAC</t>
        </is>
      </c>
      <c r="B532" s="8" t="inlineStr">
        <is>
          <t>KLA CORP</t>
        </is>
      </c>
      <c r="C532" s="8" t="inlineStr">
        <is>
          <t>STANDARD</t>
        </is>
      </c>
      <c r="D532" s="8" t="n">
        <v>2016</v>
      </c>
      <c r="E532" s="8" t="inlineStr">
        <is>
          <t>2016-06-30</t>
        </is>
      </c>
      <c r="F532" s="8" t="inlineStr">
        <is>
          <t>0000319201-18-000045</t>
        </is>
      </c>
      <c r="G532" s="13" t="n"/>
      <c r="H532" s="13" t="n"/>
      <c r="I532" s="8" t="inlineStr">
        <is>
          <t>DATA_UNAVAILABLE</t>
        </is>
      </c>
      <c r="J532" s="13" t="n">
        <v>0.704422</v>
      </c>
      <c r="K532" s="10" t="n">
        <v>0.21</v>
      </c>
      <c r="L532" s="13" t="n"/>
      <c r="M532" s="13" t="n">
        <v>2.638562</v>
      </c>
      <c r="N532" s="13" t="n">
        <v>2.7146865</v>
      </c>
      <c r="O532" s="10" t="n"/>
      <c r="P532" s="8" t="inlineStr">
        <is>
          <t>OK</t>
        </is>
      </c>
      <c r="Q532" s="10" t="n">
        <v>1.268596816180768</v>
      </c>
      <c r="R532" s="10" t="n"/>
      <c r="S532" s="13" t="n">
        <v>0.689114</v>
      </c>
      <c r="T532" s="13" t="n">
        <v>1.108488</v>
      </c>
      <c r="U532" s="13" t="n">
        <v>3.057936</v>
      </c>
      <c r="V532" s="8" t="inlineStr">
        <is>
          <t>short-term + long-term</t>
        </is>
      </c>
      <c r="W532" s="13" t="n"/>
      <c r="X532" s="11" t="n"/>
      <c r="Y532" s="11" t="n"/>
      <c r="Z532" s="13" t="n">
        <v>1.064261</v>
      </c>
      <c r="AA532" s="8" t="inlineStr">
        <is>
          <t>net income + D&amp;A - capex - change in operating working capital (cash and short-term debt excluded)</t>
        </is>
      </c>
      <c r="AB532" s="10" t="n"/>
      <c r="AC532" s="10" t="n"/>
      <c r="AD532" s="12" t="n">
        <v>1559550000</v>
      </c>
    </row>
    <row r="533">
      <c r="A533" s="8" t="inlineStr">
        <is>
          <t>KLAC</t>
        </is>
      </c>
      <c r="B533" s="8" t="inlineStr">
        <is>
          <t>KLA CORP</t>
        </is>
      </c>
      <c r="C533" s="8" t="inlineStr">
        <is>
          <t>STANDARD</t>
        </is>
      </c>
      <c r="D533" s="8" t="n">
        <v>2017</v>
      </c>
      <c r="E533" s="8" t="inlineStr">
        <is>
          <t>2017-06-30</t>
        </is>
      </c>
      <c r="F533" s="8" t="inlineStr">
        <is>
          <t>0000319201-19-000031</t>
        </is>
      </c>
      <c r="G533" s="13" t="n">
        <v>3.480014</v>
      </c>
      <c r="H533" s="13" t="n"/>
      <c r="I533" s="8" t="inlineStr">
        <is>
          <t>DATA_UNAVAILABLE</t>
        </is>
      </c>
      <c r="J533" s="13" t="n">
        <v>0.926076</v>
      </c>
      <c r="K533" s="10" t="n">
        <v>0.21</v>
      </c>
      <c r="L533" s="13" t="n"/>
      <c r="M533" s="13" t="n">
        <v>3.353806</v>
      </c>
      <c r="N533" s="13" t="n">
        <v>2.996184</v>
      </c>
      <c r="O533" s="10" t="n"/>
      <c r="P533" s="8" t="inlineStr">
        <is>
          <t>OK</t>
        </is>
      </c>
      <c r="Q533" s="10" t="n">
        <v>0.9189399716501507</v>
      </c>
      <c r="R533" s="10" t="n"/>
      <c r="S533" s="13" t="n">
        <v>1.326417</v>
      </c>
      <c r="T533" s="13" t="n">
        <v>1.153051</v>
      </c>
      <c r="U533" s="13" t="n">
        <v>3.18044</v>
      </c>
      <c r="V533" s="8" t="inlineStr">
        <is>
          <t>short-term + long-term</t>
        </is>
      </c>
      <c r="W533" s="13" t="n"/>
      <c r="X533" s="11" t="n"/>
      <c r="Y533" s="11" t="n"/>
      <c r="Z533" s="13" t="n">
        <v>0.506603</v>
      </c>
      <c r="AA533" s="8" t="inlineStr">
        <is>
          <t>net income + D&amp;A - capex - change in operating working capital (cash and short-term debt excluded)</t>
        </is>
      </c>
      <c r="AB533" s="10" t="n">
        <v>0.1455749890661359</v>
      </c>
      <c r="AC533" s="10" t="n"/>
      <c r="AD533" s="12" t="n">
        <v>1568400000</v>
      </c>
    </row>
    <row r="534">
      <c r="A534" s="8" t="inlineStr">
        <is>
          <t>KLAC</t>
        </is>
      </c>
      <c r="B534" s="8" t="inlineStr">
        <is>
          <t>KLA CORP</t>
        </is>
      </c>
      <c r="C534" s="8" t="inlineStr">
        <is>
          <t>STANDARD</t>
        </is>
      </c>
      <c r="D534" s="8" t="n">
        <v>2018</v>
      </c>
      <c r="E534" s="8" t="inlineStr">
        <is>
          <t>2018-06-30</t>
        </is>
      </c>
      <c r="F534" s="8" t="inlineStr">
        <is>
          <t>0000319201-20-000047</t>
        </is>
      </c>
      <c r="G534" s="13" t="n">
        <v>4.036701</v>
      </c>
      <c r="H534" s="13" t="n"/>
      <c r="I534" s="8" t="inlineStr">
        <is>
          <t>DATA_UNAVAILABLE</t>
        </is>
      </c>
      <c r="J534" s="13" t="n">
        <v>0.802265</v>
      </c>
      <c r="K534" s="10" t="n">
        <v>0.21</v>
      </c>
      <c r="L534" s="13" t="n"/>
      <c r="M534" s="13" t="n">
        <v>2.453531</v>
      </c>
      <c r="N534" s="13" t="n">
        <v>2.9036685</v>
      </c>
      <c r="O534" s="10" t="n"/>
      <c r="P534" s="8" t="inlineStr">
        <is>
          <t>OK</t>
        </is>
      </c>
      <c r="Q534" s="10" t="n">
        <v>0.5444754673341188</v>
      </c>
      <c r="R534" s="10" t="n"/>
      <c r="S534" s="13" t="n">
        <v>1.620511</v>
      </c>
      <c r="T534" s="13" t="n">
        <v>1.404382</v>
      </c>
      <c r="U534" s="13" t="n">
        <v>2.237402</v>
      </c>
      <c r="V534" s="8" t="inlineStr">
        <is>
          <t>short-term + long-term</t>
        </is>
      </c>
      <c r="W534" s="13" t="n"/>
      <c r="X534" s="11" t="n"/>
      <c r="Y534" s="11" t="n"/>
      <c r="Z534" s="13" t="n">
        <v>1.06349</v>
      </c>
      <c r="AA534" s="8" t="inlineStr">
        <is>
          <t>net income + D&amp;A - capex - change in operating working capital (cash and short-term debt excluded)</t>
        </is>
      </c>
      <c r="AB534" s="10" t="n">
        <v>0.2634552323791136</v>
      </c>
      <c r="AC534" s="10" t="n"/>
      <c r="AD534" s="12" t="n">
        <v>1560480000</v>
      </c>
    </row>
    <row r="535">
      <c r="A535" s="8" t="inlineStr">
        <is>
          <t>KLAC</t>
        </is>
      </c>
      <c r="B535" s="8" t="inlineStr">
        <is>
          <t>KLA CORP</t>
        </is>
      </c>
      <c r="C535" s="8" t="inlineStr">
        <is>
          <t>STANDARD</t>
        </is>
      </c>
      <c r="D535" s="8" t="n">
        <v>2019</v>
      </c>
      <c r="E535" s="8" t="inlineStr">
        <is>
          <t>2019-06-30</t>
        </is>
      </c>
      <c r="F535" s="8" t="inlineStr">
        <is>
          <t>0000319201-21-000029</t>
        </is>
      </c>
      <c r="G535" s="13" t="n">
        <v>4.568904</v>
      </c>
      <c r="H535" s="13" t="n"/>
      <c r="I535" s="8" t="inlineStr">
        <is>
          <t>DATA_UNAVAILABLE</t>
        </is>
      </c>
      <c r="J535" s="13" t="n">
        <v>1.175617</v>
      </c>
      <c r="K535" s="10" t="n">
        <v>0.21</v>
      </c>
      <c r="L535" s="13" t="n"/>
      <c r="M535" s="13" t="n">
        <v>5.316495</v>
      </c>
      <c r="N535" s="13" t="n">
        <v>3.885013</v>
      </c>
      <c r="O535" s="10" t="n"/>
      <c r="P535" s="8" t="inlineStr">
        <is>
          <t>OK</t>
        </is>
      </c>
      <c r="Q535" s="10" t="n">
        <v>0.5494026454224079</v>
      </c>
      <c r="R535" s="10" t="n"/>
      <c r="S535" s="13" t="n">
        <v>2.659108</v>
      </c>
      <c r="T535" s="13" t="n">
        <v>1.015994</v>
      </c>
      <c r="U535" s="13" t="n">
        <v>3.673381</v>
      </c>
      <c r="V535" s="8" t="inlineStr">
        <is>
          <t>short-term + long-term</t>
        </is>
      </c>
      <c r="W535" s="13" t="n"/>
      <c r="X535" s="11" t="n"/>
      <c r="Y535" s="11" t="n"/>
      <c r="Z535" s="13" t="n">
        <v>1.428097</v>
      </c>
      <c r="AA535" s="8" t="inlineStr">
        <is>
          <t>net income + D&amp;A - capex - change in operating working capital (cash and short-term debt excluded)</t>
        </is>
      </c>
      <c r="AB535" s="10" t="n">
        <v>0.3125688348890675</v>
      </c>
      <c r="AC535" s="10" t="n"/>
      <c r="AD535" s="12" t="n">
        <v>1594750000</v>
      </c>
    </row>
    <row r="536">
      <c r="A536" s="8" t="inlineStr">
        <is>
          <t>KLAC</t>
        </is>
      </c>
      <c r="B536" s="8" t="inlineStr">
        <is>
          <t>KLA CORP</t>
        </is>
      </c>
      <c r="C536" s="8" t="inlineStr">
        <is>
          <t>STANDARD</t>
        </is>
      </c>
      <c r="D536" s="8" t="n">
        <v>2020</v>
      </c>
      <c r="E536" s="8" t="inlineStr">
        <is>
          <t>2020-06-30</t>
        </is>
      </c>
      <c r="F536" s="8" t="inlineStr">
        <is>
          <t>0000319201-22-000023</t>
        </is>
      </c>
      <c r="G536" s="13" t="n">
        <v>5.806424</v>
      </c>
      <c r="H536" s="13" t="n">
        <v>1.316711</v>
      </c>
      <c r="I536" s="8" t="inlineStr">
        <is>
          <t>pretax_income only (no interest expense tagged)</t>
        </is>
      </c>
      <c r="J536" s="13" t="n">
        <v>1.216785</v>
      </c>
      <c r="K536" s="10" t="n">
        <v>0.07722727310700678</v>
      </c>
      <c r="L536" s="13" t="n">
        <v>1.215025</v>
      </c>
      <c r="M536" s="13" t="n">
        <v>4.900685</v>
      </c>
      <c r="N536" s="13" t="n">
        <v>5.10859</v>
      </c>
      <c r="O536" s="10" t="n">
        <v>0.2378395995763997</v>
      </c>
      <c r="P536" s="8" t="inlineStr">
        <is>
          <t>OK</t>
        </is>
      </c>
      <c r="Q536" s="10" t="n">
        <v>0.457048619484304</v>
      </c>
      <c r="R536" s="10" t="n">
        <v>0.2192090199079042</v>
      </c>
      <c r="S536" s="13" t="n">
        <v>2.665424</v>
      </c>
      <c r="T536" s="13" t="n">
        <v>1.234409</v>
      </c>
      <c r="U536" s="13" t="n">
        <v>3.46967</v>
      </c>
      <c r="V536" s="8" t="inlineStr">
        <is>
          <t>short-term + long-term</t>
        </is>
      </c>
      <c r="W536" s="13" t="n">
        <v>1.66476</v>
      </c>
      <c r="X536" s="11" t="n">
        <v>1.342692640380595</v>
      </c>
      <c r="Y536" s="11" t="n"/>
      <c r="Z536" s="13" t="n">
        <v>1.403403</v>
      </c>
      <c r="AA536" s="8" t="inlineStr">
        <is>
          <t>net income + D&amp;A - capex - change in operating working capital (cash and short-term debt excluded)</t>
        </is>
      </c>
      <c r="AB536" s="10" t="n">
        <v>0.2416983327431824</v>
      </c>
      <c r="AC536" s="10" t="n">
        <v>0.2267679728521376</v>
      </c>
      <c r="AD536" s="12" t="n">
        <v>1554610000</v>
      </c>
    </row>
    <row r="537">
      <c r="A537" s="8" t="inlineStr">
        <is>
          <t>KLAC</t>
        </is>
      </c>
      <c r="B537" s="8" t="inlineStr">
        <is>
          <t>KLA CORP</t>
        </is>
      </c>
      <c r="C537" s="8" t="inlineStr">
        <is>
          <t>STANDARD</t>
        </is>
      </c>
      <c r="D537" s="8" t="n">
        <v>2021</v>
      </c>
      <c r="E537" s="8" t="inlineStr">
        <is>
          <t>2021-06-30</t>
        </is>
      </c>
      <c r="F537" s="8" t="inlineStr">
        <is>
          <t>0000319201-23-000031</t>
        </is>
      </c>
      <c r="G537" s="13" t="n">
        <v>6.918734</v>
      </c>
      <c r="H537" s="13" t="n">
        <v>2.360454</v>
      </c>
      <c r="I537" s="8" t="inlineStr">
        <is>
          <t>pretax_income only (no interest expense tagged)</t>
        </is>
      </c>
      <c r="J537" s="13" t="n">
        <v>2.078292</v>
      </c>
      <c r="K537" s="10" t="n">
        <v>0.1199349786100471</v>
      </c>
      <c r="L537" s="13" t="n">
        <v>2.077353</v>
      </c>
      <c r="M537" s="13" t="n">
        <v>5.365711</v>
      </c>
      <c r="N537" s="13" t="n">
        <v>5.133198</v>
      </c>
      <c r="O537" s="10" t="n">
        <v>0.4046898249395406</v>
      </c>
      <c r="P537" s="8" t="inlineStr">
        <is>
          <t>OK</t>
        </is>
      </c>
      <c r="Q537" s="10" t="n">
        <v>0.687837023401376</v>
      </c>
      <c r="R537" s="10" t="n">
        <v>0.2831471984618354</v>
      </c>
      <c r="S537" s="13" t="n">
        <v>3.377554</v>
      </c>
      <c r="T537" s="13" t="n">
        <v>1.43461</v>
      </c>
      <c r="U537" s="13" t="n">
        <v>3.422767</v>
      </c>
      <c r="V537" s="8" t="inlineStr">
        <is>
          <t>long-term only (no short-term debt tagged; read as nil)</t>
        </is>
      </c>
      <c r="W537" s="13" t="n">
        <v>2.693789</v>
      </c>
      <c r="X537" s="11" t="n">
        <v>0.7380522379443972</v>
      </c>
      <c r="Y537" s="11" t="n"/>
      <c r="Z537" s="13" t="n">
        <v>1.810938</v>
      </c>
      <c r="AA537" s="8" t="inlineStr">
        <is>
          <t>net income + D&amp;A - capex - change in operating working capital (cash and short-term debt excluded)</t>
        </is>
      </c>
      <c r="AB537" s="10" t="n">
        <v>0.2617441283333049</v>
      </c>
      <c r="AC537" s="10" t="n">
        <v>0.3411684854483494</v>
      </c>
      <c r="AD537" s="12" t="n">
        <v>1527760000</v>
      </c>
    </row>
    <row r="538">
      <c r="A538" s="8" t="inlineStr">
        <is>
          <t>KLAC</t>
        </is>
      </c>
      <c r="B538" s="8" t="inlineStr">
        <is>
          <t>KLA CORP</t>
        </is>
      </c>
      <c r="C538" s="8" t="inlineStr">
        <is>
          <t>STANDARD</t>
        </is>
      </c>
      <c r="D538" s="8" t="n">
        <v>2022</v>
      </c>
      <c r="E538" s="8" t="inlineStr">
        <is>
          <t>2022-06-30</t>
        </is>
      </c>
      <c r="F538" s="8" t="inlineStr">
        <is>
          <t>0000319201-24-000021</t>
        </is>
      </c>
      <c r="G538" s="13" t="n">
        <v>9.211883</v>
      </c>
      <c r="H538" s="13" t="n">
        <v>3.649576</v>
      </c>
      <c r="I538" s="8" t="inlineStr">
        <is>
          <t>pretax_income + interest_expense</t>
        </is>
      </c>
      <c r="J538" s="13" t="n">
        <v>3.321807</v>
      </c>
      <c r="K538" s="10" t="n">
        <v>0.05</v>
      </c>
      <c r="L538" s="13" t="n">
        <v>3.4670972</v>
      </c>
      <c r="M538" s="13" t="n">
        <v>6.477161</v>
      </c>
      <c r="N538" s="13" t="n">
        <v>5.921436</v>
      </c>
      <c r="O538" s="10" t="n">
        <v>0.5855162835501388</v>
      </c>
      <c r="P538" s="8" t="inlineStr">
        <is>
          <t>OK</t>
        </is>
      </c>
      <c r="Q538" s="10" t="n">
        <v>1.390195871229916</v>
      </c>
      <c r="R538" s="10" t="n">
        <v>0.8046795876797768</v>
      </c>
      <c r="S538" s="13" t="n">
        <v>1.401351</v>
      </c>
      <c r="T538" s="13" t="n">
        <v>1.584908</v>
      </c>
      <c r="U538" s="13" t="n">
        <v>6.660718</v>
      </c>
      <c r="V538" s="8" t="inlineStr">
        <is>
          <t>long-term only (no short-term debt tagged; read as nil)</t>
        </is>
      </c>
      <c r="W538" s="13" t="n">
        <v>4.01292</v>
      </c>
      <c r="X538" s="11" t="n">
        <v>1.264866979655712</v>
      </c>
      <c r="Y538" s="11" t="n">
        <v>22.76162380955351</v>
      </c>
      <c r="Z538" s="13" t="n">
        <v>2.823322</v>
      </c>
      <c r="AA538" s="8" t="inlineStr">
        <is>
          <t>net income + D&amp;A - capex - change in operating working capital (cash and short-term debt excluded)</t>
        </is>
      </c>
      <c r="AB538" s="10" t="n">
        <v>0.3064869582038764</v>
      </c>
      <c r="AC538" s="10" t="n">
        <v>0.396181323622977</v>
      </c>
      <c r="AD538" s="12" t="n">
        <v>1418040000</v>
      </c>
    </row>
    <row r="539">
      <c r="A539" s="8" t="inlineStr">
        <is>
          <t>KLAC</t>
        </is>
      </c>
      <c r="B539" s="8" t="inlineStr">
        <is>
          <t>KLA CORP</t>
        </is>
      </c>
      <c r="C539" s="8" t="inlineStr">
        <is>
          <t>STANDARD</t>
        </is>
      </c>
      <c r="D539" s="8" t="n">
        <v>2023</v>
      </c>
      <c r="E539" s="8" t="inlineStr">
        <is>
          <t>2023-06-30</t>
        </is>
      </c>
      <c r="F539" s="8" t="inlineStr">
        <is>
          <t>0000319201-25-000024</t>
        </is>
      </c>
      <c r="G539" s="13" t="n">
        <v>10.496056</v>
      </c>
      <c r="H539" s="13" t="n">
        <v>4.08613</v>
      </c>
      <c r="I539" s="8" t="inlineStr">
        <is>
          <t>pretax_income + interest_expense</t>
        </is>
      </c>
      <c r="J539" s="13" t="n">
        <v>3.387277</v>
      </c>
      <c r="K539" s="10" t="n">
        <v>0.1060487861521856</v>
      </c>
      <c r="L539" s="13" t="n">
        <v>3.65280087343997</v>
      </c>
      <c r="M539" s="13" t="n">
        <v>6.882624</v>
      </c>
      <c r="N539" s="13" t="n">
        <v>6.6798925</v>
      </c>
      <c r="O539" s="10" t="n">
        <v>0.5468352781784991</v>
      </c>
      <c r="P539" s="8" t="inlineStr">
        <is>
          <t>OK</t>
        </is>
      </c>
      <c r="Q539" s="10" t="n">
        <v>1.567783140604808</v>
      </c>
      <c r="R539" s="10" t="n">
        <v>1.020947862426309</v>
      </c>
      <c r="S539" s="13" t="n">
        <v>2.919753</v>
      </c>
      <c r="T539" s="13" t="n">
        <v>1.927865</v>
      </c>
      <c r="U539" s="13" t="n">
        <v>5.890736</v>
      </c>
      <c r="V539" s="8" t="inlineStr">
        <is>
          <t>short-term + long-term</t>
        </is>
      </c>
      <c r="W539" s="13" t="n">
        <v>4.501243</v>
      </c>
      <c r="X539" s="11" t="n">
        <v>0.8803948153876607</v>
      </c>
      <c r="Y539" s="11" t="n">
        <v>13.7607934262814</v>
      </c>
      <c r="Z539" s="13" t="n">
        <v>3.472394</v>
      </c>
      <c r="AA539" s="8" t="inlineStr">
        <is>
          <t>net income + D&amp;A - capex - change in operating working capital (cash and short-term debt excluded)</t>
        </is>
      </c>
      <c r="AB539" s="10" t="n">
        <v>0.3308284559457381</v>
      </c>
      <c r="AC539" s="10" t="n">
        <v>0.3893014671415625</v>
      </c>
      <c r="AD539" s="12" t="n">
        <v>1367500000</v>
      </c>
    </row>
    <row r="540">
      <c r="A540" s="8" t="inlineStr">
        <is>
          <t>KLAC</t>
        </is>
      </c>
      <c r="B540" s="8" t="inlineStr">
        <is>
          <t>KLA CORP</t>
        </is>
      </c>
      <c r="C540" s="8" t="inlineStr">
        <is>
          <t>STANDARD</t>
        </is>
      </c>
      <c r="D540" s="8" t="n">
        <v>2024</v>
      </c>
      <c r="E540" s="8" t="inlineStr">
        <is>
          <t>2024-06-30</t>
        </is>
      </c>
      <c r="F540" s="8" t="inlineStr">
        <is>
          <t>0000319201-26-000027</t>
        </is>
      </c>
      <c r="G540" s="13" t="n">
        <v>9.812246999999999</v>
      </c>
      <c r="H540" s="13" t="n">
        <v>3.501285</v>
      </c>
      <c r="I540" s="8" t="inlineStr">
        <is>
          <t>pretax_income + interest_expense</t>
        </is>
      </c>
      <c r="J540" s="13" t="n">
        <v>2.761896</v>
      </c>
      <c r="K540" s="10" t="n">
        <v>0.1342105659128184</v>
      </c>
      <c r="L540" s="13" t="n">
        <v>3.031375558727938</v>
      </c>
      <c r="M540" s="13" t="n">
        <v>8.021334</v>
      </c>
      <c r="N540" s="13" t="n">
        <v>7.451979</v>
      </c>
      <c r="O540" s="10" t="n">
        <v>0.4067879899725882</v>
      </c>
      <c r="P540" s="8" t="inlineStr">
        <is>
          <t>OK</t>
        </is>
      </c>
      <c r="Q540" s="10" t="n">
        <v>0.8784543328878874</v>
      </c>
      <c r="R540" s="10" t="n">
        <v>0.4716663429152992</v>
      </c>
      <c r="S540" s="13" t="n">
        <v>3.368328</v>
      </c>
      <c r="T540" s="13" t="n">
        <v>1.977129</v>
      </c>
      <c r="U540" s="13" t="n">
        <v>6.630135</v>
      </c>
      <c r="V540" s="8" t="inlineStr">
        <is>
          <t>short-term + long-term</t>
        </is>
      </c>
      <c r="W540" s="13" t="n">
        <v>3.903015</v>
      </c>
      <c r="X540" s="11" t="n">
        <v>1.192156832602488</v>
      </c>
      <c r="Y540" s="11" t="n">
        <v>11.24900000963846</v>
      </c>
      <c r="Z540" s="13" t="n">
        <v>1.44439</v>
      </c>
      <c r="AA540" s="8" t="inlineStr">
        <is>
          <t>net income + D&amp;A - capex - change in operating working capital (cash and short-term debt excluded)</t>
        </is>
      </c>
      <c r="AB540" s="10" t="n">
        <v>0.1472027762855949</v>
      </c>
      <c r="AC540" s="10" t="n">
        <v>0.3568280537577173</v>
      </c>
      <c r="AD540" s="12" t="n">
        <v>1344250000</v>
      </c>
    </row>
    <row r="541">
      <c r="A541" s="8" t="inlineStr">
        <is>
          <t>KLAC</t>
        </is>
      </c>
      <c r="B541" s="8" t="inlineStr">
        <is>
          <t>KLA CORP</t>
        </is>
      </c>
      <c r="C541" s="8" t="inlineStr">
        <is>
          <t>STANDARD</t>
        </is>
      </c>
      <c r="D541" s="8" t="n">
        <v>2025</v>
      </c>
      <c r="E541" s="8" t="inlineStr">
        <is>
          <t>2025-06-30</t>
        </is>
      </c>
      <c r="F541" s="8" t="inlineStr">
        <is>
          <t>0000319201-26-000027</t>
        </is>
      </c>
      <c r="G541" s="13" t="n">
        <v>12.156162</v>
      </c>
      <c r="H541" s="13" t="n">
        <v>4.946614</v>
      </c>
      <c r="I541" s="8" t="inlineStr">
        <is>
          <t>pretax_income + interest_expense</t>
        </is>
      </c>
      <c r="J541" s="13" t="n">
        <v>4.061643</v>
      </c>
      <c r="K541" s="10" t="n">
        <v>0.1254842340790553</v>
      </c>
      <c r="L541" s="13" t="n">
        <v>4.325891930925268</v>
      </c>
      <c r="M541" s="13" t="n">
        <v>8.497802</v>
      </c>
      <c r="N541" s="13" t="n">
        <v>8.259568</v>
      </c>
      <c r="O541" s="10" t="n">
        <v>0.5237431220283274</v>
      </c>
      <c r="P541" s="8" t="inlineStr">
        <is>
          <t>OK</t>
        </is>
      </c>
      <c r="Q541" s="10" t="n">
        <v>1.00775421140954</v>
      </c>
      <c r="R541" s="10" t="n">
        <v>0.4840110893812123</v>
      </c>
      <c r="S541" s="13" t="n">
        <v>4.692453</v>
      </c>
      <c r="T541" s="13" t="n">
        <v>2.078908</v>
      </c>
      <c r="U541" s="13" t="n">
        <v>5.884257</v>
      </c>
      <c r="V541" s="8" t="inlineStr">
        <is>
          <t>short-term + long-term</t>
        </is>
      </c>
      <c r="W541" s="13" t="n">
        <v>5.340702</v>
      </c>
      <c r="X541" s="11" t="n">
        <v>0.7125185041217428</v>
      </c>
      <c r="Y541" s="11" t="n">
        <v>16.37051819198719</v>
      </c>
      <c r="Z541" s="13" t="n">
        <v>3.729563</v>
      </c>
      <c r="AA541" s="8" t="inlineStr">
        <is>
          <t>net income + D&amp;A - capex - change in operating working capital (cash and short-term debt excluded)</t>
        </is>
      </c>
      <c r="AB541" s="10" t="n">
        <v>0.3068043186657105</v>
      </c>
      <c r="AC541" s="10" t="n">
        <v>0.4069223493401947</v>
      </c>
      <c r="AD541" s="12" t="n">
        <v>13202270000</v>
      </c>
    </row>
    <row r="542">
      <c r="A542" s="8" t="inlineStr">
        <is>
          <t>KLAC</t>
        </is>
      </c>
      <c r="B542" s="8" t="inlineStr">
        <is>
          <t>KLA CORP</t>
        </is>
      </c>
      <c r="C542" s="8" t="inlineStr">
        <is>
          <t>STANDARD</t>
        </is>
      </c>
      <c r="D542" s="8" t="n">
        <v>2026</v>
      </c>
      <c r="E542" s="8" t="inlineStr">
        <is>
          <t>2026-06-30</t>
        </is>
      </c>
      <c r="F542" s="8" t="inlineStr">
        <is>
          <t>0000319201-26-000027</t>
        </is>
      </c>
      <c r="G542" s="13" t="n">
        <v>13.579476</v>
      </c>
      <c r="H542" s="13" t="n">
        <v>5.890365</v>
      </c>
      <c r="I542" s="8" t="inlineStr">
        <is>
          <t>pretax_income + interest_expense</t>
        </is>
      </c>
      <c r="J542" s="13" t="n">
        <v>4.830771</v>
      </c>
      <c r="K542" s="10" t="n">
        <v>0.1382740582508685</v>
      </c>
      <c r="L542" s="13" t="n">
        <v>5.075880326871124</v>
      </c>
      <c r="M542" s="13" t="n">
        <v>10.587393</v>
      </c>
      <c r="N542" s="13" t="n">
        <v>9.542597499999999</v>
      </c>
      <c r="O542" s="10" t="n">
        <v>0.5319180995395775</v>
      </c>
      <c r="P542" s="8" t="inlineStr">
        <is>
          <t>OK</t>
        </is>
      </c>
      <c r="Q542" s="10" t="n">
        <v>0.8749595305241955</v>
      </c>
      <c r="R542" s="10" t="n">
        <v>0.343041430984618</v>
      </c>
      <c r="S542" s="13" t="n">
        <v>6.34982</v>
      </c>
      <c r="T542" s="13" t="n">
        <v>1.649842</v>
      </c>
      <c r="U542" s="13" t="n">
        <v>5.887415</v>
      </c>
      <c r="V542" s="8" t="inlineStr">
        <is>
          <t>long-term only (no short-term debt tagged; read as nil)</t>
        </is>
      </c>
      <c r="W542" s="13" t="n">
        <v>6.284343</v>
      </c>
      <c r="X542" s="11" t="n">
        <v>0.6743064469905605</v>
      </c>
      <c r="Y542" s="11" t="n">
        <v>20.70863802559415</v>
      </c>
      <c r="Z542" s="13" t="n">
        <v>2.955869</v>
      </c>
      <c r="AA542" s="8" t="inlineStr">
        <is>
          <t>net income + D&amp;A - capex - change in operating working capital (cash and short-term debt excluded)</t>
        </is>
      </c>
      <c r="AB542" s="10" t="n">
        <v>0.2176718011799572</v>
      </c>
      <c r="AC542" s="10" t="n">
        <v>0.4337696830128055</v>
      </c>
      <c r="AD542" s="12" t="n">
        <v>1306983000</v>
      </c>
    </row>
    <row r="543">
      <c r="A543" s="8" t="inlineStr">
        <is>
          <t>ANET</t>
        </is>
      </c>
      <c r="B543" s="8" t="inlineStr">
        <is>
          <t>Arista Networks, Inc.</t>
        </is>
      </c>
      <c r="C543" s="8" t="inlineStr">
        <is>
          <t>STANDARD</t>
        </is>
      </c>
      <c r="D543" s="8" t="n">
        <v>2014</v>
      </c>
      <c r="E543" s="8" t="inlineStr">
        <is>
          <t>2014-12-31</t>
        </is>
      </c>
      <c r="F543" s="8" t="inlineStr">
        <is>
          <t>0001596532-17-000019</t>
        </is>
      </c>
      <c r="G543" s="13" t="n"/>
      <c r="H543" s="13" t="n">
        <v>0.125513</v>
      </c>
      <c r="I543" s="8" t="inlineStr">
        <is>
          <t>reported OperatingIncomeLoss (no interest expense tagged)</t>
        </is>
      </c>
      <c r="J543" s="13" t="n">
        <v>0.08685</v>
      </c>
      <c r="K543" s="10" t="n">
        <v>0.2852322480824308</v>
      </c>
      <c r="L543" s="13" t="n">
        <v>0.08971264484642986</v>
      </c>
      <c r="M543" s="13" t="n">
        <v>0.315627</v>
      </c>
      <c r="N543" s="13" t="n">
        <v>0.315627</v>
      </c>
      <c r="O543" s="10" t="n">
        <v>0.2842362815805678</v>
      </c>
      <c r="P543" s="8" t="inlineStr">
        <is>
          <t>OK</t>
        </is>
      </c>
      <c r="Q543" s="10" t="n">
        <v>0.1563011780627652</v>
      </c>
      <c r="R543" s="10" t="n">
        <v>-0.1279351035178026</v>
      </c>
      <c r="S543" s="13" t="n">
        <v>0.555658</v>
      </c>
      <c r="T543" s="13" t="n">
        <v>0.240031</v>
      </c>
      <c r="U543" s="13" t="n">
        <v>0</v>
      </c>
      <c r="V543" s="8" t="inlineStr">
        <is>
          <t>short-term only (no long-term debt tagged; read as nil)</t>
        </is>
      </c>
      <c r="W543" s="13" t="n">
        <v>0.135534</v>
      </c>
      <c r="X543" s="11" t="n">
        <v>-1.771002110171617</v>
      </c>
      <c r="Y543" s="11" t="n"/>
      <c r="Z543" s="13" t="n"/>
      <c r="AA543" s="8" t="inlineStr">
        <is>
          <t>net income + D&amp;A - capex - change in no prior year</t>
        </is>
      </c>
      <c r="AB543" s="10" t="n"/>
      <c r="AC543" s="10" t="n"/>
      <c r="AD543" s="12" t="n">
        <v>1048448000</v>
      </c>
    </row>
    <row r="544">
      <c r="A544" s="8" t="inlineStr">
        <is>
          <t>ANET</t>
        </is>
      </c>
      <c r="B544" s="8" t="inlineStr">
        <is>
          <t>Arista Networks, Inc.</t>
        </is>
      </c>
      <c r="C544" s="8" t="inlineStr">
        <is>
          <t>STANDARD</t>
        </is>
      </c>
      <c r="D544" s="8" t="n">
        <v>2015</v>
      </c>
      <c r="E544" s="8" t="inlineStr">
        <is>
          <t>2015-12-31</t>
        </is>
      </c>
      <c r="F544" s="8" t="inlineStr">
        <is>
          <t>0001596532-18-000018</t>
        </is>
      </c>
      <c r="G544" s="13" t="n"/>
      <c r="H544" s="13" t="n">
        <v>0.149308</v>
      </c>
      <c r="I544" s="8" t="inlineStr">
        <is>
          <t>reported OperatingIncomeLoss (no interest expense tagged)</t>
        </is>
      </c>
      <c r="J544" s="13" t="n">
        <v>0.121102</v>
      </c>
      <c r="K544" s="10" t="n">
        <v>0.1705853748741516</v>
      </c>
      <c r="L544" s="13" t="n">
        <v>0.1238382388482902</v>
      </c>
      <c r="M544" s="13" t="n">
        <v>0.100826</v>
      </c>
      <c r="N544" s="13" t="n">
        <v>0.2082265</v>
      </c>
      <c r="O544" s="10" t="n">
        <v>0.5947285232585198</v>
      </c>
      <c r="P544" s="8" t="inlineStr">
        <is>
          <t>OK</t>
        </is>
      </c>
      <c r="Q544" s="10" t="n">
        <v>0.1802367894270767</v>
      </c>
      <c r="R544" s="10" t="n">
        <v>-0.414491733831443</v>
      </c>
      <c r="S544" s="13" t="n">
        <v>0.788152</v>
      </c>
      <c r="T544" s="13" t="n">
        <v>0.687326</v>
      </c>
      <c r="U544" s="13" t="n">
        <v>0</v>
      </c>
      <c r="V544" s="8" t="inlineStr">
        <is>
          <t>short-term only (no long-term debt tagged; read as nil)</t>
        </is>
      </c>
      <c r="W544" s="13" t="n">
        <v>0.162979</v>
      </c>
      <c r="X544" s="11" t="n">
        <v>-4.217267255290559</v>
      </c>
      <c r="Y544" s="11" t="n"/>
      <c r="Z544" s="13" t="n"/>
      <c r="AA544" s="8" t="inlineStr">
        <is>
          <t>net income + D&amp;A - capex - change in operating working capital (cash and short-term debt excluded)</t>
        </is>
      </c>
      <c r="AB544" s="10" t="n"/>
      <c r="AC544" s="10" t="n"/>
      <c r="AD544" s="12" t="n">
        <v>1090112000</v>
      </c>
    </row>
    <row r="545">
      <c r="A545" s="8" t="inlineStr">
        <is>
          <t>ANET</t>
        </is>
      </c>
      <c r="B545" s="8" t="inlineStr">
        <is>
          <t>Arista Networks, Inc.</t>
        </is>
      </c>
      <c r="C545" s="8" t="inlineStr">
        <is>
          <t>STANDARD</t>
        </is>
      </c>
      <c r="D545" s="8" t="n">
        <v>2016</v>
      </c>
      <c r="E545" s="8" t="inlineStr">
        <is>
          <t>2016-12-31</t>
        </is>
      </c>
      <c r="F545" s="8" t="inlineStr">
        <is>
          <t>0001596532-19-000027</t>
        </is>
      </c>
      <c r="G545" s="13" t="n">
        <v>1.129167</v>
      </c>
      <c r="H545" s="13" t="n">
        <v>0.245361</v>
      </c>
      <c r="I545" s="8" t="inlineStr">
        <is>
          <t>pretax_income + interest_expense</t>
        </is>
      </c>
      <c r="J545" s="13" t="n">
        <v>0.184189</v>
      </c>
      <c r="K545" s="10" t="n">
        <v>0.2395954174837445</v>
      </c>
      <c r="L545" s="13" t="n">
        <v>0.186573628770771</v>
      </c>
      <c r="M545" s="13" t="n">
        <v>0.539897</v>
      </c>
      <c r="N545" s="13" t="n">
        <v>0.3203615</v>
      </c>
      <c r="O545" s="10" t="n">
        <v>0.5823846772186139</v>
      </c>
      <c r="P545" s="8" t="inlineStr">
        <is>
          <t>OK</t>
        </is>
      </c>
      <c r="Q545" s="10" t="n">
        <v>0.1942950634292068</v>
      </c>
      <c r="R545" s="10" t="n">
        <v>-0.3880896137894071</v>
      </c>
      <c r="S545" s="13" t="n">
        <v>1.10782</v>
      </c>
      <c r="T545" s="13" t="n">
        <v>0.567923</v>
      </c>
      <c r="U545" s="13" t="n">
        <v>0</v>
      </c>
      <c r="V545" s="8" t="inlineStr">
        <is>
          <t>short-term only (no long-term debt tagged; read as nil)</t>
        </is>
      </c>
      <c r="W545" s="13" t="n">
        <v>0.26511</v>
      </c>
      <c r="X545" s="11" t="n">
        <v>-2.142216438459507</v>
      </c>
      <c r="Y545" s="11" t="n">
        <v>78.24011479591837</v>
      </c>
      <c r="Z545" s="13" t="n"/>
      <c r="AA545" s="8" t="inlineStr">
        <is>
          <t>net income + D&amp;A - capex - change in operating working capital (cash and short-term debt excluded)</t>
        </is>
      </c>
      <c r="AB545" s="10" t="n"/>
      <c r="AC545" s="10" t="n">
        <v>0.2172938103929711</v>
      </c>
      <c r="AD545" s="12" t="n">
        <v>1132976000</v>
      </c>
    </row>
    <row r="546">
      <c r="A546" s="8" t="inlineStr">
        <is>
          <t>ANET</t>
        </is>
      </c>
      <c r="B546" s="8" t="inlineStr">
        <is>
          <t>Arista Networks, Inc.</t>
        </is>
      </c>
      <c r="C546" s="8" t="inlineStr">
        <is>
          <t>STANDARD</t>
        </is>
      </c>
      <c r="D546" s="8" t="n">
        <v>2017</v>
      </c>
      <c r="E546" s="8" t="inlineStr">
        <is>
          <t>2017-12-31</t>
        </is>
      </c>
      <c r="F546" s="8" t="inlineStr">
        <is>
          <t>0001596532-20-000024</t>
        </is>
      </c>
      <c r="G546" s="13" t="n">
        <v>1.646186</v>
      </c>
      <c r="H546" s="13" t="n">
        <v>0.47754</v>
      </c>
      <c r="I546" s="8" t="inlineStr">
        <is>
          <t>pretax_income + interest_expense</t>
        </is>
      </c>
      <c r="J546" s="13" t="n">
        <v>0.423201</v>
      </c>
      <c r="K546" s="10" t="n">
        <v>0.1086001348049541</v>
      </c>
      <c r="L546" s="13" t="n">
        <v>0.4256790916252423</v>
      </c>
      <c r="M546" s="13" t="n">
        <v>0.802722</v>
      </c>
      <c r="N546" s="13" t="n">
        <v>0.6713095</v>
      </c>
      <c r="O546" s="10" t="n">
        <v>0.6341025884859998</v>
      </c>
      <c r="P546" s="8" t="inlineStr">
        <is>
          <t>OK</t>
        </is>
      </c>
      <c r="Q546" s="10" t="n">
        <v>0.3055896342392446</v>
      </c>
      <c r="R546" s="10" t="n">
        <v>-0.3285129542467551</v>
      </c>
      <c r="S546" s="13" t="n">
        <v>1.661914</v>
      </c>
      <c r="T546" s="13" t="n">
        <v>0.859192</v>
      </c>
      <c r="U546" s="13" t="n">
        <v>0</v>
      </c>
      <c r="V546" s="8" t="inlineStr">
        <is>
          <t>short-term only (no long-term debt tagged; read as nil)</t>
        </is>
      </c>
      <c r="W546" s="13" t="n">
        <v>0.49818</v>
      </c>
      <c r="X546" s="11" t="n">
        <v>-1.724661768838572</v>
      </c>
      <c r="Y546" s="11" t="n">
        <v>171.7769784172662</v>
      </c>
      <c r="Z546" s="13" t="n"/>
      <c r="AA546" s="8" t="inlineStr">
        <is>
          <t>net income + D&amp;A - capex - change in operating working capital (cash and short-term debt excluded)</t>
        </is>
      </c>
      <c r="AB546" s="10" t="n"/>
      <c r="AC546" s="10" t="n">
        <v>0.290088726304318</v>
      </c>
      <c r="AD546" s="12" t="n">
        <v>1179296000</v>
      </c>
    </row>
    <row r="547">
      <c r="A547" s="8" t="inlineStr">
        <is>
          <t>ANET</t>
        </is>
      </c>
      <c r="B547" s="8" t="inlineStr">
        <is>
          <t>Arista Networks, Inc.</t>
        </is>
      </c>
      <c r="C547" s="8" t="inlineStr">
        <is>
          <t>STANDARD</t>
        </is>
      </c>
      <c r="D547" s="8" t="n">
        <v>2018</v>
      </c>
      <c r="E547" s="8" t="inlineStr">
        <is>
          <t>2018-12-31</t>
        </is>
      </c>
      <c r="F547" s="8" t="inlineStr">
        <is>
          <t>0001596532-21-000049</t>
        </is>
      </c>
      <c r="G547" s="13" t="n">
        <v>2.151369</v>
      </c>
      <c r="H547" s="13" t="n">
        <v>0.291502</v>
      </c>
      <c r="I547" s="8" t="inlineStr">
        <is>
          <t>pretax_income + interest_expense</t>
        </is>
      </c>
      <c r="J547" s="13" t="n">
        <v>0.328115</v>
      </c>
      <c r="K547" s="10" t="n">
        <v>0.05</v>
      </c>
      <c r="L547" s="13" t="n">
        <v>0.2769269</v>
      </c>
      <c r="M547" s="13" t="n">
        <v>1.493439</v>
      </c>
      <c r="N547" s="13" t="n">
        <v>1.1480805</v>
      </c>
      <c r="O547" s="10" t="n">
        <v>0.2412086086297956</v>
      </c>
      <c r="P547" s="8" t="inlineStr">
        <is>
          <t>OK</t>
        </is>
      </c>
      <c r="Q547" s="10" t="n">
        <v>0.1724514447338359</v>
      </c>
      <c r="R547" s="10" t="n">
        <v>-0.06875716389595965</v>
      </c>
      <c r="S547" s="13" t="n">
        <v>2.143389</v>
      </c>
      <c r="T547" s="13" t="n">
        <v>0.64995</v>
      </c>
      <c r="U547" s="13" t="n">
        <v>0</v>
      </c>
      <c r="V547" s="8" t="inlineStr">
        <is>
          <t>short-term only (no long-term debt tagged; read as nil)</t>
        </is>
      </c>
      <c r="W547" s="13" t="n">
        <v>0.319173</v>
      </c>
      <c r="X547" s="11" t="n">
        <v>-2.036356458723012</v>
      </c>
      <c r="Y547" s="11" t="n">
        <v>107.9237319511292</v>
      </c>
      <c r="Z547" s="13" t="n">
        <v>-0.24906</v>
      </c>
      <c r="AA547" s="8" t="inlineStr">
        <is>
          <t>net income + D&amp;A - capex - change in operating working capital (cash and short-term debt excluded)</t>
        </is>
      </c>
      <c r="AB547" s="10" t="n">
        <v>-0.115768145771367</v>
      </c>
      <c r="AC547" s="10" t="n">
        <v>0.1354960492597969</v>
      </c>
      <c r="AD547" s="12" t="n">
        <v>1210688000</v>
      </c>
    </row>
    <row r="548">
      <c r="A548" s="8" t="inlineStr">
        <is>
          <t>ANET</t>
        </is>
      </c>
      <c r="B548" s="8" t="inlineStr">
        <is>
          <t>Arista Networks, Inc.</t>
        </is>
      </c>
      <c r="C548" s="8" t="inlineStr">
        <is>
          <t>STANDARD</t>
        </is>
      </c>
      <c r="D548" s="8" t="n">
        <v>2019</v>
      </c>
      <c r="E548" s="8" t="inlineStr">
        <is>
          <t>2019-12-31</t>
        </is>
      </c>
      <c r="F548" s="8" t="inlineStr">
        <is>
          <t>0001596532-22-000026</t>
        </is>
      </c>
      <c r="G548" s="13" t="n">
        <v>2.410706</v>
      </c>
      <c r="H548" s="13" t="n">
        <v>0.86227</v>
      </c>
      <c r="I548" s="8" t="inlineStr">
        <is>
          <t>pretax_income + interest_expense</t>
        </is>
      </c>
      <c r="J548" s="13" t="n">
        <v>0.859867</v>
      </c>
      <c r="K548" s="10" t="n">
        <v>0.05</v>
      </c>
      <c r="L548" s="13" t="n">
        <v>0.8191565</v>
      </c>
      <c r="M548" s="13" t="n">
        <v>1.7834</v>
      </c>
      <c r="N548" s="13" t="n">
        <v>1.6384195</v>
      </c>
      <c r="O548" s="10" t="n">
        <v>0.4999674991661171</v>
      </c>
      <c r="P548" s="8" t="inlineStr">
        <is>
          <t>OK</t>
        </is>
      </c>
      <c r="Q548" s="10" t="n">
        <v>0.3413474392501104</v>
      </c>
      <c r="R548" s="10" t="n">
        <v>-0.1586200599160067</v>
      </c>
      <c r="S548" s="13" t="n">
        <v>2.894686</v>
      </c>
      <c r="T548" s="13" t="n">
        <v>1.111286</v>
      </c>
      <c r="U548" s="13" t="n">
        <v>0</v>
      </c>
      <c r="V548" s="8" t="inlineStr">
        <is>
          <t>short-term only (no long-term debt tagged; read as nil)</t>
        </is>
      </c>
      <c r="W548" s="13" t="n">
        <v>0.895119</v>
      </c>
      <c r="X548" s="11" t="n">
        <v>-1.241495264875397</v>
      </c>
      <c r="Y548" s="11" t="n"/>
      <c r="Z548" s="13" t="n">
        <v>0.572037</v>
      </c>
      <c r="AA548" s="8" t="inlineStr">
        <is>
          <t>net income + D&amp;A - capex - change in operating working capital (cash and short-term debt excluded)</t>
        </is>
      </c>
      <c r="AB548" s="10" t="n">
        <v>0.2372902377975581</v>
      </c>
      <c r="AC548" s="10" t="n">
        <v>0.3576835997421502</v>
      </c>
      <c r="AD548" s="12" t="n">
        <v>1222224000</v>
      </c>
    </row>
    <row r="549">
      <c r="A549" s="8" t="inlineStr">
        <is>
          <t>ANET</t>
        </is>
      </c>
      <c r="B549" s="8" t="inlineStr">
        <is>
          <t>Arista Networks, Inc.</t>
        </is>
      </c>
      <c r="C549" s="8" t="inlineStr">
        <is>
          <t>STANDARD</t>
        </is>
      </c>
      <c r="D549" s="8" t="n">
        <v>2020</v>
      </c>
      <c r="E549" s="8" t="inlineStr">
        <is>
          <t>2020-12-31</t>
        </is>
      </c>
      <c r="F549" s="8" t="inlineStr">
        <is>
          <t>0001596532-23-000016</t>
        </is>
      </c>
      <c r="G549" s="13" t="n">
        <v>2.317512</v>
      </c>
      <c r="H549" s="13" t="n">
        <v>0.738863</v>
      </c>
      <c r="I549" s="8" t="inlineStr">
        <is>
          <t>pretax_income + interest_expense</t>
        </is>
      </c>
      <c r="J549" s="13" t="n">
        <v>0.634557</v>
      </c>
      <c r="K549" s="10" t="n">
        <v>0.1411709613284195</v>
      </c>
      <c r="L549" s="13" t="n">
        <v>0.634557</v>
      </c>
      <c r="M549" s="13" t="n">
        <v>2.427072</v>
      </c>
      <c r="N549" s="13" t="n">
        <v>2.105236</v>
      </c>
      <c r="O549" s="10" t="n">
        <v>0.3014184632981766</v>
      </c>
      <c r="P549" s="8" t="inlineStr">
        <is>
          <t>OK</t>
        </is>
      </c>
      <c r="Q549" s="10" t="n">
        <v>0.204202525608703</v>
      </c>
      <c r="R549" s="10" t="n">
        <v>-0.09721593768947359</v>
      </c>
      <c r="S549" s="13" t="n">
        <v>3.320291</v>
      </c>
      <c r="T549" s="13" t="n">
        <v>0.893219</v>
      </c>
      <c r="U549" s="13" t="n">
        <v>0</v>
      </c>
      <c r="V549" s="8" t="inlineStr">
        <is>
          <t>short-term only (no long-term debt tagged; read as nil)</t>
        </is>
      </c>
      <c r="W549" s="13" t="n">
        <v>0.774021</v>
      </c>
      <c r="X549" s="11" t="n">
        <v>-1.15399840572801</v>
      </c>
      <c r="Y549" s="11" t="n"/>
      <c r="Z549" s="13" t="n">
        <v>0.242071</v>
      </c>
      <c r="AA549" s="8" t="inlineStr">
        <is>
          <t>net income + D&amp;A - capex - change in operating working capital (cash and short-term debt excluded)</t>
        </is>
      </c>
      <c r="AB549" s="10" t="n">
        <v>0.1044529650763405</v>
      </c>
      <c r="AC549" s="10" t="n">
        <v>0.3188173351421697</v>
      </c>
      <c r="AD549" s="12" t="n">
        <v>4875136000</v>
      </c>
    </row>
    <row r="550">
      <c r="A550" s="8" t="inlineStr">
        <is>
          <t>ANET</t>
        </is>
      </c>
      <c r="B550" s="8" t="inlineStr">
        <is>
          <t>Arista Networks, Inc.</t>
        </is>
      </c>
      <c r="C550" s="8" t="inlineStr">
        <is>
          <t>STANDARD</t>
        </is>
      </c>
      <c r="D550" s="8" t="n">
        <v>2021</v>
      </c>
      <c r="E550" s="8" t="inlineStr">
        <is>
          <t>2021-12-31</t>
        </is>
      </c>
      <c r="F550" s="8" t="inlineStr">
        <is>
          <t>0001596532-24-000043</t>
        </is>
      </c>
      <c r="G550" s="13" t="n">
        <v>2.948037</v>
      </c>
      <c r="H550" s="13" t="n">
        <v>0.924739</v>
      </c>
      <c r="I550" s="8" t="inlineStr">
        <is>
          <t>reported OperatingIncomeLoss (no interest expense tagged)</t>
        </is>
      </c>
      <c r="J550" s="13" t="n">
        <v>0.840854</v>
      </c>
      <c r="K550" s="10" t="n">
        <v>0.09670966903324707</v>
      </c>
      <c r="L550" s="13" t="n">
        <v>0.8353077973678641</v>
      </c>
      <c r="M550" s="13" t="n">
        <v>3.357787</v>
      </c>
      <c r="N550" s="13" t="n">
        <v>2.8924295</v>
      </c>
      <c r="O550" s="10" t="n">
        <v>0.2887910655619659</v>
      </c>
      <c r="P550" s="8" t="inlineStr">
        <is>
          <t>OK</t>
        </is>
      </c>
      <c r="Q550" s="10" t="n">
        <v>0.2304059616728076</v>
      </c>
      <c r="R550" s="10" t="n">
        <v>-0.05838510388915832</v>
      </c>
      <c r="S550" s="13" t="n">
        <v>3.9786</v>
      </c>
      <c r="T550" s="13" t="n">
        <v>0.6208129999999999</v>
      </c>
      <c r="U550" s="13" t="n">
        <v>0</v>
      </c>
      <c r="V550" s="8" t="inlineStr">
        <is>
          <t>short-term only (no long-term debt tagged; read as nil)</t>
        </is>
      </c>
      <c r="W550" s="13" t="n">
        <v>0.975073</v>
      </c>
      <c r="X550" s="11" t="n">
        <v>-0.6366836124064558</v>
      </c>
      <c r="Y550" s="11" t="n"/>
      <c r="Z550" s="13" t="n">
        <v>-0.08004600000000001</v>
      </c>
      <c r="AA550" s="8" t="inlineStr">
        <is>
          <t>net income + D&amp;A - capex - change in operating working capital (cash and short-term debt excluded)</t>
        </is>
      </c>
      <c r="AB550" s="10" t="n">
        <v>-0.0271523050762253</v>
      </c>
      <c r="AC550" s="10" t="n">
        <v>0.3136795772916012</v>
      </c>
      <c r="AD550" s="12" t="n">
        <v>1230724000</v>
      </c>
    </row>
    <row r="551">
      <c r="A551" s="8" t="inlineStr">
        <is>
          <t>ANET</t>
        </is>
      </c>
      <c r="B551" s="8" t="inlineStr">
        <is>
          <t>Arista Networks, Inc.</t>
        </is>
      </c>
      <c r="C551" s="8" t="inlineStr">
        <is>
          <t>STANDARD</t>
        </is>
      </c>
      <c r="D551" s="8" t="n">
        <v>2022</v>
      </c>
      <c r="E551" s="8" t="inlineStr">
        <is>
          <t>2022-12-31</t>
        </is>
      </c>
      <c r="F551" s="8" t="inlineStr">
        <is>
          <t>0001596532-25-000028</t>
        </is>
      </c>
      <c r="G551" s="13" t="n">
        <v>4.38131</v>
      </c>
      <c r="H551" s="13" t="n">
        <v>1.527106</v>
      </c>
      <c r="I551" s="8" t="inlineStr">
        <is>
          <t>reported OperatingIncomeLoss (no interest expense tagged)</t>
        </is>
      </c>
      <c r="J551" s="13" t="n">
        <v>1.352446</v>
      </c>
      <c r="K551" s="10" t="n">
        <v>0.1449934125513024</v>
      </c>
      <c r="L551" s="13" t="n">
        <v>1.305685689732431</v>
      </c>
      <c r="M551" s="13" t="n">
        <v>4.214093</v>
      </c>
      <c r="N551" s="13" t="n">
        <v>3.78594</v>
      </c>
      <c r="O551" s="10" t="n">
        <v>0.344877544211591</v>
      </c>
      <c r="P551" s="8" t="inlineStr">
        <is>
          <t>OK</t>
        </is>
      </c>
      <c r="Q551" s="10" t="n">
        <v>0.3051410134921709</v>
      </c>
      <c r="R551" s="10" t="n">
        <v>-0.03973653071942007</v>
      </c>
      <c r="S551" s="13" t="n">
        <v>4.8858</v>
      </c>
      <c r="T551" s="13" t="n">
        <v>0.6717070000000001</v>
      </c>
      <c r="U551" s="13" t="n">
        <v>0</v>
      </c>
      <c r="V551" s="8" t="inlineStr">
        <is>
          <t>short-term only (no long-term debt tagged; read as nil)</t>
        </is>
      </c>
      <c r="W551" s="13" t="n">
        <v>1.589806</v>
      </c>
      <c r="X551" s="11" t="n">
        <v>-0.4225087840906375</v>
      </c>
      <c r="Y551" s="11" t="n"/>
      <c r="Z551" s="13" t="n">
        <v>0.867026</v>
      </c>
      <c r="AA551" s="8" t="inlineStr">
        <is>
          <t>net income + D&amp;A - capex - change in operating working capital (cash and short-term debt excluded)</t>
        </is>
      </c>
      <c r="AB551" s="10" t="n">
        <v>0.1978919546893509</v>
      </c>
      <c r="AC551" s="10" t="n">
        <v>0.3485500911827741</v>
      </c>
      <c r="AD551" s="12" t="n">
        <v>1227560000</v>
      </c>
    </row>
    <row r="552">
      <c r="A552" s="8" t="inlineStr">
        <is>
          <t>ANET</t>
        </is>
      </c>
      <c r="B552" s="8" t="inlineStr">
        <is>
          <t>Arista Networks, Inc.</t>
        </is>
      </c>
      <c r="C552" s="8" t="inlineStr">
        <is>
          <t>STANDARD</t>
        </is>
      </c>
      <c r="D552" s="8" t="n">
        <v>2023</v>
      </c>
      <c r="E552" s="8" t="inlineStr">
        <is>
          <t>2023-12-31</t>
        </is>
      </c>
      <c r="F552" s="8" t="inlineStr">
        <is>
          <t>0001596532-26-000013</t>
        </is>
      </c>
      <c r="G552" s="13" t="n">
        <v>5.8602</v>
      </c>
      <c r="H552" s="13" t="n">
        <v>2.2573</v>
      </c>
      <c r="I552" s="8" t="inlineStr">
        <is>
          <t>reported OperatingIncomeLoss (no interest expense tagged)</t>
        </is>
      </c>
      <c r="J552" s="13" t="n">
        <v>2.0873</v>
      </c>
      <c r="K552" s="10" t="n">
        <v>0.1381915772089183</v>
      </c>
      <c r="L552" s="13" t="n">
        <v>1.945360152766309</v>
      </c>
      <c r="M552" s="13" t="n">
        <v>5.280394</v>
      </c>
      <c r="N552" s="13" t="n">
        <v>4.7472435</v>
      </c>
      <c r="O552" s="10" t="n">
        <v>0.4097873118929561</v>
      </c>
      <c r="P552" s="8" t="inlineStr">
        <is>
          <t>OK</t>
        </is>
      </c>
      <c r="Q552" s="10" t="n">
        <v>0.3448714559513582</v>
      </c>
      <c r="R552" s="10" t="n">
        <v>-0.06491585594159799</v>
      </c>
      <c r="S552" s="13" t="n">
        <v>7.219</v>
      </c>
      <c r="T552" s="13" t="n">
        <v>1.938606</v>
      </c>
      <c r="U552" s="13" t="n">
        <v>0</v>
      </c>
      <c r="V552" s="8" t="inlineStr">
        <is>
          <t>short-term only (no long-term debt tagged; read as nil)</t>
        </is>
      </c>
      <c r="W552" s="13" t="n">
        <v>2.3279</v>
      </c>
      <c r="X552" s="11" t="n">
        <v>-0.8327703080029211</v>
      </c>
      <c r="Y552" s="11" t="n"/>
      <c r="Z552" s="13" t="n">
        <v>1.166987</v>
      </c>
      <c r="AA552" s="8" t="inlineStr">
        <is>
          <t>net income + D&amp;A - capex - change in operating working capital (cash and short-term debt excluded)</t>
        </is>
      </c>
      <c r="AB552" s="10" t="n">
        <v>0.1991377427391557</v>
      </c>
      <c r="AC552" s="10" t="n">
        <v>0.3851916316849254</v>
      </c>
      <c r="AD552" s="12" t="n">
        <v>4995928000</v>
      </c>
    </row>
    <row r="553">
      <c r="A553" s="8" t="inlineStr">
        <is>
          <t>ANET</t>
        </is>
      </c>
      <c r="B553" s="8" t="inlineStr">
        <is>
          <t>Arista Networks, Inc.</t>
        </is>
      </c>
      <c r="C553" s="8" t="inlineStr">
        <is>
          <t>STANDARD</t>
        </is>
      </c>
      <c r="D553" s="8" t="n">
        <v>2024</v>
      </c>
      <c r="E553" s="8" t="inlineStr">
        <is>
          <t>2024-12-31</t>
        </is>
      </c>
      <c r="F553" s="8" t="inlineStr">
        <is>
          <t>0001596532-26-000013</t>
        </is>
      </c>
      <c r="G553" s="13" t="n">
        <v>7.0031</v>
      </c>
      <c r="H553" s="13" t="n">
        <v>2.9446</v>
      </c>
      <c r="I553" s="8" t="inlineStr">
        <is>
          <t>reported OperatingIncomeLoss (no interest expense tagged)</t>
        </is>
      </c>
      <c r="J553" s="13" t="n">
        <v>2.8521</v>
      </c>
      <c r="K553" s="10" t="n">
        <v>0.1264892346329362</v>
      </c>
      <c r="L553" s="13" t="n">
        <v>2.572139799699856</v>
      </c>
      <c r="M553" s="13" t="n">
        <v>7.2324</v>
      </c>
      <c r="N553" s="13" t="n">
        <v>6.256397</v>
      </c>
      <c r="O553" s="10" t="n">
        <v>0.411121576795695</v>
      </c>
      <c r="P553" s="8" t="inlineStr">
        <is>
          <t>OK</t>
        </is>
      </c>
      <c r="Q553" s="10" t="n">
        <v>0.3313736653150379</v>
      </c>
      <c r="R553" s="10" t="n">
        <v>-0.07974791148065707</v>
      </c>
      <c r="S553" s="13" t="n">
        <v>9.9948</v>
      </c>
      <c r="T553" s="13" t="n">
        <v>2.7624</v>
      </c>
      <c r="U553" s="13" t="n">
        <v>0</v>
      </c>
      <c r="V553" s="8" t="inlineStr">
        <is>
          <t>short-term only (no long-term debt tagged; read as nil)</t>
        </is>
      </c>
      <c r="W553" s="13" t="n">
        <v>3.0066</v>
      </c>
      <c r="X553" s="11" t="n">
        <v>-0.9187786868888446</v>
      </c>
      <c r="Y553" s="11" t="n"/>
      <c r="Z553" s="13" t="n">
        <v>1.007823</v>
      </c>
      <c r="AA553" s="8" t="inlineStr">
        <is>
          <t>net income + D&amp;A - capex - change in operating working capital (cash and short-term debt excluded)</t>
        </is>
      </c>
      <c r="AB553" s="10" t="n">
        <v>0.1439109822792763</v>
      </c>
      <c r="AC553" s="10" t="n">
        <v>0.4204709343005241</v>
      </c>
      <c r="AD553" s="12" t="n">
        <v>1261300000</v>
      </c>
    </row>
    <row r="554">
      <c r="A554" s="8" t="inlineStr">
        <is>
          <t>ANET</t>
        </is>
      </c>
      <c r="B554" s="8" t="inlineStr">
        <is>
          <t>Arista Networks, Inc.</t>
        </is>
      </c>
      <c r="C554" s="8" t="inlineStr">
        <is>
          <t>STANDARD</t>
        </is>
      </c>
      <c r="D554" s="8" t="n">
        <v>2025</v>
      </c>
      <c r="E554" s="8" t="inlineStr">
        <is>
          <t>2025-12-31</t>
        </is>
      </c>
      <c r="F554" s="8" t="inlineStr">
        <is>
          <t>0001596532-26-000013</t>
        </is>
      </c>
      <c r="G554" s="13" t="n">
        <v>9.005699999999999</v>
      </c>
      <c r="H554" s="13" t="n">
        <v>3.8561</v>
      </c>
      <c r="I554" s="8" t="inlineStr">
        <is>
          <t>reported OperatingIncomeLoss (no interest expense tagged)</t>
        </is>
      </c>
      <c r="J554" s="13" t="n">
        <v>3.5114</v>
      </c>
      <c r="K554" s="10" t="n">
        <v>0.1737299103466127</v>
      </c>
      <c r="L554" s="13" t="n">
        <v>3.186180092712427</v>
      </c>
      <c r="M554" s="13" t="n">
        <v>10.4066</v>
      </c>
      <c r="N554" s="13" t="n">
        <v>8.8195</v>
      </c>
      <c r="O554" s="10" t="n">
        <v>0.3612653883680965</v>
      </c>
      <c r="P554" s="8" t="inlineStr">
        <is>
          <t>OK</t>
        </is>
      </c>
      <c r="Q554" s="10" t="n">
        <v>0.3140042834211926</v>
      </c>
      <c r="R554" s="10" t="n">
        <v>-0.04726110494690383</v>
      </c>
      <c r="S554" s="13" t="n">
        <v>12.3705</v>
      </c>
      <c r="T554" s="13" t="n">
        <v>1.9639</v>
      </c>
      <c r="U554" s="13" t="n">
        <v>0</v>
      </c>
      <c r="V554" s="8" t="inlineStr">
        <is>
          <t>short-term only (no long-term debt tagged; read as nil)</t>
        </is>
      </c>
      <c r="W554" s="13" t="n">
        <v>3.9287</v>
      </c>
      <c r="X554" s="11" t="n">
        <v>-0.4998854582940922</v>
      </c>
      <c r="Y554" s="11" t="n"/>
      <c r="Z554" s="13" t="n">
        <v>0.8342000000000001</v>
      </c>
      <c r="AA554" s="8" t="inlineStr">
        <is>
          <t>net income + D&amp;A - capex - change in operating working capital (cash and short-term debt excluded)</t>
        </is>
      </c>
      <c r="AB554" s="10" t="n">
        <v>0.09263022308093763</v>
      </c>
      <c r="AC554" s="10" t="n">
        <v>0.4281843721198796</v>
      </c>
      <c r="AD554" s="12" t="n">
        <v>1256500000</v>
      </c>
    </row>
    <row r="555">
      <c r="A555" s="8" t="inlineStr">
        <is>
          <t>AXP</t>
        </is>
      </c>
      <c r="B555" s="8" t="inlineStr">
        <is>
          <t>AMERICAN EXPRESS CO</t>
        </is>
      </c>
      <c r="C555" s="8" t="inlineStr">
        <is>
          <t>FINANCIAL</t>
        </is>
      </c>
      <c r="D555" s="8" t="n">
        <v>2014</v>
      </c>
      <c r="E555" s="8" t="inlineStr">
        <is>
          <t>2014-12-31</t>
        </is>
      </c>
      <c r="F555" s="8" t="inlineStr">
        <is>
          <t>0001193125-17-047588</t>
        </is>
      </c>
      <c r="G555" s="13" t="n"/>
      <c r="H555" s="13" t="n"/>
      <c r="I555" s="8" t="inlineStr">
        <is>
          <t>DATA_UNAVAILABLE</t>
        </is>
      </c>
      <c r="J555" s="13" t="n">
        <v>5.885</v>
      </c>
      <c r="K555" s="10" t="n">
        <v>0.21</v>
      </c>
      <c r="L555" s="13" t="n"/>
      <c r="M555" s="13" t="n"/>
      <c r="N555" s="13" t="n"/>
      <c r="O555" s="10" t="n"/>
      <c r="P555" s="8" t="inlineStr">
        <is>
          <t>FRAMEWORK_NOT_APPLICABLE</t>
        </is>
      </c>
      <c r="Q555" s="10" t="n">
        <v>0.2846708266821458</v>
      </c>
      <c r="R555" s="10" t="n"/>
      <c r="S555" s="13" t="n">
        <v>20.673</v>
      </c>
      <c r="T555" s="13" t="n"/>
      <c r="U555" s="13" t="n">
        <v>61.435</v>
      </c>
      <c r="V555" s="8" t="inlineStr">
        <is>
          <t>short-term + long-term</t>
        </is>
      </c>
      <c r="W555" s="13" t="n"/>
      <c r="X555" s="11" t="n"/>
      <c r="Y555" s="11" t="n"/>
      <c r="Z555" s="13" t="n"/>
      <c r="AA555" s="8" t="inlineStr">
        <is>
          <t>FRAMEWORK_NOT_APPLICABLE (financial sector)</t>
        </is>
      </c>
      <c r="AB555" s="10" t="n"/>
      <c r="AC555" s="10" t="n"/>
      <c r="AD555" s="12" t="n">
        <v>1023000000</v>
      </c>
    </row>
    <row r="556">
      <c r="A556" s="8" t="inlineStr">
        <is>
          <t>AXP</t>
        </is>
      </c>
      <c r="B556" s="8" t="inlineStr">
        <is>
          <t>AMERICAN EXPRESS CO</t>
        </is>
      </c>
      <c r="C556" s="8" t="inlineStr">
        <is>
          <t>FINANCIAL</t>
        </is>
      </c>
      <c r="D556" s="8" t="n">
        <v>2015</v>
      </c>
      <c r="E556" s="8" t="inlineStr">
        <is>
          <t>2015-12-31</t>
        </is>
      </c>
      <c r="F556" s="8" t="inlineStr">
        <is>
          <t>0000004962-18-000032</t>
        </is>
      </c>
      <c r="G556" s="13" t="n"/>
      <c r="H556" s="13" t="n"/>
      <c r="I556" s="8" t="inlineStr">
        <is>
          <t>DATA_UNAVAILABLE</t>
        </is>
      </c>
      <c r="J556" s="13" t="n">
        <v>5.163</v>
      </c>
      <c r="K556" s="10" t="n">
        <v>0.21</v>
      </c>
      <c r="L556" s="13" t="n"/>
      <c r="M556" s="13" t="n"/>
      <c r="N556" s="13" t="n"/>
      <c r="O556" s="10" t="n"/>
      <c r="P556" s="8" t="inlineStr">
        <is>
          <t>FRAMEWORK_NOT_APPLICABLE</t>
        </is>
      </c>
      <c r="Q556" s="10" t="n">
        <v>0.2497460455666812</v>
      </c>
      <c r="R556" s="10" t="n"/>
      <c r="S556" s="13" t="n">
        <v>20.673</v>
      </c>
      <c r="T556" s="13" t="n">
        <v>23.239</v>
      </c>
      <c r="U556" s="13" t="n">
        <v>52.873</v>
      </c>
      <c r="V556" s="8" t="inlineStr">
        <is>
          <t>short-term + long-term</t>
        </is>
      </c>
      <c r="W556" s="13" t="n"/>
      <c r="X556" s="11" t="n"/>
      <c r="Y556" s="11" t="n"/>
      <c r="Z556" s="13" t="n"/>
      <c r="AA556" s="8" t="inlineStr">
        <is>
          <t>FRAMEWORK_NOT_APPLICABLE (financial sector)</t>
        </is>
      </c>
      <c r="AB556" s="10" t="n"/>
      <c r="AC556" s="10" t="n"/>
      <c r="AD556" s="12" t="n">
        <v>969000000</v>
      </c>
    </row>
    <row r="557">
      <c r="A557" s="8" t="inlineStr">
        <is>
          <t>AXP</t>
        </is>
      </c>
      <c r="B557" s="8" t="inlineStr">
        <is>
          <t>AMERICAN EXPRESS CO</t>
        </is>
      </c>
      <c r="C557" s="8" t="inlineStr">
        <is>
          <t>FINANCIAL</t>
        </is>
      </c>
      <c r="D557" s="8" t="n">
        <v>2016</v>
      </c>
      <c r="E557" s="8" t="inlineStr">
        <is>
          <t>2016-12-31</t>
        </is>
      </c>
      <c r="F557" s="8" t="inlineStr">
        <is>
          <t>0000004962-19-000018</t>
        </is>
      </c>
      <c r="G557" s="13" t="n"/>
      <c r="H557" s="13" t="n"/>
      <c r="I557" s="8" t="inlineStr">
        <is>
          <t>DATA_UNAVAILABLE</t>
        </is>
      </c>
      <c r="J557" s="13" t="n">
        <v>5.375</v>
      </c>
      <c r="K557" s="10" t="n">
        <v>0.21</v>
      </c>
      <c r="L557" s="13" t="n"/>
      <c r="M557" s="13" t="n"/>
      <c r="N557" s="13" t="n"/>
      <c r="O557" s="10" t="n"/>
      <c r="P557" s="8" t="inlineStr">
        <is>
          <t>FRAMEWORK_NOT_APPLICABLE</t>
        </is>
      </c>
      <c r="Q557" s="10" t="n">
        <v>0.2609476648218274</v>
      </c>
      <c r="R557" s="10" t="n"/>
      <c r="S557" s="13" t="n">
        <v>20.523</v>
      </c>
      <c r="T557" s="13" t="n">
        <v>25.494</v>
      </c>
      <c r="U557" s="13" t="n">
        <v>52.571</v>
      </c>
      <c r="V557" s="8" t="inlineStr">
        <is>
          <t>short-term + long-term</t>
        </is>
      </c>
      <c r="W557" s="13" t="n"/>
      <c r="X557" s="11" t="n"/>
      <c r="Y557" s="11" t="n"/>
      <c r="Z557" s="13" t="n"/>
      <c r="AA557" s="8" t="inlineStr">
        <is>
          <t>FRAMEWORK_NOT_APPLICABLE (financial sector)</t>
        </is>
      </c>
      <c r="AB557" s="10" t="n"/>
      <c r="AC557" s="10" t="n"/>
      <c r="AD557" s="12" t="n">
        <v>904000000</v>
      </c>
    </row>
    <row r="558">
      <c r="A558" s="8" t="inlineStr">
        <is>
          <t>AXP</t>
        </is>
      </c>
      <c r="B558" s="8" t="inlineStr">
        <is>
          <t>AMERICAN EXPRESS CO</t>
        </is>
      </c>
      <c r="C558" s="8" t="inlineStr">
        <is>
          <t>FINANCIAL</t>
        </is>
      </c>
      <c r="D558" s="8" t="n">
        <v>2017</v>
      </c>
      <c r="E558" s="8" t="inlineStr">
        <is>
          <t>2017-12-31</t>
        </is>
      </c>
      <c r="F558" s="8" t="inlineStr">
        <is>
          <t>0000004962-20-000030</t>
        </is>
      </c>
      <c r="G558" s="13" t="n">
        <v>24.78</v>
      </c>
      <c r="H558" s="13" t="n"/>
      <c r="I558" s="8" t="inlineStr">
        <is>
          <t>DATA_UNAVAILABLE</t>
        </is>
      </c>
      <c r="J558" s="13" t="n">
        <v>2.748</v>
      </c>
      <c r="K558" s="10" t="n">
        <v>0.21</v>
      </c>
      <c r="L558" s="13" t="n"/>
      <c r="M558" s="13" t="n"/>
      <c r="N558" s="13" t="n"/>
      <c r="O558" s="10" t="n"/>
      <c r="P558" s="8" t="inlineStr">
        <is>
          <t>FRAMEWORK_NOT_APPLICABLE</t>
        </is>
      </c>
      <c r="Q558" s="10" t="n">
        <v>0.1417079207920792</v>
      </c>
      <c r="R558" s="10" t="n"/>
      <c r="S558" s="13" t="n">
        <v>18.261</v>
      </c>
      <c r="T558" s="13" t="n">
        <v>33.263</v>
      </c>
      <c r="U558" s="13" t="n">
        <v>59.082</v>
      </c>
      <c r="V558" s="8" t="inlineStr">
        <is>
          <t>short-term + long-term</t>
        </is>
      </c>
      <c r="W558" s="13" t="n"/>
      <c r="X558" s="11" t="n"/>
      <c r="Y558" s="11" t="n"/>
      <c r="Z558" s="13" t="n"/>
      <c r="AA558" s="8" t="inlineStr">
        <is>
          <t>FRAMEWORK_NOT_APPLICABLE (financial sector)</t>
        </is>
      </c>
      <c r="AB558" s="10" t="n"/>
      <c r="AC558" s="10" t="n"/>
      <c r="AD558" s="12" t="n">
        <v>859000000</v>
      </c>
    </row>
    <row r="559">
      <c r="A559" s="8" t="inlineStr">
        <is>
          <t>AXP</t>
        </is>
      </c>
      <c r="B559" s="8" t="inlineStr">
        <is>
          <t>AMERICAN EXPRESS CO</t>
        </is>
      </c>
      <c r="C559" s="8" t="inlineStr">
        <is>
          <t>FINANCIAL</t>
        </is>
      </c>
      <c r="D559" s="8" t="n">
        <v>2018</v>
      </c>
      <c r="E559" s="8" t="inlineStr">
        <is>
          <t>2018-12-31</t>
        </is>
      </c>
      <c r="F559" s="8" t="inlineStr">
        <is>
          <t>0000004962-21-000013</t>
        </is>
      </c>
      <c r="G559" s="13" t="n">
        <v>26.607</v>
      </c>
      <c r="H559" s="13" t="n"/>
      <c r="I559" s="8" t="inlineStr">
        <is>
          <t>DATA_UNAVAILABLE</t>
        </is>
      </c>
      <c r="J559" s="13" t="n">
        <v>6.921</v>
      </c>
      <c r="K559" s="10" t="n">
        <v>0.21</v>
      </c>
      <c r="L559" s="13" t="n"/>
      <c r="M559" s="13" t="n"/>
      <c r="N559" s="13" t="n"/>
      <c r="O559" s="10" t="n"/>
      <c r="P559" s="8" t="inlineStr">
        <is>
          <t>FRAMEWORK_NOT_APPLICABLE</t>
        </is>
      </c>
      <c r="Q559" s="10" t="n">
        <v>0.3413479322334838</v>
      </c>
      <c r="R559" s="10" t="n"/>
      <c r="S559" s="13" t="n">
        <v>22.29</v>
      </c>
      <c r="T559" s="13" t="n">
        <v>27.808</v>
      </c>
      <c r="U559" s="13" t="n">
        <v>61.523</v>
      </c>
      <c r="V559" s="8" t="inlineStr">
        <is>
          <t>short-term + long-term</t>
        </is>
      </c>
      <c r="W559" s="13" t="n"/>
      <c r="X559" s="11" t="n"/>
      <c r="Y559" s="11" t="n"/>
      <c r="Z559" s="13" t="n"/>
      <c r="AA559" s="8" t="inlineStr">
        <is>
          <t>FRAMEWORK_NOT_APPLICABLE (financial sector)</t>
        </is>
      </c>
      <c r="AB559" s="10" t="n"/>
      <c r="AC559" s="10" t="n"/>
      <c r="AD559" s="12" t="n">
        <v>847000000</v>
      </c>
    </row>
    <row r="560">
      <c r="A560" s="8" t="inlineStr">
        <is>
          <t>AXP</t>
        </is>
      </c>
      <c r="B560" s="8" t="inlineStr">
        <is>
          <t>AMERICAN EXPRESS CO</t>
        </is>
      </c>
      <c r="C560" s="8" t="inlineStr">
        <is>
          <t>FINANCIAL</t>
        </is>
      </c>
      <c r="D560" s="8" t="n">
        <v>2019</v>
      </c>
      <c r="E560" s="8" t="inlineStr">
        <is>
          <t>2019-12-31</t>
        </is>
      </c>
      <c r="F560" s="8" t="inlineStr">
        <is>
          <t>0000004962-22-000008</t>
        </is>
      </c>
      <c r="G560" s="13" t="n">
        <v>28.159</v>
      </c>
      <c r="H560" s="13" t="n">
        <v>17.049</v>
      </c>
      <c r="I560" s="8" t="inlineStr">
        <is>
          <t>pretax_income + interest_expense</t>
        </is>
      </c>
      <c r="J560" s="13" t="n">
        <v>6.759</v>
      </c>
      <c r="K560" s="10" t="n">
        <v>0.1981255190414047</v>
      </c>
      <c r="L560" s="13" t="n">
        <v>13.67115802586309</v>
      </c>
      <c r="M560" s="13" t="n"/>
      <c r="N560" s="13" t="n"/>
      <c r="O560" s="10" t="n"/>
      <c r="P560" s="8" t="inlineStr">
        <is>
          <t>FRAMEWORK_NOT_APPLICABLE</t>
        </is>
      </c>
      <c r="Q560" s="10" t="n">
        <v>0.2980093031458742</v>
      </c>
      <c r="R560" s="10" t="n"/>
      <c r="S560" s="13" t="n">
        <v>23.071</v>
      </c>
      <c r="T560" s="13" t="n">
        <v>24.446</v>
      </c>
      <c r="U560" s="13" t="n">
        <v>64.277</v>
      </c>
      <c r="V560" s="8" t="inlineStr">
        <is>
          <t>short-term + long-term</t>
        </is>
      </c>
      <c r="W560" s="13" t="n">
        <v>18.237</v>
      </c>
      <c r="X560" s="11" t="n">
        <v>2.184076328343477</v>
      </c>
      <c r="Y560" s="11" t="n">
        <v>1.97784222737819</v>
      </c>
      <c r="Z560" s="13" t="n"/>
      <c r="AA560" s="8" t="inlineStr">
        <is>
          <t>FRAMEWORK_NOT_APPLICABLE (financial sector)</t>
        </is>
      </c>
      <c r="AB560" s="10" t="n"/>
      <c r="AC560" s="10" t="n">
        <v>0.6054547391597713</v>
      </c>
      <c r="AD560" s="12" t="n">
        <v>810000000</v>
      </c>
    </row>
    <row r="561">
      <c r="A561" s="8" t="inlineStr">
        <is>
          <t>AXP</t>
        </is>
      </c>
      <c r="B561" s="8" t="inlineStr">
        <is>
          <t>AMERICAN EXPRESS CO</t>
        </is>
      </c>
      <c r="C561" s="8" t="inlineStr">
        <is>
          <t>FINANCIAL</t>
        </is>
      </c>
      <c r="D561" s="8" t="n">
        <v>2020</v>
      </c>
      <c r="E561" s="8" t="inlineStr">
        <is>
          <t>2020-12-31</t>
        </is>
      </c>
      <c r="F561" s="8" t="inlineStr">
        <is>
          <t>0000004962-23-000006</t>
        </is>
      </c>
      <c r="G561" s="13" t="n">
        <v>21.974</v>
      </c>
      <c r="H561" s="13" t="n">
        <v>12.281</v>
      </c>
      <c r="I561" s="8" t="inlineStr">
        <is>
          <t>pretax_income + interest_expense</t>
        </is>
      </c>
      <c r="J561" s="13" t="n">
        <v>3.135</v>
      </c>
      <c r="K561" s="10" t="n">
        <v>0.2702513966480447</v>
      </c>
      <c r="L561" s="13" t="n">
        <v>8.962042597765363</v>
      </c>
      <c r="M561" s="13" t="n"/>
      <c r="N561" s="13" t="n"/>
      <c r="O561" s="10" t="n"/>
      <c r="P561" s="8" t="inlineStr">
        <is>
          <t>FRAMEWORK_NOT_APPLICABLE</t>
        </is>
      </c>
      <c r="Q561" s="10" t="n">
        <v>0.1361415698621214</v>
      </c>
      <c r="R561" s="10" t="n"/>
      <c r="S561" s="13" t="n">
        <v>22.984</v>
      </c>
      <c r="T561" s="13" t="n">
        <v>32.965</v>
      </c>
      <c r="U561" s="13" t="n">
        <v>44.83</v>
      </c>
      <c r="V561" s="8" t="inlineStr">
        <is>
          <t>short-term + long-term</t>
        </is>
      </c>
      <c r="W561" s="13" t="n">
        <v>13.824</v>
      </c>
      <c r="X561" s="11" t="n">
        <v>0.8582899305555556</v>
      </c>
      <c r="Y561" s="11" t="n">
        <v>1.538008766437069</v>
      </c>
      <c r="Z561" s="13" t="n"/>
      <c r="AA561" s="8" t="inlineStr">
        <is>
          <t>FRAMEWORK_NOT_APPLICABLE (financial sector)</t>
        </is>
      </c>
      <c r="AB561" s="10" t="n"/>
      <c r="AC561" s="10" t="n">
        <v>0.5588877764630927</v>
      </c>
      <c r="AD561" s="12" t="n">
        <v>805000000</v>
      </c>
    </row>
    <row r="562">
      <c r="A562" s="8" t="inlineStr">
        <is>
          <t>AXP</t>
        </is>
      </c>
      <c r="B562" s="8" t="inlineStr">
        <is>
          <t>AMERICAN EXPRESS CO</t>
        </is>
      </c>
      <c r="C562" s="8" t="inlineStr">
        <is>
          <t>FINANCIAL</t>
        </is>
      </c>
      <c r="D562" s="8" t="n">
        <v>2021</v>
      </c>
      <c r="E562" s="8" t="inlineStr">
        <is>
          <t>2021-12-31</t>
        </is>
      </c>
      <c r="F562" s="8" t="inlineStr">
        <is>
          <t>0000004962-24-000013</t>
        </is>
      </c>
      <c r="G562" s="13" t="n">
        <v>27.716</v>
      </c>
      <c r="H562" s="13" t="n">
        <v>18.439</v>
      </c>
      <c r="I562" s="8" t="inlineStr">
        <is>
          <t>pretax_income + interest_expense</t>
        </is>
      </c>
      <c r="J562" s="13" t="n">
        <v>8.06</v>
      </c>
      <c r="K562" s="10" t="n">
        <v>0.2459537842641968</v>
      </c>
      <c r="L562" s="13" t="n">
        <v>13.90385817195247</v>
      </c>
      <c r="M562" s="13" t="n"/>
      <c r="N562" s="13" t="n"/>
      <c r="O562" s="10" t="n"/>
      <c r="P562" s="8" t="inlineStr">
        <is>
          <t>FRAMEWORK_NOT_APPLICABLE</t>
        </is>
      </c>
      <c r="Q562" s="10" t="n">
        <v>0.3569451517902615</v>
      </c>
      <c r="R562" s="10" t="n"/>
      <c r="S562" s="13" t="n">
        <v>22.177</v>
      </c>
      <c r="T562" s="13" t="n">
        <v>22.028</v>
      </c>
      <c r="U562" s="13" t="n">
        <v>40.918</v>
      </c>
      <c r="V562" s="8" t="inlineStr">
        <is>
          <t>short-term + long-term</t>
        </is>
      </c>
      <c r="W562" s="13" t="n">
        <v>20.134</v>
      </c>
      <c r="X562" s="11" t="n">
        <v>0.9382139664249528</v>
      </c>
      <c r="Y562" s="11" t="n">
        <v>2.379225806451613</v>
      </c>
      <c r="Z562" s="13" t="n"/>
      <c r="AA562" s="8" t="inlineStr">
        <is>
          <t>FRAMEWORK_NOT_APPLICABLE (financial sector)</t>
        </is>
      </c>
      <c r="AB562" s="10" t="n"/>
      <c r="AC562" s="10" t="n">
        <v>0.6652835907057295</v>
      </c>
      <c r="AD562" s="12" t="n">
        <v>761000000</v>
      </c>
    </row>
    <row r="563">
      <c r="A563" s="8" t="inlineStr">
        <is>
          <t>AXP</t>
        </is>
      </c>
      <c r="B563" s="8" t="inlineStr">
        <is>
          <t>AMERICAN EXPRESS CO</t>
        </is>
      </c>
      <c r="C563" s="8" t="inlineStr">
        <is>
          <t>FINANCIAL</t>
        </is>
      </c>
      <c r="D563" s="8" t="n">
        <v>2022</v>
      </c>
      <c r="E563" s="8" t="inlineStr">
        <is>
          <t>2022-12-31</t>
        </is>
      </c>
      <c r="F563" s="8" t="inlineStr">
        <is>
          <t>0000004962-25-000016</t>
        </is>
      </c>
      <c r="G563" s="13" t="n">
        <v>34.219</v>
      </c>
      <c r="H563" s="13" t="n">
        <v>19.48</v>
      </c>
      <c r="I563" s="8" t="inlineStr">
        <is>
          <t>pretax_income + interest_expense</t>
        </is>
      </c>
      <c r="J563" s="13" t="n">
        <v>7.514</v>
      </c>
      <c r="K563" s="10" t="n">
        <v>0.2160667709963485</v>
      </c>
      <c r="L563" s="13" t="n">
        <v>15.27101930099113</v>
      </c>
      <c r="M563" s="13" t="n"/>
      <c r="N563" s="13" t="n"/>
      <c r="O563" s="10" t="n"/>
      <c r="P563" s="8" t="inlineStr">
        <is>
          <t>FRAMEWORK_NOT_APPLICABLE</t>
        </is>
      </c>
      <c r="Q563" s="10" t="n">
        <v>0.3205084456577376</v>
      </c>
      <c r="R563" s="10" t="n"/>
      <c r="S563" s="13" t="n">
        <v>24.711</v>
      </c>
      <c r="T563" s="13" t="n">
        <v>33.914</v>
      </c>
      <c r="U563" s="13" t="n">
        <v>43.921</v>
      </c>
      <c r="V563" s="8" t="inlineStr">
        <is>
          <t>short-term + long-term</t>
        </is>
      </c>
      <c r="W563" s="13" t="n">
        <v>21.106</v>
      </c>
      <c r="X563" s="11" t="n">
        <v>0.4741305789822799</v>
      </c>
      <c r="Y563" s="11" t="n">
        <v>1.96867104598282</v>
      </c>
      <c r="Z563" s="13" t="n"/>
      <c r="AA563" s="8" t="inlineStr">
        <is>
          <t>FRAMEWORK_NOT_APPLICABLE (financial sector)</t>
        </is>
      </c>
      <c r="AB563" s="10" t="n"/>
      <c r="AC563" s="10" t="n">
        <v>0.5692743797305591</v>
      </c>
      <c r="AD563" s="12" t="n">
        <v>743000000</v>
      </c>
    </row>
    <row r="564">
      <c r="A564" s="8" t="inlineStr">
        <is>
          <t>AXP</t>
        </is>
      </c>
      <c r="B564" s="8" t="inlineStr">
        <is>
          <t>AMERICAN EXPRESS CO</t>
        </is>
      </c>
      <c r="C564" s="8" t="inlineStr">
        <is>
          <t>FINANCIAL</t>
        </is>
      </c>
      <c r="D564" s="8" t="n">
        <v>2023</v>
      </c>
      <c r="E564" s="8" t="inlineStr">
        <is>
          <t>2023-12-31</t>
        </is>
      </c>
      <c r="F564" s="8" t="inlineStr">
        <is>
          <t>0000004962-26-000080</t>
        </is>
      </c>
      <c r="G564" s="13" t="n">
        <v>37.218</v>
      </c>
      <c r="H564" s="13" t="n">
        <v>23.647</v>
      </c>
      <c r="I564" s="8" t="inlineStr">
        <is>
          <t>pretax_income + interest_expense</t>
        </is>
      </c>
      <c r="J564" s="13" t="n">
        <v>8.374000000000001</v>
      </c>
      <c r="K564" s="10" t="n">
        <v>0.2034623799105869</v>
      </c>
      <c r="L564" s="13" t="n">
        <v>18.83572510225435</v>
      </c>
      <c r="M564" s="13" t="n"/>
      <c r="N564" s="13" t="n"/>
      <c r="O564" s="10" t="n"/>
      <c r="P564" s="8" t="inlineStr">
        <is>
          <t>FRAMEWORK_NOT_APPLICABLE</t>
        </is>
      </c>
      <c r="Q564" s="10" t="n">
        <v>0.3173893268647665</v>
      </c>
      <c r="R564" s="10" t="n"/>
      <c r="S564" s="13" t="n">
        <v>28.057</v>
      </c>
      <c r="T564" s="13" t="n">
        <v>46.596</v>
      </c>
      <c r="U564" s="13" t="n">
        <v>49.159</v>
      </c>
      <c r="V564" s="8" t="inlineStr">
        <is>
          <t>short-term + long-term</t>
        </is>
      </c>
      <c r="W564" s="13" t="n">
        <v>25.298</v>
      </c>
      <c r="X564" s="11" t="n">
        <v>0.1013123567080402</v>
      </c>
      <c r="Y564" s="11" t="n">
        <v>1.80044160194914</v>
      </c>
      <c r="Z564" s="13" t="n"/>
      <c r="AA564" s="8" t="inlineStr">
        <is>
          <t>FRAMEWORK_NOT_APPLICABLE (financial sector)</t>
        </is>
      </c>
      <c r="AB564" s="10" t="n"/>
      <c r="AC564" s="10" t="n">
        <v>0.6353646085227578</v>
      </c>
      <c r="AD564" s="12" t="n">
        <v>723000000</v>
      </c>
    </row>
    <row r="565">
      <c r="A565" s="8" t="inlineStr">
        <is>
          <t>AXP</t>
        </is>
      </c>
      <c r="B565" s="8" t="inlineStr">
        <is>
          <t>AMERICAN EXPRESS CO</t>
        </is>
      </c>
      <c r="C565" s="8" t="inlineStr">
        <is>
          <t>FINANCIAL</t>
        </is>
      </c>
      <c r="D565" s="8" t="n">
        <v>2024</v>
      </c>
      <c r="E565" s="8" t="inlineStr">
        <is>
          <t>2024-12-31</t>
        </is>
      </c>
      <c r="F565" s="8" t="inlineStr">
        <is>
          <t>0000004962-26-000080</t>
        </is>
      </c>
      <c r="G565" s="13" t="n">
        <v>38.825</v>
      </c>
      <c r="H565" s="13" t="n">
        <v>28.438</v>
      </c>
      <c r="I565" s="8" t="inlineStr">
        <is>
          <t>pretax_income + interest_expense</t>
        </is>
      </c>
      <c r="J565" s="13" t="n">
        <v>10.129</v>
      </c>
      <c r="K565" s="10" t="n">
        <v>0.2145017448623497</v>
      </c>
      <c r="L565" s="13" t="n">
        <v>22.3379993796045</v>
      </c>
      <c r="M565" s="13" t="n"/>
      <c r="N565" s="13" t="n"/>
      <c r="O565" s="10" t="n"/>
      <c r="P565" s="8" t="inlineStr">
        <is>
          <t>FRAMEWORK_NOT_APPLICABLE</t>
        </is>
      </c>
      <c r="Q565" s="10" t="n">
        <v>0.3473534404416934</v>
      </c>
      <c r="R565" s="10" t="n"/>
      <c r="S565" s="13" t="n">
        <v>30.264</v>
      </c>
      <c r="T565" s="13" t="n">
        <v>40.64</v>
      </c>
      <c r="U565" s="13" t="n">
        <v>51.089</v>
      </c>
      <c r="V565" s="8" t="inlineStr">
        <is>
          <t>short-term + long-term</t>
        </is>
      </c>
      <c r="W565" s="13" t="n">
        <v>30.114</v>
      </c>
      <c r="X565" s="11" t="n">
        <v>0.3469814704124328</v>
      </c>
      <c r="Y565" s="11" t="n">
        <v>1.829633918805893</v>
      </c>
      <c r="Z565" s="13" t="n"/>
      <c r="AA565" s="8" t="inlineStr">
        <is>
          <t>FRAMEWORK_NOT_APPLICABLE (financial sector)</t>
        </is>
      </c>
      <c r="AB565" s="10" t="n"/>
      <c r="AC565" s="10" t="n">
        <v>0.732466194462331</v>
      </c>
      <c r="AD565" s="12" t="n">
        <v>702000000</v>
      </c>
    </row>
    <row r="566">
      <c r="A566" s="8" t="inlineStr">
        <is>
          <t>AXP</t>
        </is>
      </c>
      <c r="B566" s="8" t="inlineStr">
        <is>
          <t>AMERICAN EXPRESS CO</t>
        </is>
      </c>
      <c r="C566" s="8" t="inlineStr">
        <is>
          <t>FINANCIAL</t>
        </is>
      </c>
      <c r="D566" s="8" t="n">
        <v>2025</v>
      </c>
      <c r="E566" s="8" t="inlineStr">
        <is>
          <t>2025-12-31</t>
        </is>
      </c>
      <c r="F566" s="8" t="inlineStr">
        <is>
          <t>0000004962-26-000080</t>
        </is>
      </c>
      <c r="G566" s="13" t="n">
        <v>41.304</v>
      </c>
      <c r="H566" s="13" t="n">
        <v>31.159</v>
      </c>
      <c r="I566" s="8" t="inlineStr">
        <is>
          <t>pretax_income + interest_expense</t>
        </is>
      </c>
      <c r="J566" s="13" t="n">
        <v>10.833</v>
      </c>
      <c r="K566" s="10" t="n">
        <v>0.2147154766219645</v>
      </c>
      <c r="L566" s="13" t="n">
        <v>24.46868046393621</v>
      </c>
      <c r="M566" s="13" t="n"/>
      <c r="N566" s="13" t="n"/>
      <c r="O566" s="10" t="n"/>
      <c r="P566" s="8" t="inlineStr">
        <is>
          <t>FRAMEWORK_NOT_APPLICABLE</t>
        </is>
      </c>
      <c r="Q566" s="10" t="n">
        <v>0.3399228089993411</v>
      </c>
      <c r="R566" s="10" t="n"/>
      <c r="S566" s="13" t="n">
        <v>33.474</v>
      </c>
      <c r="T566" s="13" t="n">
        <v>47.792</v>
      </c>
      <c r="U566" s="13" t="n">
        <v>57.758</v>
      </c>
      <c r="V566" s="8" t="inlineStr">
        <is>
          <t>short-term + long-term</t>
        </is>
      </c>
      <c r="W566" s="13" t="n">
        <v>32.936</v>
      </c>
      <c r="X566" s="11" t="n">
        <v>0.3025868350740831</v>
      </c>
      <c r="Y566" s="11" t="n">
        <v>1.794459801888966</v>
      </c>
      <c r="Z566" s="13" t="n"/>
      <c r="AA566" s="8" t="inlineStr">
        <is>
          <t>FRAMEWORK_NOT_APPLICABLE (financial sector)</t>
        </is>
      </c>
      <c r="AB566" s="10" t="n"/>
      <c r="AC566" s="10" t="n">
        <v>0.7543821421654077</v>
      </c>
      <c r="AD566" s="12" t="n">
        <v>686000000</v>
      </c>
    </row>
    <row r="567">
      <c r="A567" s="8" t="inlineStr">
        <is>
          <t>C</t>
        </is>
      </c>
      <c r="B567" s="8" t="inlineStr">
        <is>
          <t>CITIGROUP INC</t>
        </is>
      </c>
      <c r="C567" s="8" t="inlineStr">
        <is>
          <t>FINANCIAL</t>
        </is>
      </c>
      <c r="D567" s="8" t="n">
        <v>2014</v>
      </c>
      <c r="E567" s="8" t="inlineStr">
        <is>
          <t>2014-12-31</t>
        </is>
      </c>
      <c r="F567" s="8" t="inlineStr">
        <is>
          <t>0000831001-17-000038</t>
        </is>
      </c>
      <c r="G567" s="13" t="n">
        <v>77.21899999999999</v>
      </c>
      <c r="H567" s="13" t="n">
        <v>62.694</v>
      </c>
      <c r="I567" s="8" t="inlineStr">
        <is>
          <t>pretax_income + interest_expense</t>
        </is>
      </c>
      <c r="J567" s="13" t="n">
        <v>7.31</v>
      </c>
      <c r="K567" s="10" t="n">
        <v>0.4</v>
      </c>
      <c r="L567" s="13" t="n">
        <v>37.6164</v>
      </c>
      <c r="M567" s="13" t="n"/>
      <c r="N567" s="13" t="n"/>
      <c r="O567" s="10" t="n"/>
      <c r="P567" s="8" t="inlineStr">
        <is>
          <t>FRAMEWORK_NOT_APPLICABLE</t>
        </is>
      </c>
      <c r="Q567" s="10" t="n">
        <v>0.03477888526774033</v>
      </c>
      <c r="R567" s="10" t="n"/>
      <c r="S567" s="13" t="n">
        <v>210.185</v>
      </c>
      <c r="T567" s="13" t="n"/>
      <c r="U567" s="13" t="n">
        <v>281.415</v>
      </c>
      <c r="V567" s="8" t="inlineStr">
        <is>
          <t>short-term + long-term</t>
        </is>
      </c>
      <c r="W567" s="13" t="n">
        <v>66.283</v>
      </c>
      <c r="X567" s="11" t="n"/>
      <c r="Y567" s="11" t="n">
        <v>1.306315504344383</v>
      </c>
      <c r="Z567" s="13" t="n"/>
      <c r="AA567" s="8" t="inlineStr">
        <is>
          <t>FRAMEWORK_NOT_APPLICABLE (financial sector)</t>
        </is>
      </c>
      <c r="AB567" s="10" t="n"/>
      <c r="AC567" s="10" t="n">
        <v>0.8118986259858325</v>
      </c>
      <c r="AD567" s="12" t="n">
        <v>3037000000</v>
      </c>
    </row>
    <row r="568">
      <c r="A568" s="8" t="inlineStr">
        <is>
          <t>C</t>
        </is>
      </c>
      <c r="B568" s="8" t="inlineStr">
        <is>
          <t>CITIGROUP INC</t>
        </is>
      </c>
      <c r="C568" s="8" t="inlineStr">
        <is>
          <t>FINANCIAL</t>
        </is>
      </c>
      <c r="D568" s="8" t="n">
        <v>2015</v>
      </c>
      <c r="E568" s="8" t="inlineStr">
        <is>
          <t>2015-12-31</t>
        </is>
      </c>
      <c r="F568" s="8" t="inlineStr">
        <is>
          <t>0000831001-18-000040</t>
        </is>
      </c>
      <c r="G568" s="13" t="n">
        <v>76.354</v>
      </c>
      <c r="H568" s="13" t="n">
        <v>71.456</v>
      </c>
      <c r="I568" s="8" t="inlineStr">
        <is>
          <t>pretax_income + interest_expense</t>
        </is>
      </c>
      <c r="J568" s="13" t="n">
        <v>17.242</v>
      </c>
      <c r="K568" s="10" t="n">
        <v>0.2996858132602916</v>
      </c>
      <c r="L568" s="13" t="n">
        <v>50.0416505276726</v>
      </c>
      <c r="M568" s="13" t="n"/>
      <c r="N568" s="13" t="n"/>
      <c r="O568" s="10" t="n"/>
      <c r="P568" s="8" t="inlineStr">
        <is>
          <t>FRAMEWORK_NOT_APPLICABLE</t>
        </is>
      </c>
      <c r="Q568" s="10" t="n">
        <v>0.07981631415464237</v>
      </c>
      <c r="R568" s="10" t="n"/>
      <c r="S568" s="13" t="n">
        <v>221.857</v>
      </c>
      <c r="T568" s="13" t="n"/>
      <c r="U568" s="13" t="n">
        <v>222.354</v>
      </c>
      <c r="V568" s="8" t="inlineStr">
        <is>
          <t>short-term + long-term</t>
        </is>
      </c>
      <c r="W568" s="13" t="n">
        <v>74.962</v>
      </c>
      <c r="X568" s="11" t="n"/>
      <c r="Y568" s="11" t="n">
        <v>1.532404031739224</v>
      </c>
      <c r="Z568" s="13" t="n"/>
      <c r="AA568" s="8" t="inlineStr">
        <is>
          <t>FRAMEWORK_NOT_APPLICABLE (financial sector)</t>
        </is>
      </c>
      <c r="AB568" s="10" t="n"/>
      <c r="AC568" s="10" t="n">
        <v>0.9358514288707861</v>
      </c>
      <c r="AD568" s="12" t="n">
        <v>3007700000</v>
      </c>
    </row>
    <row r="569">
      <c r="A569" s="8" t="inlineStr">
        <is>
          <t>C</t>
        </is>
      </c>
      <c r="B569" s="8" t="inlineStr">
        <is>
          <t>CITIGROUP INC</t>
        </is>
      </c>
      <c r="C569" s="8" t="inlineStr">
        <is>
          <t>FINANCIAL</t>
        </is>
      </c>
      <c r="D569" s="8" t="n">
        <v>2016</v>
      </c>
      <c r="E569" s="8" t="inlineStr">
        <is>
          <t>2016-12-31</t>
        </is>
      </c>
      <c r="F569" s="8" t="inlineStr">
        <is>
          <t>0000831001-19-000027</t>
        </is>
      </c>
      <c r="G569" s="13" t="n">
        <v>70.797</v>
      </c>
      <c r="H569" s="13" t="n">
        <v>66.953</v>
      </c>
      <c r="I569" s="8" t="inlineStr">
        <is>
          <t>pretax_income + interest_expense</t>
        </is>
      </c>
      <c r="J569" s="13" t="n">
        <v>14.912</v>
      </c>
      <c r="K569" s="10" t="n">
        <v>0.3000419052940355</v>
      </c>
      <c r="L569" s="13" t="n">
        <v>46.86429431484844</v>
      </c>
      <c r="M569" s="13" t="n"/>
      <c r="N569" s="13" t="n"/>
      <c r="O569" s="10" t="n"/>
      <c r="P569" s="8" t="inlineStr">
        <is>
          <t>FRAMEWORK_NOT_APPLICABLE</t>
        </is>
      </c>
      <c r="Q569" s="10" t="n">
        <v>0.0667237911570394</v>
      </c>
      <c r="R569" s="10" t="n"/>
      <c r="S569" s="13" t="n">
        <v>225.12</v>
      </c>
      <c r="T569" s="13" t="n">
        <v>160.494</v>
      </c>
      <c r="U569" s="13" t="n">
        <v>236.879</v>
      </c>
      <c r="V569" s="8" t="inlineStr">
        <is>
          <t>short-term + long-term</t>
        </is>
      </c>
      <c r="W569" s="13" t="n">
        <v>70.673</v>
      </c>
      <c r="X569" s="11" t="n">
        <v>1.08082294511341</v>
      </c>
      <c r="Y569" s="11" t="n">
        <v>1.472271088046442</v>
      </c>
      <c r="Z569" s="13" t="n"/>
      <c r="AA569" s="8" t="inlineStr">
        <is>
          <t>FRAMEWORK_NOT_APPLICABLE (financial sector)</t>
        </is>
      </c>
      <c r="AB569" s="10" t="n"/>
      <c r="AC569" s="10" t="n">
        <v>0.9457039140076557</v>
      </c>
      <c r="AD569" s="12" t="n">
        <v>2888300000</v>
      </c>
    </row>
    <row r="570">
      <c r="A570" s="8" t="inlineStr">
        <is>
          <t>C</t>
        </is>
      </c>
      <c r="B570" s="8" t="inlineStr">
        <is>
          <t>CITIGROUP INC</t>
        </is>
      </c>
      <c r="C570" s="8" t="inlineStr">
        <is>
          <t>FINANCIAL</t>
        </is>
      </c>
      <c r="D570" s="8" t="n">
        <v>2017</v>
      </c>
      <c r="E570" s="8" t="inlineStr">
        <is>
          <t>2017-12-31</t>
        </is>
      </c>
      <c r="F570" s="8" t="inlineStr">
        <is>
          <t>0000831001-20-000031</t>
        </is>
      </c>
      <c r="G570" s="13" t="n">
        <v>72.444</v>
      </c>
      <c r="H570" s="13" t="n">
        <v>67.822</v>
      </c>
      <c r="I570" s="8" t="inlineStr">
        <is>
          <t>pretax_income + interest_expense</t>
        </is>
      </c>
      <c r="J570" s="13" t="n">
        <v>-6.798</v>
      </c>
      <c r="K570" s="10" t="n">
        <v>0.4</v>
      </c>
      <c r="L570" s="13" t="n">
        <v>40.6932</v>
      </c>
      <c r="M570" s="13" t="n"/>
      <c r="N570" s="13" t="n"/>
      <c r="O570" s="10" t="n"/>
      <c r="P570" s="8" t="inlineStr">
        <is>
          <t>FRAMEWORK_NOT_APPLICABLE</t>
        </is>
      </c>
      <c r="Q570" s="10" t="n">
        <v>-0.03192598506551449</v>
      </c>
      <c r="R570" s="10" t="n"/>
      <c r="S570" s="13" t="n">
        <v>200.74</v>
      </c>
      <c r="T570" s="13" t="n">
        <v>180.516</v>
      </c>
      <c r="U570" s="13" t="n">
        <v>281.161</v>
      </c>
      <c r="V570" s="8" t="inlineStr">
        <is>
          <t>short-term + long-term</t>
        </is>
      </c>
      <c r="W570" s="13" t="n">
        <v>71.48099999999999</v>
      </c>
      <c r="X570" s="11" t="n">
        <v>1.407996530546579</v>
      </c>
      <c r="Y570" s="11" t="n">
        <v>1.505115288164932</v>
      </c>
      <c r="Z570" s="13" t="n"/>
      <c r="AA570" s="8" t="inlineStr">
        <is>
          <t>FRAMEWORK_NOT_APPLICABLE (financial sector)</t>
        </is>
      </c>
      <c r="AB570" s="10" t="n"/>
      <c r="AC570" s="10" t="n">
        <v>0.9361989950858595</v>
      </c>
      <c r="AD570" s="12" t="n">
        <v>2698500000</v>
      </c>
    </row>
    <row r="571">
      <c r="A571" s="8" t="inlineStr">
        <is>
          <t>C</t>
        </is>
      </c>
      <c r="B571" s="8" t="inlineStr">
        <is>
          <t>CITIGROUP INC</t>
        </is>
      </c>
      <c r="C571" s="8" t="inlineStr">
        <is>
          <t>FINANCIAL</t>
        </is>
      </c>
      <c r="D571" s="8" t="n">
        <v>2018</v>
      </c>
      <c r="E571" s="8" t="inlineStr">
        <is>
          <t>2018-12-31</t>
        </is>
      </c>
      <c r="F571" s="8" t="inlineStr">
        <is>
          <t>0000831001-21-000042</t>
        </is>
      </c>
      <c r="G571" s="13" t="n">
        <v>72.854</v>
      </c>
      <c r="H571" s="13" t="n">
        <v>70.00700000000001</v>
      </c>
      <c r="I571" s="8" t="inlineStr">
        <is>
          <t>pretax_income + interest_expense</t>
        </is>
      </c>
      <c r="J571" s="13" t="n">
        <v>18.045</v>
      </c>
      <c r="K571" s="10" t="n">
        <v>0.2284922158242696</v>
      </c>
      <c r="L571" s="13" t="n">
        <v>54.01094544679036</v>
      </c>
      <c r="M571" s="13" t="n"/>
      <c r="N571" s="13" t="n"/>
      <c r="O571" s="10" t="n"/>
      <c r="P571" s="8" t="inlineStr">
        <is>
          <t>FRAMEWORK_NOT_APPLICABLE</t>
        </is>
      </c>
      <c r="Q571" s="10" t="n">
        <v>0.09091596130592502</v>
      </c>
      <c r="R571" s="10" t="n"/>
      <c r="S571" s="13" t="n">
        <v>196.22</v>
      </c>
      <c r="T571" s="13" t="n">
        <v>188.105</v>
      </c>
      <c r="U571" s="13" t="n">
        <v>264.345</v>
      </c>
      <c r="V571" s="8" t="inlineStr">
        <is>
          <t>short-term + long-term</t>
        </is>
      </c>
      <c r="W571" s="13" t="n">
        <v>73.761</v>
      </c>
      <c r="X571" s="11" t="n">
        <v>1.033608546521875</v>
      </c>
      <c r="Y571" s="11" t="n">
        <v>1.503522185473133</v>
      </c>
      <c r="Z571" s="13" t="n"/>
      <c r="AA571" s="8" t="inlineStr">
        <is>
          <t>FRAMEWORK_NOT_APPLICABLE (financial sector)</t>
        </is>
      </c>
      <c r="AB571" s="10" t="n"/>
      <c r="AC571" s="10" t="n">
        <v>0.9609218436873748</v>
      </c>
      <c r="AD571" s="12" t="n">
        <v>2494800000</v>
      </c>
    </row>
    <row r="572">
      <c r="A572" s="8" t="inlineStr">
        <is>
          <t>C</t>
        </is>
      </c>
      <c r="B572" s="8" t="inlineStr">
        <is>
          <t>CITIGROUP INC</t>
        </is>
      </c>
      <c r="C572" s="8" t="inlineStr">
        <is>
          <t>FINANCIAL</t>
        </is>
      </c>
      <c r="D572" s="8" t="n">
        <v>2019</v>
      </c>
      <c r="E572" s="8" t="inlineStr">
        <is>
          <t>2019-12-31</t>
        </is>
      </c>
      <c r="F572" s="8" t="inlineStr">
        <is>
          <t>0000831001-22-000036</t>
        </is>
      </c>
      <c r="G572" s="13" t="n">
        <v>75.06699999999999</v>
      </c>
      <c r="H572" s="13" t="n">
        <v>72.029</v>
      </c>
      <c r="I572" s="8" t="inlineStr">
        <is>
          <t>pretax_income + interest_expense</t>
        </is>
      </c>
      <c r="J572" s="13" t="n">
        <v>19.401</v>
      </c>
      <c r="K572" s="10" t="n">
        <v>0.1853478933935818</v>
      </c>
      <c r="L572" s="13" t="n">
        <v>58.67857658675369</v>
      </c>
      <c r="M572" s="13" t="n"/>
      <c r="N572" s="13" t="n"/>
      <c r="O572" s="10" t="n"/>
      <c r="P572" s="8" t="inlineStr">
        <is>
          <t>FRAMEWORK_NOT_APPLICABLE</t>
        </is>
      </c>
      <c r="Q572" s="10" t="n">
        <v>0.09962974564912623</v>
      </c>
      <c r="R572" s="10" t="n"/>
      <c r="S572" s="13" t="n">
        <v>193.242</v>
      </c>
      <c r="T572" s="13" t="n">
        <v>193.919</v>
      </c>
      <c r="U572" s="13" t="n">
        <v>293.809</v>
      </c>
      <c r="V572" s="8" t="inlineStr">
        <is>
          <t>short-term + long-term</t>
        </is>
      </c>
      <c r="W572" s="13" t="n">
        <v>75.934</v>
      </c>
      <c r="X572" s="11" t="n">
        <v>1.315484499697105</v>
      </c>
      <c r="Y572" s="11" t="n">
        <v>1.496613198138298</v>
      </c>
      <c r="Z572" s="13" t="n"/>
      <c r="AA572" s="8" t="inlineStr">
        <is>
          <t>FRAMEWORK_NOT_APPLICABLE (financial sector)</t>
        </is>
      </c>
      <c r="AB572" s="10" t="n"/>
      <c r="AC572" s="10" t="n">
        <v>0.9595294869916208</v>
      </c>
      <c r="AD572" s="12" t="n">
        <v>2265300000</v>
      </c>
    </row>
    <row r="573">
      <c r="A573" s="8" t="inlineStr">
        <is>
          <t>C</t>
        </is>
      </c>
      <c r="B573" s="8" t="inlineStr">
        <is>
          <t>CITIGROUP INC</t>
        </is>
      </c>
      <c r="C573" s="8" t="inlineStr">
        <is>
          <t>FINANCIAL</t>
        </is>
      </c>
      <c r="D573" s="8" t="n">
        <v>2020</v>
      </c>
      <c r="E573" s="8" t="inlineStr">
        <is>
          <t>2020-12-31</t>
        </is>
      </c>
      <c r="F573" s="8" t="inlineStr">
        <is>
          <t>0000831001-23-000037</t>
        </is>
      </c>
      <c r="G573" s="13" t="n">
        <v>75.501</v>
      </c>
      <c r="H573" s="13" t="n">
        <v>58.383</v>
      </c>
      <c r="I573" s="8" t="inlineStr">
        <is>
          <t>pretax_income + interest_expense</t>
        </is>
      </c>
      <c r="J573" s="13" t="n">
        <v>11.047</v>
      </c>
      <c r="K573" s="10" t="n">
        <v>0.1852259389671362</v>
      </c>
      <c r="L573" s="13" t="n">
        <v>47.56895400528169</v>
      </c>
      <c r="M573" s="13" t="n"/>
      <c r="N573" s="13" t="n"/>
      <c r="O573" s="10" t="n"/>
      <c r="P573" s="8" t="inlineStr">
        <is>
          <t>FRAMEWORK_NOT_APPLICABLE</t>
        </is>
      </c>
      <c r="Q573" s="10" t="n">
        <v>0.05626406983732467</v>
      </c>
      <c r="R573" s="10" t="n"/>
      <c r="S573" s="13" t="n">
        <v>199.442</v>
      </c>
      <c r="T573" s="13" t="n">
        <v>309.615</v>
      </c>
      <c r="U573" s="13" t="n">
        <v>301.2</v>
      </c>
      <c r="V573" s="8" t="inlineStr">
        <is>
          <t>short-term + long-term</t>
        </is>
      </c>
      <c r="W573" s="13" t="n">
        <v>62.32</v>
      </c>
      <c r="X573" s="11" t="n">
        <v>-0.1350288831835687</v>
      </c>
      <c r="Y573" s="11" t="n">
        <v>1.304618891197962</v>
      </c>
      <c r="Z573" s="13" t="n"/>
      <c r="AA573" s="8" t="inlineStr">
        <is>
          <t>FRAMEWORK_NOT_APPLICABLE (financial sector)</t>
        </is>
      </c>
      <c r="AB573" s="10" t="n"/>
      <c r="AC573" s="10" t="n">
        <v>0.7732745261652163</v>
      </c>
      <c r="AD573" s="12" t="n">
        <v>2099000000</v>
      </c>
    </row>
    <row r="574">
      <c r="A574" s="8" t="inlineStr">
        <is>
          <t>C</t>
        </is>
      </c>
      <c r="B574" s="8" t="inlineStr">
        <is>
          <t>CITIGROUP INC</t>
        </is>
      </c>
      <c r="C574" s="8" t="inlineStr">
        <is>
          <t>FINANCIAL</t>
        </is>
      </c>
      <c r="D574" s="8" t="n">
        <v>2021</v>
      </c>
      <c r="E574" s="8" t="inlineStr">
        <is>
          <t>2021-12-31</t>
        </is>
      </c>
      <c r="F574" s="8" t="inlineStr">
        <is>
          <t>0000831001-24-000033</t>
        </is>
      </c>
      <c r="G574" s="13" t="n">
        <v>71.884</v>
      </c>
      <c r="H574" s="13" t="n">
        <v>69.96299999999999</v>
      </c>
      <c r="I574" s="8" t="inlineStr">
        <is>
          <t>pretax_income + interest_expense</t>
        </is>
      </c>
      <c r="J574" s="13" t="n">
        <v>21.952</v>
      </c>
      <c r="K574" s="10" t="n">
        <v>0.198441879937384</v>
      </c>
      <c r="L574" s="13" t="n">
        <v>56.07941075394081</v>
      </c>
      <c r="M574" s="13" t="n"/>
      <c r="N574" s="13" t="n"/>
      <c r="O574" s="10" t="n"/>
      <c r="P574" s="8" t="inlineStr">
        <is>
          <t>FRAMEWORK_NOT_APPLICABLE</t>
        </is>
      </c>
      <c r="Q574" s="10" t="n">
        <v>0.10937336515418</v>
      </c>
      <c r="R574" s="10" t="n"/>
      <c r="S574" s="13" t="n">
        <v>201.972</v>
      </c>
      <c r="T574" s="13" t="n">
        <v>262.033</v>
      </c>
      <c r="U574" s="13" t="n">
        <v>282.347</v>
      </c>
      <c r="V574" s="8" t="inlineStr">
        <is>
          <t>short-term + long-term</t>
        </is>
      </c>
      <c r="W574" s="13" t="n">
        <v>73.92700000000001</v>
      </c>
      <c r="X574" s="11" t="n">
        <v>0.2747845847931067</v>
      </c>
      <c r="Y574" s="11" t="n">
        <v>1.646420671153575</v>
      </c>
      <c r="Z574" s="13" t="n"/>
      <c r="AA574" s="8" t="inlineStr">
        <is>
          <t>FRAMEWORK_NOT_APPLICABLE (financial sector)</t>
        </is>
      </c>
      <c r="AB574" s="10" t="n"/>
      <c r="AC574" s="10" t="n">
        <v>0.973276389739024</v>
      </c>
      <c r="AD574" s="12" t="n">
        <v>2049400000</v>
      </c>
    </row>
    <row r="575">
      <c r="A575" s="8" t="inlineStr">
        <is>
          <t>C</t>
        </is>
      </c>
      <c r="B575" s="8" t="inlineStr">
        <is>
          <t>CITIGROUP INC</t>
        </is>
      </c>
      <c r="C575" s="8" t="inlineStr">
        <is>
          <t>FINANCIAL</t>
        </is>
      </c>
      <c r="D575" s="8" t="n">
        <v>2022</v>
      </c>
      <c r="E575" s="8" t="inlineStr">
        <is>
          <t>2022-12-31</t>
        </is>
      </c>
      <c r="F575" s="8" t="inlineStr">
        <is>
          <t>0000831001-25-000067</t>
        </is>
      </c>
      <c r="G575" s="13" t="n">
        <v>75.33799999999999</v>
      </c>
      <c r="H575" s="13" t="n">
        <v>67.47499999999999</v>
      </c>
      <c r="I575" s="8" t="inlineStr">
        <is>
          <t>pretax_income + interest_expense</t>
        </is>
      </c>
      <c r="J575" s="13" t="n">
        <v>14.845</v>
      </c>
      <c r="K575" s="10" t="n">
        <v>0.1936513000478545</v>
      </c>
      <c r="L575" s="13" t="n">
        <v>54.40837852927101</v>
      </c>
      <c r="M575" s="13" t="n"/>
      <c r="N575" s="13" t="n"/>
      <c r="O575" s="10" t="n"/>
      <c r="P575" s="8" t="inlineStr">
        <is>
          <t>FRAMEWORK_NOT_APPLICABLE</t>
        </is>
      </c>
      <c r="Q575" s="10" t="n">
        <v>0.07364303590873125</v>
      </c>
      <c r="R575" s="10" t="n"/>
      <c r="S575" s="13" t="n">
        <v>201.189</v>
      </c>
      <c r="T575" s="13" t="n">
        <v>342.025</v>
      </c>
      <c r="U575" s="13" t="n">
        <v>318.702</v>
      </c>
      <c r="V575" s="8" t="inlineStr">
        <is>
          <t>short-term + long-term</t>
        </is>
      </c>
      <c r="W575" s="13" t="n">
        <v>71.73699999999999</v>
      </c>
      <c r="X575" s="11" t="n">
        <v>-0.3251181398720326</v>
      </c>
      <c r="Y575" s="11" t="n">
        <v>1.386434618229638</v>
      </c>
      <c r="Z575" s="13" t="n"/>
      <c r="AA575" s="8" t="inlineStr">
        <is>
          <t>FRAMEWORK_NOT_APPLICABLE (financial sector)</t>
        </is>
      </c>
      <c r="AB575" s="10" t="n"/>
      <c r="AC575" s="10" t="n">
        <v>0.8956303591812896</v>
      </c>
      <c r="AD575" s="12" t="n">
        <v>1964300000</v>
      </c>
    </row>
    <row r="576">
      <c r="A576" s="8" t="inlineStr">
        <is>
          <t>C</t>
        </is>
      </c>
      <c r="B576" s="8" t="inlineStr">
        <is>
          <t>CITIGROUP INC</t>
        </is>
      </c>
      <c r="C576" s="8" t="inlineStr">
        <is>
          <t>FINANCIAL</t>
        </is>
      </c>
      <c r="D576" s="8" t="n">
        <v>2023</v>
      </c>
      <c r="E576" s="8" t="inlineStr">
        <is>
          <t>2023-12-31</t>
        </is>
      </c>
      <c r="F576" s="8" t="inlineStr">
        <is>
          <t>0000831001-26-000011</t>
        </is>
      </c>
      <c r="G576" s="13" t="n">
        <v>78.066</v>
      </c>
      <c r="H576" s="13" t="n">
        <v>67.81</v>
      </c>
      <c r="I576" s="8" t="inlineStr">
        <is>
          <t>pretax_income + interest_expense</t>
        </is>
      </c>
      <c r="J576" s="13" t="n">
        <v>9.228</v>
      </c>
      <c r="K576" s="10" t="n">
        <v>0.2732765298218435</v>
      </c>
      <c r="L576" s="13" t="n">
        <v>49.27911851278078</v>
      </c>
      <c r="M576" s="13" t="n"/>
      <c r="N576" s="13" t="n"/>
      <c r="O576" s="10" t="n"/>
      <c r="P576" s="8" t="inlineStr">
        <is>
          <t>FRAMEWORK_NOT_APPLICABLE</t>
        </is>
      </c>
      <c r="Q576" s="10" t="n">
        <v>0.04538635950049429</v>
      </c>
      <c r="R576" s="10" t="n"/>
      <c r="S576" s="13" t="n">
        <v>205.453</v>
      </c>
      <c r="T576" s="13" t="n">
        <v>260.932</v>
      </c>
      <c r="U576" s="13" t="n">
        <v>324.076</v>
      </c>
      <c r="V576" s="8" t="inlineStr">
        <is>
          <t>short-term + long-term</t>
        </is>
      </c>
      <c r="W576" s="13" t="n">
        <v>72.37</v>
      </c>
      <c r="X576" s="11" t="n">
        <v>0.8725162360093962</v>
      </c>
      <c r="Y576" s="11" t="n">
        <v>1.235154826958106</v>
      </c>
      <c r="Z576" s="13" t="n"/>
      <c r="AA576" s="8" t="inlineStr">
        <is>
          <t>FRAMEWORK_NOT_APPLICABLE (financial sector)</t>
        </is>
      </c>
      <c r="AB576" s="10" t="n"/>
      <c r="AC576" s="10" t="n">
        <v>0.8686239848333461</v>
      </c>
      <c r="AD576" s="12" t="n">
        <v>1955800000</v>
      </c>
    </row>
    <row r="577">
      <c r="A577" s="8" t="inlineStr">
        <is>
          <t>C</t>
        </is>
      </c>
      <c r="B577" s="8" t="inlineStr">
        <is>
          <t>CITIGROUP INC</t>
        </is>
      </c>
      <c r="C577" s="8" t="inlineStr">
        <is>
          <t>FINANCIAL</t>
        </is>
      </c>
      <c r="D577" s="8" t="n">
        <v>2024</v>
      </c>
      <c r="E577" s="8" t="inlineStr">
        <is>
          <t>2024-12-31</t>
        </is>
      </c>
      <c r="F577" s="8" t="inlineStr">
        <is>
          <t>0000831001-26-000011</t>
        </is>
      </c>
      <c r="G577" s="13" t="n">
        <v>80.72199999999999</v>
      </c>
      <c r="H577" s="13" t="n">
        <v>71.14100000000001</v>
      </c>
      <c r="I577" s="8" t="inlineStr">
        <is>
          <t>pretax_income + interest_expense</t>
        </is>
      </c>
      <c r="J577" s="13" t="n">
        <v>12.682</v>
      </c>
      <c r="K577" s="10" t="n">
        <v>0.247037428135633</v>
      </c>
      <c r="L577" s="13" t="n">
        <v>53.56651032500293</v>
      </c>
      <c r="M577" s="13" t="n"/>
      <c r="N577" s="13" t="n"/>
      <c r="O577" s="10" t="n"/>
      <c r="P577" s="8" t="inlineStr">
        <is>
          <t>FRAMEWORK_NOT_APPLICABLE</t>
        </is>
      </c>
      <c r="Q577" s="10" t="n">
        <v>0.0612581541887352</v>
      </c>
      <c r="R577" s="10" t="n"/>
      <c r="S577" s="13" t="n">
        <v>208.598</v>
      </c>
      <c r="T577" s="13" t="n">
        <v>276.532</v>
      </c>
      <c r="U577" s="13" t="n">
        <v>335.805</v>
      </c>
      <c r="V577" s="8" t="inlineStr">
        <is>
          <t>short-term + long-term</t>
        </is>
      </c>
      <c r="W577" s="13" t="n">
        <v>75.452</v>
      </c>
      <c r="X577" s="11" t="n">
        <v>0.7855722843662196</v>
      </c>
      <c r="Y577" s="11" t="n">
        <v>1.315112302430909</v>
      </c>
      <c r="Z577" s="13" t="n"/>
      <c r="AA577" s="8" t="inlineStr">
        <is>
          <t>FRAMEWORK_NOT_APPLICABLE (financial sector)</t>
        </is>
      </c>
      <c r="AB577" s="10" t="n"/>
      <c r="AC577" s="10" t="n">
        <v>0.8813086890810435</v>
      </c>
      <c r="AD577" s="12" t="n">
        <v>1940100000</v>
      </c>
    </row>
    <row r="578">
      <c r="A578" s="8" t="inlineStr">
        <is>
          <t>C</t>
        </is>
      </c>
      <c r="B578" s="8" t="inlineStr">
        <is>
          <t>CITIGROUP INC</t>
        </is>
      </c>
      <c r="C578" s="8" t="inlineStr">
        <is>
          <t>FINANCIAL</t>
        </is>
      </c>
      <c r="D578" s="8" t="n">
        <v>2025</v>
      </c>
      <c r="E578" s="8" t="inlineStr">
        <is>
          <t>2025-12-31</t>
        </is>
      </c>
      <c r="F578" s="8" t="inlineStr">
        <is>
          <t>0000831001-26-000011</t>
        </is>
      </c>
      <c r="G578" s="13" t="n">
        <v>85.22499999999999</v>
      </c>
      <c r="H578" s="13" t="n">
        <v>79.62</v>
      </c>
      <c r="I578" s="8" t="inlineStr">
        <is>
          <t>pretax_income + interest_expense</t>
        </is>
      </c>
      <c r="J578" s="13" t="n">
        <v>14.306</v>
      </c>
      <c r="K578" s="10" t="n">
        <v>0.2709804317127295</v>
      </c>
      <c r="L578" s="13" t="n">
        <v>58.04453802703248</v>
      </c>
      <c r="M578" s="13" t="n"/>
      <c r="N578" s="13" t="n"/>
      <c r="O578" s="10" t="n"/>
      <c r="P578" s="8" t="inlineStr">
        <is>
          <t>FRAMEWORK_NOT_APPLICABLE</t>
        </is>
      </c>
      <c r="Q578" s="10" t="n">
        <v>0.0679799186959032</v>
      </c>
      <c r="R578" s="10" t="n"/>
      <c r="S578" s="13" t="n">
        <v>212.291</v>
      </c>
      <c r="T578" s="13" t="n">
        <v>349.579</v>
      </c>
      <c r="U578" s="13" t="n">
        <v>367.705</v>
      </c>
      <c r="V578" s="8" t="inlineStr">
        <is>
          <t>short-term + long-term</t>
        </is>
      </c>
      <c r="W578" s="13" t="n">
        <v>83.99299999999999</v>
      </c>
      <c r="X578" s="11" t="n">
        <v>0.2158036979272082</v>
      </c>
      <c r="Y578" s="11" t="n">
        <v>1.331616269735082</v>
      </c>
      <c r="Z578" s="13" t="n"/>
      <c r="AA578" s="8" t="inlineStr">
        <is>
          <t>FRAMEWORK_NOT_APPLICABLE (financial sector)</t>
        </is>
      </c>
      <c r="AB578" s="10" t="n"/>
      <c r="AC578" s="10" t="n">
        <v>0.9342329128776767</v>
      </c>
      <c r="AD578" s="12" t="n">
        <v>1873100000</v>
      </c>
    </row>
    <row r="579">
      <c r="A579" s="8" t="inlineStr">
        <is>
          <t>IBM</t>
        </is>
      </c>
      <c r="B579" s="8" t="inlineStr">
        <is>
          <t>INTERNATIONAL BUSINESS MACHINES CORP</t>
        </is>
      </c>
      <c r="C579" s="8" t="inlineStr">
        <is>
          <t>STANDARD</t>
        </is>
      </c>
      <c r="D579" s="8" t="n">
        <v>2014</v>
      </c>
      <c r="E579" s="8" t="n"/>
      <c r="F579" s="8" t="n"/>
      <c r="G579" s="13" t="n">
        <v>92.79300000000001</v>
      </c>
      <c r="H579" s="13" t="n">
        <v>20.47</v>
      </c>
      <c r="I579" s="8" t="inlineStr">
        <is>
          <t>pretax_income + interest_expense</t>
        </is>
      </c>
      <c r="J579" s="13" t="n"/>
      <c r="K579" s="10" t="n">
        <v>0.211848293805664</v>
      </c>
      <c r="L579" s="13" t="n">
        <v>16.13346542579806</v>
      </c>
      <c r="M579" s="13" t="n">
        <v>38.383</v>
      </c>
      <c r="N579" s="13" t="n">
        <v>38.383</v>
      </c>
      <c r="O579" s="10" t="n">
        <v>0.4203284116874152</v>
      </c>
      <c r="P579" s="8" t="inlineStr">
        <is>
          <t>OK</t>
        </is>
      </c>
      <c r="Q579" s="10" t="n"/>
      <c r="R579" s="10" t="n"/>
      <c r="S579" s="13" t="n">
        <v>11.868</v>
      </c>
      <c r="T579" s="13" t="n">
        <v>8.476000000000001</v>
      </c>
      <c r="U579" s="13" t="n">
        <v>34.991</v>
      </c>
      <c r="V579" s="8" t="inlineStr">
        <is>
          <t>long-term only (no short-term debt tagged; read as nil)</t>
        </is>
      </c>
      <c r="W579" s="13" t="n">
        <v>23.615</v>
      </c>
      <c r="X579" s="11" t="n">
        <v>1.122803302985391</v>
      </c>
      <c r="Y579" s="11" t="n">
        <v>42.29338842975206</v>
      </c>
      <c r="Z579" s="13" t="n">
        <v>13.128</v>
      </c>
      <c r="AA579" s="8" t="inlineStr">
        <is>
          <t>operating cash flow - capex (working-capital swing already embedded)</t>
        </is>
      </c>
      <c r="AB579" s="10" t="n">
        <v>0.1414761889366655</v>
      </c>
      <c r="AC579" s="10" t="n">
        <v>0.2205985365275398</v>
      </c>
      <c r="AD579" s="12" t="n">
        <v>990523759</v>
      </c>
    </row>
    <row r="580">
      <c r="A580" s="8" t="inlineStr">
        <is>
          <t>IBM</t>
        </is>
      </c>
      <c r="B580" s="8" t="inlineStr">
        <is>
          <t>INTERNATIONAL BUSINESS MACHINES CORP</t>
        </is>
      </c>
      <c r="C580" s="8" t="inlineStr">
        <is>
          <t>STANDARD</t>
        </is>
      </c>
      <c r="D580" s="8" t="n">
        <v>2015</v>
      </c>
      <c r="E580" s="8" t="inlineStr">
        <is>
          <t>2015-12-31</t>
        </is>
      </c>
      <c r="F580" s="8" t="inlineStr">
        <is>
          <t>0001047469-18-001117</t>
        </is>
      </c>
      <c r="G580" s="13" t="n">
        <v>81.741</v>
      </c>
      <c r="H580" s="13" t="n">
        <v>16.413</v>
      </c>
      <c r="I580" s="8" t="inlineStr">
        <is>
          <t>pretax_income + interest_expense</t>
        </is>
      </c>
      <c r="J580" s="13" t="n">
        <v>13.19</v>
      </c>
      <c r="K580" s="10" t="n">
        <v>0.1618689244277203</v>
      </c>
      <c r="L580" s="13" t="n">
        <v>13.75624534336783</v>
      </c>
      <c r="M580" s="13" t="n">
        <v>40.004</v>
      </c>
      <c r="N580" s="13" t="n">
        <v>39.1935</v>
      </c>
      <c r="O580" s="10" t="n">
        <v>0.3509828247890039</v>
      </c>
      <c r="P580" s="8" t="inlineStr">
        <is>
          <t>OK</t>
        </is>
      </c>
      <c r="Q580" s="10" t="n">
        <v>1.00956754688098</v>
      </c>
      <c r="R580" s="10" t="n">
        <v>0.6585847220919758</v>
      </c>
      <c r="S580" s="13" t="n">
        <v>14.262</v>
      </c>
      <c r="T580" s="13" t="n">
        <v>7.686</v>
      </c>
      <c r="U580" s="13" t="n">
        <v>33.428</v>
      </c>
      <c r="V580" s="8" t="inlineStr">
        <is>
          <t>long-term only (no short-term debt tagged; read as nil)</t>
        </is>
      </c>
      <c r="W580" s="13" t="n">
        <v>19.075</v>
      </c>
      <c r="X580" s="11" t="n">
        <v>1.349515072083879</v>
      </c>
      <c r="Y580" s="11" t="n">
        <v>35.07051282051282</v>
      </c>
      <c r="Z580" s="13" t="n">
        <v>11.044</v>
      </c>
      <c r="AA580" s="8" t="inlineStr">
        <is>
          <t>net income + D&amp;A - capex - change in operating working capital (cash and short-term debt excluded)</t>
        </is>
      </c>
      <c r="AB580" s="10" t="n">
        <v>0.1351096756829498</v>
      </c>
      <c r="AC580" s="10" t="n">
        <v>0.2007927478254487</v>
      </c>
      <c r="AD580" s="12" t="n">
        <v>965728725</v>
      </c>
    </row>
    <row r="581">
      <c r="A581" s="8" t="inlineStr">
        <is>
          <t>IBM</t>
        </is>
      </c>
      <c r="B581" s="8" t="inlineStr">
        <is>
          <t>INTERNATIONAL BUSINESS MACHINES CORP</t>
        </is>
      </c>
      <c r="C581" s="8" t="inlineStr">
        <is>
          <t>STANDARD</t>
        </is>
      </c>
      <c r="D581" s="8" t="n">
        <v>2016</v>
      </c>
      <c r="E581" s="8" t="inlineStr">
        <is>
          <t>2016-12-31</t>
        </is>
      </c>
      <c r="F581" s="8" t="inlineStr">
        <is>
          <t>0001047469-19-000712</t>
        </is>
      </c>
      <c r="G581" s="13" t="n">
        <v>79.919</v>
      </c>
      <c r="H581" s="13" t="n">
        <v>12.96</v>
      </c>
      <c r="I581" s="8" t="inlineStr">
        <is>
          <t>pretax_income + interest_expense</t>
        </is>
      </c>
      <c r="J581" s="13" t="n">
        <v>11.872</v>
      </c>
      <c r="K581" s="10" t="n">
        <v>0.05</v>
      </c>
      <c r="L581" s="13" t="n">
        <v>12.312</v>
      </c>
      <c r="M581" s="13" t="n">
        <v>45.075</v>
      </c>
      <c r="N581" s="13" t="n">
        <v>42.5395</v>
      </c>
      <c r="O581" s="10" t="n">
        <v>0.289425122533175</v>
      </c>
      <c r="P581" s="8" t="inlineStr">
        <is>
          <t>OK</t>
        </is>
      </c>
      <c r="Q581" s="10" t="n">
        <v>0.7304048234280792</v>
      </c>
      <c r="R581" s="10" t="n">
        <v>0.4409797008949042</v>
      </c>
      <c r="S581" s="13" t="n">
        <v>18.246</v>
      </c>
      <c r="T581" s="13" t="n">
        <v>7.826</v>
      </c>
      <c r="U581" s="13" t="n">
        <v>34.655</v>
      </c>
      <c r="V581" s="8" t="inlineStr">
        <is>
          <t>long-term only (no short-term debt tagged; read as nil)</t>
        </is>
      </c>
      <c r="W581" s="13" t="n">
        <v>15.797</v>
      </c>
      <c r="X581" s="11" t="n">
        <v>1.698360448186365</v>
      </c>
      <c r="Y581" s="11" t="n">
        <v>20.57142857142857</v>
      </c>
      <c r="Z581" s="13" t="n">
        <v>11.904</v>
      </c>
      <c r="AA581" s="8" t="inlineStr">
        <is>
          <t>net income + D&amp;A - capex - change in operating working capital (cash and short-term debt excluded)</t>
        </is>
      </c>
      <c r="AB581" s="10" t="n">
        <v>0.1489508126978566</v>
      </c>
      <c r="AC581" s="10" t="n">
        <v>0.1621641912436342</v>
      </c>
      <c r="AD581" s="12" t="n">
        <v>945867403</v>
      </c>
    </row>
    <row r="582">
      <c r="A582" s="8" t="inlineStr">
        <is>
          <t>IBM</t>
        </is>
      </c>
      <c r="B582" s="8" t="inlineStr">
        <is>
          <t>INTERNATIONAL BUSINESS MACHINES CORP</t>
        </is>
      </c>
      <c r="C582" s="8" t="inlineStr">
        <is>
          <t>STANDARD</t>
        </is>
      </c>
      <c r="D582" s="8" t="n">
        <v>2017</v>
      </c>
      <c r="E582" s="8" t="inlineStr">
        <is>
          <t>2017-12-31</t>
        </is>
      </c>
      <c r="F582" s="8" t="inlineStr">
        <is>
          <t>0001558370-20-001334</t>
        </is>
      </c>
      <c r="G582" s="13" t="n">
        <v>79.139</v>
      </c>
      <c r="H582" s="13" t="n">
        <v>12.015</v>
      </c>
      <c r="I582" s="8" t="inlineStr">
        <is>
          <t>pretax_income + interest_expense</t>
        </is>
      </c>
      <c r="J582" s="13" t="n">
        <v>5.753</v>
      </c>
      <c r="K582" s="10" t="n">
        <v>0.4</v>
      </c>
      <c r="L582" s="13" t="n">
        <v>7.209</v>
      </c>
      <c r="M582" s="13" t="n">
        <v>45.459</v>
      </c>
      <c r="N582" s="13" t="n">
        <v>45.267</v>
      </c>
      <c r="O582" s="10" t="n">
        <v>0.1592550864868447</v>
      </c>
      <c r="P582" s="8" t="inlineStr">
        <is>
          <t>OK</t>
        </is>
      </c>
      <c r="Q582" s="10" t="n">
        <v>0.3210379464285714</v>
      </c>
      <c r="R582" s="10" t="n">
        <v>0.1617828599417267</v>
      </c>
      <c r="S582" s="13" t="n">
        <v>17.594</v>
      </c>
      <c r="T582" s="13" t="n">
        <v>11.972</v>
      </c>
      <c r="U582" s="13" t="n">
        <v>39.837</v>
      </c>
      <c r="V582" s="8" t="inlineStr">
        <is>
          <t>long-term only (no short-term debt tagged; read as nil)</t>
        </is>
      </c>
      <c r="W582" s="13" t="n">
        <v>15.036</v>
      </c>
      <c r="X582" s="11" t="n">
        <v>1.853218941207768</v>
      </c>
      <c r="Y582" s="11" t="n">
        <v>19.53658536585366</v>
      </c>
      <c r="Z582" s="13" t="n">
        <v>4.932</v>
      </c>
      <c r="AA582" s="8" t="inlineStr">
        <is>
          <t>net income + D&amp;A - capex - change in operating working capital (cash and short-term debt excluded)</t>
        </is>
      </c>
      <c r="AB582" s="10" t="n">
        <v>0.06232072682242636</v>
      </c>
      <c r="AC582" s="10" t="n">
        <v>0.1518214786641226</v>
      </c>
      <c r="AD582" s="12" t="n">
        <v>922179225</v>
      </c>
    </row>
    <row r="583">
      <c r="A583" s="8" t="inlineStr">
        <is>
          <t>IBM</t>
        </is>
      </c>
      <c r="B583" s="8" t="inlineStr">
        <is>
          <t>INTERNATIONAL BUSINESS MACHINES CORP</t>
        </is>
      </c>
      <c r="C583" s="8" t="inlineStr">
        <is>
          <t>STANDARD</t>
        </is>
      </c>
      <c r="D583" s="8" t="n">
        <v>2018</v>
      </c>
      <c r="E583" s="8" t="inlineStr">
        <is>
          <t>2018-12-31</t>
        </is>
      </c>
      <c r="F583" s="8" t="inlineStr">
        <is>
          <t>0001558370-21-001489</t>
        </is>
      </c>
      <c r="G583" s="13" t="n">
        <v>79.59099999999999</v>
      </c>
      <c r="H583" s="13" t="n">
        <v>12.065</v>
      </c>
      <c r="I583" s="8" t="inlineStr">
        <is>
          <t>pretax_income + interest_expense</t>
        </is>
      </c>
      <c r="J583" s="13" t="n">
        <v>8.728</v>
      </c>
      <c r="K583" s="10" t="n">
        <v>0.2309116557926292</v>
      </c>
      <c r="L583" s="13" t="n">
        <v>9.279050872861928</v>
      </c>
      <c r="M583" s="13" t="n">
        <v>51.229</v>
      </c>
      <c r="N583" s="13" t="n">
        <v>48.344</v>
      </c>
      <c r="O583" s="10" t="n">
        <v>0.1919380041548471</v>
      </c>
      <c r="P583" s="8" t="inlineStr">
        <is>
          <t>OK</t>
        </is>
      </c>
      <c r="Q583" s="10" t="n">
        <v>0.5075894155277697</v>
      </c>
      <c r="R583" s="10" t="n">
        <v>0.3156514113729226</v>
      </c>
      <c r="S583" s="13" t="n">
        <v>16.796</v>
      </c>
      <c r="T583" s="13" t="n">
        <v>11.379</v>
      </c>
      <c r="U583" s="13" t="n">
        <v>45.812</v>
      </c>
      <c r="V583" s="8" t="inlineStr">
        <is>
          <t>short-term + long-term</t>
        </is>
      </c>
      <c r="W583" s="13" t="n">
        <v>15.192</v>
      </c>
      <c r="X583" s="11" t="n">
        <v>2.266521853607162</v>
      </c>
      <c r="Y583" s="11" t="n">
        <v>16.68741355463347</v>
      </c>
      <c r="Z583" s="13" t="n">
        <v>-0.887</v>
      </c>
      <c r="AA583" s="8" t="inlineStr">
        <is>
          <t>net income + D&amp;A - capex - change in operating working capital (cash and short-term debt excluded)</t>
        </is>
      </c>
      <c r="AB583" s="10" t="n">
        <v>-0.01114447613423628</v>
      </c>
      <c r="AC583" s="10" t="n">
        <v>0.1515874910479828</v>
      </c>
      <c r="AD583" s="12" t="n">
        <v>892479411</v>
      </c>
    </row>
    <row r="584">
      <c r="A584" s="8" t="inlineStr">
        <is>
          <t>IBM</t>
        </is>
      </c>
      <c r="B584" s="8" t="inlineStr">
        <is>
          <t>INTERNATIONAL BUSINESS MACHINES CORP</t>
        </is>
      </c>
      <c r="C584" s="8" t="inlineStr">
        <is>
          <t>STANDARD</t>
        </is>
      </c>
      <c r="D584" s="8" t="n">
        <v>2019</v>
      </c>
      <c r="E584" s="8" t="inlineStr">
        <is>
          <t>2019-12-31</t>
        </is>
      </c>
      <c r="F584" s="8" t="inlineStr">
        <is>
          <t>0001558370-22-001584</t>
        </is>
      </c>
      <c r="G584" s="13" t="n">
        <v>57.714</v>
      </c>
      <c r="H584" s="13" t="n">
        <v>8.550000000000001</v>
      </c>
      <c r="I584" s="8" t="inlineStr">
        <is>
          <t>pretax_income + interest_expense</t>
        </is>
      </c>
      <c r="J584" s="13" t="n">
        <v>9.430999999999999</v>
      </c>
      <c r="K584" s="10" t="n">
        <v>0.05</v>
      </c>
      <c r="L584" s="13" t="n">
        <v>8.1225</v>
      </c>
      <c r="M584" s="13" t="n">
        <v>75.568</v>
      </c>
      <c r="N584" s="13" t="n">
        <v>63.3985</v>
      </c>
      <c r="O584" s="10" t="n">
        <v>0.1281181731428977</v>
      </c>
      <c r="P584" s="8" t="inlineStr">
        <is>
          <t>OK</t>
        </is>
      </c>
      <c r="Q584" s="10" t="n">
        <v>0.5011557775593166</v>
      </c>
      <c r="R584" s="10" t="n">
        <v>0.3730376044164189</v>
      </c>
      <c r="S584" s="13" t="n">
        <v>20.841</v>
      </c>
      <c r="T584" s="13" t="n">
        <v>8.172000000000001</v>
      </c>
      <c r="U584" s="13" t="n">
        <v>62.899</v>
      </c>
      <c r="V584" s="8" t="inlineStr">
        <is>
          <t>short-term + long-term</t>
        </is>
      </c>
      <c r="W584" s="13" t="n">
        <v>12.759</v>
      </c>
      <c r="X584" s="11" t="n">
        <v>4.289285994200172</v>
      </c>
      <c r="Y584" s="11" t="n">
        <v>6.361607142857143</v>
      </c>
      <c r="Z584" s="13" t="n">
        <v>19.757</v>
      </c>
      <c r="AA584" s="8" t="inlineStr">
        <is>
          <t>net income + D&amp;A - capex - change in operating working capital (cash and short-term debt excluded)</t>
        </is>
      </c>
      <c r="AB584" s="10" t="n">
        <v>0.3423259521086738</v>
      </c>
      <c r="AC584" s="10" t="n">
        <v>0.1481442977440482</v>
      </c>
      <c r="AD584" s="12" t="n">
        <v>887110455</v>
      </c>
    </row>
    <row r="585">
      <c r="A585" s="8" t="inlineStr">
        <is>
          <t>IBM</t>
        </is>
      </c>
      <c r="B585" s="8" t="inlineStr">
        <is>
          <t>INTERNATIONAL BUSINESS MACHINES CORP</t>
        </is>
      </c>
      <c r="C585" s="8" t="inlineStr">
        <is>
          <t>STANDARD</t>
        </is>
      </c>
      <c r="D585" s="8" t="n">
        <v>2020</v>
      </c>
      <c r="E585" s="8" t="inlineStr">
        <is>
          <t>2020-12-31</t>
        </is>
      </c>
      <c r="F585" s="8" t="inlineStr">
        <is>
          <t>0001558370-23-002376</t>
        </is>
      </c>
      <c r="G585" s="13" t="n">
        <v>55.179</v>
      </c>
      <c r="H585" s="13" t="n">
        <v>3.86</v>
      </c>
      <c r="I585" s="8" t="inlineStr">
        <is>
          <t>pretax_income + interest_expense</t>
        </is>
      </c>
      <c r="J585" s="13" t="n">
        <v>5.59</v>
      </c>
      <c r="K585" s="10" t="n">
        <v>0.05</v>
      </c>
      <c r="L585" s="13" t="n">
        <v>3.667</v>
      </c>
      <c r="M585" s="13" t="n">
        <v>68.742</v>
      </c>
      <c r="N585" s="13" t="n">
        <v>72.155</v>
      </c>
      <c r="O585" s="10" t="n">
        <v>0.05082114891552907</v>
      </c>
      <c r="P585" s="8" t="inlineStr">
        <is>
          <t>OK</t>
        </is>
      </c>
      <c r="Q585" s="10" t="n">
        <v>0.2698006660553116</v>
      </c>
      <c r="R585" s="10" t="n">
        <v>0.2189795171397825</v>
      </c>
      <c r="S585" s="13" t="n">
        <v>20.597</v>
      </c>
      <c r="T585" s="13" t="n">
        <v>13.188</v>
      </c>
      <c r="U585" s="13" t="n">
        <v>61.333</v>
      </c>
      <c r="V585" s="8" t="inlineStr">
        <is>
          <t>short-term + long-term</t>
        </is>
      </c>
      <c r="W585" s="13" t="n">
        <v>8.087</v>
      </c>
      <c r="X585" s="11" t="n">
        <v>5.953381971064672</v>
      </c>
      <c r="Y585" s="11" t="n">
        <v>2.996894409937888</v>
      </c>
      <c r="Z585" s="13" t="n">
        <v>15.319</v>
      </c>
      <c r="AA585" s="8" t="inlineStr">
        <is>
          <t>net income + D&amp;A - capex - change in operating working capital (cash and short-term debt excluded)</t>
        </is>
      </c>
      <c r="AB585" s="10" t="n">
        <v>0.2776237336667935</v>
      </c>
      <c r="AC585" s="10" t="n">
        <v>0.06995414922343646</v>
      </c>
      <c r="AD585" s="12" t="n">
        <v>892653424</v>
      </c>
    </row>
    <row r="586">
      <c r="A586" s="8" t="inlineStr">
        <is>
          <t>IBM</t>
        </is>
      </c>
      <c r="B586" s="8" t="inlineStr">
        <is>
          <t>INTERNATIONAL BUSINESS MACHINES CORP</t>
        </is>
      </c>
      <c r="C586" s="8" t="inlineStr">
        <is>
          <t>STANDARD</t>
        </is>
      </c>
      <c r="D586" s="8" t="n">
        <v>2021</v>
      </c>
      <c r="E586" s="8" t="inlineStr">
        <is>
          <t>2021-12-31</t>
        </is>
      </c>
      <c r="F586" s="8" t="inlineStr">
        <is>
          <t>0000051143-24-000012</t>
        </is>
      </c>
      <c r="G586" s="13" t="n">
        <v>57.35</v>
      </c>
      <c r="H586" s="13" t="n">
        <v>5.992</v>
      </c>
      <c r="I586" s="8" t="inlineStr">
        <is>
          <t>pretax_income + interest_expense</t>
        </is>
      </c>
      <c r="J586" s="13" t="n">
        <v>5.743</v>
      </c>
      <c r="K586" s="10" t="n">
        <v>0.05</v>
      </c>
      <c r="L586" s="13" t="n">
        <v>5.6924</v>
      </c>
      <c r="M586" s="13" t="n">
        <v>63.955</v>
      </c>
      <c r="N586" s="13" t="n">
        <v>66.3485</v>
      </c>
      <c r="O586" s="10" t="n">
        <v>0.08579545882725306</v>
      </c>
      <c r="P586" s="8" t="inlineStr">
        <is>
          <t>OK</t>
        </is>
      </c>
      <c r="Q586" s="10" t="n">
        <v>0.290799534153628</v>
      </c>
      <c r="R586" s="10" t="n">
        <v>0.205004075326375</v>
      </c>
      <c r="S586" s="13" t="n">
        <v>18.901</v>
      </c>
      <c r="T586" s="13" t="n">
        <v>6.65</v>
      </c>
      <c r="U586" s="13" t="n">
        <v>51.704</v>
      </c>
      <c r="V586" s="8" t="inlineStr">
        <is>
          <t>short-term + long-term</t>
        </is>
      </c>
      <c r="W586" s="13" t="n">
        <v>9.880000000000001</v>
      </c>
      <c r="X586" s="11" t="n">
        <v>4.560121457489879</v>
      </c>
      <c r="Y586" s="11" t="n">
        <v>5.187878787878788</v>
      </c>
      <c r="Z586" s="13" t="n">
        <v>4.736</v>
      </c>
      <c r="AA586" s="8" t="inlineStr">
        <is>
          <t>net income + D&amp;A - capex - change in operating working capital (cash and short-term debt excluded)</t>
        </is>
      </c>
      <c r="AB586" s="10" t="n">
        <v>0.08258064516129032</v>
      </c>
      <c r="AC586" s="10" t="n">
        <v>0.1044812554489974</v>
      </c>
      <c r="AD586" s="12" t="n">
        <v>898068600</v>
      </c>
    </row>
    <row r="587">
      <c r="A587" s="8" t="inlineStr">
        <is>
          <t>IBM</t>
        </is>
      </c>
      <c r="B587" s="8" t="inlineStr">
        <is>
          <t>INTERNATIONAL BUSINESS MACHINES CORP</t>
        </is>
      </c>
      <c r="C587" s="8" t="inlineStr">
        <is>
          <t>STANDARD</t>
        </is>
      </c>
      <c r="D587" s="8" t="n">
        <v>2022</v>
      </c>
      <c r="E587" s="8" t="inlineStr">
        <is>
          <t>2022-12-31</t>
        </is>
      </c>
      <c r="F587" s="8" t="inlineStr">
        <is>
          <t>0000051143-25-000015</t>
        </is>
      </c>
      <c r="G587" s="13" t="n">
        <v>60.53</v>
      </c>
      <c r="H587" s="13" t="n">
        <v>2.372</v>
      </c>
      <c r="I587" s="8" t="inlineStr">
        <is>
          <t>pretax_income + interest_expense</t>
        </is>
      </c>
      <c r="J587" s="13" t="n">
        <v>1.639</v>
      </c>
      <c r="K587" s="10" t="n">
        <v>0.05</v>
      </c>
      <c r="L587" s="13" t="n">
        <v>2.2534</v>
      </c>
      <c r="M587" s="13" t="n">
        <v>65.00700000000001</v>
      </c>
      <c r="N587" s="13" t="n">
        <v>64.48099999999999</v>
      </c>
      <c r="O587" s="10" t="n">
        <v>0.0349467284936648</v>
      </c>
      <c r="P587" s="8" t="inlineStr">
        <is>
          <t>OK</t>
        </is>
      </c>
      <c r="Q587" s="10" t="n">
        <v>0.08025462112865712</v>
      </c>
      <c r="R587" s="10" t="n">
        <v>0.04530789263499232</v>
      </c>
      <c r="S587" s="13" t="n">
        <v>21.944</v>
      </c>
      <c r="T587" s="13" t="n">
        <v>7.886</v>
      </c>
      <c r="U587" s="13" t="n">
        <v>50.949</v>
      </c>
      <c r="V587" s="8" t="inlineStr">
        <is>
          <t>short-term + long-term</t>
        </is>
      </c>
      <c r="W587" s="13" t="n">
        <v>4.779</v>
      </c>
      <c r="X587" s="11" t="n">
        <v>9.01088093743461</v>
      </c>
      <c r="Y587" s="11" t="n">
        <v>1.950657894736842</v>
      </c>
      <c r="Z587" s="13" t="n">
        <v>4.27</v>
      </c>
      <c r="AA587" s="8" t="inlineStr">
        <is>
          <t>net income + D&amp;A - capex - change in operating working capital (cash and short-term debt excluded)</t>
        </is>
      </c>
      <c r="AB587" s="10" t="n">
        <v>0.0705435321328267</v>
      </c>
      <c r="AC587" s="10" t="n">
        <v>0.03918717991078804</v>
      </c>
      <c r="AD587" s="12" t="n">
        <v>906091977</v>
      </c>
    </row>
    <row r="588">
      <c r="A588" s="8" t="inlineStr">
        <is>
          <t>IBM</t>
        </is>
      </c>
      <c r="B588" s="8" t="inlineStr">
        <is>
          <t>INTERNATIONAL BUSINESS MACHINES CORP</t>
        </is>
      </c>
      <c r="C588" s="8" t="inlineStr">
        <is>
          <t>STANDARD</t>
        </is>
      </c>
      <c r="D588" s="8" t="n">
        <v>2023</v>
      </c>
      <c r="E588" s="8" t="inlineStr">
        <is>
          <t>2023-12-31</t>
        </is>
      </c>
      <c r="F588" s="8" t="inlineStr">
        <is>
          <t>0000051143-26-000010</t>
        </is>
      </c>
      <c r="G588" s="13" t="n">
        <v>61.86</v>
      </c>
      <c r="H588" s="13" t="n">
        <v>10.297</v>
      </c>
      <c r="I588" s="8" t="inlineStr">
        <is>
          <t>pretax_income + interest_expense</t>
        </is>
      </c>
      <c r="J588" s="13" t="n">
        <v>7.502</v>
      </c>
      <c r="K588" s="10" t="n">
        <v>0.1353279631760644</v>
      </c>
      <c r="L588" s="13" t="n">
        <v>8.903527963176066</v>
      </c>
      <c r="M588" s="13" t="n">
        <v>66.012</v>
      </c>
      <c r="N588" s="13" t="n">
        <v>65.5095</v>
      </c>
      <c r="O588" s="10" t="n">
        <v>0.1359120121993919</v>
      </c>
      <c r="P588" s="8" t="inlineStr">
        <is>
          <t>OK</t>
        </is>
      </c>
      <c r="Q588" s="10" t="n">
        <v>0.3373428963284394</v>
      </c>
      <c r="R588" s="10" t="n">
        <v>0.2014308841290475</v>
      </c>
      <c r="S588" s="13" t="n">
        <v>22.533</v>
      </c>
      <c r="T588" s="13" t="n">
        <v>13.068</v>
      </c>
      <c r="U588" s="13" t="n">
        <v>56.547</v>
      </c>
      <c r="V588" s="8" t="inlineStr">
        <is>
          <t>short-term + long-term</t>
        </is>
      </c>
      <c r="W588" s="13" t="n">
        <v>12.406</v>
      </c>
      <c r="X588" s="11" t="n">
        <v>3.504675157182009</v>
      </c>
      <c r="Y588" s="11" t="n">
        <v>6.407591785936527</v>
      </c>
      <c r="Z588" s="13" t="n">
        <v>10.709</v>
      </c>
      <c r="AA588" s="8" t="inlineStr">
        <is>
          <t>net income + D&amp;A - capex - change in operating working capital (cash and short-term debt excluded)</t>
        </is>
      </c>
      <c r="AB588" s="10" t="n">
        <v>0.1731167151632719</v>
      </c>
      <c r="AC588" s="10" t="n">
        <v>0.1664565147106369</v>
      </c>
      <c r="AD588" s="12" t="n">
        <v>915013646</v>
      </c>
    </row>
    <row r="589">
      <c r="A589" s="8" t="inlineStr">
        <is>
          <t>IBM</t>
        </is>
      </c>
      <c r="B589" s="8" t="inlineStr">
        <is>
          <t>INTERNATIONAL BUSINESS MACHINES CORP</t>
        </is>
      </c>
      <c r="C589" s="8" t="inlineStr">
        <is>
          <t>STANDARD</t>
        </is>
      </c>
      <c r="D589" s="8" t="n">
        <v>2024</v>
      </c>
      <c r="E589" s="8" t="inlineStr">
        <is>
          <t>2024-12-31</t>
        </is>
      </c>
      <c r="F589" s="8" t="inlineStr">
        <is>
          <t>0000051143-26-000010</t>
        </is>
      </c>
      <c r="G589" s="13" t="n">
        <v>62.753</v>
      </c>
      <c r="H589" s="13" t="n">
        <v>7.509</v>
      </c>
      <c r="I589" s="8" t="inlineStr">
        <is>
          <t>pretax_income + interest_expense</t>
        </is>
      </c>
      <c r="J589" s="13" t="n">
        <v>6.023</v>
      </c>
      <c r="K589" s="10" t="n">
        <v>0.05</v>
      </c>
      <c r="L589" s="13" t="n">
        <v>7.13355</v>
      </c>
      <c r="M589" s="13" t="n">
        <v>68.333</v>
      </c>
      <c r="N589" s="13" t="n">
        <v>67.1725</v>
      </c>
      <c r="O589" s="10" t="n">
        <v>0.1061974766459489</v>
      </c>
      <c r="P589" s="8" t="inlineStr">
        <is>
          <t>OK</t>
        </is>
      </c>
      <c r="Q589" s="10" t="n">
        <v>0.2416934189406099</v>
      </c>
      <c r="R589" s="10" t="n">
        <v>0.1354959422946611</v>
      </c>
      <c r="S589" s="13" t="n">
        <v>27.307</v>
      </c>
      <c r="T589" s="13" t="n">
        <v>13.947</v>
      </c>
      <c r="U589" s="13" t="n">
        <v>54.973</v>
      </c>
      <c r="V589" s="8" t="inlineStr">
        <is>
          <t>short-term + long-term</t>
        </is>
      </c>
      <c r="W589" s="13" t="n">
        <v>9.677</v>
      </c>
      <c r="X589" s="11" t="n">
        <v>4.239537046605353</v>
      </c>
      <c r="Y589" s="11" t="n">
        <v>4.386098130841122</v>
      </c>
      <c r="Z589" s="13" t="n">
        <v>6.805</v>
      </c>
      <c r="AA589" s="8" t="inlineStr">
        <is>
          <t>net income + D&amp;A - capex - change in operating working capital (cash and short-term debt excluded)</t>
        </is>
      </c>
      <c r="AB589" s="10" t="n">
        <v>0.1084410307076952</v>
      </c>
      <c r="AC589" s="10" t="n">
        <v>0.1196596178668749</v>
      </c>
      <c r="AD589" s="12" t="n">
        <v>926290070</v>
      </c>
    </row>
    <row r="590">
      <c r="A590" s="8" t="inlineStr">
        <is>
          <t>IBM</t>
        </is>
      </c>
      <c r="B590" s="8" t="inlineStr">
        <is>
          <t>INTERNATIONAL BUSINESS MACHINES CORP</t>
        </is>
      </c>
      <c r="C590" s="8" t="inlineStr">
        <is>
          <t>STANDARD</t>
        </is>
      </c>
      <c r="D590" s="8" t="n">
        <v>2025</v>
      </c>
      <c r="E590" s="8" t="inlineStr">
        <is>
          <t>2025-12-31</t>
        </is>
      </c>
      <c r="F590" s="8" t="inlineStr">
        <is>
          <t>0000051143-26-000010</t>
        </is>
      </c>
      <c r="G590" s="13" t="n">
        <v>67.535</v>
      </c>
      <c r="H590" s="13" t="n">
        <v>12.263</v>
      </c>
      <c r="I590" s="8" t="inlineStr">
        <is>
          <t>pretax_income + interest_expense</t>
        </is>
      </c>
      <c r="J590" s="13" t="n">
        <v>10.593</v>
      </c>
      <c r="K590" s="10" t="n">
        <v>0.05</v>
      </c>
      <c r="L590" s="13" t="n">
        <v>11.64985</v>
      </c>
      <c r="M590" s="13" t="n">
        <v>80.321</v>
      </c>
      <c r="N590" s="13" t="n">
        <v>74.327</v>
      </c>
      <c r="O590" s="10" t="n">
        <v>0.1567377938030595</v>
      </c>
      <c r="P590" s="8" t="inlineStr">
        <is>
          <t>OK</t>
        </is>
      </c>
      <c r="Q590" s="10" t="n">
        <v>0.3533650237678259</v>
      </c>
      <c r="R590" s="10" t="n">
        <v>0.1966272299647664</v>
      </c>
      <c r="S590" s="13" t="n">
        <v>32.648</v>
      </c>
      <c r="T590" s="13" t="n">
        <v>13.587</v>
      </c>
      <c r="U590" s="13" t="n">
        <v>61.26</v>
      </c>
      <c r="V590" s="8" t="inlineStr">
        <is>
          <t>short-term + long-term</t>
        </is>
      </c>
      <c r="W590" s="13" t="n">
        <v>14.547</v>
      </c>
      <c r="X590" s="11" t="n">
        <v>3.277170550628996</v>
      </c>
      <c r="Y590" s="11" t="n">
        <v>6.337467700258398</v>
      </c>
      <c r="Z590" s="13" t="n">
        <v>13.145</v>
      </c>
      <c r="AA590" s="8" t="inlineStr">
        <is>
          <t>net income + D&amp;A - capex - change in operating working capital (cash and short-term debt excluded)</t>
        </is>
      </c>
      <c r="AB590" s="10" t="n">
        <v>0.1946398163915007</v>
      </c>
      <c r="AC590" s="10" t="n">
        <v>0.1815799215221737</v>
      </c>
      <c r="AD590" s="12" t="n">
        <v>936952129</v>
      </c>
    </row>
  </sheetData>
  <autoFilter ref="A4:AD59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13" customWidth="1" min="4" max="4"/>
    <col width="12" customWidth="1" min="5" max="5"/>
    <col width="12" customWidth="1" min="6" max="6"/>
    <col width="74" customWidth="1" min="7" max="7"/>
    <col width="74" customWidth="1" min="8" max="8"/>
  </cols>
  <sheetData>
    <row r="1">
      <c r="A1" s="1" t="inlineStr">
        <is>
          <t>PHASE 6 — 출처 재검증</t>
        </is>
      </c>
    </row>
    <row r="2">
      <c r="A2" s="2" t="inlineStr">
        <is>
          <t>각 수치를 해당 10-K 원문의 인라인 XBRL과 대조했습니다. companyfacts API가 아니라 제출서류 자체를 다시 읽어 비교한 결과입니다.</t>
        </is>
      </c>
    </row>
    <row r="4" ht="30" customHeight="1">
      <c r="A4" s="7" t="inlineStr">
        <is>
          <t>티커</t>
        </is>
      </c>
      <c r="B4" s="7" t="inlineStr">
        <is>
          <t>판정</t>
        </is>
      </c>
      <c r="C4" s="7" t="inlineStr">
        <is>
          <t>항목 통과</t>
        </is>
      </c>
      <c r="D4" s="7" t="inlineStr">
        <is>
          <t>접수번호 확인</t>
        </is>
      </c>
      <c r="E4" s="7" t="inlineStr">
        <is>
          <t>주식수 재현</t>
        </is>
      </c>
      <c r="F4" s="7" t="inlineStr">
        <is>
          <t>주가 재조회</t>
        </is>
      </c>
      <c r="G4" s="7" t="inlineStr">
        <is>
          <t>검증한 제출서류</t>
        </is>
      </c>
      <c r="H4" s="7" t="inlineStr">
        <is>
          <t>companyfacts 출처</t>
        </is>
      </c>
    </row>
    <row r="5">
      <c r="A5" s="8" t="inlineStr">
        <is>
          <t>NVDA</t>
        </is>
      </c>
      <c r="B5" s="8" t="inlineStr">
        <is>
          <t>PASS</t>
        </is>
      </c>
      <c r="C5" s="8" t="inlineStr">
        <is>
          <t>6/6</t>
        </is>
      </c>
      <c r="D5" s="8" t="inlineStr">
        <is>
          <t>PASS</t>
        </is>
      </c>
      <c r="E5" s="8" t="inlineStr">
        <is>
          <t>PASS</t>
        </is>
      </c>
      <c r="F5" s="8" t="inlineStr">
        <is>
          <t>PASS</t>
        </is>
      </c>
      <c r="G5" s="8" t="inlineStr">
        <is>
          <t>https://www.sec.gov/Archives/edgar/data/1045810/000104581026000021/nvda-20260125.htm</t>
        </is>
      </c>
      <c r="H5" s="8" t="inlineStr">
        <is>
          <t>https://data.sec.gov/api/xbrl/companyfacts/CIK0001045810.json</t>
        </is>
      </c>
    </row>
    <row r="6">
      <c r="A6" s="8" t="inlineStr">
        <is>
          <t>AAPL</t>
        </is>
      </c>
      <c r="B6" s="8" t="inlineStr">
        <is>
          <t>PASS</t>
        </is>
      </c>
      <c r="C6" s="8" t="inlineStr">
        <is>
          <t>6/6</t>
        </is>
      </c>
      <c r="D6" s="8" t="inlineStr">
        <is>
          <t>PASS</t>
        </is>
      </c>
      <c r="E6" s="8" t="inlineStr">
        <is>
          <t>PASS</t>
        </is>
      </c>
      <c r="F6" s="8" t="inlineStr">
        <is>
          <t>PASS</t>
        </is>
      </c>
      <c r="G6" s="8" t="inlineStr">
        <is>
          <t>https://www.sec.gov/Archives/edgar/data/320193/000032019325000079/aapl-20250927.htm</t>
        </is>
      </c>
      <c r="H6" s="8" t="inlineStr">
        <is>
          <t>https://data.sec.gov/api/xbrl/companyfacts/CIK0000320193.json</t>
        </is>
      </c>
    </row>
    <row r="7">
      <c r="A7" s="8" t="inlineStr">
        <is>
          <t>GOOG</t>
        </is>
      </c>
      <c r="B7" s="8" t="inlineStr">
        <is>
          <t>PASS</t>
        </is>
      </c>
      <c r="C7" s="8" t="inlineStr">
        <is>
          <t>6/6</t>
        </is>
      </c>
      <c r="D7" s="8" t="inlineStr">
        <is>
          <t>PASS</t>
        </is>
      </c>
      <c r="E7" s="8" t="inlineStr">
        <is>
          <t>PASS</t>
        </is>
      </c>
      <c r="F7" s="8" t="inlineStr">
        <is>
          <t>PASS</t>
        </is>
      </c>
      <c r="G7" s="8" t="inlineStr">
        <is>
          <t>https://www.sec.gov/Archives/edgar/data/1652044/000165204426000018/goog-20251231.htm</t>
        </is>
      </c>
      <c r="H7" s="8" t="inlineStr">
        <is>
          <t>https://data.sec.gov/api/xbrl/companyfacts/CIK0001652044.json</t>
        </is>
      </c>
    </row>
    <row r="8">
      <c r="A8" s="8" t="inlineStr">
        <is>
          <t>MSFT</t>
        </is>
      </c>
      <c r="B8" s="8" t="inlineStr">
        <is>
          <t>PASS</t>
        </is>
      </c>
      <c r="C8" s="8" t="inlineStr">
        <is>
          <t>6/6</t>
        </is>
      </c>
      <c r="D8" s="8" t="inlineStr">
        <is>
          <t>PASS</t>
        </is>
      </c>
      <c r="E8" s="8" t="inlineStr">
        <is>
          <t>PASS</t>
        </is>
      </c>
      <c r="F8" s="8" t="inlineStr">
        <is>
          <t>PASS</t>
        </is>
      </c>
      <c r="G8" s="8" t="inlineStr">
        <is>
          <t>https://www.sec.gov/Archives/edgar/data/789019/000119312526323660/msft-20260630.htm</t>
        </is>
      </c>
      <c r="H8" s="8" t="inlineStr">
        <is>
          <t>https://data.sec.gov/api/xbrl/companyfacts/CIK0000789019.json</t>
        </is>
      </c>
    </row>
    <row r="9">
      <c r="A9" s="8" t="inlineStr">
        <is>
          <t>AMZN</t>
        </is>
      </c>
      <c r="B9" s="8" t="inlineStr">
        <is>
          <t>PASS</t>
        </is>
      </c>
      <c r="C9" s="8" t="inlineStr">
        <is>
          <t>6/6</t>
        </is>
      </c>
      <c r="D9" s="8" t="inlineStr">
        <is>
          <t>PASS</t>
        </is>
      </c>
      <c r="E9" s="8" t="inlineStr">
        <is>
          <t>PASS</t>
        </is>
      </c>
      <c r="F9" s="8" t="inlineStr">
        <is>
          <t>PASS</t>
        </is>
      </c>
      <c r="G9" s="8" t="inlineStr">
        <is>
          <t>https://www.sec.gov/Archives/edgar/data/1018724/000101872426000004/amzn-20251231.htm</t>
        </is>
      </c>
      <c r="H9" s="8" t="inlineStr">
        <is>
          <t>https://data.sec.gov/api/xbrl/companyfacts/CIK0001018724.json</t>
        </is>
      </c>
    </row>
    <row r="10">
      <c r="A10" s="8" t="inlineStr">
        <is>
          <t>AVGO</t>
        </is>
      </c>
      <c r="B10" s="8" t="inlineStr">
        <is>
          <t>PASS</t>
        </is>
      </c>
      <c r="C10" s="8" t="inlineStr">
        <is>
          <t>6/6</t>
        </is>
      </c>
      <c r="D10" s="8" t="inlineStr">
        <is>
          <t>PASS</t>
        </is>
      </c>
      <c r="E10" s="8" t="inlineStr">
        <is>
          <t>PASS</t>
        </is>
      </c>
      <c r="F10" s="8" t="inlineStr">
        <is>
          <t>PASS</t>
        </is>
      </c>
      <c r="G10" s="8" t="inlineStr">
        <is>
          <t>https://www.sec.gov/Archives/edgar/data/1730168/000173016825000121/avgo-20251102.htm</t>
        </is>
      </c>
      <c r="H10" s="8" t="inlineStr">
        <is>
          <t>https://data.sec.gov/api/xbrl/companyfacts/CIK0001730168.json</t>
        </is>
      </c>
    </row>
    <row r="11">
      <c r="A11" s="8" t="inlineStr">
        <is>
          <t>META</t>
        </is>
      </c>
      <c r="B11" s="8" t="inlineStr">
        <is>
          <t>PASS</t>
        </is>
      </c>
      <c r="C11" s="8" t="inlineStr">
        <is>
          <t>6/6</t>
        </is>
      </c>
      <c r="D11" s="8" t="inlineStr">
        <is>
          <t>PASS</t>
        </is>
      </c>
      <c r="E11" s="8" t="inlineStr">
        <is>
          <t>PASS</t>
        </is>
      </c>
      <c r="F11" s="8" t="inlineStr">
        <is>
          <t>PASS</t>
        </is>
      </c>
      <c r="G11" s="8" t="inlineStr">
        <is>
          <t>https://www.sec.gov/Archives/edgar/data/1326801/000162828026003942/meta-20251231.htm</t>
        </is>
      </c>
      <c r="H11" s="8" t="inlineStr">
        <is>
          <t>https://data.sec.gov/api/xbrl/companyfacts/CIK0001326801.json</t>
        </is>
      </c>
    </row>
    <row r="12">
      <c r="A12" s="8" t="inlineStr">
        <is>
          <t>TSLA</t>
        </is>
      </c>
      <c r="B12" s="8" t="inlineStr">
        <is>
          <t>PASS</t>
        </is>
      </c>
      <c r="C12" s="8" t="inlineStr">
        <is>
          <t>6/6</t>
        </is>
      </c>
      <c r="D12" s="8" t="inlineStr">
        <is>
          <t>PASS</t>
        </is>
      </c>
      <c r="E12" s="8" t="inlineStr">
        <is>
          <t>PASS</t>
        </is>
      </c>
      <c r="F12" s="8" t="inlineStr">
        <is>
          <t>PASS</t>
        </is>
      </c>
      <c r="G12" s="8" t="inlineStr">
        <is>
          <t>https://www.sec.gov/Archives/edgar/data/1318605/000162828026003952/tsla-20251231.htm</t>
        </is>
      </c>
      <c r="H12" s="8" t="inlineStr">
        <is>
          <t>https://data.sec.gov/api/xbrl/companyfacts/CIK0001318605.json</t>
        </is>
      </c>
    </row>
    <row r="13">
      <c r="A13" s="8" t="inlineStr">
        <is>
          <t>BRK-B</t>
        </is>
      </c>
      <c r="B13" s="8" t="inlineStr">
        <is>
          <t>PASS</t>
        </is>
      </c>
      <c r="C13" s="8" t="inlineStr">
        <is>
          <t>6/6</t>
        </is>
      </c>
      <c r="D13" s="8" t="inlineStr">
        <is>
          <t>PASS</t>
        </is>
      </c>
      <c r="E13" s="8" t="inlineStr">
        <is>
          <t>PASS</t>
        </is>
      </c>
      <c r="F13" s="8" t="inlineStr">
        <is>
          <t>PASS</t>
        </is>
      </c>
      <c r="G13" s="8" t="inlineStr">
        <is>
          <t>https://www.sec.gov/Archives/edgar/data/1067983/000119312526083899/brka-20251231.htm</t>
        </is>
      </c>
      <c r="H13" s="8" t="inlineStr">
        <is>
          <t>https://data.sec.gov/api/xbrl/companyfacts/CIK0001067983.json</t>
        </is>
      </c>
    </row>
    <row r="14">
      <c r="A14" s="8" t="inlineStr">
        <is>
          <t>LLY</t>
        </is>
      </c>
      <c r="B14" s="8" t="inlineStr">
        <is>
          <t>PASS</t>
        </is>
      </c>
      <c r="C14" s="8" t="inlineStr">
        <is>
          <t>6/6</t>
        </is>
      </c>
      <c r="D14" s="8" t="inlineStr">
        <is>
          <t>PASS</t>
        </is>
      </c>
      <c r="E14" s="8" t="inlineStr">
        <is>
          <t>PASS</t>
        </is>
      </c>
      <c r="F14" s="8" t="inlineStr">
        <is>
          <t>PASS</t>
        </is>
      </c>
      <c r="G14" s="8" t="inlineStr">
        <is>
          <t>https://www.sec.gov/Archives/edgar/data/59478/000005947826000013/lly-20251231.htm</t>
        </is>
      </c>
      <c r="H14" s="8" t="inlineStr">
        <is>
          <t>https://data.sec.gov/api/xbrl/companyfacts/CIK0000059478.json</t>
        </is>
      </c>
    </row>
    <row r="15">
      <c r="A15" s="8" t="inlineStr">
        <is>
          <t>MU</t>
        </is>
      </c>
      <c r="B15" s="8" t="inlineStr">
        <is>
          <t>PASS</t>
        </is>
      </c>
      <c r="C15" s="8" t="inlineStr">
        <is>
          <t>6/6</t>
        </is>
      </c>
      <c r="D15" s="8" t="inlineStr">
        <is>
          <t>PASS</t>
        </is>
      </c>
      <c r="E15" s="8" t="inlineStr">
        <is>
          <t>PASS</t>
        </is>
      </c>
      <c r="F15" s="8" t="inlineStr">
        <is>
          <t>PASS</t>
        </is>
      </c>
      <c r="G15" s="8" t="inlineStr">
        <is>
          <t>https://www.sec.gov/Archives/edgar/data/723125/000072312525000028/mu-20250828.htm</t>
        </is>
      </c>
      <c r="H15" s="8" t="inlineStr">
        <is>
          <t>https://data.sec.gov/api/xbrl/companyfacts/CIK0000723125.json</t>
        </is>
      </c>
    </row>
    <row r="16">
      <c r="A16" s="8" t="inlineStr">
        <is>
          <t>JPM</t>
        </is>
      </c>
      <c r="B16" s="8" t="inlineStr">
        <is>
          <t>PASS</t>
        </is>
      </c>
      <c r="C16" s="8" t="inlineStr">
        <is>
          <t>5/5</t>
        </is>
      </c>
      <c r="D16" s="8" t="inlineStr">
        <is>
          <t>PASS</t>
        </is>
      </c>
      <c r="E16" s="8" t="inlineStr">
        <is>
          <t>PASS</t>
        </is>
      </c>
      <c r="F16" s="8" t="inlineStr">
        <is>
          <t>PASS</t>
        </is>
      </c>
      <c r="G16" s="8" t="inlineStr">
        <is>
          <t>https://www.sec.gov/Archives/edgar/data/19617/000162828026008131/jpm-20251231.htm</t>
        </is>
      </c>
      <c r="H16" s="8" t="inlineStr">
        <is>
          <t>https://data.sec.gov/api/xbrl/companyfacts/CIK0000019617.json</t>
        </is>
      </c>
    </row>
    <row r="17">
      <c r="A17" s="8" t="inlineStr">
        <is>
          <t>WMT</t>
        </is>
      </c>
      <c r="B17" s="8" t="inlineStr">
        <is>
          <t>PASS</t>
        </is>
      </c>
      <c r="C17" s="8" t="inlineStr">
        <is>
          <t>6/6</t>
        </is>
      </c>
      <c r="D17" s="8" t="inlineStr">
        <is>
          <t>PASS</t>
        </is>
      </c>
      <c r="E17" s="8" t="inlineStr">
        <is>
          <t>PASS</t>
        </is>
      </c>
      <c r="F17" s="8" t="inlineStr">
        <is>
          <t>PASS</t>
        </is>
      </c>
      <c r="G17" s="8" t="inlineStr">
        <is>
          <t>https://www.sec.gov/Archives/edgar/data/104169/000010416926000055/wmt-20260131.htm</t>
        </is>
      </c>
      <c r="H17" s="8" t="inlineStr">
        <is>
          <t>https://data.sec.gov/api/xbrl/companyfacts/CIK0000104169.json</t>
        </is>
      </c>
    </row>
    <row r="18">
      <c r="A18" s="8" t="inlineStr">
        <is>
          <t>AMD</t>
        </is>
      </c>
      <c r="B18" s="8" t="inlineStr">
        <is>
          <t>PASS</t>
        </is>
      </c>
      <c r="C18" s="8" t="inlineStr">
        <is>
          <t>6/6</t>
        </is>
      </c>
      <c r="D18" s="8" t="inlineStr">
        <is>
          <t>PASS</t>
        </is>
      </c>
      <c r="E18" s="8" t="inlineStr">
        <is>
          <t>PASS</t>
        </is>
      </c>
      <c r="F18" s="8" t="inlineStr">
        <is>
          <t>PASS</t>
        </is>
      </c>
      <c r="G18" s="8" t="inlineStr">
        <is>
          <t>https://www.sec.gov/Archives/edgar/data/2488/000000248826000018/amd-20251227.htm</t>
        </is>
      </c>
      <c r="H18" s="8" t="inlineStr">
        <is>
          <t>https://data.sec.gov/api/xbrl/companyfacts/CIK0000002488.json</t>
        </is>
      </c>
    </row>
    <row r="19">
      <c r="A19" s="8" t="inlineStr">
        <is>
          <t>V</t>
        </is>
      </c>
      <c r="B19" s="8" t="inlineStr">
        <is>
          <t>PASS</t>
        </is>
      </c>
      <c r="C19" s="8" t="inlineStr">
        <is>
          <t>6/6</t>
        </is>
      </c>
      <c r="D19" s="8" t="inlineStr">
        <is>
          <t>PASS</t>
        </is>
      </c>
      <c r="E19" s="8" t="inlineStr">
        <is>
          <t>PASS</t>
        </is>
      </c>
      <c r="F19" s="8" t="inlineStr">
        <is>
          <t>PASS</t>
        </is>
      </c>
      <c r="G19" s="8" t="inlineStr">
        <is>
          <t>https://www.sec.gov/Archives/edgar/data/1403161/000140316125000089/v-20250930.htm</t>
        </is>
      </c>
      <c r="H19" s="8" t="inlineStr">
        <is>
          <t>https://data.sec.gov/api/xbrl/companyfacts/CIK0001403161.json</t>
        </is>
      </c>
    </row>
    <row r="20">
      <c r="A20" s="8" t="inlineStr">
        <is>
          <t>XOM</t>
        </is>
      </c>
      <c r="B20" s="8" t="inlineStr">
        <is>
          <t>PASS</t>
        </is>
      </c>
      <c r="C20" s="8" t="inlineStr">
        <is>
          <t>6/6</t>
        </is>
      </c>
      <c r="D20" s="8" t="inlineStr">
        <is>
          <t>PASS</t>
        </is>
      </c>
      <c r="E20" s="8" t="inlineStr">
        <is>
          <t>PASS</t>
        </is>
      </c>
      <c r="F20" s="8" t="inlineStr">
        <is>
          <t>PASS</t>
        </is>
      </c>
      <c r="G20" s="8" t="inlineStr">
        <is>
          <t>https://www.sec.gov/Archives/edgar/data/34088/000003408826000045/xom-20251231.htm</t>
        </is>
      </c>
      <c r="H20" s="8" t="inlineStr">
        <is>
          <t>https://data.sec.gov/api/xbrl/companyfacts/CIK0000034088.json</t>
        </is>
      </c>
    </row>
    <row r="21">
      <c r="A21" s="8" t="inlineStr">
        <is>
          <t>JNJ</t>
        </is>
      </c>
      <c r="B21" s="8" t="inlineStr">
        <is>
          <t>PASS</t>
        </is>
      </c>
      <c r="C21" s="8" t="inlineStr">
        <is>
          <t>6/6</t>
        </is>
      </c>
      <c r="D21" s="8" t="inlineStr">
        <is>
          <t>PASS</t>
        </is>
      </c>
      <c r="E21" s="8" t="inlineStr">
        <is>
          <t>PASS</t>
        </is>
      </c>
      <c r="F21" s="8" t="inlineStr">
        <is>
          <t>PASS</t>
        </is>
      </c>
      <c r="G21" s="8" t="inlineStr">
        <is>
          <t>https://www.sec.gov/Archives/edgar/data/200406/000020040626000016/jnj-20251228.htm</t>
        </is>
      </c>
      <c r="H21" s="8" t="inlineStr">
        <is>
          <t>https://data.sec.gov/api/xbrl/companyfacts/CIK0000200406.json</t>
        </is>
      </c>
    </row>
    <row r="22">
      <c r="A22" s="8" t="inlineStr">
        <is>
          <t>INTC</t>
        </is>
      </c>
      <c r="B22" s="8" t="inlineStr">
        <is>
          <t>PASS</t>
        </is>
      </c>
      <c r="C22" s="8" t="inlineStr">
        <is>
          <t>6/6</t>
        </is>
      </c>
      <c r="D22" s="8" t="inlineStr">
        <is>
          <t>PASS</t>
        </is>
      </c>
      <c r="E22" s="8" t="inlineStr">
        <is>
          <t>PASS</t>
        </is>
      </c>
      <c r="F22" s="8" t="inlineStr">
        <is>
          <t>PASS</t>
        </is>
      </c>
      <c r="G22" s="8" t="inlineStr">
        <is>
          <t>https://www.sec.gov/Archives/edgar/data/50863/000005086326000011/intc-20251227.htm</t>
        </is>
      </c>
      <c r="H22" s="8" t="inlineStr">
        <is>
          <t>https://data.sec.gov/api/xbrl/companyfacts/CIK0000050863.json</t>
        </is>
      </c>
    </row>
    <row r="23">
      <c r="A23" s="8" t="inlineStr">
        <is>
          <t>MA</t>
        </is>
      </c>
      <c r="B23" s="8" t="inlineStr">
        <is>
          <t>PASS</t>
        </is>
      </c>
      <c r="C23" s="8" t="inlineStr">
        <is>
          <t>6/6</t>
        </is>
      </c>
      <c r="D23" s="8" t="inlineStr">
        <is>
          <t>PASS</t>
        </is>
      </c>
      <c r="E23" s="8" t="inlineStr">
        <is>
          <t>PASS</t>
        </is>
      </c>
      <c r="F23" s="8" t="inlineStr">
        <is>
          <t>PASS</t>
        </is>
      </c>
      <c r="G23" s="8" t="inlineStr">
        <is>
          <t>https://www.sec.gov/Archives/edgar/data/1141391/000114139126000013/ma-20251231.htm</t>
        </is>
      </c>
      <c r="H23" s="8" t="inlineStr">
        <is>
          <t>https://data.sec.gov/api/xbrl/companyfacts/CIK0001141391.json</t>
        </is>
      </c>
    </row>
    <row r="24">
      <c r="A24" s="8" t="inlineStr">
        <is>
          <t>CSCO</t>
        </is>
      </c>
      <c r="B24" s="8" t="inlineStr">
        <is>
          <t>PASS</t>
        </is>
      </c>
      <c r="C24" s="8" t="inlineStr">
        <is>
          <t>6/6</t>
        </is>
      </c>
      <c r="D24" s="8" t="inlineStr">
        <is>
          <t>PASS</t>
        </is>
      </c>
      <c r="E24" s="8" t="inlineStr">
        <is>
          <t>PASS</t>
        </is>
      </c>
      <c r="F24" s="8" t="inlineStr">
        <is>
          <t>PASS</t>
        </is>
      </c>
      <c r="G24" s="8" t="inlineStr">
        <is>
          <t>https://www.sec.gov/Archives/edgar/data/858877/000085887725000111/csco-20250726.htm</t>
        </is>
      </c>
      <c r="H24" s="8" t="inlineStr">
        <is>
          <t>https://data.sec.gov/api/xbrl/companyfacts/CIK0000858877.json</t>
        </is>
      </c>
    </row>
    <row r="25">
      <c r="A25" s="8" t="inlineStr">
        <is>
          <t>BAC</t>
        </is>
      </c>
      <c r="B25" s="8" t="inlineStr">
        <is>
          <t>PASS</t>
        </is>
      </c>
      <c r="C25" s="8" t="inlineStr">
        <is>
          <t>5/5</t>
        </is>
      </c>
      <c r="D25" s="8" t="inlineStr">
        <is>
          <t>PASS</t>
        </is>
      </c>
      <c r="E25" s="8" t="inlineStr">
        <is>
          <t>PASS</t>
        </is>
      </c>
      <c r="F25" s="8" t="inlineStr">
        <is>
          <t>PASS</t>
        </is>
      </c>
      <c r="G25" s="8" t="inlineStr">
        <is>
          <t>https://www.sec.gov/Archives/edgar/data/70858/000007085826000157/bac-20251231.htm</t>
        </is>
      </c>
      <c r="H25" s="8" t="inlineStr">
        <is>
          <t>https://data.sec.gov/api/xbrl/companyfacts/CIK0000070858.json</t>
        </is>
      </c>
    </row>
    <row r="26">
      <c r="A26" s="8" t="inlineStr">
        <is>
          <t>ABBV</t>
        </is>
      </c>
      <c r="B26" s="8" t="inlineStr">
        <is>
          <t>PASS</t>
        </is>
      </c>
      <c r="C26" s="8" t="inlineStr">
        <is>
          <t>6/6</t>
        </is>
      </c>
      <c r="D26" s="8" t="inlineStr">
        <is>
          <t>PASS</t>
        </is>
      </c>
      <c r="E26" s="8" t="inlineStr">
        <is>
          <t>PASS</t>
        </is>
      </c>
      <c r="F26" s="8" t="inlineStr">
        <is>
          <t>PASS</t>
        </is>
      </c>
      <c r="G26" s="8" t="inlineStr">
        <is>
          <t>https://www.sec.gov/Archives/edgar/data/1551152/000155115226000008/abbv-20251231.htm</t>
        </is>
      </c>
      <c r="H26" s="8" t="inlineStr">
        <is>
          <t>https://data.sec.gov/api/xbrl/companyfacts/CIK0001551152.json</t>
        </is>
      </c>
    </row>
    <row r="27">
      <c r="A27" s="8" t="inlineStr">
        <is>
          <t>AMAT</t>
        </is>
      </c>
      <c r="B27" s="8" t="inlineStr">
        <is>
          <t>PASS</t>
        </is>
      </c>
      <c r="C27" s="8" t="inlineStr">
        <is>
          <t>6/6</t>
        </is>
      </c>
      <c r="D27" s="8" t="inlineStr">
        <is>
          <t>PASS</t>
        </is>
      </c>
      <c r="E27" s="8" t="inlineStr">
        <is>
          <t>PASS</t>
        </is>
      </c>
      <c r="F27" s="8" t="inlineStr">
        <is>
          <t>PASS</t>
        </is>
      </c>
      <c r="G27" s="8" t="inlineStr">
        <is>
          <t>https://www.sec.gov/Archives/edgar/data/6951/000162828025056742/amat-20251026.htm</t>
        </is>
      </c>
      <c r="H27" s="8" t="inlineStr">
        <is>
          <t>https://data.sec.gov/api/xbrl/companyfacts/CIK0000006951.json</t>
        </is>
      </c>
    </row>
    <row r="28">
      <c r="A28" s="8" t="inlineStr">
        <is>
          <t>ORCL</t>
        </is>
      </c>
      <c r="B28" s="8" t="inlineStr">
        <is>
          <t>PASS</t>
        </is>
      </c>
      <c r="C28" s="8" t="inlineStr">
        <is>
          <t>5/5</t>
        </is>
      </c>
      <c r="D28" s="8" t="inlineStr">
        <is>
          <t>PASS</t>
        </is>
      </c>
      <c r="E28" s="8" t="inlineStr">
        <is>
          <t>PASS</t>
        </is>
      </c>
      <c r="F28" s="8" t="inlineStr">
        <is>
          <t>PASS</t>
        </is>
      </c>
      <c r="G28" s="8" t="inlineStr">
        <is>
          <t>https://www.sec.gov/Archives/edgar/data/1341439/000119312526277521/orcl-20260531.htm</t>
        </is>
      </c>
      <c r="H28" s="8" t="inlineStr">
        <is>
          <t>https://data.sec.gov/api/xbrl/companyfacts/CIK0001341439.json</t>
        </is>
      </c>
    </row>
    <row r="29">
      <c r="A29" s="8" t="inlineStr">
        <is>
          <t>COST</t>
        </is>
      </c>
      <c r="B29" s="8" t="inlineStr">
        <is>
          <t>PASS</t>
        </is>
      </c>
      <c r="C29" s="8" t="inlineStr">
        <is>
          <t>6/6</t>
        </is>
      </c>
      <c r="D29" s="8" t="inlineStr">
        <is>
          <t>PASS</t>
        </is>
      </c>
      <c r="E29" s="8" t="inlineStr">
        <is>
          <t>PASS</t>
        </is>
      </c>
      <c r="F29" s="8" t="inlineStr">
        <is>
          <t>PASS</t>
        </is>
      </c>
      <c r="G29" s="8" t="inlineStr">
        <is>
          <t>https://www.sec.gov/Archives/edgar/data/909832/000090983225000101/cost-20250831.htm</t>
        </is>
      </c>
      <c r="H29" s="8" t="inlineStr">
        <is>
          <t>https://data.sec.gov/api/xbrl/companyfacts/CIK0000909832.json</t>
        </is>
      </c>
    </row>
    <row r="30">
      <c r="A30" s="8" t="inlineStr">
        <is>
          <t>PLTR</t>
        </is>
      </c>
      <c r="B30" s="8" t="inlineStr">
        <is>
          <t>PASS</t>
        </is>
      </c>
      <c r="C30" s="8" t="inlineStr">
        <is>
          <t>6/6</t>
        </is>
      </c>
      <c r="D30" s="8" t="inlineStr">
        <is>
          <t>PASS</t>
        </is>
      </c>
      <c r="E30" s="8" t="inlineStr">
        <is>
          <t>PASS</t>
        </is>
      </c>
      <c r="F30" s="8" t="inlineStr">
        <is>
          <t>PASS</t>
        </is>
      </c>
      <c r="G30" s="8" t="inlineStr">
        <is>
          <t>https://www.sec.gov/Archives/edgar/data/1321655/000132165526000011/pltr-20251231.htm</t>
        </is>
      </c>
      <c r="H30" s="8" t="inlineStr">
        <is>
          <t>https://data.sec.gov/api/xbrl/companyfacts/CIK0001321655.json</t>
        </is>
      </c>
    </row>
    <row r="31">
      <c r="A31" s="8" t="inlineStr">
        <is>
          <t>LRCX</t>
        </is>
      </c>
      <c r="B31" s="8" t="inlineStr">
        <is>
          <t>PASS</t>
        </is>
      </c>
      <c r="C31" s="8" t="inlineStr">
        <is>
          <t>6/6</t>
        </is>
      </c>
      <c r="D31" s="8" t="inlineStr">
        <is>
          <t>PASS</t>
        </is>
      </c>
      <c r="E31" s="8" t="inlineStr">
        <is>
          <t>PASS</t>
        </is>
      </c>
      <c r="F31" s="8" t="inlineStr">
        <is>
          <t>PASS</t>
        </is>
      </c>
      <c r="G31" s="8" t="inlineStr">
        <is>
          <t>https://www.sec.gov/Archives/edgar/data/707549/000070754926000037/lrcx-20260628.htm</t>
        </is>
      </c>
      <c r="H31" s="8" t="inlineStr">
        <is>
          <t>https://data.sec.gov/api/xbrl/companyfacts/CIK0000707549.json</t>
        </is>
      </c>
    </row>
    <row r="32">
      <c r="A32" s="8" t="inlineStr">
        <is>
          <t>CAT</t>
        </is>
      </c>
      <c r="B32" s="8" t="inlineStr">
        <is>
          <t>PASS</t>
        </is>
      </c>
      <c r="C32" s="8" t="inlineStr">
        <is>
          <t>6/6</t>
        </is>
      </c>
      <c r="D32" s="8" t="inlineStr">
        <is>
          <t>PASS</t>
        </is>
      </c>
      <c r="E32" s="8" t="inlineStr">
        <is>
          <t>PASS</t>
        </is>
      </c>
      <c r="F32" s="8" t="inlineStr">
        <is>
          <t>PASS</t>
        </is>
      </c>
      <c r="G32" s="8" t="inlineStr">
        <is>
          <t>https://www.sec.gov/Archives/edgar/data/18230/000001823026000008/cat-20251231.htm</t>
        </is>
      </c>
      <c r="H32" s="8" t="inlineStr">
        <is>
          <t>https://data.sec.gov/api/xbrl/companyfacts/CIK0000018230.json</t>
        </is>
      </c>
    </row>
    <row r="33">
      <c r="A33" s="8" t="inlineStr">
        <is>
          <t>GE</t>
        </is>
      </c>
      <c r="B33" s="8" t="inlineStr">
        <is>
          <t>PASS</t>
        </is>
      </c>
      <c r="C33" s="8" t="inlineStr">
        <is>
          <t>6/6</t>
        </is>
      </c>
      <c r="D33" s="8" t="inlineStr">
        <is>
          <t>PASS</t>
        </is>
      </c>
      <c r="E33" s="8" t="inlineStr">
        <is>
          <t>PASS</t>
        </is>
      </c>
      <c r="F33" s="8" t="inlineStr">
        <is>
          <t>PASS</t>
        </is>
      </c>
      <c r="G33" s="8" t="inlineStr">
        <is>
          <t>https://www.sec.gov/Archives/edgar/data/40545/000004054526000008/ge-20251231.htm</t>
        </is>
      </c>
      <c r="H33" s="8" t="inlineStr">
        <is>
          <t>https://data.sec.gov/api/xbrl/companyfacts/CIK0000040545.json</t>
        </is>
      </c>
    </row>
    <row r="34">
      <c r="A34" s="8" t="inlineStr">
        <is>
          <t>KO</t>
        </is>
      </c>
      <c r="B34" s="8" t="inlineStr">
        <is>
          <t>PASS</t>
        </is>
      </c>
      <c r="C34" s="8" t="inlineStr">
        <is>
          <t>6/6</t>
        </is>
      </c>
      <c r="D34" s="8" t="inlineStr">
        <is>
          <t>PASS</t>
        </is>
      </c>
      <c r="E34" s="8" t="inlineStr">
        <is>
          <t>PASS</t>
        </is>
      </c>
      <c r="F34" s="8" t="inlineStr">
        <is>
          <t>PASS</t>
        </is>
      </c>
      <c r="G34" s="8" t="inlineStr">
        <is>
          <t>https://www.sec.gov/Archives/edgar/data/21344/000162828026010047/ko-20251231.htm</t>
        </is>
      </c>
      <c r="H34" s="8" t="inlineStr">
        <is>
          <t>https://data.sec.gov/api/xbrl/companyfacts/CIK0000021344.json</t>
        </is>
      </c>
    </row>
    <row r="35">
      <c r="A35" s="8" t="inlineStr">
        <is>
          <t>UNH</t>
        </is>
      </c>
      <c r="B35" s="8" t="inlineStr">
        <is>
          <t>PASS</t>
        </is>
      </c>
      <c r="C35" s="8" t="inlineStr">
        <is>
          <t>6/6</t>
        </is>
      </c>
      <c r="D35" s="8" t="inlineStr">
        <is>
          <t>PASS</t>
        </is>
      </c>
      <c r="E35" s="8" t="inlineStr">
        <is>
          <t>PASS</t>
        </is>
      </c>
      <c r="F35" s="8" t="inlineStr">
        <is>
          <t>PASS</t>
        </is>
      </c>
      <c r="G35" s="8" t="inlineStr">
        <is>
          <t>https://www.sec.gov/Archives/edgar/data/731766/000073176626000062/unh-20251231.htm</t>
        </is>
      </c>
      <c r="H35" s="8" t="inlineStr">
        <is>
          <t>https://data.sec.gov/api/xbrl/companyfacts/CIK0000731766.json</t>
        </is>
      </c>
    </row>
    <row r="36">
      <c r="A36" s="8" t="inlineStr">
        <is>
          <t>CVX</t>
        </is>
      </c>
      <c r="B36" s="8" t="inlineStr">
        <is>
          <t>PASS</t>
        </is>
      </c>
      <c r="C36" s="8" t="inlineStr">
        <is>
          <t>6/6</t>
        </is>
      </c>
      <c r="D36" s="8" t="inlineStr">
        <is>
          <t>PASS</t>
        </is>
      </c>
      <c r="E36" s="8" t="inlineStr">
        <is>
          <t>PASS</t>
        </is>
      </c>
      <c r="F36" s="8" t="inlineStr">
        <is>
          <t>PASS</t>
        </is>
      </c>
      <c r="G36" s="8" t="inlineStr">
        <is>
          <t>https://www.sec.gov/Archives/edgar/data/93410/000009341026000078/cvx-20251231.htm</t>
        </is>
      </c>
      <c r="H36" s="8" t="inlineStr">
        <is>
          <t>https://data.sec.gov/api/xbrl/companyfacts/CIK0000093410.json</t>
        </is>
      </c>
    </row>
    <row r="37">
      <c r="A37" s="8" t="inlineStr">
        <is>
          <t>HD</t>
        </is>
      </c>
      <c r="B37" s="8" t="inlineStr">
        <is>
          <t>PASS</t>
        </is>
      </c>
      <c r="C37" s="8" t="inlineStr">
        <is>
          <t>6/6</t>
        </is>
      </c>
      <c r="D37" s="8" t="inlineStr">
        <is>
          <t>PASS</t>
        </is>
      </c>
      <c r="E37" s="8" t="inlineStr">
        <is>
          <t>PASS</t>
        </is>
      </c>
      <c r="F37" s="8" t="inlineStr">
        <is>
          <t>PASS</t>
        </is>
      </c>
      <c r="G37" s="8" t="inlineStr">
        <is>
          <t>https://www.sec.gov/Archives/edgar/data/354950/000162828026019436/hd-20260201.htm</t>
        </is>
      </c>
      <c r="H37" s="8" t="inlineStr">
        <is>
          <t>https://data.sec.gov/api/xbrl/companyfacts/CIK0000354950.json</t>
        </is>
      </c>
    </row>
    <row r="38">
      <c r="A38" s="8" t="inlineStr">
        <is>
          <t>MS</t>
        </is>
      </c>
      <c r="B38" s="8" t="inlineStr">
        <is>
          <t>PASS</t>
        </is>
      </c>
      <c r="C38" s="8" t="inlineStr">
        <is>
          <t>4/4</t>
        </is>
      </c>
      <c r="D38" s="8" t="inlineStr">
        <is>
          <t>PASS</t>
        </is>
      </c>
      <c r="E38" s="8" t="inlineStr">
        <is>
          <t>PASS</t>
        </is>
      </c>
      <c r="F38" s="8" t="inlineStr">
        <is>
          <t>PASS</t>
        </is>
      </c>
      <c r="G38" s="8" t="inlineStr">
        <is>
          <t>https://www.sec.gov/Archives/edgar/data/895421/000089542126000086/ms-20251231.htm</t>
        </is>
      </c>
      <c r="H38" s="8" t="inlineStr">
        <is>
          <t>https://data.sec.gov/api/xbrl/companyfacts/CIK0000895421.json</t>
        </is>
      </c>
    </row>
    <row r="39">
      <c r="A39" s="8" t="inlineStr">
        <is>
          <t>PG</t>
        </is>
      </c>
      <c r="B39" s="8" t="inlineStr">
        <is>
          <t>PASS</t>
        </is>
      </c>
      <c r="C39" s="8" t="inlineStr">
        <is>
          <t>6/6</t>
        </is>
      </c>
      <c r="D39" s="8" t="inlineStr">
        <is>
          <t>PASS</t>
        </is>
      </c>
      <c r="E39" s="8" t="inlineStr">
        <is>
          <t>PASS</t>
        </is>
      </c>
      <c r="F39" s="8" t="inlineStr">
        <is>
          <t>PASS</t>
        </is>
      </c>
      <c r="G39" s="8" t="inlineStr">
        <is>
          <t>https://www.sec.gov/Archives/edgar/data/80424/000008042426000103/pg-20260630.htm</t>
        </is>
      </c>
      <c r="H39" s="8" t="inlineStr">
        <is>
          <t>https://data.sec.gov/api/xbrl/companyfacts/CIK0000080424.json</t>
        </is>
      </c>
    </row>
    <row r="40">
      <c r="A40" s="8" t="inlineStr">
        <is>
          <t>MRK</t>
        </is>
      </c>
      <c r="B40" s="8" t="inlineStr">
        <is>
          <t>PASS</t>
        </is>
      </c>
      <c r="C40" s="8" t="inlineStr">
        <is>
          <t>6/6</t>
        </is>
      </c>
      <c r="D40" s="8" t="inlineStr">
        <is>
          <t>PASS</t>
        </is>
      </c>
      <c r="E40" s="8" t="inlineStr">
        <is>
          <t>PASS</t>
        </is>
      </c>
      <c r="F40" s="8" t="inlineStr">
        <is>
          <t>PASS</t>
        </is>
      </c>
      <c r="G40" s="8" t="inlineStr">
        <is>
          <t>https://www.sec.gov/Archives/edgar/data/310158/000031015826000063/mrk-20251231.htm</t>
        </is>
      </c>
      <c r="H40" s="8" t="inlineStr">
        <is>
          <t>https://data.sec.gov/api/xbrl/companyfacts/CIK0000310158.json</t>
        </is>
      </c>
    </row>
    <row r="41">
      <c r="A41" s="8" t="inlineStr">
        <is>
          <t>NFLX</t>
        </is>
      </c>
      <c r="B41" s="8" t="inlineStr">
        <is>
          <t>PASS</t>
        </is>
      </c>
      <c r="C41" s="8" t="inlineStr">
        <is>
          <t>6/6</t>
        </is>
      </c>
      <c r="D41" s="8" t="inlineStr">
        <is>
          <t>PASS</t>
        </is>
      </c>
      <c r="E41" s="8" t="inlineStr">
        <is>
          <t>PASS</t>
        </is>
      </c>
      <c r="F41" s="8" t="inlineStr">
        <is>
          <t>PASS</t>
        </is>
      </c>
      <c r="G41" s="8" t="inlineStr">
        <is>
          <t>https://www.sec.gov/Archives/edgar/data/1065280/000106528026000034/nflx-20251231.htm</t>
        </is>
      </c>
      <c r="H41" s="8" t="inlineStr">
        <is>
          <t>https://data.sec.gov/api/xbrl/companyfacts/CIK0001065280.json</t>
        </is>
      </c>
    </row>
    <row r="42">
      <c r="A42" s="8" t="inlineStr">
        <is>
          <t>GS</t>
        </is>
      </c>
      <c r="B42" s="8" t="inlineStr">
        <is>
          <t>PASS</t>
        </is>
      </c>
      <c r="C42" s="8" t="inlineStr">
        <is>
          <t>5/5</t>
        </is>
      </c>
      <c r="D42" s="8" t="inlineStr">
        <is>
          <t>PASS</t>
        </is>
      </c>
      <c r="E42" s="8" t="inlineStr">
        <is>
          <t>PASS</t>
        </is>
      </c>
      <c r="F42" s="8" t="inlineStr">
        <is>
          <t>PASS</t>
        </is>
      </c>
      <c r="G42" s="8" t="inlineStr">
        <is>
          <t>https://www.sec.gov/Archives/edgar/data/886982/000088698226000091/gs-20251231.htm</t>
        </is>
      </c>
      <c r="H42" s="8" t="inlineStr">
        <is>
          <t>https://data.sec.gov/api/xbrl/companyfacts/CIK0000886982.json</t>
        </is>
      </c>
    </row>
    <row r="43">
      <c r="A43" s="8" t="inlineStr">
        <is>
          <t>RTX</t>
        </is>
      </c>
      <c r="B43" s="8" t="inlineStr">
        <is>
          <t>PASS</t>
        </is>
      </c>
      <c r="C43" s="8" t="inlineStr">
        <is>
          <t>6/6</t>
        </is>
      </c>
      <c r="D43" s="8" t="inlineStr">
        <is>
          <t>PASS</t>
        </is>
      </c>
      <c r="E43" s="8" t="inlineStr">
        <is>
          <t>PASS</t>
        </is>
      </c>
      <c r="F43" s="8" t="inlineStr">
        <is>
          <t>PASS</t>
        </is>
      </c>
      <c r="G43" s="8" t="inlineStr">
        <is>
          <t>https://www.sec.gov/Archives/edgar/data/101829/000010182926000006/rtx-20251231.htm</t>
        </is>
      </c>
      <c r="H43" s="8" t="inlineStr">
        <is>
          <t>https://data.sec.gov/api/xbrl/companyfacts/CIK0000101829.json</t>
        </is>
      </c>
    </row>
    <row r="44">
      <c r="A44" s="8" t="inlineStr">
        <is>
          <t>PANW</t>
        </is>
      </c>
      <c r="B44" s="8" t="inlineStr">
        <is>
          <t>PASS</t>
        </is>
      </c>
      <c r="C44" s="8" t="inlineStr">
        <is>
          <t>6/6</t>
        </is>
      </c>
      <c r="D44" s="8" t="inlineStr">
        <is>
          <t>PASS</t>
        </is>
      </c>
      <c r="E44" s="8" t="inlineStr">
        <is>
          <t>PASS</t>
        </is>
      </c>
      <c r="F44" s="8" t="inlineStr">
        <is>
          <t>PASS</t>
        </is>
      </c>
      <c r="G44" s="8" t="inlineStr">
        <is>
          <t>https://www.sec.gov/Archives/edgar/data/1327567/000132756725000027/panw-20250731.htm</t>
        </is>
      </c>
      <c r="H44" s="8" t="inlineStr">
        <is>
          <t>https://data.sec.gov/api/xbrl/companyfacts/CIK0001327567.json</t>
        </is>
      </c>
    </row>
    <row r="45">
      <c r="A45" s="8" t="inlineStr">
        <is>
          <t>PM</t>
        </is>
      </c>
      <c r="B45" s="8" t="inlineStr">
        <is>
          <t>PASS</t>
        </is>
      </c>
      <c r="C45" s="8" t="inlineStr">
        <is>
          <t>6/6</t>
        </is>
      </c>
      <c r="D45" s="8" t="inlineStr">
        <is>
          <t>PASS</t>
        </is>
      </c>
      <c r="E45" s="8" t="inlineStr">
        <is>
          <t>PASS</t>
        </is>
      </c>
      <c r="F45" s="8" t="inlineStr">
        <is>
          <t>PASS</t>
        </is>
      </c>
      <c r="G45" s="8" t="inlineStr">
        <is>
          <t>https://www.sec.gov/Archives/edgar/data/1413329/000162828026005939/pm-20251231.htm</t>
        </is>
      </c>
      <c r="H45" s="8" t="inlineStr">
        <is>
          <t>https://data.sec.gov/api/xbrl/companyfacts/CIK0001413329.json</t>
        </is>
      </c>
    </row>
    <row r="46">
      <c r="A46" s="8" t="inlineStr">
        <is>
          <t>DELL</t>
        </is>
      </c>
      <c r="B46" s="8" t="inlineStr">
        <is>
          <t>PASS</t>
        </is>
      </c>
      <c r="C46" s="8" t="inlineStr">
        <is>
          <t>6/6</t>
        </is>
      </c>
      <c r="D46" s="8" t="inlineStr">
        <is>
          <t>PASS</t>
        </is>
      </c>
      <c r="E46" s="8" t="inlineStr">
        <is>
          <t>PASS</t>
        </is>
      </c>
      <c r="F46" s="8" t="inlineStr">
        <is>
          <t>PASS</t>
        </is>
      </c>
      <c r="G46" s="8" t="inlineStr">
        <is>
          <t>https://www.sec.gov/Archives/edgar/data/1571996/000157199626000008/dell-20260130.htm</t>
        </is>
      </c>
      <c r="H46" s="8" t="inlineStr">
        <is>
          <t>https://data.sec.gov/api/xbrl/companyfacts/CIK0001571996.json</t>
        </is>
      </c>
    </row>
    <row r="47">
      <c r="A47" s="8" t="inlineStr">
        <is>
          <t>WFC</t>
        </is>
      </c>
      <c r="B47" s="8" t="inlineStr">
        <is>
          <t>PASS</t>
        </is>
      </c>
      <c r="C47" s="8" t="inlineStr">
        <is>
          <t>4/4</t>
        </is>
      </c>
      <c r="D47" s="8" t="inlineStr">
        <is>
          <t>PASS</t>
        </is>
      </c>
      <c r="E47" s="8" t="inlineStr">
        <is>
          <t>PASS</t>
        </is>
      </c>
      <c r="F47" s="8" t="inlineStr">
        <is>
          <t>PASS</t>
        </is>
      </c>
      <c r="G47" s="8" t="inlineStr">
        <is>
          <t>https://www.sec.gov/Archives/edgar/data/72971/000007297126000133/wfc-20251231_d2.htm</t>
        </is>
      </c>
      <c r="H47" s="8" t="inlineStr">
        <is>
          <t>https://data.sec.gov/api/xbrl/companyfacts/CIK0000072971.json</t>
        </is>
      </c>
    </row>
    <row r="48">
      <c r="A48" s="8" t="inlineStr">
        <is>
          <t>GEV</t>
        </is>
      </c>
      <c r="B48" s="8" t="inlineStr">
        <is>
          <t>PASS</t>
        </is>
      </c>
      <c r="C48" s="8" t="inlineStr">
        <is>
          <t>6/6</t>
        </is>
      </c>
      <c r="D48" s="8" t="inlineStr">
        <is>
          <t>PASS</t>
        </is>
      </c>
      <c r="E48" s="8" t="inlineStr">
        <is>
          <t>PASS</t>
        </is>
      </c>
      <c r="F48" s="8" t="inlineStr">
        <is>
          <t>PASS</t>
        </is>
      </c>
      <c r="G48" s="8" t="inlineStr">
        <is>
          <t>https://www.sec.gov/Archives/edgar/data/1996810/000199681026000015/gev-20251231.htm</t>
        </is>
      </c>
      <c r="H48" s="8" t="inlineStr">
        <is>
          <t>https://data.sec.gov/api/xbrl/companyfacts/CIK0001996810.json</t>
        </is>
      </c>
    </row>
    <row r="49">
      <c r="A49" s="8" t="inlineStr">
        <is>
          <t>TXN</t>
        </is>
      </c>
      <c r="B49" s="8" t="inlineStr">
        <is>
          <t>PASS</t>
        </is>
      </c>
      <c r="C49" s="8" t="inlineStr">
        <is>
          <t>6/6</t>
        </is>
      </c>
      <c r="D49" s="8" t="inlineStr">
        <is>
          <t>PASS</t>
        </is>
      </c>
      <c r="E49" s="8" t="inlineStr">
        <is>
          <t>PASS</t>
        </is>
      </c>
      <c r="F49" s="8" t="inlineStr">
        <is>
          <t>PASS</t>
        </is>
      </c>
      <c r="G49" s="8" t="inlineStr">
        <is>
          <t>https://www.sec.gov/Archives/edgar/data/97476/000009747626000059/txn-20251231.htm</t>
        </is>
      </c>
      <c r="H49" s="8" t="inlineStr">
        <is>
          <t>https://data.sec.gov/api/xbrl/companyfacts/CIK0000097476.json</t>
        </is>
      </c>
    </row>
    <row r="50">
      <c r="A50" s="8" t="inlineStr">
        <is>
          <t>KLAC</t>
        </is>
      </c>
      <c r="B50" s="8" t="inlineStr">
        <is>
          <t>PASS</t>
        </is>
      </c>
      <c r="C50" s="8" t="inlineStr">
        <is>
          <t>6/6</t>
        </is>
      </c>
      <c r="D50" s="8" t="inlineStr">
        <is>
          <t>PASS</t>
        </is>
      </c>
      <c r="E50" s="8" t="inlineStr">
        <is>
          <t>PASS</t>
        </is>
      </c>
      <c r="F50" s="8" t="inlineStr">
        <is>
          <t>PASS</t>
        </is>
      </c>
      <c r="G50" s="8" t="inlineStr">
        <is>
          <t>https://www.sec.gov/Archives/edgar/data/319201/000031920126000027/klac-20260630.htm</t>
        </is>
      </c>
      <c r="H50" s="8" t="inlineStr">
        <is>
          <t>https://data.sec.gov/api/xbrl/companyfacts/CIK0000319201.json</t>
        </is>
      </c>
    </row>
    <row r="51">
      <c r="A51" s="8" t="inlineStr">
        <is>
          <t>ANET</t>
        </is>
      </c>
      <c r="B51" s="8" t="inlineStr">
        <is>
          <t>PASS</t>
        </is>
      </c>
      <c r="C51" s="8" t="inlineStr">
        <is>
          <t>6/6</t>
        </is>
      </c>
      <c r="D51" s="8" t="inlineStr">
        <is>
          <t>PASS</t>
        </is>
      </c>
      <c r="E51" s="8" t="inlineStr">
        <is>
          <t>PASS</t>
        </is>
      </c>
      <c r="F51" s="8" t="inlineStr">
        <is>
          <t>PASS</t>
        </is>
      </c>
      <c r="G51" s="8" t="inlineStr">
        <is>
          <t>https://www.sec.gov/Archives/edgar/data/1596532/000159653226000013/anet-20251231.htm</t>
        </is>
      </c>
      <c r="H51" s="8" t="inlineStr">
        <is>
          <t>https://data.sec.gov/api/xbrl/companyfacts/CIK0001596532.json</t>
        </is>
      </c>
    </row>
    <row r="52">
      <c r="A52" s="8" t="inlineStr">
        <is>
          <t>AXP</t>
        </is>
      </c>
      <c r="B52" s="8" t="inlineStr">
        <is>
          <t>PASS</t>
        </is>
      </c>
      <c r="C52" s="8" t="inlineStr">
        <is>
          <t>6/6</t>
        </is>
      </c>
      <c r="D52" s="8" t="inlineStr">
        <is>
          <t>PASS</t>
        </is>
      </c>
      <c r="E52" s="8" t="inlineStr">
        <is>
          <t>PASS</t>
        </is>
      </c>
      <c r="F52" s="8" t="inlineStr">
        <is>
          <t>PASS</t>
        </is>
      </c>
      <c r="G52" s="8" t="inlineStr">
        <is>
          <t>https://www.sec.gov/Archives/edgar/data/4962/000000496226000080/axp-20251231.htm</t>
        </is>
      </c>
      <c r="H52" s="8" t="inlineStr">
        <is>
          <t>https://data.sec.gov/api/xbrl/companyfacts/CIK0000004962.json</t>
        </is>
      </c>
    </row>
    <row r="53">
      <c r="A53" s="8" t="inlineStr">
        <is>
          <t>C</t>
        </is>
      </c>
      <c r="B53" s="8" t="inlineStr">
        <is>
          <t>PASS</t>
        </is>
      </c>
      <c r="C53" s="8" t="inlineStr">
        <is>
          <t>6/6</t>
        </is>
      </c>
      <c r="D53" s="8" t="inlineStr">
        <is>
          <t>PASS</t>
        </is>
      </c>
      <c r="E53" s="8" t="inlineStr">
        <is>
          <t>PASS</t>
        </is>
      </c>
      <c r="F53" s="8" t="inlineStr">
        <is>
          <t>PASS</t>
        </is>
      </c>
      <c r="G53" s="8" t="inlineStr">
        <is>
          <t>https://www.sec.gov/Archives/edgar/data/831001/000083100126000011/c-20251231.htm</t>
        </is>
      </c>
      <c r="H53" s="8" t="inlineStr">
        <is>
          <t>https://data.sec.gov/api/xbrl/companyfacts/CIK0000831001.json</t>
        </is>
      </c>
    </row>
    <row r="54">
      <c r="A54" s="8" t="inlineStr">
        <is>
          <t>IBM</t>
        </is>
      </c>
      <c r="B54" s="8" t="inlineStr">
        <is>
          <t>PASS</t>
        </is>
      </c>
      <c r="C54" s="8" t="inlineStr">
        <is>
          <t>6/6</t>
        </is>
      </c>
      <c r="D54" s="8" t="inlineStr">
        <is>
          <t>PASS</t>
        </is>
      </c>
      <c r="E54" s="8" t="inlineStr">
        <is>
          <t>PASS</t>
        </is>
      </c>
      <c r="F54" s="8" t="inlineStr">
        <is>
          <t>PASS</t>
        </is>
      </c>
      <c r="G54" s="8" t="inlineStr">
        <is>
          <t>https://www.sec.gov/Archives/edgar/data/51143/000005114326000010/ibm-20251231.htm</t>
        </is>
      </c>
      <c r="H54" s="8" t="inlineStr">
        <is>
          <t>https://data.sec.gov/api/xbrl/companyfacts/CIK0000051143.json</t>
        </is>
      </c>
    </row>
    <row r="57">
      <c r="A57" s="5" t="inlineStr">
        <is>
          <t>무위험수익률</t>
        </is>
      </c>
      <c r="B57" s="14" t="inlineStr">
        <is>
          <t>PASS</t>
        </is>
      </c>
      <c r="C57" s="14" t="inlineStr">
        <is>
          <t>https://fred.stlouisfed.org/graph/fredgraph.csv?id=DGS10</t>
        </is>
      </c>
    </row>
    <row r="58">
      <c r="A58" s="5" t="inlineStr">
        <is>
          <t>주식위험프리미엄</t>
        </is>
      </c>
      <c r="B58" s="14" t="inlineStr">
        <is>
          <t>PASS</t>
        </is>
      </c>
      <c r="C58" s="14" t="inlineStr">
        <is>
          <t>https://pages.stern.nyu.edu/~adamodar/New_Home_Page/datafile/ctryprem.html</t>
        </is>
      </c>
    </row>
  </sheetData>
  <autoFilter ref="A4:H5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7" customWidth="1" min="3" max="3"/>
    <col width="18" customWidth="1" min="4" max="4"/>
    <col width="11" customWidth="1" min="5" max="5"/>
    <col width="10" customWidth="1" min="6" max="6"/>
    <col width="16" customWidth="1" min="7" max="7"/>
    <col width="16" customWidth="1" min="8" max="8"/>
    <col width="52" customWidth="1" min="9" max="9"/>
    <col width="62" customWidth="1" min="10" max="10"/>
  </cols>
  <sheetData>
    <row r="1">
      <c r="A1" s="1" t="inlineStr">
        <is>
          <t>유니버스 52개사 — 선정 근거</t>
        </is>
      </c>
    </row>
    <row r="2">
      <c r="A2" s="2" t="inlineStr">
        <is>
          <t>미국 50개사는 시가총액 상위 기준으로 선정했습니다. 선정에 쓴 외부 시가총액은 구성 결정에만 사용했고, 보고서의 어떤 수치로도 인용하지 않았습니다.</t>
        </is>
      </c>
    </row>
    <row r="4" ht="30" customHeight="1">
      <c r="A4" s="7" t="inlineStr">
        <is>
          <t>티커</t>
        </is>
      </c>
      <c r="B4" s="7" t="inlineStr">
        <is>
          <t>기업</t>
        </is>
      </c>
      <c r="C4" s="7" t="inlineStr">
        <is>
          <t>국가</t>
        </is>
      </c>
      <c r="D4" s="7" t="inlineStr">
        <is>
          <t>분석 방식</t>
        </is>
      </c>
      <c r="E4" s="7" t="inlineStr">
        <is>
          <t>CIK</t>
        </is>
      </c>
      <c r="F4" s="7" t="inlineStr">
        <is>
          <t>선정 순위</t>
        </is>
      </c>
      <c r="G4" s="7" t="inlineStr">
        <is>
          <t>선정용 시가총액</t>
        </is>
      </c>
      <c r="H4" s="7" t="inlineStr">
        <is>
          <t>계산된 시가총액</t>
        </is>
      </c>
      <c r="I4" s="7" t="inlineStr">
        <is>
          <t>주식수 출처</t>
        </is>
      </c>
      <c r="J4" s="7" t="inlineStr">
        <is>
          <t>비고</t>
        </is>
      </c>
    </row>
    <row r="5">
      <c r="A5" s="8" t="inlineStr">
        <is>
          <t>NVDA</t>
        </is>
      </c>
      <c r="B5" s="8" t="inlineStr">
        <is>
          <t>NVIDIA CORP</t>
        </is>
      </c>
      <c r="C5" s="8" t="inlineStr">
        <is>
          <t>US</t>
        </is>
      </c>
      <c r="D5" s="8" t="inlineStr">
        <is>
          <t>정량</t>
        </is>
      </c>
      <c r="E5" s="8" t="n">
        <v>1045810</v>
      </c>
      <c r="F5" s="12" t="n">
        <v>1</v>
      </c>
      <c r="G5" s="13" t="n">
        <v>5424.53530624</v>
      </c>
      <c r="H5" s="13" t="n">
        <v>5442.228</v>
      </c>
      <c r="I5" s="8" t="inlineStr">
        <is>
          <t>10-K cover page (None), all classes summed at 1:1</t>
        </is>
      </c>
      <c r="J5" s="8" t="inlineStr"/>
    </row>
    <row r="6">
      <c r="A6" s="8" t="inlineStr">
        <is>
          <t>AAPL</t>
        </is>
      </c>
      <c r="B6" s="8" t="inlineStr">
        <is>
          <t>Apple Inc.</t>
        </is>
      </c>
      <c r="C6" s="8" t="inlineStr">
        <is>
          <t>US</t>
        </is>
      </c>
      <c r="D6" s="8" t="inlineStr">
        <is>
          <t>정량</t>
        </is>
      </c>
      <c r="E6" s="8" t="n">
        <v>320193</v>
      </c>
      <c r="F6" s="12" t="n">
        <v>2</v>
      </c>
      <c r="G6" s="13" t="n">
        <v>4572.794322944</v>
      </c>
      <c r="H6" s="13" t="n">
        <v>4629.87468549</v>
      </c>
      <c r="I6" s="8" t="inlineStr">
        <is>
          <t>10-K cover page (None), all classes summed at 1:1</t>
        </is>
      </c>
      <c r="J6" s="8" t="inlineStr"/>
    </row>
    <row r="7">
      <c r="A7" s="8" t="inlineStr">
        <is>
          <t>GOOG</t>
        </is>
      </c>
      <c r="B7" s="8" t="inlineStr">
        <is>
          <t>Alphabet Inc.</t>
        </is>
      </c>
      <c r="C7" s="8" t="inlineStr">
        <is>
          <t>US</t>
        </is>
      </c>
      <c r="D7" s="8" t="inlineStr">
        <is>
          <t>정량</t>
        </is>
      </c>
      <c r="E7" s="8" t="n">
        <v>1652044</v>
      </c>
      <c r="F7" s="12" t="n">
        <v>3</v>
      </c>
      <c r="G7" s="13" t="n">
        <v>4322.915254272</v>
      </c>
      <c r="H7" s="13" t="n">
        <v>4275.926590000001</v>
      </c>
      <c r="I7" s="8" t="inlineStr">
        <is>
          <t>10-K cover page (None), all classes summed at 1:1</t>
        </is>
      </c>
      <c r="J7" s="8" t="inlineStr"/>
    </row>
    <row r="8">
      <c r="A8" s="8" t="inlineStr">
        <is>
          <t>MSFT</t>
        </is>
      </c>
      <c r="B8" s="8" t="inlineStr">
        <is>
          <t>MICROSOFT CORP</t>
        </is>
      </c>
      <c r="C8" s="8" t="inlineStr">
        <is>
          <t>US</t>
        </is>
      </c>
      <c r="D8" s="8" t="inlineStr">
        <is>
          <t>정량</t>
        </is>
      </c>
      <c r="E8" s="8" t="n">
        <v>789019</v>
      </c>
      <c r="F8" s="12" t="n">
        <v>4</v>
      </c>
      <c r="G8" s="13" t="n">
        <v>3712.698548224</v>
      </c>
      <c r="H8" s="13" t="n">
        <v>3712.69849004509</v>
      </c>
      <c r="I8" s="8" t="inlineStr">
        <is>
          <t>10-K cover page (None), all classes summed at 1:1</t>
        </is>
      </c>
      <c r="J8" s="8" t="inlineStr"/>
    </row>
    <row r="9">
      <c r="A9" s="8" t="inlineStr">
        <is>
          <t>AMZN</t>
        </is>
      </c>
      <c r="B9" s="8" t="inlineStr">
        <is>
          <t>AMAZON COM INC</t>
        </is>
      </c>
      <c r="C9" s="8" t="inlineStr">
        <is>
          <t>US</t>
        </is>
      </c>
      <c r="D9" s="8" t="inlineStr">
        <is>
          <t>정량</t>
        </is>
      </c>
      <c r="E9" s="8" t="n">
        <v>1018724</v>
      </c>
      <c r="F9" s="12" t="n">
        <v>5</v>
      </c>
      <c r="G9" s="13" t="n">
        <v>2960.627335168</v>
      </c>
      <c r="H9" s="13" t="n">
        <v>2946.5210803976</v>
      </c>
      <c r="I9" s="8" t="inlineStr">
        <is>
          <t>10-K cover page (None), all classes summed at 1:1</t>
        </is>
      </c>
      <c r="J9" s="8" t="inlineStr"/>
    </row>
    <row r="10">
      <c r="A10" s="8" t="inlineStr">
        <is>
          <t>AVGO</t>
        </is>
      </c>
      <c r="B10" s="8" t="inlineStr">
        <is>
          <t>Broadcom Inc.</t>
        </is>
      </c>
      <c r="C10" s="8" t="inlineStr">
        <is>
          <t>US</t>
        </is>
      </c>
      <c r="D10" s="8" t="inlineStr">
        <is>
          <t>정량</t>
        </is>
      </c>
      <c r="E10" s="8" t="n">
        <v>1730168</v>
      </c>
      <c r="F10" s="12" t="n">
        <v>6</v>
      </c>
      <c r="G10" s="13" t="n">
        <v>2035.102646272</v>
      </c>
      <c r="H10" s="13" t="n">
        <v>2028.12728026024</v>
      </c>
      <c r="I10" s="8" t="inlineStr">
        <is>
          <t>10-K cover page (None), all classes summed at 1:1</t>
        </is>
      </c>
      <c r="J10" s="8" t="inlineStr"/>
    </row>
    <row r="11">
      <c r="A11" s="8" t="inlineStr">
        <is>
          <t>META</t>
        </is>
      </c>
      <c r="B11" s="8" t="inlineStr">
        <is>
          <t>Meta Platforms, Inc.</t>
        </is>
      </c>
      <c r="C11" s="8" t="inlineStr">
        <is>
          <t>US</t>
        </is>
      </c>
      <c r="D11" s="8" t="inlineStr">
        <is>
          <t>정량</t>
        </is>
      </c>
      <c r="E11" s="8" t="n">
        <v>1326801</v>
      </c>
      <c r="F11" s="12" t="n">
        <v>8</v>
      </c>
      <c r="G11" s="13" t="n">
        <v>1508.378279936</v>
      </c>
      <c r="H11" s="13" t="n">
        <v>1497.7497902344</v>
      </c>
      <c r="I11" s="8" t="inlineStr">
        <is>
          <t>10-K cover page (None), all classes summed at 1:1</t>
        </is>
      </c>
      <c r="J11" s="8" t="inlineStr"/>
    </row>
    <row r="12">
      <c r="A12" s="8" t="inlineStr">
        <is>
          <t>TSLA</t>
        </is>
      </c>
      <c r="B12" s="8" t="inlineStr">
        <is>
          <t>Tesla, Inc.</t>
        </is>
      </c>
      <c r="C12" s="8" t="inlineStr">
        <is>
          <t>US</t>
        </is>
      </c>
      <c r="D12" s="8" t="inlineStr">
        <is>
          <t>정량</t>
        </is>
      </c>
      <c r="E12" s="8" t="n">
        <v>1318605</v>
      </c>
      <c r="F12" s="12" t="n">
        <v>9</v>
      </c>
      <c r="G12" s="13" t="n">
        <v>1297.742299136</v>
      </c>
      <c r="H12" s="13" t="n">
        <v>1232.97410130272</v>
      </c>
      <c r="I12" s="8" t="inlineStr">
        <is>
          <t>10-K cover page (None), all classes summed at 1:1</t>
        </is>
      </c>
      <c r="J12" s="8" t="inlineStr"/>
    </row>
    <row r="13">
      <c r="A13" s="8" t="inlineStr">
        <is>
          <t>BRK-B</t>
        </is>
      </c>
      <c r="B13" s="8" t="inlineStr">
        <is>
          <t>BERKSHIRE HATHAWAY INC</t>
        </is>
      </c>
      <c r="C13" s="8" t="inlineStr">
        <is>
          <t>US</t>
        </is>
      </c>
      <c r="D13" s="8" t="inlineStr">
        <is>
          <t>정량</t>
        </is>
      </c>
      <c r="E13" s="8" t="n">
        <v>1067983</v>
      </c>
      <c r="F13" s="12" t="n">
        <v>10</v>
      </c>
      <c r="G13" s="13" t="n">
        <v>1125.446320128</v>
      </c>
      <c r="H13" s="13" t="n">
        <v>1125.6974755302</v>
      </c>
      <c r="I13" s="8" t="inlineStr">
        <is>
          <t>10-K cover page (None), expressed in Class B equivalents (A = 1,500 B, per the charter)</t>
        </is>
      </c>
      <c r="J13" s="8" t="inlineStr"/>
    </row>
    <row r="14">
      <c r="A14" s="8" t="inlineStr">
        <is>
          <t>LLY</t>
        </is>
      </c>
      <c r="B14" s="8" t="inlineStr">
        <is>
          <t>ELI LILLY &amp; Co</t>
        </is>
      </c>
      <c r="C14" s="8" t="inlineStr">
        <is>
          <t>US</t>
        </is>
      </c>
      <c r="D14" s="8" t="inlineStr">
        <is>
          <t>정량</t>
        </is>
      </c>
      <c r="E14" s="8" t="n">
        <v>59478</v>
      </c>
      <c r="F14" s="12" t="n">
        <v>11</v>
      </c>
      <c r="G14" s="13" t="n">
        <v>1056.890945536</v>
      </c>
      <c r="H14" s="13" t="n">
        <v>1118.5483264682</v>
      </c>
      <c r="I14" s="8" t="inlineStr">
        <is>
          <t>10-K cover page (None), all classes summed at 1:1</t>
        </is>
      </c>
      <c r="J14" s="8" t="inlineStr"/>
    </row>
    <row r="15">
      <c r="A15" s="8" t="inlineStr">
        <is>
          <t>MU</t>
        </is>
      </c>
      <c r="B15" s="8" t="inlineStr">
        <is>
          <t>MICRON TECHNOLOGY INC</t>
        </is>
      </c>
      <c r="C15" s="8" t="inlineStr">
        <is>
          <t>US</t>
        </is>
      </c>
      <c r="D15" s="8" t="inlineStr">
        <is>
          <t>정량</t>
        </is>
      </c>
      <c r="E15" s="8" t="n">
        <v>723125</v>
      </c>
      <c r="F15" s="12" t="n">
        <v>12</v>
      </c>
      <c r="G15" s="13" t="n">
        <v>991.12157184</v>
      </c>
      <c r="H15" s="13" t="n">
        <v>985.04251833495</v>
      </c>
      <c r="I15" s="8" t="inlineStr">
        <is>
          <t>10-K cover page (August&amp;#160;28, 2025), all classes summed at 1:1</t>
        </is>
      </c>
      <c r="J15" s="8" t="inlineStr"/>
    </row>
    <row r="16">
      <c r="A16" s="8" t="inlineStr">
        <is>
          <t>JPM</t>
        </is>
      </c>
      <c r="B16" s="8" t="inlineStr">
        <is>
          <t>JPMORGAN CHASE &amp; CO</t>
        </is>
      </c>
      <c r="C16" s="8" t="inlineStr">
        <is>
          <t>US</t>
        </is>
      </c>
      <c r="D16" s="8" t="inlineStr">
        <is>
          <t>정량</t>
        </is>
      </c>
      <c r="E16" s="8" t="n">
        <v>19617</v>
      </c>
      <c r="F16" s="12" t="n">
        <v>13</v>
      </c>
      <c r="G16" s="13" t="n">
        <v>950.3547064319999</v>
      </c>
      <c r="H16" s="13" t="n">
        <v>964.24301471</v>
      </c>
      <c r="I16" s="8" t="inlineStr">
        <is>
          <t>10-K cover page (None), all classes summed at 1:1</t>
        </is>
      </c>
      <c r="J16" s="8" t="inlineStr"/>
    </row>
    <row r="17">
      <c r="A17" s="8" t="inlineStr">
        <is>
          <t>WMT</t>
        </is>
      </c>
      <c r="B17" s="8" t="inlineStr">
        <is>
          <t>Walmart Inc.</t>
        </is>
      </c>
      <c r="C17" s="8" t="inlineStr">
        <is>
          <t>US</t>
        </is>
      </c>
      <c r="D17" s="8" t="inlineStr">
        <is>
          <t>정량</t>
        </is>
      </c>
      <c r="E17" s="8" t="n">
        <v>104169</v>
      </c>
      <c r="F17" s="12" t="n">
        <v>14</v>
      </c>
      <c r="G17" s="13" t="n">
        <v>890.111131648</v>
      </c>
      <c r="H17" s="13" t="n">
        <v>891.71321973685</v>
      </c>
      <c r="I17" s="8" t="inlineStr">
        <is>
          <t>10-K cover page (None), all classes summed at 1:1</t>
        </is>
      </c>
      <c r="J17" s="8" t="inlineStr"/>
    </row>
    <row r="18">
      <c r="A18" s="8" t="inlineStr">
        <is>
          <t>AMD</t>
        </is>
      </c>
      <c r="B18" s="8" t="inlineStr">
        <is>
          <t>ADVANCED MICRO DEVICES INC</t>
        </is>
      </c>
      <c r="C18" s="8" t="inlineStr">
        <is>
          <t>US</t>
        </is>
      </c>
      <c r="D18" s="8" t="inlineStr">
        <is>
          <t>정량</t>
        </is>
      </c>
      <c r="E18" s="8" t="n">
        <v>2488</v>
      </c>
      <c r="F18" s="12" t="n">
        <v>15</v>
      </c>
      <c r="G18" s="13" t="n">
        <v>789.0731008</v>
      </c>
      <c r="H18" s="13" t="n">
        <v>788.07538507248</v>
      </c>
      <c r="I18" s="8" t="inlineStr">
        <is>
          <t>10-K cover page (December 27, 2025), all classes summed at 1:1</t>
        </is>
      </c>
      <c r="J18" s="8" t="inlineStr"/>
    </row>
    <row r="19">
      <c r="A19" s="8" t="inlineStr">
        <is>
          <t>V</t>
        </is>
      </c>
      <c r="B19" s="8" t="inlineStr">
        <is>
          <t>VISA INC.</t>
        </is>
      </c>
      <c r="C19" s="8" t="inlineStr">
        <is>
          <t>US</t>
        </is>
      </c>
      <c r="D19" s="8" t="inlineStr">
        <is>
          <t>정량</t>
        </is>
      </c>
      <c r="E19" s="8" t="n">
        <v>1403161</v>
      </c>
      <c r="F19" s="12" t="n">
        <v>16</v>
      </c>
      <c r="G19" s="13" t="n">
        <v>676.804624384</v>
      </c>
      <c r="H19" s="13" t="n">
        <v>611.765791625</v>
      </c>
      <c r="I19" s="8" t="inlineStr">
        <is>
          <t>10-K cover page (None), Class A only; B-1/B-2/C excluded because their conversion rates are periodically reset and not derivable from the cover page, so the resulting market cap understates the as-converted total</t>
        </is>
      </c>
      <c r="J19" s="8" t="inlineStr">
        <is>
          <t>Class A only; B-1/B-2/C excluded because their conversion rates are periodically reset and not derivable from the cover page, so the resulting market cap understates the as-converted total</t>
        </is>
      </c>
    </row>
    <row r="20">
      <c r="A20" s="8" t="inlineStr">
        <is>
          <t>XOM</t>
        </is>
      </c>
      <c r="B20" s="8" t="inlineStr">
        <is>
          <t>ExxonMobil Holdings Corp</t>
        </is>
      </c>
      <c r="C20" s="8" t="inlineStr">
        <is>
          <t>US</t>
        </is>
      </c>
      <c r="D20" s="8" t="inlineStr">
        <is>
          <t>정량</t>
        </is>
      </c>
      <c r="E20" s="8" t="n">
        <v>34088</v>
      </c>
      <c r="F20" s="12" t="n">
        <v>17</v>
      </c>
      <c r="G20" s="13" t="n">
        <v>634.342670336</v>
      </c>
      <c r="H20" s="13" t="n">
        <v>637.68147884712</v>
      </c>
      <c r="I20" s="8" t="inlineStr">
        <is>
          <t>10-K cover page (None), all classes summed at 1:1</t>
        </is>
      </c>
      <c r="J20" s="8" t="inlineStr">
        <is>
          <t>CIK 교정: ticker XOM now resolves to ExxonMobil Holdings Corp (CIK 2115436), a 2026 reorganisation holdco with zero 10-K filings. The operating registrant with the audited annual history is EXXON MOBIL CORP.</t>
        </is>
      </c>
    </row>
    <row r="21">
      <c r="A21" s="8" t="inlineStr">
        <is>
          <t>JNJ</t>
        </is>
      </c>
      <c r="B21" s="8" t="inlineStr">
        <is>
          <t>JOHNSON &amp; JOHNSON</t>
        </is>
      </c>
      <c r="C21" s="8" t="inlineStr">
        <is>
          <t>US</t>
        </is>
      </c>
      <c r="D21" s="8" t="inlineStr">
        <is>
          <t>정량</t>
        </is>
      </c>
      <c r="E21" s="8" t="n">
        <v>200406</v>
      </c>
      <c r="F21" s="12" t="n">
        <v>18</v>
      </c>
      <c r="G21" s="13" t="n">
        <v>624.7420395520001</v>
      </c>
      <c r="H21" s="13" t="n">
        <v>624.74220016864</v>
      </c>
      <c r="I21" s="8" t="inlineStr">
        <is>
          <t>10-K cover page (None), all classes summed at 1:1</t>
        </is>
      </c>
      <c r="J21" s="8" t="inlineStr"/>
    </row>
    <row r="22">
      <c r="A22" s="8" t="inlineStr">
        <is>
          <t>INTC</t>
        </is>
      </c>
      <c r="B22" s="8" t="inlineStr">
        <is>
          <t>INTEL CORP</t>
        </is>
      </c>
      <c r="C22" s="8" t="inlineStr">
        <is>
          <t>US</t>
        </is>
      </c>
      <c r="D22" s="8" t="inlineStr">
        <is>
          <t>정량</t>
        </is>
      </c>
      <c r="E22" s="8" t="n">
        <v>50863</v>
      </c>
      <c r="F22" s="12" t="n">
        <v>19</v>
      </c>
      <c r="G22" s="13" t="n">
        <v>512.722567168</v>
      </c>
      <c r="H22" s="13" t="n">
        <v>507.74175</v>
      </c>
      <c r="I22" s="8" t="inlineStr">
        <is>
          <t>10-K cover page (December 27, 2025), all classes summed at 1:1</t>
        </is>
      </c>
      <c r="J22" s="8" t="inlineStr"/>
    </row>
    <row r="23">
      <c r="A23" s="8" t="inlineStr">
        <is>
          <t>MA</t>
        </is>
      </c>
      <c r="B23" s="8" t="inlineStr">
        <is>
          <t>Mastercard Inc</t>
        </is>
      </c>
      <c r="C23" s="8" t="inlineStr">
        <is>
          <t>US</t>
        </is>
      </c>
      <c r="D23" s="8" t="inlineStr">
        <is>
          <t>정량</t>
        </is>
      </c>
      <c r="E23" s="8" t="n">
        <v>1141391</v>
      </c>
      <c r="F23" s="12" t="n">
        <v>20</v>
      </c>
      <c r="G23" s="13" t="n">
        <v>493.149782016</v>
      </c>
      <c r="H23" s="13" t="n">
        <v>502.04574047745</v>
      </c>
      <c r="I23" s="8" t="inlineStr">
        <is>
          <t>10-K cover page (None), all classes summed at 1:1</t>
        </is>
      </c>
      <c r="J23" s="8" t="inlineStr"/>
    </row>
    <row r="24">
      <c r="A24" s="8" t="inlineStr">
        <is>
          <t>CSCO</t>
        </is>
      </c>
      <c r="B24" s="8" t="inlineStr">
        <is>
          <t>CISCO SYSTEMS, INC.</t>
        </is>
      </c>
      <c r="C24" s="8" t="inlineStr">
        <is>
          <t>US</t>
        </is>
      </c>
      <c r="D24" s="8" t="inlineStr">
        <is>
          <t>정량</t>
        </is>
      </c>
      <c r="E24" s="8" t="n">
        <v>858877</v>
      </c>
      <c r="F24" s="12" t="n">
        <v>21</v>
      </c>
      <c r="G24" s="13" t="n">
        <v>478.608392192</v>
      </c>
      <c r="H24" s="13" t="n">
        <v>480.03670600279</v>
      </c>
      <c r="I24" s="8" t="inlineStr">
        <is>
          <t>10-K cover page (None), all classes summed at 1:1</t>
        </is>
      </c>
      <c r="J24" s="8" t="inlineStr"/>
    </row>
    <row r="25">
      <c r="A25" s="8" t="inlineStr">
        <is>
          <t>BAC</t>
        </is>
      </c>
      <c r="B25" s="8" t="inlineStr">
        <is>
          <t>BANK OF AMERICA CORP /DE/</t>
        </is>
      </c>
      <c r="C25" s="8" t="inlineStr">
        <is>
          <t>US</t>
        </is>
      </c>
      <c r="D25" s="8" t="inlineStr">
        <is>
          <t>정량</t>
        </is>
      </c>
      <c r="E25" s="8" t="n">
        <v>70858</v>
      </c>
      <c r="F25" s="12" t="n">
        <v>22</v>
      </c>
      <c r="G25" s="13" t="n">
        <v>441.731907584</v>
      </c>
      <c r="H25" s="13" t="n">
        <v>453.3510126789</v>
      </c>
      <c r="I25" s="8" t="inlineStr">
        <is>
          <t>10-K cover page (None), all classes summed at 1:1</t>
        </is>
      </c>
      <c r="J25" s="8" t="inlineStr"/>
    </row>
    <row r="26">
      <c r="A26" s="8" t="inlineStr">
        <is>
          <t>ABBV</t>
        </is>
      </c>
      <c r="B26" s="8" t="inlineStr">
        <is>
          <t>AbbVie Inc.</t>
        </is>
      </c>
      <c r="C26" s="8" t="inlineStr">
        <is>
          <t>US</t>
        </is>
      </c>
      <c r="D26" s="8" t="inlineStr">
        <is>
          <t>정량</t>
        </is>
      </c>
      <c r="E26" s="8" t="n">
        <v>1551152</v>
      </c>
      <c r="F26" s="12" t="n">
        <v>23</v>
      </c>
      <c r="G26" s="13" t="n">
        <v>434.781519872</v>
      </c>
      <c r="H26" s="13" t="n">
        <v>435.04030371248</v>
      </c>
      <c r="I26" s="8" t="inlineStr">
        <is>
          <t>10-K cover page (None), all classes summed at 1:1</t>
        </is>
      </c>
      <c r="J26" s="8" t="inlineStr"/>
    </row>
    <row r="27">
      <c r="A27" s="8" t="inlineStr">
        <is>
          <t>AMAT</t>
        </is>
      </c>
      <c r="B27" s="8" t="inlineStr">
        <is>
          <t>APPLIED MATERIALS INC /DE</t>
        </is>
      </c>
      <c r="C27" s="8" t="inlineStr">
        <is>
          <t>US</t>
        </is>
      </c>
      <c r="D27" s="8" t="inlineStr">
        <is>
          <t>정량</t>
        </is>
      </c>
      <c r="E27" s="8" t="n">
        <v>6951</v>
      </c>
      <c r="F27" s="12" t="n">
        <v>24</v>
      </c>
      <c r="G27" s="13" t="n">
        <v>428.055298048</v>
      </c>
      <c r="H27" s="13" t="n">
        <v>427.50748634524</v>
      </c>
      <c r="I27" s="8" t="inlineStr">
        <is>
          <t>10-K cover page (None), all classes summed at 1:1</t>
        </is>
      </c>
      <c r="J27" s="8" t="inlineStr"/>
    </row>
    <row r="28">
      <c r="A28" s="8" t="inlineStr">
        <is>
          <t>ORCL</t>
        </is>
      </c>
      <c r="B28" s="8" t="inlineStr">
        <is>
          <t>ORACLE CORP</t>
        </is>
      </c>
      <c r="C28" s="8" t="inlineStr">
        <is>
          <t>US</t>
        </is>
      </c>
      <c r="D28" s="8" t="inlineStr">
        <is>
          <t>정량</t>
        </is>
      </c>
      <c r="E28" s="8" t="n">
        <v>1341439</v>
      </c>
      <c r="F28" s="12" t="n">
        <v>25</v>
      </c>
      <c r="G28" s="13" t="n">
        <v>423.486849024</v>
      </c>
      <c r="H28" s="13" t="n">
        <v>423.48684642</v>
      </c>
      <c r="I28" s="8" t="inlineStr">
        <is>
          <t>10-K cover page (None), all classes summed at 1:1</t>
        </is>
      </c>
      <c r="J28" s="8" t="inlineStr"/>
    </row>
    <row r="29">
      <c r="A29" s="8" t="inlineStr">
        <is>
          <t>COST</t>
        </is>
      </c>
      <c r="B29" s="8" t="inlineStr">
        <is>
          <t>COSTCO WHOLESALE CORP /NEW</t>
        </is>
      </c>
      <c r="C29" s="8" t="inlineStr">
        <is>
          <t>US</t>
        </is>
      </c>
      <c r="D29" s="8" t="inlineStr">
        <is>
          <t>정량</t>
        </is>
      </c>
      <c r="E29" s="8" t="n">
        <v>909832</v>
      </c>
      <c r="F29" s="12" t="n">
        <v>26</v>
      </c>
      <c r="G29" s="13" t="n">
        <v>420.338106368</v>
      </c>
      <c r="H29" s="13" t="n">
        <v>420.05408659632</v>
      </c>
      <c r="I29" s="8" t="inlineStr">
        <is>
          <t>10-K cover page (August 31, 2025), all classes summed at 1:1</t>
        </is>
      </c>
      <c r="J29" s="8" t="inlineStr"/>
    </row>
    <row r="30">
      <c r="A30" s="8" t="inlineStr">
        <is>
          <t>PLTR</t>
        </is>
      </c>
      <c r="B30" s="8" t="inlineStr">
        <is>
          <t>Palantir Technologies Inc.</t>
        </is>
      </c>
      <c r="C30" s="8" t="inlineStr">
        <is>
          <t>US</t>
        </is>
      </c>
      <c r="D30" s="8" t="inlineStr">
        <is>
          <t>정량</t>
        </is>
      </c>
      <c r="E30" s="8" t="n">
        <v>1321655</v>
      </c>
      <c r="F30" s="12" t="n">
        <v>27</v>
      </c>
      <c r="G30" s="13" t="n">
        <v>413.350068224</v>
      </c>
      <c r="H30" s="13" t="n">
        <v>411.39213904911</v>
      </c>
      <c r="I30" s="8" t="inlineStr">
        <is>
          <t>10-K cover page (None), all classes summed at 1:1</t>
        </is>
      </c>
      <c r="J30" s="8" t="inlineStr"/>
    </row>
    <row r="31">
      <c r="A31" s="8" t="inlineStr">
        <is>
          <t>LRCX</t>
        </is>
      </c>
      <c r="B31" s="8" t="inlineStr">
        <is>
          <t>LAM RESEARCH CORP</t>
        </is>
      </c>
      <c r="C31" s="8" t="inlineStr">
        <is>
          <t>US</t>
        </is>
      </c>
      <c r="D31" s="8" t="inlineStr">
        <is>
          <t>정량</t>
        </is>
      </c>
      <c r="E31" s="8" t="n">
        <v>707549</v>
      </c>
      <c r="F31" s="12" t="n">
        <v>28</v>
      </c>
      <c r="G31" s="13" t="n">
        <v>389.585403904</v>
      </c>
      <c r="H31" s="13" t="n">
        <v>389.59879335</v>
      </c>
      <c r="I31" s="8" t="inlineStr">
        <is>
          <t>10-K cover page (None), all classes summed at 1:1</t>
        </is>
      </c>
      <c r="J31" s="8" t="inlineStr"/>
    </row>
    <row r="32">
      <c r="A32" s="8" t="inlineStr">
        <is>
          <t>CAT</t>
        </is>
      </c>
      <c r="B32" s="8" t="inlineStr">
        <is>
          <t>CATERPILLAR INC</t>
        </is>
      </c>
      <c r="C32" s="8" t="inlineStr">
        <is>
          <t>US</t>
        </is>
      </c>
      <c r="D32" s="8" t="inlineStr">
        <is>
          <t>정량</t>
        </is>
      </c>
      <c r="E32" s="8" t="n">
        <v>18230</v>
      </c>
      <c r="F32" s="12" t="n">
        <v>29</v>
      </c>
      <c r="G32" s="13" t="n">
        <v>387.13360384</v>
      </c>
      <c r="H32" s="13" t="n">
        <v>391.86033813708</v>
      </c>
      <c r="I32" s="8" t="inlineStr">
        <is>
          <t>10-K cover page (None), all classes summed at 1:1</t>
        </is>
      </c>
      <c r="J32" s="8" t="inlineStr"/>
    </row>
    <row r="33">
      <c r="A33" s="8" t="inlineStr">
        <is>
          <t>GE</t>
        </is>
      </c>
      <c r="B33" s="8" t="inlineStr">
        <is>
          <t>GENERAL ELECTRIC CO</t>
        </is>
      </c>
      <c r="C33" s="8" t="inlineStr">
        <is>
          <t>US</t>
        </is>
      </c>
      <c r="D33" s="8" t="inlineStr">
        <is>
          <t>정량</t>
        </is>
      </c>
      <c r="E33" s="8" t="n">
        <v>40545</v>
      </c>
      <c r="F33" s="12" t="n">
        <v>30</v>
      </c>
      <c r="G33" s="13" t="n">
        <v>383.981125632</v>
      </c>
      <c r="H33" s="13" t="n">
        <v>388.14494152896</v>
      </c>
      <c r="I33" s="8" t="inlineStr">
        <is>
          <t>10-K cover page (None), all classes summed at 1:1</t>
        </is>
      </c>
      <c r="J33" s="8" t="inlineStr"/>
    </row>
    <row r="34">
      <c r="A34" s="8" t="inlineStr">
        <is>
          <t>KO</t>
        </is>
      </c>
      <c r="B34" s="8" t="inlineStr">
        <is>
          <t>COCA COLA CO</t>
        </is>
      </c>
      <c r="C34" s="8" t="inlineStr">
        <is>
          <t>US</t>
        </is>
      </c>
      <c r="D34" s="8" t="inlineStr">
        <is>
          <t>정량</t>
        </is>
      </c>
      <c r="E34" s="8" t="n">
        <v>21344</v>
      </c>
      <c r="F34" s="12" t="n">
        <v>31</v>
      </c>
      <c r="G34" s="13" t="n">
        <v>374.536896512</v>
      </c>
      <c r="H34" s="13" t="n">
        <v>374.37794315645</v>
      </c>
      <c r="I34" s="8" t="inlineStr">
        <is>
          <t>10-K cover page (None), all classes summed at 1:1</t>
        </is>
      </c>
      <c r="J34" s="8" t="inlineStr"/>
    </row>
    <row r="35">
      <c r="A35" s="8" t="inlineStr">
        <is>
          <t>UNH</t>
        </is>
      </c>
      <c r="B35" s="8" t="inlineStr">
        <is>
          <t>UNITEDHEALTH GROUP INC</t>
        </is>
      </c>
      <c r="C35" s="8" t="inlineStr">
        <is>
          <t>US</t>
        </is>
      </c>
      <c r="D35" s="8" t="inlineStr">
        <is>
          <t>정량</t>
        </is>
      </c>
      <c r="E35" s="8" t="n">
        <v>731766</v>
      </c>
      <c r="F35" s="12" t="n">
        <v>32</v>
      </c>
      <c r="G35" s="13" t="n">
        <v>369.687396352</v>
      </c>
      <c r="H35" s="13" t="n">
        <v>369.49668054012</v>
      </c>
      <c r="I35" s="8" t="inlineStr">
        <is>
          <t>10-K cover page (December 31, 2025), all classes summed at 1:1</t>
        </is>
      </c>
      <c r="J35" s="8" t="inlineStr"/>
    </row>
    <row r="36">
      <c r="A36" s="8" t="inlineStr">
        <is>
          <t>CVX</t>
        </is>
      </c>
      <c r="B36" s="8" t="inlineStr">
        <is>
          <t>CHEVRON CORP</t>
        </is>
      </c>
      <c r="C36" s="8" t="inlineStr">
        <is>
          <t>US</t>
        </is>
      </c>
      <c r="D36" s="8" t="inlineStr">
        <is>
          <t>정량</t>
        </is>
      </c>
      <c r="E36" s="8" t="n">
        <v>93410</v>
      </c>
      <c r="F36" s="12" t="n">
        <v>33</v>
      </c>
      <c r="G36" s="13" t="n">
        <v>365.956726784</v>
      </c>
      <c r="H36" s="13" t="n">
        <v>372.25912615584</v>
      </c>
      <c r="I36" s="8" t="inlineStr">
        <is>
          <t>10-K cover page (None), all classes summed at 1:1</t>
        </is>
      </c>
      <c r="J36" s="8" t="inlineStr"/>
    </row>
    <row r="37">
      <c r="A37" s="8" t="inlineStr">
        <is>
          <t>HD</t>
        </is>
      </c>
      <c r="B37" s="8" t="inlineStr">
        <is>
          <t>HOME DEPOT, INC.</t>
        </is>
      </c>
      <c r="C37" s="8" t="inlineStr">
        <is>
          <t>US</t>
        </is>
      </c>
      <c r="D37" s="8" t="inlineStr">
        <is>
          <t>정량</t>
        </is>
      </c>
      <c r="E37" s="8" t="n">
        <v>354950</v>
      </c>
      <c r="F37" s="12" t="n">
        <v>34</v>
      </c>
      <c r="G37" s="13" t="n">
        <v>354.594619392</v>
      </c>
      <c r="H37" s="13" t="n">
        <v>354.20159753892</v>
      </c>
      <c r="I37" s="8" t="inlineStr">
        <is>
          <t>10-K cover page (None), all classes summed at 1:1</t>
        </is>
      </c>
      <c r="J37" s="8" t="inlineStr"/>
    </row>
    <row r="38">
      <c r="A38" s="8" t="inlineStr">
        <is>
          <t>MS</t>
        </is>
      </c>
      <c r="B38" s="8" t="inlineStr">
        <is>
          <t>MORGAN STANLEY</t>
        </is>
      </c>
      <c r="C38" s="8" t="inlineStr">
        <is>
          <t>US</t>
        </is>
      </c>
      <c r="D38" s="8" t="inlineStr">
        <is>
          <t>정량</t>
        </is>
      </c>
      <c r="E38" s="8" t="n">
        <v>895421</v>
      </c>
      <c r="F38" s="12" t="n">
        <v>35</v>
      </c>
      <c r="G38" s="13" t="n">
        <v>340.070760448</v>
      </c>
      <c r="H38" s="13" t="n">
        <v>343.50179836398</v>
      </c>
      <c r="I38" s="8" t="inlineStr">
        <is>
          <t>10-K cover page (None), all classes summed at 1:1</t>
        </is>
      </c>
      <c r="J38" s="8" t="inlineStr"/>
    </row>
    <row r="39">
      <c r="A39" s="8" t="inlineStr">
        <is>
          <t>PG</t>
        </is>
      </c>
      <c r="B39" s="8" t="inlineStr">
        <is>
          <t>PROCTER &amp; GAMBLE Co</t>
        </is>
      </c>
      <c r="C39" s="8" t="inlineStr">
        <is>
          <t>US</t>
        </is>
      </c>
      <c r="D39" s="8" t="inlineStr">
        <is>
          <t>정량</t>
        </is>
      </c>
      <c r="E39" s="8" t="n">
        <v>80424</v>
      </c>
      <c r="F39" s="12" t="n">
        <v>36</v>
      </c>
      <c r="G39" s="13" t="n">
        <v>339.486441472</v>
      </c>
      <c r="H39" s="13" t="n">
        <v>338.8790958174</v>
      </c>
      <c r="I39" s="8" t="inlineStr">
        <is>
          <t>10-K cover page (None), all classes summed at 1:1</t>
        </is>
      </c>
      <c r="J39" s="8" t="inlineStr"/>
    </row>
    <row r="40">
      <c r="A40" s="8" t="inlineStr">
        <is>
          <t>MRK</t>
        </is>
      </c>
      <c r="B40" s="8" t="inlineStr">
        <is>
          <t>Merck &amp; Co., Inc.</t>
        </is>
      </c>
      <c r="C40" s="8" t="inlineStr">
        <is>
          <t>US</t>
        </is>
      </c>
      <c r="D40" s="8" t="inlineStr">
        <is>
          <t>정량</t>
        </is>
      </c>
      <c r="E40" s="8" t="n">
        <v>310158</v>
      </c>
      <c r="F40" s="12" t="n">
        <v>37</v>
      </c>
      <c r="G40" s="13" t="n">
        <v>317.570056192</v>
      </c>
      <c r="H40" s="13" t="n">
        <v>317.90016374574</v>
      </c>
      <c r="I40" s="8" t="inlineStr">
        <is>
          <t>10-K cover page (None), all classes summed at 1:1</t>
        </is>
      </c>
      <c r="J40" s="8" t="inlineStr"/>
    </row>
    <row r="41">
      <c r="A41" s="8" t="inlineStr">
        <is>
          <t>NFLX</t>
        </is>
      </c>
      <c r="B41" s="8" t="inlineStr">
        <is>
          <t>NETFLIX INC</t>
        </is>
      </c>
      <c r="C41" s="8" t="inlineStr">
        <is>
          <t>US</t>
        </is>
      </c>
      <c r="D41" s="8" t="inlineStr">
        <is>
          <t>정량</t>
        </is>
      </c>
      <c r="E41" s="8" t="n">
        <v>1065280</v>
      </c>
      <c r="F41" s="12" t="n">
        <v>38</v>
      </c>
      <c r="G41" s="13" t="n">
        <v>308.714471424</v>
      </c>
      <c r="H41" s="13" t="n">
        <v>313.031101801</v>
      </c>
      <c r="I41" s="8" t="inlineStr">
        <is>
          <t>10-K cover page (None), all classes summed at 1:1</t>
        </is>
      </c>
      <c r="J41" s="8" t="inlineStr"/>
    </row>
    <row r="42">
      <c r="A42" s="8" t="inlineStr">
        <is>
          <t>GS</t>
        </is>
      </c>
      <c r="B42" s="8" t="inlineStr">
        <is>
          <t>GOLDMAN SACHS GROUP INC</t>
        </is>
      </c>
      <c r="C42" s="8" t="inlineStr">
        <is>
          <t>US</t>
        </is>
      </c>
      <c r="D42" s="8" t="inlineStr">
        <is>
          <t>정량</t>
        </is>
      </c>
      <c r="E42" s="8" t="n">
        <v>886982</v>
      </c>
      <c r="F42" s="12" t="n">
        <v>39</v>
      </c>
      <c r="G42" s="13" t="n">
        <v>302.704689152</v>
      </c>
      <c r="H42" s="13" t="n">
        <v>308.50730524042</v>
      </c>
      <c r="I42" s="8" t="inlineStr">
        <is>
          <t>10-K cover page (None), all classes summed at 1:1</t>
        </is>
      </c>
      <c r="J42" s="8" t="inlineStr"/>
    </row>
    <row r="43">
      <c r="A43" s="8" t="inlineStr">
        <is>
          <t>RTX</t>
        </is>
      </c>
      <c r="B43" s="8" t="inlineStr">
        <is>
          <t>RTX Corp</t>
        </is>
      </c>
      <c r="C43" s="8" t="inlineStr">
        <is>
          <t>US</t>
        </is>
      </c>
      <c r="D43" s="8" t="inlineStr">
        <is>
          <t>정량</t>
        </is>
      </c>
      <c r="E43" s="8" t="n">
        <v>101829</v>
      </c>
      <c r="F43" s="12" t="n">
        <v>40</v>
      </c>
      <c r="G43" s="13" t="n">
        <v>300.590497792</v>
      </c>
      <c r="H43" s="13" t="n">
        <v>299.37042037828</v>
      </c>
      <c r="I43" s="8" t="inlineStr">
        <is>
          <t>10-K cover page (None), all classes summed at 1:1</t>
        </is>
      </c>
      <c r="J43" s="8" t="inlineStr"/>
    </row>
    <row r="44">
      <c r="A44" s="8" t="inlineStr">
        <is>
          <t>PANW</t>
        </is>
      </c>
      <c r="B44" s="8" t="inlineStr">
        <is>
          <t>Palo Alto Networks Inc</t>
        </is>
      </c>
      <c r="C44" s="8" t="inlineStr">
        <is>
          <t>US</t>
        </is>
      </c>
      <c r="D44" s="8" t="inlineStr">
        <is>
          <t>정량</t>
        </is>
      </c>
      <c r="E44" s="8" t="n">
        <v>1327567</v>
      </c>
      <c r="F44" s="12" t="n">
        <v>41</v>
      </c>
      <c r="G44" s="13" t="n">
        <v>296.545878016</v>
      </c>
      <c r="H44" s="13" t="n">
        <v>243.385954</v>
      </c>
      <c r="I44" s="8" t="inlineStr">
        <is>
          <t>10-K cover page (None), all classes summed at 1:1</t>
        </is>
      </c>
      <c r="J44" s="8" t="inlineStr"/>
    </row>
    <row r="45">
      <c r="A45" s="8" t="inlineStr">
        <is>
          <t>PM</t>
        </is>
      </c>
      <c r="B45" s="8" t="inlineStr">
        <is>
          <t>Philip Morris International Inc.</t>
        </is>
      </c>
      <c r="C45" s="8" t="inlineStr">
        <is>
          <t>US</t>
        </is>
      </c>
      <c r="D45" s="8" t="inlineStr">
        <is>
          <t>정량</t>
        </is>
      </c>
      <c r="E45" s="8" t="n">
        <v>1413329</v>
      </c>
      <c r="F45" s="12" t="n">
        <v>42</v>
      </c>
      <c r="G45" s="13" t="n">
        <v>295.466336256</v>
      </c>
      <c r="H45" s="13" t="n">
        <v>295.09974779103</v>
      </c>
      <c r="I45" s="8" t="inlineStr">
        <is>
          <t>10-K cover page (None), all classes summed at 1:1</t>
        </is>
      </c>
      <c r="J45" s="8" t="inlineStr"/>
    </row>
    <row r="46">
      <c r="A46" s="8" t="inlineStr">
        <is>
          <t>DELL</t>
        </is>
      </c>
      <c r="B46" s="8" t="inlineStr">
        <is>
          <t>Dell Technologies Inc.</t>
        </is>
      </c>
      <c r="C46" s="8" t="inlineStr">
        <is>
          <t>US</t>
        </is>
      </c>
      <c r="D46" s="8" t="inlineStr">
        <is>
          <t>정량</t>
        </is>
      </c>
      <c r="E46" s="8" t="n">
        <v>1571996</v>
      </c>
      <c r="F46" s="12" t="n">
        <v>43</v>
      </c>
      <c r="G46" s="13" t="n">
        <v>293.20003584</v>
      </c>
      <c r="H46" s="13" t="n">
        <v>293.02127461027</v>
      </c>
      <c r="I46" s="8" t="inlineStr">
        <is>
          <t>10-K cover page (None), all classes summed at 1:1</t>
        </is>
      </c>
      <c r="J46" s="8" t="inlineStr"/>
    </row>
    <row r="47">
      <c r="A47" s="8" t="inlineStr">
        <is>
          <t>WFC</t>
        </is>
      </c>
      <c r="B47" s="8" t="inlineStr">
        <is>
          <t>WELLS FARGO &amp; COMPANY/MN</t>
        </is>
      </c>
      <c r="C47" s="8" t="inlineStr">
        <is>
          <t>US</t>
        </is>
      </c>
      <c r="D47" s="8" t="inlineStr">
        <is>
          <t>정량</t>
        </is>
      </c>
      <c r="E47" s="8" t="n">
        <v>72971</v>
      </c>
      <c r="F47" s="12" t="n">
        <v>44</v>
      </c>
      <c r="G47" s="13" t="n">
        <v>263.843938304</v>
      </c>
      <c r="H47" s="13" t="n">
        <v>269.22170967725</v>
      </c>
      <c r="I47" s="8" t="inlineStr">
        <is>
          <t>10-K cover page (December&amp;#160;31, 2025), all classes summed at 1:1</t>
        </is>
      </c>
      <c r="J47" s="8" t="inlineStr"/>
    </row>
    <row r="48">
      <c r="A48" s="8" t="inlineStr">
        <is>
          <t>GEV</t>
        </is>
      </c>
      <c r="B48" s="8" t="inlineStr">
        <is>
          <t>GE Vernova Inc.</t>
        </is>
      </c>
      <c r="C48" s="8" t="inlineStr">
        <is>
          <t>US</t>
        </is>
      </c>
      <c r="D48" s="8" t="inlineStr">
        <is>
          <t>정량</t>
        </is>
      </c>
      <c r="E48" s="8" t="n">
        <v>1996810</v>
      </c>
      <c r="F48" s="12" t="n">
        <v>45</v>
      </c>
      <c r="G48" s="13" t="n">
        <v>263.755481088</v>
      </c>
      <c r="H48" s="13" t="n">
        <v>266.92041878848</v>
      </c>
      <c r="I48" s="8" t="inlineStr">
        <is>
          <t>10-K cover page (None), all classes summed at 1:1</t>
        </is>
      </c>
      <c r="J48" s="8" t="inlineStr"/>
    </row>
    <row r="49">
      <c r="A49" s="8" t="inlineStr">
        <is>
          <t>TXN</t>
        </is>
      </c>
      <c r="B49" s="8" t="inlineStr">
        <is>
          <t>TEXAS INSTRUMENTS INC</t>
        </is>
      </c>
      <c r="C49" s="8" t="inlineStr">
        <is>
          <t>US</t>
        </is>
      </c>
      <c r="D49" s="8" t="inlineStr">
        <is>
          <t>정량</t>
        </is>
      </c>
      <c r="E49" s="8" t="n">
        <v>97476</v>
      </c>
      <c r="F49" s="12" t="n">
        <v>46</v>
      </c>
      <c r="G49" s="13" t="n">
        <v>261.26188544</v>
      </c>
      <c r="H49" s="13" t="n">
        <v>259.63212542592</v>
      </c>
      <c r="I49" s="8" t="inlineStr">
        <is>
          <t>10-K cover page (None), all classes summed at 1:1</t>
        </is>
      </c>
      <c r="J49" s="8" t="inlineStr"/>
    </row>
    <row r="50">
      <c r="A50" s="8" t="inlineStr">
        <is>
          <t>KLAC</t>
        </is>
      </c>
      <c r="B50" s="8" t="inlineStr">
        <is>
          <t>KLA CORP</t>
        </is>
      </c>
      <c r="C50" s="8" t="inlineStr">
        <is>
          <t>US</t>
        </is>
      </c>
      <c r="D50" s="8" t="inlineStr">
        <is>
          <t>정량</t>
        </is>
      </c>
      <c r="E50" s="8" t="n">
        <v>319201</v>
      </c>
      <c r="F50" s="12" t="n">
        <v>47</v>
      </c>
      <c r="G50" s="13" t="n">
        <v>258.839986176</v>
      </c>
      <c r="H50" s="13" t="n">
        <v>258.83998318013</v>
      </c>
      <c r="I50" s="8" t="inlineStr">
        <is>
          <t>10-K cover page (None), all classes summed at 1:1</t>
        </is>
      </c>
      <c r="J50" s="8" t="inlineStr"/>
    </row>
    <row r="51">
      <c r="A51" s="8" t="inlineStr">
        <is>
          <t>ANET</t>
        </is>
      </c>
      <c r="B51" s="8" t="inlineStr">
        <is>
          <t>Arista Networks, Inc.</t>
        </is>
      </c>
      <c r="C51" s="8" t="inlineStr">
        <is>
          <t>US</t>
        </is>
      </c>
      <c r="D51" s="8" t="inlineStr">
        <is>
          <t>정량</t>
        </is>
      </c>
      <c r="E51" s="8" t="n">
        <v>1596532</v>
      </c>
      <c r="F51" s="12" t="n">
        <v>48</v>
      </c>
      <c r="G51" s="13" t="n">
        <v>237.955268608</v>
      </c>
      <c r="H51" s="13" t="n">
        <v>237.07100672502</v>
      </c>
      <c r="I51" s="8" t="inlineStr">
        <is>
          <t>10-K cover page (None), all classes summed at 1:1</t>
        </is>
      </c>
      <c r="J51" s="8" t="inlineStr"/>
    </row>
    <row r="52">
      <c r="A52" s="8" t="inlineStr">
        <is>
          <t>AXP</t>
        </is>
      </c>
      <c r="B52" s="8" t="inlineStr">
        <is>
          <t>AMERICAN EXPRESS CO</t>
        </is>
      </c>
      <c r="C52" s="8" t="inlineStr">
        <is>
          <t>US</t>
        </is>
      </c>
      <c r="D52" s="8" t="inlineStr">
        <is>
          <t>정량</t>
        </is>
      </c>
      <c r="E52" s="8" t="n">
        <v>4962</v>
      </c>
      <c r="F52" s="12" t="n">
        <v>49</v>
      </c>
      <c r="G52" s="13" t="n">
        <v>230.219874304</v>
      </c>
      <c r="H52" s="13" t="n">
        <v>234.07358044455</v>
      </c>
      <c r="I52" s="8" t="inlineStr">
        <is>
          <t>10-K cover page (None), all classes summed at 1:1</t>
        </is>
      </c>
      <c r="J52" s="8" t="inlineStr"/>
    </row>
    <row r="53">
      <c r="A53" s="8" t="inlineStr">
        <is>
          <t>C</t>
        </is>
      </c>
      <c r="B53" s="8" t="inlineStr">
        <is>
          <t>CITIGROUP INC</t>
        </is>
      </c>
      <c r="C53" s="8" t="inlineStr">
        <is>
          <t>US</t>
        </is>
      </c>
      <c r="D53" s="8" t="inlineStr">
        <is>
          <t>정량</t>
        </is>
      </c>
      <c r="E53" s="8" t="n">
        <v>831001</v>
      </c>
      <c r="F53" s="12" t="n">
        <v>50</v>
      </c>
      <c r="G53" s="13" t="n">
        <v>226.453962752</v>
      </c>
      <c r="H53" s="13" t="n">
        <v>236.158066215</v>
      </c>
      <c r="I53" s="8" t="inlineStr">
        <is>
          <t>10-K cover page (None), all classes summed at 1:1</t>
        </is>
      </c>
      <c r="J53" s="8" t="inlineStr"/>
    </row>
    <row r="54">
      <c r="A54" s="8" t="inlineStr">
        <is>
          <t>IBM</t>
        </is>
      </c>
      <c r="B54" s="8" t="inlineStr">
        <is>
          <t>INTERNATIONAL BUSINESS MACHINES CORP</t>
        </is>
      </c>
      <c r="C54" s="8" t="inlineStr">
        <is>
          <t>US</t>
        </is>
      </c>
      <c r="D54" s="8" t="inlineStr">
        <is>
          <t>정량</t>
        </is>
      </c>
      <c r="E54" s="8" t="n">
        <v>51143</v>
      </c>
      <c r="F54" s="12" t="n">
        <v>51</v>
      </c>
      <c r="G54" s="13" t="n">
        <v>223.549652992</v>
      </c>
      <c r="H54" s="13" t="n">
        <v>222.57680338112</v>
      </c>
      <c r="I54" s="8" t="inlineStr">
        <is>
          <t>10-K cover page (None), all classes summed at 1:1</t>
        </is>
      </c>
      <c r="J54" s="8" t="inlineStr"/>
    </row>
    <row r="55">
      <c r="A55" s="8" t="inlineStr">
        <is>
          <t>005930.KS</t>
        </is>
      </c>
      <c r="B55" s="8" t="inlineStr">
        <is>
          <t>Samsung Electronics Co., Ltd.</t>
        </is>
      </c>
      <c r="C55" s="8" t="inlineStr">
        <is>
          <t>KR</t>
        </is>
      </c>
      <c r="D55" s="8" t="inlineStr">
        <is>
          <t>정성만</t>
        </is>
      </c>
      <c r="E55" s="8" t="n"/>
      <c r="F55" s="12" t="n"/>
      <c r="G55" s="13" t="n"/>
      <c r="H55" s="13" t="n"/>
      <c r="I55" s="8" t="n"/>
      <c r="J55" s="8" t="inlineStr">
        <is>
          <t>Not an SEC registrant. Audited financials are filed with DART, whose API requires a key not available in this environment, so no line item can be sourced to a primary filing at the standard applied to the US 50.</t>
        </is>
      </c>
    </row>
    <row r="56">
      <c r="A56" s="8" t="inlineStr">
        <is>
          <t>000660.KS</t>
        </is>
      </c>
      <c r="B56" s="8" t="inlineStr">
        <is>
          <t>SK hynix Inc.</t>
        </is>
      </c>
      <c r="C56" s="8" t="inlineStr">
        <is>
          <t>KR</t>
        </is>
      </c>
      <c r="D56" s="8" t="inlineStr">
        <is>
          <t>정성만</t>
        </is>
      </c>
      <c r="E56" s="8" t="n"/>
      <c r="F56" s="12" t="n"/>
      <c r="G56" s="13" t="n"/>
      <c r="H56" s="13" t="n"/>
      <c r="I56" s="8" t="n"/>
      <c r="J56" s="8" t="inlineStr">
        <is>
          <t>Not an SEC registrant. Audited financials are filed with DART, whose API requires a key not available in this environment, so no line item can be sourced to a primary filing at the standard applied to the US 50.</t>
        </is>
      </c>
    </row>
    <row r="59">
      <c r="A59" s="2" t="inlineStr">
        <is>
          <t>제외: SPCX(SpaceX) — 비상장으로 10-K 제출 이력이 없어 감사받은 연간 시계열이 존재하지 않습니다. 차순위인 IBM을 승격했습니다.</t>
        </is>
      </c>
    </row>
  </sheetData>
  <autoFilter ref="A4:J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2026-08-10T04:34:46Z</dcterms:created>
  <dcterms:modified xsi:type="dcterms:W3CDTF">2026-08-10T04:34:46Z</dcterms:modified>
</cp:coreProperties>
</file>